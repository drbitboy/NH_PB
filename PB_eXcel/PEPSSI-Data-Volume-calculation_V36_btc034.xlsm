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3C50DE56-37E7-4F24-8F86-78C30D0000C2}" xr6:coauthVersionLast="47" xr6:coauthVersionMax="47" xr10:uidLastSave="{00000000-0000-0000-0000-000000000000}"/>
  <bookViews>
    <workbookView xWindow="75" yWindow="990" windowWidth="28725" windowHeight="14520" tabRatio="906" firstSheet="1"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34" i="22" l="1"/>
  <c r="J34" i="22"/>
  <c r="R33" i="22"/>
  <c r="R32" i="22"/>
  <c r="U32" i="22"/>
  <c r="J32" i="22"/>
  <c r="K42" i="22"/>
  <c r="J42" i="22" s="1"/>
  <c r="K41" i="22"/>
  <c r="J41" i="22" s="1"/>
  <c r="K37" i="22"/>
  <c r="U33" i="22"/>
  <c r="J33" i="22"/>
  <c r="R31" i="22"/>
  <c r="U31" i="22"/>
  <c r="R30" i="22"/>
  <c r="J37" i="22"/>
  <c r="AN42" i="22"/>
  <c r="W42" i="22" s="1"/>
  <c r="U42" i="22"/>
  <c r="P42" i="22"/>
  <c r="AN41" i="22"/>
  <c r="W41" i="22" s="1"/>
  <c r="U41" i="22"/>
  <c r="P41" i="22"/>
  <c r="AN40" i="22"/>
  <c r="W40" i="22" s="1"/>
  <c r="U40" i="22"/>
  <c r="P40" i="22"/>
  <c r="J40" i="22"/>
  <c r="AN39" i="22"/>
  <c r="W39" i="22" s="1"/>
  <c r="U39" i="22"/>
  <c r="P39" i="22"/>
  <c r="AN38" i="22"/>
  <c r="W38" i="22" s="1"/>
  <c r="U38" i="22"/>
  <c r="P38" i="22"/>
  <c r="AN37" i="22"/>
  <c r="W37" i="22" s="1"/>
  <c r="U37" i="22"/>
  <c r="P37" i="22"/>
  <c r="AN36" i="22"/>
  <c r="W36" i="22" s="1"/>
  <c r="U36" i="22"/>
  <c r="P36" i="22"/>
  <c r="J36" i="22"/>
  <c r="AN35" i="22"/>
  <c r="W35" i="22" s="1"/>
  <c r="U35" i="22"/>
  <c r="P35" i="22"/>
  <c r="J35" i="22"/>
  <c r="AN30" i="22"/>
  <c r="W30" i="22" s="1"/>
  <c r="U30" i="22"/>
  <c r="P30" i="22"/>
  <c r="J30" i="22"/>
  <c r="AN29" i="22"/>
  <c r="W29" i="22" s="1"/>
  <c r="U29" i="22"/>
  <c r="P29" i="22"/>
  <c r="J29" i="22"/>
  <c r="X28" i="22"/>
  <c r="W28" i="22"/>
  <c r="V28" i="22"/>
  <c r="U28" i="22"/>
  <c r="T28" i="22"/>
  <c r="S28" i="22"/>
  <c r="R28" i="22"/>
  <c r="Q28" i="22"/>
  <c r="P28" i="22"/>
  <c r="J28" i="22"/>
  <c r="I28" i="22"/>
  <c r="H28" i="22"/>
  <c r="G28" i="22"/>
  <c r="F28" i="22"/>
  <c r="E28" i="22"/>
  <c r="K19" i="22"/>
  <c r="J19" i="22" s="1"/>
  <c r="AB22" i="22"/>
  <c r="AC22" i="22"/>
  <c r="K16" i="22"/>
  <c r="J16" i="22" s="1"/>
  <c r="K18" i="22"/>
  <c r="J18" i="22" s="1"/>
  <c r="K17" i="22"/>
  <c r="J17" i="22" s="1"/>
  <c r="J20" i="22"/>
  <c r="T6" i="22"/>
  <c r="K15" i="22" s="1"/>
  <c r="X9" i="21"/>
  <c r="R461" i="21"/>
  <c r="T455" i="21"/>
  <c r="L34" i="22"/>
  <c r="L32" i="22"/>
  <c r="L33" i="22"/>
  <c r="L31" i="22"/>
  <c r="L30" i="22"/>
  <c r="L42" i="22"/>
  <c r="L39" i="22"/>
  <c r="L29" i="22"/>
  <c r="L41" i="22"/>
  <c r="L37" i="22"/>
  <c r="L35" i="22"/>
  <c r="L40" i="22"/>
  <c r="L36" i="22"/>
  <c r="L38" i="22"/>
  <c r="O42" i="22"/>
  <c r="O41" i="22"/>
  <c r="R40" i="22"/>
  <c r="O40" i="22"/>
  <c r="R39" i="22"/>
  <c r="O39" i="22"/>
  <c r="R38" i="22"/>
  <c r="O38" i="22"/>
  <c r="O37" i="22"/>
  <c r="R36" i="22"/>
  <c r="O36" i="22"/>
  <c r="R35" i="22"/>
  <c r="O35" i="22"/>
  <c r="O30" i="22"/>
  <c r="R29" i="22"/>
  <c r="O29" i="22"/>
  <c r="E20" i="93"/>
  <c r="E11" i="91"/>
  <c r="E12" i="94"/>
  <c r="E13" i="92"/>
  <c r="E11" i="89"/>
  <c r="E14" i="93"/>
  <c r="E11" i="94"/>
  <c r="E12" i="92"/>
  <c r="D15" i="93"/>
  <c r="D11" i="91"/>
  <c r="C11" i="91"/>
  <c r="C11" i="86"/>
  <c r="D12" i="94"/>
  <c r="D16" i="93"/>
  <c r="C11" i="90"/>
  <c r="C12" i="88"/>
  <c r="D12" i="87"/>
  <c r="D11" i="88"/>
  <c r="C11" i="88"/>
  <c r="C12" i="90"/>
  <c r="D17" i="93"/>
  <c r="C13" i="92"/>
  <c r="D11" i="92"/>
  <c r="C18" i="93"/>
  <c r="E11" i="86"/>
  <c r="E11" i="92"/>
  <c r="E12" i="87"/>
  <c r="E11" i="93"/>
  <c r="E19" i="93"/>
  <c r="E15" i="93"/>
  <c r="E11" i="88"/>
  <c r="D13" i="92"/>
  <c r="C11" i="89"/>
  <c r="C20" i="93"/>
  <c r="D11" i="94"/>
  <c r="C12" i="93"/>
  <c r="D12" i="88"/>
  <c r="D18" i="93"/>
  <c r="C12" i="89"/>
  <c r="D13" i="93"/>
  <c r="D11" i="93"/>
  <c r="D12" i="91"/>
  <c r="D12" i="92"/>
  <c r="D20" i="93"/>
  <c r="C13" i="93"/>
  <c r="C17" i="93"/>
  <c r="E16" i="93"/>
  <c r="E14" i="92"/>
  <c r="D19" i="93"/>
  <c r="D12" i="93"/>
  <c r="C11" i="92"/>
  <c r="C11" i="94"/>
  <c r="C19" i="93"/>
  <c r="E12" i="88"/>
  <c r="E13" i="93"/>
  <c r="E12" i="90"/>
  <c r="E13" i="94"/>
  <c r="E17" i="93"/>
  <c r="E12" i="86"/>
  <c r="E11" i="87"/>
  <c r="D12" i="86"/>
  <c r="D12" i="90"/>
  <c r="D14" i="92"/>
  <c r="D11" i="86"/>
  <c r="C12" i="92"/>
  <c r="C14" i="93"/>
  <c r="C11" i="93"/>
  <c r="C13" i="94"/>
  <c r="C14" i="92"/>
  <c r="C16" i="93"/>
  <c r="D11" i="90"/>
  <c r="C15" i="93"/>
  <c r="C11" i="87"/>
  <c r="C12" i="87"/>
  <c r="C12" i="94"/>
  <c r="E12" i="89"/>
  <c r="E11" i="90"/>
  <c r="E12" i="91"/>
  <c r="E12" i="93"/>
  <c r="E18" i="93"/>
  <c r="D11" i="87"/>
  <c r="D12" i="89"/>
  <c r="C12" i="91"/>
  <c r="C12" i="86"/>
  <c r="D13" i="94"/>
  <c r="D11" i="89"/>
  <c r="D14" i="93"/>
  <c r="K38" i="22" l="1"/>
  <c r="J38" i="22" s="1"/>
  <c r="K39" i="22"/>
  <c r="J39" i="22" s="1"/>
  <c r="K31" i="22"/>
  <c r="J31" i="22" s="1"/>
  <c r="S40" i="22"/>
  <c r="S39" i="22"/>
  <c r="S38" i="22"/>
  <c r="S36" i="22"/>
  <c r="S35" i="22"/>
  <c r="S30" i="22"/>
  <c r="S29" i="22"/>
  <c r="K12" i="22"/>
  <c r="J12" i="22" s="1"/>
  <c r="K21" i="22"/>
  <c r="J21" i="22" s="1"/>
  <c r="K13" i="22"/>
  <c r="J13" i="22" s="1"/>
  <c r="K14" i="22"/>
  <c r="J14" i="22" s="1"/>
  <c r="Q13" i="22"/>
  <c r="U21" i="22"/>
  <c r="P21" i="22"/>
  <c r="AN21" i="22"/>
  <c r="W21" i="22" s="1"/>
  <c r="U20" i="22"/>
  <c r="P20" i="22"/>
  <c r="AN20" i="22"/>
  <c r="W20" i="22" s="1"/>
  <c r="U19" i="22"/>
  <c r="P19" i="22"/>
  <c r="AN19" i="22"/>
  <c r="W19" i="22" s="1"/>
  <c r="U18" i="22"/>
  <c r="P18" i="22"/>
  <c r="AN18" i="22"/>
  <c r="W18" i="22" s="1"/>
  <c r="U17" i="22"/>
  <c r="P17" i="22"/>
  <c r="AN17" i="22"/>
  <c r="W17" i="22" s="1"/>
  <c r="U16" i="22"/>
  <c r="P16" i="22"/>
  <c r="AN16" i="22"/>
  <c r="W16" i="22" s="1"/>
  <c r="U15" i="22"/>
  <c r="P15" i="22"/>
  <c r="AN15" i="22"/>
  <c r="W15" i="22" s="1"/>
  <c r="U14" i="22"/>
  <c r="P14" i="22"/>
  <c r="AN14" i="22"/>
  <c r="W14" i="22" s="1"/>
  <c r="P13" i="22"/>
  <c r="AN13" i="22"/>
  <c r="W13" i="22" s="1"/>
  <c r="U12" i="22"/>
  <c r="P12" i="22"/>
  <c r="AN12" i="22"/>
  <c r="W12" i="22" s="1"/>
  <c r="X11" i="22"/>
  <c r="W11" i="22"/>
  <c r="V11" i="22"/>
  <c r="U11" i="22"/>
  <c r="T11" i="22"/>
  <c r="S11" i="22"/>
  <c r="R11" i="22"/>
  <c r="Q11" i="22"/>
  <c r="P11" i="22"/>
  <c r="S5" i="22"/>
  <c r="S4" i="22"/>
  <c r="S3" i="22"/>
  <c r="S2" i="22"/>
  <c r="U2" i="22"/>
  <c r="R37" i="22"/>
  <c r="R42" i="22"/>
  <c r="R41" i="22"/>
  <c r="M39" i="22"/>
  <c r="M42" i="22"/>
  <c r="M38" i="22"/>
  <c r="M36" i="22"/>
  <c r="M41" i="22"/>
  <c r="M37" i="22"/>
  <c r="M35" i="22"/>
  <c r="M29" i="22"/>
  <c r="M40" i="22"/>
  <c r="M30" i="22"/>
  <c r="R20" i="22"/>
  <c r="R12" i="22"/>
  <c r="R13" i="22"/>
  <c r="R21" i="22"/>
  <c r="O17" i="22"/>
  <c r="O14" i="22"/>
  <c r="L12" i="22"/>
  <c r="O21" i="22"/>
  <c r="O13" i="22"/>
  <c r="L13" i="22"/>
  <c r="O19" i="22"/>
  <c r="O12" i="22"/>
  <c r="O16" i="22"/>
  <c r="O18" i="22"/>
  <c r="O15" i="22"/>
  <c r="O20" i="22"/>
  <c r="S41" i="22" l="1"/>
  <c r="S42" i="22"/>
  <c r="S37" i="22"/>
  <c r="Y30" i="22"/>
  <c r="Y40" i="22"/>
  <c r="Y29" i="22"/>
  <c r="Y35" i="22"/>
  <c r="Y37" i="22"/>
  <c r="Y41" i="22"/>
  <c r="Y36" i="22"/>
  <c r="Y38" i="22"/>
  <c r="Y42" i="22"/>
  <c r="Y39" i="22"/>
  <c r="S12" i="22"/>
  <c r="S13" i="22"/>
  <c r="Q14" i="22"/>
  <c r="T42" i="22"/>
  <c r="T41" i="22"/>
  <c r="T40" i="22"/>
  <c r="T39" i="22"/>
  <c r="T38" i="22"/>
  <c r="T37" i="22"/>
  <c r="T36" i="22"/>
  <c r="T35" i="22"/>
  <c r="T30" i="22"/>
  <c r="T29" i="22"/>
  <c r="R14" i="22"/>
  <c r="L14" i="22"/>
  <c r="M13" i="22"/>
  <c r="V42" i="22" l="1"/>
  <c r="X42" i="22" s="1"/>
  <c r="V41" i="22"/>
  <c r="X41" i="22" s="1"/>
  <c r="V40" i="22"/>
  <c r="AC40" i="22" s="1"/>
  <c r="V39" i="22"/>
  <c r="AC39" i="22" s="1"/>
  <c r="V38" i="22"/>
  <c r="X38" i="22" s="1"/>
  <c r="V37" i="22"/>
  <c r="AC37" i="22" s="1"/>
  <c r="V36" i="22"/>
  <c r="AB36" i="22" s="1"/>
  <c r="V35" i="22"/>
  <c r="X35" i="22" s="1"/>
  <c r="V30" i="22"/>
  <c r="X30" i="22" s="1"/>
  <c r="W31" i="22" s="1"/>
  <c r="V29" i="22"/>
  <c r="AB29" i="22" s="1"/>
  <c r="S14" i="22"/>
  <c r="Q15" i="22"/>
  <c r="Y13" i="22"/>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R15" i="22"/>
  <c r="M14" i="22"/>
  <c r="M12" i="22"/>
  <c r="L15" i="22"/>
  <c r="T13" i="22"/>
  <c r="S31" i="22" l="1"/>
  <c r="X37" i="22"/>
  <c r="AC42" i="22"/>
  <c r="AC41" i="22"/>
  <c r="AB41" i="22"/>
  <c r="AB42" i="22"/>
  <c r="AC38" i="22"/>
  <c r="X39" i="22"/>
  <c r="AB40" i="22"/>
  <c r="AB38" i="22"/>
  <c r="X40" i="22"/>
  <c r="AB39" i="22"/>
  <c r="AB37" i="22"/>
  <c r="AC36" i="22"/>
  <c r="AC35" i="22"/>
  <c r="AB35" i="22"/>
  <c r="X36" i="22"/>
  <c r="AC30" i="22"/>
  <c r="AB30" i="22"/>
  <c r="AC29" i="22"/>
  <c r="X29" i="22"/>
  <c r="Q16" i="22"/>
  <c r="Q17" i="22" s="1"/>
  <c r="Y14" i="22"/>
  <c r="S15" i="22"/>
  <c r="V13" i="22"/>
  <c r="Y12"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M31" i="22"/>
  <c r="R16" i="22"/>
  <c r="R17" i="22"/>
  <c r="L16" i="22"/>
  <c r="T12" i="22"/>
  <c r="T14" i="22"/>
  <c r="M15" i="22"/>
  <c r="Y31" i="22" l="1"/>
  <c r="S16" i="22"/>
  <c r="AC13" i="22"/>
  <c r="AB13" i="22"/>
  <c r="X13" i="22"/>
  <c r="Q18" i="22"/>
  <c r="Y15" i="22"/>
  <c r="V14" i="22"/>
  <c r="S17" i="22"/>
  <c r="V12" i="22"/>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T31" i="22"/>
  <c r="R18" i="22"/>
  <c r="L17" i="22"/>
  <c r="M16" i="22"/>
  <c r="T15" i="22"/>
  <c r="V31" i="22" l="1"/>
  <c r="AC31" i="22" s="1"/>
  <c r="AC12" i="22"/>
  <c r="AB12" i="22"/>
  <c r="AC14" i="22"/>
  <c r="AB14" i="22"/>
  <c r="X14" i="22"/>
  <c r="Q19" i="22"/>
  <c r="R19" i="22" s="1"/>
  <c r="X12" i="22"/>
  <c r="V15" i="22"/>
  <c r="Y16" i="22"/>
  <c r="R73" i="19"/>
  <c r="U72" i="19"/>
  <c r="U20" i="19"/>
  <c r="R21" i="19"/>
  <c r="U180" i="19"/>
  <c r="R181" i="19"/>
  <c r="U120" i="19"/>
  <c r="R121" i="19"/>
  <c r="R37" i="19"/>
  <c r="U36" i="19"/>
  <c r="U104" i="19"/>
  <c r="R105" i="19"/>
  <c r="U52" i="19"/>
  <c r="R53" i="19"/>
  <c r="U88" i="19"/>
  <c r="R89" i="19"/>
  <c r="R165" i="19"/>
  <c r="U164" i="19"/>
  <c r="U138" i="19"/>
  <c r="R139" i="19"/>
  <c r="U139" i="19" s="1"/>
  <c r="U146" i="19"/>
  <c r="R147" i="19"/>
  <c r="L18" i="22"/>
  <c r="M17" i="22"/>
  <c r="T16" i="22"/>
  <c r="X31" i="22" l="1"/>
  <c r="AB31" i="22"/>
  <c r="AC15" i="22"/>
  <c r="AB15" i="22"/>
  <c r="X15" i="22"/>
  <c r="S18" i="22"/>
  <c r="Y17" i="22"/>
  <c r="V16" i="22"/>
  <c r="S19" i="22"/>
  <c r="R122" i="19"/>
  <c r="U121" i="19"/>
  <c r="R90" i="19"/>
  <c r="U89" i="19"/>
  <c r="R22" i="19"/>
  <c r="U21" i="19"/>
  <c r="R54" i="19"/>
  <c r="U53" i="19"/>
  <c r="R182" i="19"/>
  <c r="U182" i="19" s="1"/>
  <c r="U181" i="19"/>
  <c r="R106" i="19"/>
  <c r="U105" i="19"/>
  <c r="U147" i="19"/>
  <c r="R148" i="19"/>
  <c r="R166" i="19"/>
  <c r="U165" i="19"/>
  <c r="R38" i="19"/>
  <c r="U37" i="19"/>
  <c r="R74" i="19"/>
  <c r="U73" i="19"/>
  <c r="M18" i="22"/>
  <c r="L19" i="22"/>
  <c r="T17" i="22"/>
  <c r="W32" i="22" l="1"/>
  <c r="AC16" i="22"/>
  <c r="AB16" i="22"/>
  <c r="X16" i="22"/>
  <c r="V17" i="22"/>
  <c r="Y18" i="22"/>
  <c r="S20" i="22"/>
  <c r="U106" i="19"/>
  <c r="R107" i="19"/>
  <c r="U54" i="19"/>
  <c r="R55" i="19"/>
  <c r="U90" i="19"/>
  <c r="R91" i="19"/>
  <c r="U74" i="19"/>
  <c r="R75" i="19"/>
  <c r="U166" i="19"/>
  <c r="R167" i="19"/>
  <c r="U148" i="19"/>
  <c r="R149" i="19"/>
  <c r="U38" i="19"/>
  <c r="R39" i="19"/>
  <c r="U22" i="19"/>
  <c r="R23" i="19"/>
  <c r="U122" i="19"/>
  <c r="R123" i="19"/>
  <c r="L20" i="22"/>
  <c r="T18" i="22"/>
  <c r="M19" i="22"/>
  <c r="S32" i="22" l="1"/>
  <c r="AC17" i="22"/>
  <c r="AB17" i="22"/>
  <c r="X17" i="22"/>
  <c r="V18" i="22"/>
  <c r="Y19" i="22"/>
  <c r="S21" i="22"/>
  <c r="U23" i="19"/>
  <c r="R24" i="19"/>
  <c r="R150" i="19"/>
  <c r="U149" i="19"/>
  <c r="U75" i="19"/>
  <c r="R76" i="19"/>
  <c r="U55" i="19"/>
  <c r="R56" i="19"/>
  <c r="U39" i="19"/>
  <c r="R40" i="19"/>
  <c r="U167" i="19"/>
  <c r="R168" i="19"/>
  <c r="U107" i="19"/>
  <c r="R108" i="19"/>
  <c r="U123" i="19"/>
  <c r="R124" i="19"/>
  <c r="U91" i="19"/>
  <c r="R92" i="19"/>
  <c r="L21" i="22"/>
  <c r="M20" i="22"/>
  <c r="M32" i="22"/>
  <c r="T19" i="22"/>
  <c r="Y32" i="22" l="1"/>
  <c r="AC18" i="22"/>
  <c r="AB18" i="22"/>
  <c r="X18" i="22"/>
  <c r="Y20" i="22"/>
  <c r="T20" i="22" s="1"/>
  <c r="V19" i="22"/>
  <c r="U168" i="19"/>
  <c r="R169" i="19"/>
  <c r="R57" i="19"/>
  <c r="U56" i="19"/>
  <c r="U150" i="19"/>
  <c r="R151" i="19"/>
  <c r="R125" i="19"/>
  <c r="U124" i="19"/>
  <c r="U108" i="19"/>
  <c r="R109" i="19"/>
  <c r="U40" i="19"/>
  <c r="R41" i="19"/>
  <c r="R25" i="19"/>
  <c r="U24" i="19"/>
  <c r="R93" i="19"/>
  <c r="U92" i="19"/>
  <c r="U76" i="19"/>
  <c r="R77" i="19"/>
  <c r="M21" i="22"/>
  <c r="T32" i="22"/>
  <c r="V32" i="22" l="1"/>
  <c r="AB32" i="22" s="1"/>
  <c r="AC19" i="22"/>
  <c r="AB19" i="22"/>
  <c r="X19" i="22"/>
  <c r="V20" i="22"/>
  <c r="Y21" i="22"/>
  <c r="T21" i="22" s="1"/>
  <c r="R42" i="19"/>
  <c r="U41" i="19"/>
  <c r="R94" i="19"/>
  <c r="U93" i="19"/>
  <c r="R126" i="19"/>
  <c r="U125" i="19"/>
  <c r="R58" i="19"/>
  <c r="U57" i="19"/>
  <c r="U151" i="19"/>
  <c r="R152" i="19"/>
  <c r="R78" i="19"/>
  <c r="U77" i="19"/>
  <c r="R110" i="19"/>
  <c r="U109" i="19"/>
  <c r="R170" i="19"/>
  <c r="U169" i="19"/>
  <c r="R26" i="19"/>
  <c r="U25" i="19"/>
  <c r="X32" i="22" l="1"/>
  <c r="W33" i="22" s="1"/>
  <c r="AC32" i="22"/>
  <c r="AC20" i="22"/>
  <c r="AB20" i="22"/>
  <c r="X20" i="22"/>
  <c r="V21" i="22"/>
  <c r="U170" i="19"/>
  <c r="R171" i="19"/>
  <c r="U78" i="19"/>
  <c r="R79" i="19"/>
  <c r="U79" i="19" s="1"/>
  <c r="U58" i="19"/>
  <c r="R59" i="19"/>
  <c r="U94" i="19"/>
  <c r="R95" i="19"/>
  <c r="R153" i="19"/>
  <c r="U152" i="19"/>
  <c r="U26" i="19"/>
  <c r="R27" i="19"/>
  <c r="U110" i="19"/>
  <c r="R111" i="19"/>
  <c r="U126" i="19"/>
  <c r="R127" i="19"/>
  <c r="U42" i="19"/>
  <c r="R43" i="19"/>
  <c r="M33" i="22"/>
  <c r="Y33" i="22" l="1"/>
  <c r="S33" i="22"/>
  <c r="AC21" i="22"/>
  <c r="AC11" i="22" s="1"/>
  <c r="AB21" i="22"/>
  <c r="AB11" i="22" s="1"/>
  <c r="X21" i="22"/>
  <c r="W22" i="22" s="1"/>
  <c r="U27" i="19"/>
  <c r="R28" i="19"/>
  <c r="U28" i="19" s="1"/>
  <c r="U95" i="19"/>
  <c r="R96" i="19"/>
  <c r="U96" i="19" s="1"/>
  <c r="U43" i="19"/>
  <c r="R44" i="19"/>
  <c r="U171" i="19"/>
  <c r="R172" i="19"/>
  <c r="U127" i="19"/>
  <c r="R128" i="19"/>
  <c r="U111" i="19"/>
  <c r="R112" i="19"/>
  <c r="U59" i="19"/>
  <c r="R60" i="19"/>
  <c r="R154" i="19"/>
  <c r="U153" i="19"/>
  <c r="T33" i="22"/>
  <c r="V33" i="22" l="1"/>
  <c r="R113" i="19"/>
  <c r="U113" i="19" s="1"/>
  <c r="U112" i="19"/>
  <c r="U154" i="19"/>
  <c r="R155" i="19"/>
  <c r="R61" i="19"/>
  <c r="U60" i="19"/>
  <c r="R45" i="19"/>
  <c r="U45" i="19" s="1"/>
  <c r="U44" i="19"/>
  <c r="R173" i="19"/>
  <c r="U172" i="19"/>
  <c r="R129" i="19"/>
  <c r="U128" i="19"/>
  <c r="AC33" i="22" l="1"/>
  <c r="AB33" i="22"/>
  <c r="X33" i="22"/>
  <c r="W34" i="22" s="1"/>
  <c r="U155" i="19"/>
  <c r="R156" i="19"/>
  <c r="R130" i="19"/>
  <c r="U129" i="19"/>
  <c r="R174" i="19"/>
  <c r="U173" i="19"/>
  <c r="R62" i="19"/>
  <c r="U62" i="19" s="1"/>
  <c r="U61" i="19"/>
  <c r="R34" i="22"/>
  <c r="S34" i="22" l="1"/>
  <c r="U130" i="19"/>
  <c r="R131" i="19"/>
  <c r="U156" i="19"/>
  <c r="R157" i="19"/>
  <c r="U157" i="19" s="1"/>
  <c r="U174" i="19"/>
  <c r="R175" i="19"/>
  <c r="U175" i="19" s="1"/>
  <c r="M34" i="22"/>
  <c r="Y34" i="22" l="1"/>
  <c r="U131" i="19"/>
  <c r="R132" i="19"/>
  <c r="U132" i="19" s="1"/>
  <c r="T34" i="22"/>
  <c r="V34" i="22" l="1"/>
  <c r="X34" i="22" s="1"/>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72" i="19" a="1"/>
  <c r="F90" i="19" a="1"/>
  <c r="F55" i="19" a="1"/>
  <c r="F169" i="19" a="1"/>
  <c r="F20" i="19" a="1"/>
  <c r="F99" i="19" a="1"/>
  <c r="F145" i="19" a="1"/>
  <c r="F129" i="19" a="1"/>
  <c r="F183" i="19" a="1"/>
  <c r="F88" i="19" a="1"/>
  <c r="F35" i="19" a="1"/>
  <c r="F91" i="19" a="1"/>
  <c r="F147" i="19" a="1"/>
  <c r="F160" i="19" a="1"/>
  <c r="F87" i="19" a="1"/>
  <c r="F126" i="19" a="1"/>
  <c r="F182" i="19" a="1"/>
  <c r="F178" i="19" a="1"/>
  <c r="F119" i="19" a="1"/>
  <c r="F86" i="19" a="1"/>
  <c r="F82" i="19" a="1"/>
  <c r="F148" i="19" a="1"/>
  <c r="F65" i="19" a="1"/>
  <c r="F127" i="19" a="1"/>
  <c r="F19" i="19" a="1"/>
  <c r="F103" i="19" a="1"/>
  <c r="F27" i="19" a="1"/>
  <c r="F31" i="19" a="1"/>
  <c r="F158" i="19" a="1"/>
  <c r="F16" i="19" a="1"/>
  <c r="F113" i="19" a="1"/>
  <c r="F89" i="19" a="1"/>
  <c r="F56" i="19" a="1"/>
  <c r="F59" i="19" a="1"/>
  <c r="F102" i="19" a="1"/>
  <c r="F175" i="19" a="1"/>
  <c r="F154" i="19" a="1"/>
  <c r="F135" i="19" a="1"/>
  <c r="F155" i="19" a="1"/>
  <c r="F181" i="19" a="1"/>
  <c r="F139" i="19" a="1"/>
  <c r="F67" i="19" a="1"/>
  <c r="F159" i="19" a="1"/>
  <c r="F48" i="19" a="1"/>
  <c r="F136" i="19" a="1"/>
  <c r="F163" i="19" a="1"/>
  <c r="F39" i="19" a="1"/>
  <c r="F79" i="19" a="1"/>
  <c r="F73" i="19" a="1"/>
  <c r="F49" i="19" a="1"/>
  <c r="F114" i="19" a="1"/>
  <c r="F100" i="19" a="1"/>
  <c r="F95" i="19" a="1"/>
  <c r="F85" i="19" a="1"/>
  <c r="F52" i="19" a="1"/>
  <c r="F112" i="19" a="1"/>
  <c r="F44" i="19" a="1"/>
  <c r="F54" i="19" a="1"/>
  <c r="F110" i="19" a="1"/>
  <c r="F174" i="19" a="1"/>
  <c r="F32" i="19" a="1"/>
  <c r="F46" i="19" a="1"/>
  <c r="F176" i="19" a="1"/>
  <c r="F50" i="19" a="1"/>
  <c r="F151" i="19" a="1"/>
  <c r="F161" i="19" a="1"/>
  <c r="F137" i="19" a="1"/>
  <c r="F165" i="19" a="1"/>
  <c r="F33" i="19" a="1"/>
  <c r="F167" i="19" a="1"/>
  <c r="F171" i="19" a="1"/>
  <c r="F105" i="19" a="1"/>
  <c r="F45" i="19" a="1"/>
  <c r="F28" i="19" a="1"/>
  <c r="F93" i="19" a="1"/>
  <c r="F164" i="19" a="1"/>
  <c r="F81" i="19" a="1"/>
  <c r="F128" i="19" a="1"/>
  <c r="F132" i="19" a="1"/>
  <c r="F149" i="19" a="1"/>
  <c r="F142" i="19" a="1"/>
  <c r="F173" i="19" a="1"/>
  <c r="F15" i="19" a="1"/>
  <c r="F109" i="19" a="1"/>
  <c r="F107" i="19" a="1"/>
  <c r="F130" i="19" a="1"/>
  <c r="F92" i="19" a="1"/>
  <c r="F180" i="19" a="1"/>
  <c r="F29" i="19" a="1"/>
  <c r="F166" i="19" a="1"/>
  <c r="F152" i="19" a="1"/>
  <c r="F118" i="19" a="1"/>
  <c r="F131" i="19" a="1"/>
  <c r="F43" i="19" a="1"/>
  <c r="F98" i="19" a="1"/>
  <c r="F146" i="19" a="1"/>
  <c r="F83" i="19" a="1"/>
  <c r="F63" i="19" a="1"/>
  <c r="F66" i="19" a="1"/>
  <c r="F121" i="19" a="1"/>
  <c r="F123" i="19" a="1"/>
  <c r="F18" i="19" a="1"/>
  <c r="F53" i="19" a="1"/>
  <c r="F172" i="19" a="1"/>
  <c r="F58" i="19" a="1"/>
  <c r="F96" i="19" a="1"/>
  <c r="F117" i="19" a="1"/>
  <c r="F101" i="19" a="1"/>
  <c r="F14" i="19" a="1"/>
  <c r="F76" i="19" a="1"/>
  <c r="F68" i="19" a="1"/>
  <c r="F150" i="19" a="1"/>
  <c r="F47" i="19" a="1"/>
  <c r="F61" i="19" a="1"/>
  <c r="F140" i="19" a="1"/>
  <c r="F17" i="19" a="1"/>
  <c r="F157" i="19" a="1"/>
  <c r="F37" i="19" a="1"/>
  <c r="F162" i="19" a="1"/>
  <c r="F108" i="19" a="1"/>
  <c r="F62" i="19" a="1"/>
  <c r="F134" i="19" a="1"/>
  <c r="F122" i="19" a="1"/>
  <c r="F38" i="19" a="1"/>
  <c r="F22" i="19" a="1"/>
  <c r="F74" i="19" a="1"/>
  <c r="F36" i="19" a="1"/>
  <c r="F143" i="19" a="1"/>
  <c r="F156" i="19" a="1"/>
  <c r="F97" i="19" a="1"/>
  <c r="F26" i="19" a="1"/>
  <c r="F70" i="19" a="1"/>
  <c r="F141" i="19" a="1"/>
  <c r="F24" i="19" a="1"/>
  <c r="F179" i="19" a="1"/>
  <c r="F71" i="19" a="1"/>
  <c r="F21" i="19" a="1"/>
  <c r="F42" i="19" a="1"/>
  <c r="F75" i="19" a="1"/>
  <c r="F40" i="19" a="1"/>
  <c r="F69" i="19" a="1"/>
  <c r="F60" i="19" a="1"/>
  <c r="F94" i="19" a="1"/>
  <c r="F80" i="19" a="1"/>
  <c r="F23" i="19" a="1"/>
  <c r="F51" i="19" a="1"/>
  <c r="F84" i="19" a="1"/>
  <c r="F120" i="19" a="1"/>
  <c r="F30" i="19" a="1"/>
  <c r="F115" i="19" a="1"/>
  <c r="F111" i="19" a="1"/>
  <c r="F41" i="19" a="1"/>
  <c r="F125" i="19" a="1"/>
  <c r="F177" i="19" a="1"/>
  <c r="F78" i="19" a="1"/>
  <c r="F104" i="19" a="1"/>
  <c r="F116" i="19" a="1"/>
  <c r="F64" i="19" a="1"/>
  <c r="F168" i="19" a="1"/>
  <c r="F25" i="19" a="1"/>
  <c r="F153" i="19" a="1"/>
  <c r="F57" i="19" a="1"/>
  <c r="F138" i="19" a="1"/>
  <c r="F144" i="19" a="1"/>
  <c r="F124" i="19" a="1"/>
  <c r="F133" i="19" a="1"/>
  <c r="F77" i="19" a="1"/>
  <c r="F106" i="19" a="1"/>
  <c r="F34" i="19" a="1"/>
  <c r="F170" i="19" a="1"/>
  <c r="AB34" i="22" l="1"/>
  <c r="AB28" i="22" s="1"/>
  <c r="AC34" i="22"/>
  <c r="AC28" i="22" s="1"/>
  <c r="F99" i="19"/>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M70" i="21" a="1"/>
  <c r="L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72" i="21" a="1"/>
  <c r="M362" i="21" a="1"/>
  <c r="L360"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M383" i="21" a="1"/>
  <c r="L47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20" i="21" a="1"/>
  <c r="M474"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76" i="21" a="1"/>
  <c r="M422"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25" i="21" a="1"/>
  <c r="M479"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2" authorId="0" shapeId="0" xr:uid="{1E145019-71A3-4334-84CA-032BCA50A8B5}">
      <text>
        <r>
          <rPr>
            <b/>
            <sz val="9"/>
            <color indexed="81"/>
            <rFont val="Tahoma"/>
            <family val="2"/>
          </rPr>
          <t>Error 1004 (Unable to get the Text property of the Range class)_x000D_
R12:caller</t>
        </r>
      </text>
    </comment>
    <comment ref="T12" authorId="0" shapeId="0" xr:uid="{2AF4C38D-DECE-483D-B872-0B5F90A03355}">
      <text>
        <r>
          <rPr>
            <b/>
            <sz val="9"/>
            <color indexed="81"/>
            <rFont val="Tahoma"/>
            <family val="2"/>
          </rPr>
          <t xml:space="preserve">3.55555555555556E-02:byte/s_x000D_
0.284444444444444:bit/s_x000D_
AR158:Rate_Cell_x000D_
T12:caller_x000D_
</t>
        </r>
      </text>
    </comment>
    <comment ref="R13" authorId="0" shapeId="0" xr:uid="{C68A7BE4-12F2-4BBF-B998-3A1BC55D25EF}">
      <text>
        <r>
          <rPr>
            <b/>
            <sz val="9"/>
            <color indexed="81"/>
            <rFont val="Tahoma"/>
            <family val="2"/>
          </rPr>
          <t>Error 1004 (Unable to get the Text property of the Range class)_x000D_
R13:caller</t>
        </r>
      </text>
    </comment>
    <comment ref="T13" authorId="0" shapeId="0" xr:uid="{10A2A169-0DBD-4EE8-A598-12A2BA3CA494}">
      <text>
        <r>
          <rPr>
            <b/>
            <sz val="9"/>
            <color indexed="81"/>
            <rFont val="Tahoma"/>
            <family val="2"/>
          </rPr>
          <t xml:space="preserve">0.690277777777778:byte/s_x000D_
5.52222222222222:bit/s_x000D_
AC158:Rate_Cell_x000D_
T13:caller_x000D_
</t>
        </r>
      </text>
    </comment>
    <comment ref="R14" authorId="0" shapeId="0" xr:uid="{BCB9C59C-3FA8-432E-8F4C-16C9418DFD87}">
      <text>
        <r>
          <rPr>
            <b/>
            <sz val="9"/>
            <color indexed="81"/>
            <rFont val="Tahoma"/>
            <family val="2"/>
          </rPr>
          <t>Error 1004 (Unable to get the Text property of the Range class)_x000D_
R14:caller</t>
        </r>
      </text>
    </comment>
    <comment ref="T14" authorId="0" shapeId="0" xr:uid="{4F80B08C-7BF1-4A2F-8E96-FDA199057BAE}">
      <text>
        <r>
          <rPr>
            <b/>
            <sz val="9"/>
            <color indexed="81"/>
            <rFont val="Tahoma"/>
            <family val="2"/>
          </rPr>
          <t xml:space="preserve">5.05015625:byte/s_x000D_
40.40125:bit/s_x000D_
AD158:Rate_Cell_x000D_
T14:caller_x000D_
</t>
        </r>
      </text>
    </comment>
    <comment ref="R15" authorId="0" shapeId="0" xr:uid="{F50FA970-5E05-4DCD-8F92-47EF8671CBC4}">
      <text>
        <r>
          <rPr>
            <sz val="9"/>
            <color indexed="81"/>
            <rFont val="Tahoma"/>
            <family val="2"/>
          </rPr>
          <t>Error 1004 (Unable to get the Text property of the Range class)_x000D_
R15:caller</t>
        </r>
      </text>
    </comment>
    <comment ref="T15" authorId="0" shapeId="0" xr:uid="{0160A263-FA17-4731-B11E-72D19D9787B3}">
      <text>
        <r>
          <rPr>
            <b/>
            <sz val="9"/>
            <color indexed="81"/>
            <rFont val="Tahoma"/>
            <family val="2"/>
          </rPr>
          <t xml:space="preserve">6.90402777777778:byte/s_x000D_
55.2322222222222:bit/s_x000D_
BG158:Rate_Cell_x000D_
T15:caller_x000D_
</t>
        </r>
      </text>
    </comment>
    <comment ref="R29" authorId="0" shapeId="0" xr:uid="{A60C0724-D248-4553-BC5A-8AB051A089F9}">
      <text>
        <r>
          <rPr>
            <sz val="9"/>
            <color indexed="81"/>
            <rFont val="Tahoma"/>
            <family val="2"/>
          </rPr>
          <t xml:space="preserve">0.725833333333333:byte/s_x000D_
5.80666666666667:bit/s_x000D_
AS158:Rate_Cell_x000D_
R29:caller_x000D_
</t>
        </r>
      </text>
    </comment>
    <comment ref="T29" authorId="0" shapeId="0" xr:uid="{58A1785C-B372-4F46-86D3-DB3D0B7EE2BE}">
      <text>
        <r>
          <rPr>
            <sz val="9"/>
            <color indexed="81"/>
            <rFont val="Tahoma"/>
            <family val="2"/>
          </rPr>
          <t xml:space="preserve">0.725833333333333:byte/s_x000D_
5.80666666666667:bit/s_x000D_
AS158:Rate_Cell_x000D_
T29:caller_x000D_
</t>
        </r>
      </text>
    </comment>
    <comment ref="R30" authorId="0" shapeId="0" xr:uid="{68EC35F4-13F6-4DF5-825B-1D49E2701DB2}">
      <text>
        <r>
          <rPr>
            <sz val="9"/>
            <color indexed="81"/>
            <rFont val="Tahoma"/>
            <family val="2"/>
          </rPr>
          <t xml:space="preserve">5.74043402777778:byte/s_x000D_
45.9234722222222:bit/s_x000D_
AE158:Rate_Cell_x000D_
R30:caller_x000D_
</t>
        </r>
      </text>
    </comment>
    <comment ref="T30" authorId="0" shapeId="0" xr:uid="{5519AD94-E167-452A-9D1C-70C2B2BB9E98}">
      <text>
        <r>
          <rPr>
            <sz val="9"/>
            <color indexed="81"/>
            <rFont val="Tahoma"/>
            <family val="2"/>
          </rPr>
          <t xml:space="preserve">5.74043402777778:byte/s_x000D_
45.9234722222222:bit/s_x000D_
AE158:Rate_Cell_x000D_
T30:caller_x000D_
</t>
        </r>
      </text>
    </comment>
    <comment ref="R31" authorId="0" shapeId="0" xr:uid="{DFE9D45A-7C15-43BC-BDD3-09825E332B4D}">
      <text>
        <r>
          <rPr>
            <sz val="9"/>
            <color indexed="81"/>
            <rFont val="Tahoma"/>
            <family val="2"/>
          </rPr>
          <t xml:space="preserve">5.74043402777778:byte/s_x000D_
45.9234722222222:bit/s_x000D_
AE158:Rate_Cell_x000D_
R31:caller_x000D_
</t>
        </r>
      </text>
    </comment>
    <comment ref="T31" authorId="0" shapeId="0" xr:uid="{64DE1C00-1434-4F16-854B-8E95F951ED53}">
      <text>
        <r>
          <rPr>
            <sz val="9"/>
            <color indexed="81"/>
            <rFont val="Tahoma"/>
            <family val="2"/>
          </rPr>
          <t xml:space="preserve">5.74043402777778:byte/s_x000D_
45.9234722222222:bit/s_x000D_
AE158:Rate_Cell_x000D_
T31:caller_x000D_
</t>
        </r>
      </text>
    </comment>
    <comment ref="R32" authorId="0" shapeId="0" xr:uid="{24F1A034-3395-4E19-84EA-016E3868A684}">
      <text>
        <r>
          <rPr>
            <sz val="9"/>
            <color indexed="81"/>
            <rFont val="Tahoma"/>
            <family val="2"/>
          </rPr>
          <t xml:space="preserve">5.74043402777778:byte/s_x000D_
45.9234722222222:bit/s_x000D_
AE158:Rate_Cell_x000D_
R32:caller_x000D_
</t>
        </r>
      </text>
    </comment>
    <comment ref="T32" authorId="0" shapeId="0" xr:uid="{62348252-B019-4ED2-AB1C-080E9CE7A448}">
      <text>
        <r>
          <rPr>
            <sz val="9"/>
            <color indexed="81"/>
            <rFont val="Tahoma"/>
            <family val="2"/>
          </rPr>
          <t xml:space="preserve">5.74043402777778:byte/s_x000D_
45.9234722222222:bit/s_x000D_
AE158:Rate_Cell_x000D_
T32:caller_x000D_
</t>
        </r>
      </text>
    </comment>
    <comment ref="R33" authorId="0" shapeId="0" xr:uid="{3271C3CF-60D4-4047-BEA2-FABFD0AB9210}">
      <text>
        <r>
          <rPr>
            <sz val="9"/>
            <color indexed="81"/>
            <rFont val="Tahoma"/>
            <family val="2"/>
          </rPr>
          <t xml:space="preserve">5.74043402777778:byte/s_x000D_
45.9234722222222:bit/s_x000D_
AE158:Rate_Cell_x000D_
R32:caller_x000D_
</t>
        </r>
      </text>
    </comment>
    <comment ref="T33" authorId="0" shapeId="0" xr:uid="{DC140491-7199-4DEC-BCB3-5B49D1B605FE}">
      <text>
        <r>
          <rPr>
            <sz val="9"/>
            <color indexed="81"/>
            <rFont val="Tahoma"/>
            <family val="2"/>
          </rPr>
          <t xml:space="preserve">5.74043402777778:byte/s_x000D_
45.9234722222222:bit/s_x000D_
AE158:Rate_Cell_x000D_
T33:caller_x000D_
</t>
        </r>
      </text>
    </comment>
    <comment ref="R34" authorId="0" shapeId="0" xr:uid="{5C22E47F-DBD6-443A-ABCC-DDF17E40F175}">
      <text>
        <r>
          <rPr>
            <sz val="9"/>
            <color indexed="81"/>
            <rFont val="Tahoma"/>
            <family val="2"/>
          </rPr>
          <t xml:space="preserve">5.74043402777778:byte/s_x000D_
45.9234722222222:bit/s_x000D_
AE158:Rate_Cell_x000D_
R34:caller_x000D_
</t>
        </r>
      </text>
    </comment>
    <comment ref="T34" authorId="0" shapeId="0" xr:uid="{38B54D6B-3255-461D-A467-50F21DF6341F}">
      <text>
        <r>
          <rPr>
            <sz val="9"/>
            <color indexed="81"/>
            <rFont val="Tahoma"/>
            <family val="2"/>
          </rPr>
          <t xml:space="preserve">5.74043402777778:byte/s_x000D_
45.9234722222222:bit/s_x000D_
AE158:Rate_Cell_x000D_
T34:caller_x000D_
</t>
        </r>
      </text>
    </comment>
    <comment ref="R35" authorId="0" shapeId="0" xr:uid="{D5721EC6-643B-4EA8-814B-AED3B475275F}">
      <text>
        <r>
          <rPr>
            <sz val="9"/>
            <color indexed="81"/>
            <rFont val="Tahoma"/>
            <family val="2"/>
          </rPr>
          <t xml:space="preserve">5.62741319444445:byte/s_x000D_
45.0193055555556:bit/s_x000D_
AH158:Rate_Cell_x000D_
R35:caller_x000D_
</t>
        </r>
      </text>
    </comment>
    <comment ref="T35" authorId="0" shapeId="0" xr:uid="{BBAE4C85-263E-4F2B-81AD-07379FC2146A}">
      <text>
        <r>
          <rPr>
            <sz val="9"/>
            <color indexed="81"/>
            <rFont val="Tahoma"/>
            <family val="2"/>
          </rPr>
          <t xml:space="preserve">5.62741319444445:byte/s_x000D_
45.0193055555556:bit/s_x000D_
AH158:Rate_Cell_x000D_
T35:caller_x000D_
</t>
        </r>
      </text>
    </comment>
    <comment ref="R36" authorId="0" shapeId="0" xr:uid="{AF0814ED-1043-42F7-A6DD-675962DE9827}">
      <text>
        <r>
          <rPr>
            <sz val="9"/>
            <color indexed="81"/>
            <rFont val="Tahoma"/>
            <family val="2"/>
          </rPr>
          <t xml:space="preserve">1.12803819444444:byte/s_x000D_
9.02430555555556:bit/s_x000D_
AN158:Rate_Cell_x000D_
R36:caller_x000D_
</t>
        </r>
      </text>
    </comment>
    <comment ref="T36" authorId="0" shapeId="0" xr:uid="{ED038572-DA66-42B1-A57B-F45911EB7056}">
      <text>
        <r>
          <rPr>
            <sz val="9"/>
            <color indexed="81"/>
            <rFont val="Tahoma"/>
            <family val="2"/>
          </rPr>
          <t xml:space="preserve">1.12803819444444:byte/s_x000D_
9.02430555555556:bit/s_x000D_
AN158:Rate_Cell_x000D_
T36:caller_x000D_
</t>
        </r>
      </text>
    </comment>
    <comment ref="R38" authorId="0" shapeId="0" xr:uid="{0082ED0E-538C-4843-9F41-60AE761117AB}">
      <text>
        <r>
          <rPr>
            <sz val="9"/>
            <color indexed="81"/>
            <rFont val="Tahoma"/>
            <family val="2"/>
          </rPr>
          <t xml:space="preserve">5.77598958333333:byte/s_x000D_
46.2079166666667:bit/s_x000D_
AU158:Rate_Cell_x000D_
R38:caller_x000D_
</t>
        </r>
      </text>
    </comment>
    <comment ref="T38" authorId="0" shapeId="0" xr:uid="{BA87F52B-4FD3-4C55-ADBB-49AE7639219E}">
      <text>
        <r>
          <rPr>
            <sz val="9"/>
            <color indexed="81"/>
            <rFont val="Tahoma"/>
            <family val="2"/>
          </rPr>
          <t xml:space="preserve">5.77598958333333:byte/s_x000D_
46.2079166666667:bit/s_x000D_
AU158:Rate_Cell_x000D_
T38:caller_x000D_
</t>
        </r>
      </text>
    </comment>
    <comment ref="R39" authorId="0" shapeId="0" xr:uid="{56C9B25A-4CC1-4A36-86AD-01FD079F7723}">
      <text>
        <r>
          <rPr>
            <sz val="9"/>
            <color indexed="81"/>
            <rFont val="Tahoma"/>
            <family val="2"/>
          </rPr>
          <t xml:space="preserve">6.31769097222222:byte/s_x000D_
50.5415277777778:bit/s_x000D_
AI158:Rate_Cell_x000D_
R39:caller_x000D_
</t>
        </r>
      </text>
    </comment>
    <comment ref="T39" authorId="0" shapeId="0" xr:uid="{70E0553C-1135-4A39-B783-D22600848C41}">
      <text>
        <r>
          <rPr>
            <sz val="9"/>
            <color indexed="81"/>
            <rFont val="Tahoma"/>
            <family val="2"/>
          </rPr>
          <t xml:space="preserve">6.31769097222222:byte/s_x000D_
50.5415277777778:bit/s_x000D_
AI158:Rate_Cell_x000D_
T39:caller_x000D_
</t>
        </r>
      </text>
    </comment>
    <comment ref="R40" authorId="0" shapeId="0" xr:uid="{15AE910D-F219-4442-9500-00A0173656D7}">
      <text>
        <r>
          <rPr>
            <sz val="9"/>
            <color indexed="81"/>
            <rFont val="Tahoma"/>
            <family val="2"/>
          </rPr>
          <t xml:space="preserve">6.17819444444445:byte/s_x000D_
49.4255555555556:bit/s_x000D_
AP158:Rate_Cell_x000D_
R40:caller_x000D_
</t>
        </r>
      </text>
    </comment>
    <comment ref="T40" authorId="0" shapeId="0" xr:uid="{1F06A0AA-F4E2-4458-8BFC-DD50A9986191}">
      <text>
        <r>
          <rPr>
            <sz val="9"/>
            <color indexed="81"/>
            <rFont val="Tahoma"/>
            <family val="2"/>
          </rPr>
          <t xml:space="preserve">6.17819444444445:byte/s_x000D_
49.4255555555556:bit/s_x000D_
AP158:Rate_Cell_x000D_
T40:caller_x000D_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<sst xmlns="http://schemas.openxmlformats.org/spreadsheetml/2006/main" count="9838" uniqueCount="5854">
  <si>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</si>
  <si>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</si>
  <si>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</si>
  <si>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</si>
  <si>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</si>
  <si>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</si>
  <si>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</si>
  <si>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</si>
  <si>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</si>
  <si>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</si>
  <si>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</si>
  <si>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</si>
  <si>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</si>
  <si>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</si>
  <si>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</si>
  <si>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</si>
  <si>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</si>
  <si>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</si>
  <si>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</si>
  <si>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</si>
  <si>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</si>
  <si>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</si>
  <si>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</si>
  <si>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</si>
  <si>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</si>
  <si>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</si>
  <si>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</si>
  <si>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</si>
  <si>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</si>
  <si>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</si>
  <si>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</si>
  <si>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</si>
  <si>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</si>
  <si>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</si>
  <si>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</si>
  <si>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</si>
  <si>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</si>
  <si>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</si>
  <si>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</si>
  <si>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</si>
  <si>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</si>
  <si>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</si>
  <si>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</si>
  <si>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</si>
  <si>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</si>
  <si>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</si>
  <si>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</si>
  <si>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</si>
  <si>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</si>
  <si>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</si>
  <si>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</si>
  <si>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</si>
  <si>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</si>
  <si>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</si>
  <si>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</si>
  <si>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</si>
  <si>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</si>
  <si>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</si>
  <si>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</si>
  <si>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</si>
  <si>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</si>
  <si>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</si>
  <si>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</si>
  <si>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</si>
  <si>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</si>
  <si>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</si>
  <si>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</si>
  <si>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</si>
  <si>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</si>
  <si>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</si>
  <si>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</si>
  <si>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</si>
  <si>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</si>
  <si>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</si>
  <si>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</si>
  <si>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</si>
  <si>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</si>
  <si>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</si>
  <si>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</si>
  <si>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</si>
  <si>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</si>
  <si>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</si>
  <si>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</si>
  <si>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</si>
  <si>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</si>
  <si>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</si>
  <si>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</si>
  <si>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</si>
  <si>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</si>
  <si>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</si>
  <si>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</si>
  <si>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</si>
  <si>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</si>
  <si>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</si>
  <si>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</si>
  <si>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</si>
  <si>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</si>
  <si>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</si>
  <si>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</si>
  <si>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</si>
  <si>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</si>
  <si>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</si>
  <si>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</si>
  <si>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</si>
  <si>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</si>
  <si>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</si>
  <si>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</si>
  <si>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</si>
  <si>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</si>
  <si>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</si>
  <si>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</si>
  <si>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</si>
  <si>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</si>
  <si>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</si>
  <si>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</si>
  <si>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</si>
  <si>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</si>
  <si>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</si>
  <si>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</si>
  <si>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</si>
  <si>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</si>
  <si>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</si>
  <si>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</si>
  <si>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</si>
  <si>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</si>
  <si>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</si>
  <si>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</si>
  <si>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</si>
  <si>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</si>
  <si>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</si>
  <si>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</si>
  <si>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</si>
  <si>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</si>
  <si>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</si>
  <si>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</si>
  <si>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</si>
  <si>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</si>
  <si>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</si>
  <si>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</si>
  <si>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</si>
  <si>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</si>
  <si>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</si>
  <si>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</si>
  <si>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</si>
  <si>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</si>
  <si>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</si>
  <si>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</si>
  <si>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</si>
  <si>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</si>
  <si>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</si>
  <si>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</si>
  <si>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</si>
  <si>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</si>
  <si>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</si>
  <si>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</si>
  <si>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</si>
  <si>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</si>
  <si>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</si>
  <si>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</si>
  <si>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</si>
  <si>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</si>
  <si>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</si>
  <si>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</si>
  <si>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</si>
  <si>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</si>
  <si>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</si>
  <si>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</si>
  <si>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</si>
  <si>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</si>
  <si>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</si>
  <si>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</si>
  <si>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</si>
  <si>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</si>
  <si>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</si>
  <si>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</si>
  <si>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</si>
  <si>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</si>
  <si>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</si>
  <si>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</si>
  <si>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</si>
  <si>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</si>
  <si>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</si>
  <si>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</si>
  <si>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</si>
  <si>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</si>
  <si>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</si>
  <si>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</si>
  <si>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</si>
  <si>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</si>
  <si>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</si>
  <si>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</si>
  <si>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</si>
  <si>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</si>
  <si>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</si>
  <si>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</si>
  <si>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</si>
  <si>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</si>
  <si>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</si>
  <si>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</si>
  <si>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</si>
  <si>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</si>
  <si>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</si>
  <si>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</si>
  <si>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</si>
  <si>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</si>
  <si>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</si>
  <si>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</si>
  <si>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</si>
  <si>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</si>
  <si>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</si>
  <si>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</si>
  <si>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</si>
  <si>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</si>
  <si>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</si>
  <si>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</si>
  <si>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</si>
  <si>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</si>
  <si>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</si>
  <si>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</si>
  <si>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</si>
  <si>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</si>
  <si>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</si>
  <si>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</si>
  <si>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</si>
  <si>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</si>
  <si>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</si>
  <si>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</si>
  <si>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</si>
  <si>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</si>
  <si>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</si>
  <si>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</si>
  <si>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</si>
  <si>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</si>
  <si>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</si>
  <si>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</si>
  <si>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</si>
  <si>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</si>
  <si>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</si>
  <si>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</si>
  <si>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</si>
  <si>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</si>
  <si>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</si>
  <si>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</si>
  <si>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</si>
  <si>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</si>
  <si>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</si>
  <si>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</si>
  <si>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</si>
  <si>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</si>
  <si>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</si>
  <si>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</si>
  <si>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</si>
  <si>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</si>
  <si>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</si>
  <si>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</si>
  <si>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</si>
  <si>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</si>
  <si>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</si>
  <si>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</si>
  <si>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</si>
  <si>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</si>
  <si>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</si>
  <si>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</si>
  <si>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</si>
  <si>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</si>
  <si>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</si>
  <si>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</si>
  <si>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</si>
  <si>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</si>
  <si>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</si>
  <si>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</si>
  <si>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</si>
  <si>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</si>
  <si>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</si>
  <si>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</si>
  <si>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</si>
  <si>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</si>
  <si>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</si>
  <si>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</si>
  <si>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</si>
  <si>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</si>
  <si>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</si>
  <si>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</si>
  <si>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</si>
  <si>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</si>
  <si>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</si>
  <si>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</si>
  <si>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</si>
  <si>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</si>
  <si>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</si>
  <si>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</si>
  <si>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</si>
  <si>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</si>
  <si>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</si>
  <si>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</si>
  <si>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</si>
  <si>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</si>
  <si>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</si>
  <si>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</si>
  <si>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</si>
  <si>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</si>
  <si>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</si>
  <si>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</si>
  <si>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</si>
  <si>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</si>
  <si>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</si>
  <si>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</si>
  <si>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</si>
  <si>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</si>
  <si>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</si>
  <si>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</si>
  <si>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</si>
  <si>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</si>
  <si>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</si>
  <si>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</si>
  <si>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</si>
  <si>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</si>
  <si>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</si>
  <si>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</si>
  <si>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</si>
  <si>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</si>
  <si>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</si>
  <si>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</si>
  <si>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</si>
  <si>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</si>
  <si>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</si>
  <si>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</si>
  <si>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</si>
  <si>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</si>
  <si>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</si>
  <si>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</si>
  <si>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</si>
  <si>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</si>
  <si>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</si>
  <si>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</si>
  <si>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</si>
  <si>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</si>
  <si>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</si>
  <si>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</si>
  <si>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</si>
  <si>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</si>
  <si>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</si>
  <si>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</si>
  <si>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</si>
  <si>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</si>
  <si>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</si>
  <si>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</si>
  <si>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</si>
  <si>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</si>
  <si>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</si>
  <si>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</si>
  <si>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</si>
  <si>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</si>
  <si>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</si>
  <si>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</si>
  <si>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</si>
  <si>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</si>
  <si>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</si>
  <si>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</si>
  <si>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</si>
  <si>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</si>
  <si>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</si>
  <si>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</si>
  <si>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</si>
  <si>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</si>
  <si>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</si>
  <si>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</si>
  <si>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</si>
  <si>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</si>
  <si>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</si>
  <si>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</si>
  <si>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</si>
  <si>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</si>
  <si>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</si>
  <si>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</si>
  <si>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</si>
  <si>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</si>
  <si>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</si>
  <si>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</si>
  <si>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</si>
  <si>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</si>
  <si>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</si>
  <si>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</si>
  <si>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</si>
  <si>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</si>
  <si>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</si>
  <si>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</si>
  <si>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</si>
  <si>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</si>
  <si>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</si>
  <si>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</si>
  <si>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</si>
  <si>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</si>
  <si>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</si>
  <si>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</si>
  <si>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</si>
  <si>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</si>
  <si>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</si>
  <si>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</si>
  <si>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</si>
  <si>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</si>
  <si>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</si>
  <si>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</si>
  <si>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</si>
  <si>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</si>
  <si>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</si>
  <si>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</si>
  <si>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</si>
  <si>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</si>
  <si>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</si>
  <si>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</si>
  <si>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</si>
  <si>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</si>
  <si>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</si>
  <si>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</si>
  <si>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</si>
  <si>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</si>
  <si>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</si>
  <si>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</si>
  <si>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</si>
  <si>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</si>
  <si>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</si>
  <si>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</si>
  <si>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</si>
  <si>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</si>
  <si>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</si>
  <si>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</si>
  <si>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</si>
  <si>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</si>
  <si>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</si>
  <si>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</si>
  <si>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</si>
  <si>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</si>
  <si>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</si>
  <si>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</si>
  <si>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</si>
  <si>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</si>
  <si>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</si>
  <si>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</si>
  <si>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</si>
  <si>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</si>
  <si>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</si>
  <si>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</si>
  <si>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</si>
  <si>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</si>
  <si>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</si>
  <si>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</si>
  <si>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</si>
  <si>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</si>
  <si>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</si>
  <si>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</si>
  <si>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</si>
  <si>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</si>
  <si>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</si>
  <si>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</si>
  <si>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</si>
  <si>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</si>
  <si>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</si>
  <si>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</si>
  <si>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</si>
  <si>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</si>
  <si>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</si>
  <si>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</si>
  <si>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</si>
  <si>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</si>
  <si>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</si>
  <si>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</si>
  <si>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</si>
  <si>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</si>
  <si>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</si>
  <si>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</si>
  <si>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</si>
  <si>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</si>
  <si>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</si>
  <si>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</si>
  <si>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</si>
  <si>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</si>
  <si>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</si>
  <si>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</si>
  <si>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</si>
  <si>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</si>
  <si>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</si>
  <si>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</si>
  <si>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</si>
  <si>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</si>
  <si>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</si>
  <si>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</si>
  <si>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</si>
  <si>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</si>
  <si>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</si>
  <si>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</si>
  <si>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</si>
  <si>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</si>
  <si>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</si>
  <si>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</si>
  <si>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</si>
  <si>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</si>
  <si>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</si>
  <si>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</si>
  <si>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</si>
  <si>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</si>
  <si>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</si>
  <si>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</si>
  <si>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</si>
  <si>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</si>
  <si>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</si>
  <si>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</si>
  <si>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</si>
  <si>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</si>
  <si>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</si>
  <si>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</si>
  <si>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</si>
  <si>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</si>
  <si>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</si>
  <si>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</si>
  <si>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</si>
  <si>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</si>
  <si>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</si>
  <si>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</si>
  <si>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</si>
  <si>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</si>
  <si>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</si>
  <si>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</si>
  <si>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</si>
  <si>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</si>
  <si>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</si>
  <si>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</si>
  <si>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</si>
  <si>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</si>
  <si>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</si>
  <si>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</si>
  <si>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</si>
  <si>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</si>
  <si>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</si>
  <si>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</si>
  <si>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</si>
  <si>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</si>
  <si>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</si>
  <si>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</si>
  <si>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</si>
  <si>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</si>
  <si>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</si>
  <si>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</si>
  <si>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</si>
  <si>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</si>
  <si>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</si>
  <si>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</si>
  <si>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</si>
  <si>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</si>
  <si>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</si>
  <si>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</si>
  <si>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</si>
  <si>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</si>
  <si>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</si>
  <si>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</si>
  <si>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</si>
  <si>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</si>
  <si>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</si>
  <si>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</si>
  <si>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</si>
  <si>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</si>
  <si>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</si>
  <si>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</si>
  <si>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</si>
  <si>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</si>
  <si>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</si>
  <si>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</si>
  <si>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</si>
  <si>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</si>
  <si>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</si>
  <si>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</si>
  <si>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</si>
  <si>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</si>
  <si>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</si>
  <si>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</si>
  <si>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</si>
  <si>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</si>
  <si>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</si>
  <si>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</si>
  <si>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</si>
  <si>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</si>
  <si>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</si>
  <si>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</si>
  <si>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</si>
  <si>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</si>
  <si>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</si>
  <si>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</si>
  <si>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</si>
  <si>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</si>
  <si>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</si>
  <si>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</si>
  <si>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</si>
  <si>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</si>
  <si>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</si>
  <si>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</si>
  <si>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</si>
  <si>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</si>
  <si>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</si>
  <si>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</si>
  <si>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</si>
  <si>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</si>
  <si>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</si>
  <si>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</si>
  <si>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</si>
  <si>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</si>
  <si>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</si>
  <si>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</si>
  <si>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</si>
  <si>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</si>
  <si>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</si>
  <si>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</si>
  <si>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</si>
  <si>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</si>
  <si>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</si>
  <si>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</si>
  <si>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</si>
  <si>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</si>
  <si>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</si>
  <si>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</si>
  <si>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</si>
  <si>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</si>
  <si>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</si>
  <si>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</si>
  <si>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</si>
  <si>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</si>
  <si>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</si>
  <si>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</si>
  <si>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</si>
  <si>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</si>
  <si>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</si>
  <si>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</si>
  <si>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</si>
  <si>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</si>
  <si>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</si>
  <si>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</si>
  <si>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</si>
  <si>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</si>
  <si>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</si>
  <si>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</si>
  <si>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</si>
  <si>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</si>
  <si>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</si>
  <si>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</si>
  <si>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</si>
  <si>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</si>
  <si>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</si>
  <si>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</si>
  <si>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</si>
  <si>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</si>
  <si>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</si>
  <si>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</si>
  <si>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</si>
  <si>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</si>
  <si>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</si>
  <si>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</si>
  <si>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</si>
  <si>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</si>
  <si>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</si>
  <si>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</si>
  <si>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</si>
  <si>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</si>
  <si>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</si>
  <si>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</si>
  <si>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</si>
  <si>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</si>
  <si>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</si>
  <si>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</si>
  <si>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</si>
  <si>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</si>
  <si>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</si>
  <si>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</si>
  <si>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</si>
  <si>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</si>
  <si>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</si>
  <si>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</si>
  <si>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</si>
  <si>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</si>
  <si>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</si>
  <si>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</si>
  <si>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</si>
  <si>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</si>
  <si>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</si>
  <si>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</si>
  <si>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</si>
  <si>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</si>
  <si>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</si>
  <si>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</si>
  <si>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</si>
  <si>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</si>
  <si>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</si>
  <si>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</si>
  <si>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</si>
  <si>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</si>
  <si>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</si>
  <si>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</si>
  <si>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</si>
  <si>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</si>
  <si>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</si>
  <si>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</si>
  <si>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</si>
  <si>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</si>
  <si>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</si>
  <si>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</si>
  <si>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</si>
  <si>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</si>
  <si>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</si>
  <si>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</si>
  <si>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</si>
  <si>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</si>
  <si>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</si>
  <si>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</si>
  <si>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</si>
  <si>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</si>
  <si>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</si>
  <si>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</si>
  <si>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</si>
  <si>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</si>
  <si>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</si>
  <si>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</si>
  <si>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</si>
  <si>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</si>
  <si>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</si>
  <si>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</si>
  <si>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</si>
  <si>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</si>
  <si>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</si>
  <si>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</si>
  <si>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</si>
  <si>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</si>
  <si>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</si>
  <si>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</si>
  <si>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</si>
  <si>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</si>
  <si>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</si>
  <si>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</si>
  <si>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</si>
  <si>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</si>
  <si>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</si>
  <si>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</si>
  <si>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</si>
  <si>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</si>
  <si>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</si>
  <si>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</si>
  <si>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</si>
  <si>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</si>
  <si>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</si>
  <si>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</si>
  <si>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</si>
  <si>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</si>
  <si>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</si>
  <si>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</si>
  <si>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</si>
  <si>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</si>
  <si>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</si>
  <si>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</si>
  <si>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</si>
  <si>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</si>
  <si>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</si>
  <si>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</si>
  <si>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</si>
  <si>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</si>
  <si>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</si>
  <si>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</si>
  <si>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</si>
  <si>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</si>
  <si>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</si>
  <si>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</si>
  <si>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</si>
  <si>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</si>
  <si>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</si>
  <si>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</si>
  <si>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</si>
  <si>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</si>
  <si>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</si>
  <si>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</si>
  <si>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</si>
  <si>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</si>
  <si>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</si>
  <si>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</si>
  <si>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</si>
  <si>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</si>
  <si>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</si>
  <si>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</si>
  <si>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</si>
  <si>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</si>
  <si>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</si>
  <si>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</si>
  <si>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</si>
  <si>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</si>
  <si>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</si>
  <si>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</si>
  <si>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</si>
  <si>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</si>
  <si>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</si>
  <si>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</si>
  <si>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</si>
  <si>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</si>
  <si>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</si>
  <si>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</si>
  <si>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</si>
  <si>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</si>
  <si>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</si>
  <si>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</si>
  <si>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</si>
  <si>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</si>
  <si>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</si>
  <si>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</si>
  <si>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</si>
  <si>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</si>
  <si>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</si>
  <si>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</si>
  <si>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</si>
  <si>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</si>
  <si>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</si>
  <si>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</si>
  <si>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</si>
  <si>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</si>
  <si>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</si>
  <si>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</si>
  <si>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</si>
  <si>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</si>
  <si>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</si>
  <si>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</si>
  <si>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</si>
  <si>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</si>
  <si>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</si>
  <si>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</si>
  <si>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</si>
  <si>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</si>
  <si>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</si>
  <si>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</si>
  <si>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</si>
  <si>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</si>
  <si>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</si>
  <si>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</si>
  <si>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</si>
  <si>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</si>
  <si>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</si>
  <si>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</si>
  <si>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</si>
  <si>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</si>
  <si>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</si>
  <si>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</si>
  <si>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</si>
  <si>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</si>
  <si>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</si>
  <si>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</si>
  <si>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</si>
  <si>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</si>
  <si>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</si>
  <si>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</si>
  <si>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</si>
  <si>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</si>
  <si>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</si>
  <si>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</si>
  <si>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</si>
  <si>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</si>
  <si>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</si>
  <si>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</si>
  <si>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</si>
  <si>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</si>
  <si>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</si>
  <si>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</si>
  <si>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</si>
  <si>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</si>
  <si>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</si>
  <si>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</si>
  <si>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</si>
  <si>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</si>
  <si>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</si>
  <si>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</si>
  <si>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</si>
  <si>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</si>
  <si>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</si>
  <si>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</si>
  <si>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</si>
  <si>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</si>
  <si>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</si>
  <si>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</si>
  <si>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</si>
  <si>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</si>
  <si>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</si>
  <si>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</si>
  <si>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</si>
  <si>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</si>
  <si>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</si>
  <si>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</si>
  <si>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</si>
  <si>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</si>
  <si>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</si>
  <si>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</si>
  <si>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</si>
  <si>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</si>
  <si>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</si>
  <si>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</si>
  <si>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</si>
  <si>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</si>
  <si>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</si>
  <si>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</si>
  <si>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</si>
  <si>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</si>
  <si>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</si>
  <si>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</si>
  <si>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</si>
  <si>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</si>
  <si>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</si>
  <si>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</si>
  <si>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</si>
  <si>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</si>
  <si>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</si>
  <si>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</si>
  <si>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</si>
  <si>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</si>
  <si>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</si>
  <si>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</si>
  <si>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</si>
  <si>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</si>
  <si>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</si>
  <si>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</si>
  <si>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</si>
  <si>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</si>
  <si>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</si>
  <si>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</si>
  <si>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</si>
  <si>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</si>
  <si>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</si>
  <si>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</si>
  <si>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</si>
  <si>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</si>
  <si>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</si>
  <si>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</si>
  <si>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</si>
  <si>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</si>
  <si>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</si>
  <si>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</si>
  <si>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</si>
  <si>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</si>
  <si>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</si>
  <si>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</si>
  <si>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</si>
  <si>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</si>
  <si>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</si>
  <si>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</si>
  <si>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</si>
  <si>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</si>
  <si>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</si>
  <si>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</si>
  <si>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</si>
  <si>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</si>
  <si>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</si>
  <si>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</si>
  <si>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</si>
  <si>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</si>
  <si>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</si>
  <si>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</si>
  <si>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</si>
  <si>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</si>
  <si>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</si>
  <si>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</si>
  <si>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</si>
  <si>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</si>
  <si>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</si>
  <si>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</si>
  <si>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</si>
  <si>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</si>
  <si>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</si>
  <si>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</si>
  <si>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</si>
  <si>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</si>
  <si>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</si>
  <si>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</si>
  <si>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</si>
  <si>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</si>
  <si>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</si>
  <si>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</si>
  <si>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</si>
  <si>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</si>
  <si>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</si>
  <si>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</si>
  <si>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</si>
  <si>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</si>
  <si>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</si>
  <si>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</si>
  <si>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</si>
  <si>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</si>
  <si>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</si>
  <si>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</si>
  <si>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</si>
  <si>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</si>
  <si>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</si>
  <si>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</si>
  <si>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</si>
  <si>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</si>
  <si>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</si>
  <si>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</si>
  <si>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</si>
  <si>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</si>
  <si>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</si>
  <si>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</si>
  <si>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</si>
  <si>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</si>
  <si>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</si>
  <si>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</si>
  <si>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</si>
  <si>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</si>
  <si>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</si>
  <si>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</si>
  <si>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</si>
  <si>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</si>
  <si>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</si>
  <si>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</si>
  <si>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</si>
  <si>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</si>
  <si>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</si>
  <si>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</si>
  <si>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</si>
  <si>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</si>
  <si>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</si>
  <si>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</si>
  <si>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</si>
  <si>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</si>
  <si>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</si>
  <si>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</si>
  <si>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</si>
  <si>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</si>
  <si>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</si>
  <si>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</si>
  <si>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</si>
  <si>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</si>
  <si>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</si>
  <si>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</si>
  <si>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</si>
  <si>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</si>
  <si>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</si>
  <si>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</si>
  <si>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</si>
  <si>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</si>
  <si>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</si>
  <si>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</si>
  <si>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</si>
  <si>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</si>
  <si>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</si>
  <si>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</si>
  <si>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</si>
  <si>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</si>
  <si>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</si>
  <si>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</si>
  <si>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</si>
  <si>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</si>
  <si>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</si>
  <si>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</si>
  <si>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</si>
  <si>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</si>
  <si>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</si>
  <si>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</si>
  <si>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</si>
  <si>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</si>
  <si>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</si>
  <si>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</si>
  <si>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</si>
  <si>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</si>
  <si>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</si>
  <si>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</si>
  <si>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</si>
  <si>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</si>
  <si>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</si>
  <si>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</si>
  <si>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</si>
  <si>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</si>
  <si>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</si>
  <si>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</si>
  <si>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</si>
  <si>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</si>
  <si>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</si>
  <si>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</si>
  <si>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</si>
  <si>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</si>
  <si>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</si>
  <si>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</si>
  <si>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</si>
  <si>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</si>
  <si>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</si>
  <si>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</si>
  <si>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</si>
  <si>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</si>
  <si>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</si>
  <si>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</si>
  <si>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</si>
  <si>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</si>
  <si>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</si>
  <si>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</si>
  <si>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</si>
  <si>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</si>
  <si>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</si>
  <si>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</si>
  <si>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</si>
  <si>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</si>
  <si>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</si>
  <si>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</si>
  <si>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</si>
  <si>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</si>
  <si>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</si>
  <si>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</si>
  <si>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</si>
  <si>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</si>
  <si>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</si>
  <si>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</si>
  <si>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</si>
  <si>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</si>
  <si>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</si>
  <si>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</si>
  <si>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</si>
  <si>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</si>
  <si>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</si>
  <si>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</si>
  <si>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</si>
  <si>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</si>
  <si>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</si>
  <si>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</si>
  <si>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</si>
  <si>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</si>
  <si>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</si>
  <si>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</si>
  <si>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</si>
  <si>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</si>
  <si>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</si>
  <si>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</si>
  <si>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</si>
  <si>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</si>
  <si>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</si>
  <si>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</si>
  <si>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</si>
  <si>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</si>
  <si>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</si>
  <si>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</si>
  <si>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</si>
  <si>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</si>
  <si>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</si>
  <si>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</si>
  <si>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</si>
  <si>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</si>
  <si>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</si>
  <si>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</si>
  <si>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</si>
  <si>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</si>
  <si>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</si>
  <si>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</si>
  <si>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</si>
  <si>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</si>
  <si>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</si>
  <si>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</si>
  <si>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</si>
  <si>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</si>
  <si>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</si>
  <si>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</si>
  <si>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</si>
  <si>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</si>
  <si>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</si>
  <si>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</si>
  <si>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</si>
  <si>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</si>
  <si>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</si>
  <si>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</si>
  <si>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</si>
  <si>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</si>
  <si>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</si>
  <si>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</si>
  <si>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</si>
  <si>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</si>
  <si>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</si>
  <si>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</si>
  <si>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</si>
  <si>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</si>
  <si>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</si>
  <si>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</si>
  <si>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</si>
  <si>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</si>
  <si>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</si>
  <si>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</si>
  <si>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</si>
  <si>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</si>
  <si>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</si>
  <si>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</si>
  <si>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</si>
  <si>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</si>
  <si>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</si>
  <si>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</si>
  <si>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</si>
  <si>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</si>
  <si>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</si>
  <si>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</si>
  <si>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</si>
  <si>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</si>
  <si>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</si>
  <si>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</si>
  <si>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</si>
  <si>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</si>
  <si>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</si>
  <si>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</si>
  <si>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</si>
  <si>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</si>
  <si>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</si>
  <si>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</si>
  <si>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</si>
  <si>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</si>
  <si>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</si>
  <si>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</si>
  <si>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</si>
  <si>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</si>
  <si>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</si>
  <si>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</si>
  <si>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</si>
  <si>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</si>
  <si>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</si>
  <si>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</si>
  <si>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</si>
  <si>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</si>
  <si>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</si>
  <si>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</si>
  <si>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</si>
  <si>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</si>
  <si>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</si>
  <si>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</si>
  <si>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</si>
  <si>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</si>
  <si>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</si>
  <si>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</si>
  <si>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</si>
  <si>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</si>
  <si>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</si>
  <si>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</si>
  <si>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</si>
  <si>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</si>
  <si>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</si>
  <si>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</si>
  <si>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</si>
  <si>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</si>
  <si>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</si>
  <si>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</si>
  <si>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</si>
  <si>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</si>
  <si>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</si>
  <si>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</si>
  <si>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</si>
  <si>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</si>
  <si>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</si>
  <si>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</si>
  <si>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</si>
  <si>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</si>
  <si>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</si>
  <si>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</si>
  <si>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</si>
  <si>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</si>
  <si>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</si>
  <si>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</si>
  <si>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</si>
  <si>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</si>
  <si>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</si>
  <si>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</si>
  <si>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</si>
  <si>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</si>
  <si>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</si>
  <si>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</si>
  <si>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</si>
  <si>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</si>
  <si>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</si>
  <si>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</si>
  <si>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</si>
  <si>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</si>
  <si>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</si>
  <si>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</si>
  <si>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</si>
  <si>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</si>
  <si>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</si>
  <si>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</si>
  <si>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</si>
  <si>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</si>
  <si>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</si>
  <si>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</si>
  <si>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</si>
  <si>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</si>
  <si>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</si>
  <si>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</si>
  <si>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</si>
  <si>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</si>
  <si>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</si>
  <si>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</si>
  <si>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</si>
  <si>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</si>
  <si>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</si>
  <si>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</si>
  <si>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</si>
  <si>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</si>
  <si>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</si>
  <si>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</si>
  <si>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</si>
  <si>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</si>
  <si>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</si>
  <si>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</si>
  <si>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</si>
  <si>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</si>
  <si>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</si>
  <si>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</si>
  <si>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</si>
  <si>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</si>
  <si>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</si>
  <si>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</si>
  <si>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</si>
  <si>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</si>
  <si>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</si>
  <si>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</si>
  <si>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</si>
  <si>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</si>
  <si>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</si>
  <si>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</si>
  <si>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</si>
  <si>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</si>
  <si>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</si>
  <si>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</si>
  <si>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</si>
  <si>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</si>
  <si>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</si>
  <si>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</si>
  <si>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</si>
  <si>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</si>
  <si>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</si>
  <si>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</si>
  <si>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</si>
  <si>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</si>
  <si>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</si>
  <si>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</si>
  <si>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</si>
  <si>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</si>
  <si>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</si>
  <si>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</si>
  <si>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</si>
  <si>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</si>
  <si>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</si>
  <si>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</si>
  <si>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</si>
  <si>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</si>
  <si>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</si>
  <si>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</si>
  <si>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</si>
  <si>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</si>
  <si>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</si>
  <si>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</si>
  <si>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</si>
  <si>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</si>
  <si>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</si>
  <si>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</si>
  <si>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</si>
  <si>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</si>
  <si>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</si>
  <si>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</si>
  <si>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</si>
  <si>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</si>
  <si>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</si>
  <si>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</si>
  <si>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</si>
  <si>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</si>
  <si>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</si>
  <si>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</si>
  <si>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</si>
  <si>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</si>
  <si>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</si>
  <si>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</si>
  <si>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</si>
  <si>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</si>
  <si>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</si>
  <si>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</si>
  <si>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</si>
  <si>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</si>
  <si>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</si>
  <si>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</si>
  <si>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</si>
  <si>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</si>
  <si>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</si>
  <si>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</si>
  <si>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</si>
  <si>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</si>
  <si>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</si>
  <si>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</si>
  <si>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</si>
  <si>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</si>
  <si>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</si>
  <si>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</si>
  <si>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</si>
  <si>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</si>
  <si>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</si>
  <si>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</si>
  <si>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</si>
  <si>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</si>
  <si>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</si>
  <si>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</si>
  <si>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</si>
  <si>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</si>
  <si>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</si>
  <si>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</si>
  <si>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</si>
  <si>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</si>
  <si>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</si>
  <si>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</si>
  <si>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</si>
  <si>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</si>
  <si>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</si>
  <si>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</si>
  <si>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</si>
  <si>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</si>
  <si>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</si>
  <si>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</si>
  <si>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</si>
  <si>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</si>
  <si>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</si>
  <si>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</si>
  <si>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</si>
  <si>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</si>
  <si>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</si>
  <si>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</si>
  <si>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</si>
  <si>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</si>
  <si>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</si>
  <si>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</si>
  <si>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</si>
  <si>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</si>
  <si>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</si>
  <si>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</si>
  <si>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</si>
  <si>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</si>
  <si>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</si>
  <si>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</si>
  <si>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</si>
  <si>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</si>
  <si>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</si>
  <si>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</si>
  <si>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</si>
  <si>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</si>
  <si>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</si>
  <si>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</si>
  <si>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</si>
  <si>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</si>
  <si>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</si>
  <si>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</si>
  <si>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</si>
  <si>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</si>
  <si>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</si>
  <si>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</si>
  <si>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</si>
  <si>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</si>
  <si>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</si>
  <si>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</si>
  <si>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</si>
  <si>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</si>
  <si>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</si>
  <si>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</si>
  <si>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</si>
  <si>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</si>
  <si>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</si>
  <si>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</si>
  <si>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</si>
  <si>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</si>
  <si>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</si>
  <si>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</si>
  <si>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</si>
  <si>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</si>
  <si>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</si>
  <si>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</si>
  <si>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</si>
  <si>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</si>
  <si>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</si>
  <si>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</si>
  <si>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</si>
  <si>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</si>
  <si>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</si>
  <si>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</si>
  <si>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</si>
  <si>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</si>
  <si>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</si>
  <si>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</si>
  <si>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</si>
  <si>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</si>
  <si>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</si>
  <si>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</si>
  <si>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</si>
  <si>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</si>
  <si>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</si>
  <si>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</si>
  <si>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</si>
  <si>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</si>
  <si>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</si>
  <si>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</si>
  <si>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</si>
  <si>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</si>
  <si>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</si>
  <si>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</si>
  <si>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</si>
  <si>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</si>
  <si>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</si>
  <si>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</si>
  <si>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</si>
  <si>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</si>
  <si>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</si>
  <si>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</si>
  <si>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</si>
  <si>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</si>
  <si>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</si>
  <si>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</si>
  <si>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</si>
  <si>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</si>
  <si>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</si>
  <si>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</si>
  <si>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</si>
  <si>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</si>
  <si>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</si>
  <si>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</si>
  <si>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</si>
  <si>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</si>
  <si>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</si>
  <si>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</si>
  <si>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</si>
  <si>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</si>
  <si>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</si>
  <si>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</si>
  <si>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</si>
  <si>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</si>
  <si>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</si>
  <si>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</si>
  <si>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</si>
  <si>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</si>
  <si>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</si>
  <si>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</si>
  <si>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</si>
  <si>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</si>
  <si>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</si>
  <si>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</si>
  <si>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</si>
  <si>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</si>
  <si>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</si>
  <si>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</si>
  <si>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</si>
  <si>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</si>
  <si>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</si>
  <si>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</si>
  <si>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</si>
  <si>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</si>
  <si>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</si>
  <si>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</si>
  <si>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</si>
  <si>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</si>
  <si>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</si>
  <si>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</si>
  <si>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</si>
  <si>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</si>
  <si>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</si>
  <si>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</si>
  <si>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</si>
  <si>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</si>
  <si>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</si>
  <si>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</si>
  <si>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</si>
  <si>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</si>
  <si>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</si>
  <si>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</si>
  <si>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</si>
  <si>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</si>
  <si>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</si>
  <si>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</si>
  <si>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</si>
  <si>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</si>
  <si>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</si>
  <si>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</si>
  <si>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</si>
  <si>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</si>
  <si>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</si>
  <si>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</si>
  <si>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</si>
  <si>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</si>
  <si>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</si>
  <si>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</si>
  <si>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</si>
  <si>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</si>
  <si>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</si>
  <si>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</si>
  <si>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</si>
  <si>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</si>
  <si>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</si>
  <si>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</si>
  <si>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</si>
  <si>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</si>
  <si>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</si>
  <si>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</si>
  <si>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</si>
  <si>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</si>
  <si>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</si>
  <si>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</si>
  <si>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</si>
  <si>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</si>
  <si>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</si>
  <si>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</si>
  <si>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</si>
  <si>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</si>
  <si>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</si>
  <si>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</si>
  <si>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</si>
  <si>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</si>
  <si>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</si>
  <si>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</si>
  <si>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</si>
  <si>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</si>
  <si>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</si>
  <si>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</si>
  <si>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</si>
  <si>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</si>
  <si>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</si>
  <si>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</si>
  <si>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</si>
  <si>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</si>
  <si>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</si>
  <si>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</si>
  <si>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</si>
  <si>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</si>
  <si>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</si>
  <si>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</si>
  <si>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</si>
  <si>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</si>
  <si>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</si>
  <si>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</si>
  <si>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</si>
  <si>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</si>
  <si>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</si>
  <si>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</si>
  <si>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</si>
  <si>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</si>
  <si>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</si>
  <si>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</si>
  <si>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</si>
  <si>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</si>
  <si>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</si>
  <si>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</si>
  <si>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</si>
  <si>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</si>
  <si>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</si>
  <si>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</si>
  <si>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</si>
  <si>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</si>
  <si>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</si>
  <si>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</si>
  <si>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</si>
  <si>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</si>
  <si>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</si>
  <si>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</si>
  <si>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</si>
  <si>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</si>
  <si>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</si>
  <si>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</si>
  <si>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</si>
  <si>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</si>
  <si>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</si>
  <si>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</si>
  <si>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</si>
  <si>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</si>
  <si>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</si>
  <si>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</si>
  <si>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</si>
  <si>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</si>
  <si>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</si>
  <si>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</si>
  <si>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</si>
  <si>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</si>
  <si>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</si>
  <si>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</si>
  <si>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</si>
  <si>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</si>
  <si>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</si>
  <si>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</si>
  <si>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</si>
  <si>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</si>
  <si>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</si>
  <si>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</si>
  <si>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</si>
  <si>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</si>
  <si>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</si>
  <si>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</si>
  <si>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</si>
  <si>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</si>
  <si>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</si>
  <si>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</si>
  <si>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</si>
  <si>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</si>
  <si>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</si>
  <si>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</si>
  <si>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</si>
  <si>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</si>
  <si>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</si>
  <si>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</si>
  <si>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</si>
  <si>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</si>
  <si>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</si>
  <si>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</si>
  <si>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</si>
  <si>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</si>
  <si>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</si>
  <si>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</si>
  <si>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</si>
  <si>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</si>
  <si>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</si>
  <si>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</si>
  <si>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</si>
  <si>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</si>
  <si>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</si>
  <si>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</si>
  <si>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</si>
  <si>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</si>
  <si>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</si>
  <si>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</si>
  <si>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</si>
  <si>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</si>
  <si>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</si>
  <si>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</si>
  <si>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</si>
  <si>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</si>
  <si>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</si>
  <si>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</si>
  <si>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</si>
  <si>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</si>
  <si>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</si>
  <si>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</si>
  <si>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</si>
  <si>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</si>
  <si>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</si>
  <si>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</si>
  <si>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</si>
  <si>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</si>
  <si>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</si>
  <si>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</si>
  <si>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</si>
  <si>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</si>
  <si>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</si>
  <si>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</si>
  <si>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</si>
  <si>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</si>
  <si>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</si>
  <si>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</si>
  <si>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</si>
  <si>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</si>
  <si>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</si>
  <si>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</si>
  <si>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</si>
  <si>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</si>
  <si>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</si>
  <si>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</si>
  <si>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</si>
  <si>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</si>
  <si>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</si>
  <si>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</si>
  <si>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</si>
  <si>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</si>
  <si>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</si>
  <si>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</si>
  <si>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</si>
  <si>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</si>
  <si>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</si>
  <si>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</si>
  <si>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</si>
  <si>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</si>
  <si>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</si>
  <si>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</si>
  <si>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</si>
  <si>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</si>
  <si>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</si>
  <si>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</si>
  <si>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</si>
  <si>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</si>
  <si>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</si>
  <si>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</si>
  <si>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</si>
  <si>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</si>
  <si>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</si>
  <si>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</si>
  <si>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</si>
  <si>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</si>
  <si>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</si>
  <si>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</si>
  <si>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</si>
  <si>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</si>
  <si>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</si>
  <si>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</si>
  <si>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</si>
  <si>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</si>
  <si>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</si>
  <si>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</si>
  <si>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</si>
  <si>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</si>
  <si>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</si>
  <si>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</si>
  <si>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</si>
  <si>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</si>
  <si>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</si>
  <si>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</si>
  <si>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</si>
  <si>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</si>
  <si>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</si>
  <si>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</si>
  <si>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</si>
  <si>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</si>
  <si>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</si>
  <si>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</si>
  <si>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</si>
  <si>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</si>
  <si>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</si>
  <si>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</si>
  <si>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</si>
  <si>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</si>
  <si>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</si>
  <si>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</si>
  <si>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</si>
  <si>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</si>
  <si>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</si>
  <si>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</si>
  <si>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</si>
  <si>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</si>
  <si>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</si>
  <si>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</si>
  <si>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</si>
  <si>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</si>
  <si>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</si>
  <si>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</si>
  <si>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</si>
  <si>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</si>
  <si>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</si>
  <si>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</si>
  <si>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</si>
  <si>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</si>
  <si>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</si>
  <si>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</si>
  <si>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</si>
  <si>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</si>
  <si>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</si>
  <si>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</si>
  <si>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</si>
  <si>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</si>
  <si>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</si>
  <si>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</si>
  <si>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</si>
  <si>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</si>
  <si>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</si>
  <si>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</si>
  <si>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</si>
  <si>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</si>
  <si>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</si>
  <si>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</si>
  <si>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</si>
  <si>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</si>
  <si>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</si>
  <si>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</si>
  <si>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</si>
  <si>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</si>
  <si>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</si>
  <si>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</si>
  <si>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</si>
  <si>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</si>
  <si>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</si>
  <si>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</si>
  <si>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</si>
  <si>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</si>
  <si>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</si>
  <si>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</si>
  <si>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</si>
  <si>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</si>
  <si>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</si>
  <si>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</si>
  <si>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</si>
  <si>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</si>
  <si>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</si>
  <si>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</si>
  <si>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</si>
  <si>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</si>
  <si>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</si>
  <si>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</si>
  <si>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</si>
  <si>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</si>
  <si>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</si>
  <si>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</si>
  <si>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</si>
  <si>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</si>
  <si>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</si>
  <si>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</si>
  <si>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</si>
  <si>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</si>
  <si>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</si>
  <si>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</si>
  <si>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</si>
  <si>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</si>
  <si>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</si>
  <si>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</si>
  <si>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</si>
  <si>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</si>
  <si>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</si>
  <si>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</si>
  <si>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</si>
  <si>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</si>
  <si>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</si>
  <si>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</si>
  <si>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</si>
  <si>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</si>
  <si>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</si>
  <si>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</si>
  <si>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</si>
  <si>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</si>
  <si>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</si>
  <si>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</si>
  <si>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</si>
  <si>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</si>
  <si>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</si>
  <si>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</si>
  <si>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</si>
  <si>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</si>
  <si>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</si>
  <si>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</si>
  <si>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</si>
  <si>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</si>
  <si>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</si>
  <si>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</si>
  <si>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</si>
  <si>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</si>
  <si>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</si>
  <si>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</si>
  <si>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</si>
  <si>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</si>
  <si>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</si>
  <si>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</si>
  <si>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</si>
  <si>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</si>
  <si>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</si>
  <si>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</si>
  <si>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</si>
  <si>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</si>
  <si>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</si>
  <si>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</si>
  <si>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</si>
  <si>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</si>
  <si>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</si>
  <si>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</si>
  <si>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</si>
  <si>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</si>
  <si>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</si>
  <si>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</si>
  <si>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</si>
  <si>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</si>
  <si>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</si>
  <si>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</si>
  <si>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</si>
  <si>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</si>
  <si>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</si>
  <si>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</si>
  <si>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</si>
  <si>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</si>
  <si>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</si>
  <si>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</si>
  <si>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</si>
  <si>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</si>
  <si>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</si>
  <si>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</si>
  <si>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</si>
  <si>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</si>
  <si>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</si>
  <si>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</si>
  <si>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</si>
  <si>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</si>
  <si>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</si>
  <si>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</si>
  <si>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</si>
  <si>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</si>
  <si>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</si>
  <si>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</si>
  <si>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</si>
  <si>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</si>
  <si>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</si>
  <si>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</si>
  <si>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</si>
  <si>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</si>
  <si>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</si>
  <si>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</si>
  <si>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</si>
  <si>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</si>
  <si>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</si>
  <si>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</si>
  <si>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</si>
  <si>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</si>
  <si>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</si>
  <si>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</si>
  <si>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</si>
  <si>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</si>
  <si>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</si>
  <si>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</si>
  <si>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</si>
  <si>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</si>
  <si>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</si>
  <si>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</si>
  <si>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</si>
  <si>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</si>
  <si>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</si>
  <si>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</si>
  <si>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</si>
  <si>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</si>
  <si>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</si>
  <si>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</si>
  <si>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</si>
  <si>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</si>
  <si>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</si>
  <si>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</si>
  <si>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</si>
  <si>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</si>
  <si>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</si>
  <si>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</si>
  <si>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</si>
  <si>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</si>
  <si>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</si>
  <si>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</si>
  <si>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</si>
  <si>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</si>
  <si>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</si>
  <si>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</si>
  <si>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</si>
  <si>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</si>
  <si>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</si>
  <si>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</si>
  <si>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</si>
  <si>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</si>
  <si>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</si>
  <si>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</si>
  <si>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</si>
  <si>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</si>
  <si>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</si>
  <si>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</si>
  <si>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</si>
  <si>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</si>
  <si>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</si>
  <si>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</si>
  <si>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</si>
  <si>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</si>
  <si>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</si>
  <si>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</si>
  <si>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</si>
  <si>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</si>
  <si>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</si>
  <si>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</si>
  <si>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</si>
  <si>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</si>
  <si>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</si>
  <si>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</si>
  <si>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</si>
  <si>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</si>
  <si>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</si>
  <si>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</si>
  <si>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</si>
  <si>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</si>
  <si>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</si>
  <si>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</si>
  <si>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</si>
  <si>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</si>
  <si>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</si>
  <si>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</si>
  <si>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</si>
  <si>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</si>
  <si>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</si>
  <si>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</si>
  <si>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</si>
  <si>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</si>
  <si>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</si>
  <si>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</si>
  <si>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</si>
  <si>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</si>
  <si>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</si>
  <si>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</si>
  <si>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</si>
  <si>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</si>
  <si>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</si>
  <si>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</si>
  <si>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</si>
  <si>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</si>
  <si>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</si>
  <si>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</si>
  <si>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</si>
  <si>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</si>
  <si>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</si>
  <si>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</si>
  <si>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</si>
  <si>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</si>
  <si>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</si>
  <si>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</si>
  <si>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</si>
  <si>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</si>
  <si>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</si>
  <si>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</si>
  <si>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</si>
  <si>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</si>
  <si>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</si>
  <si>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</si>
  <si>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</si>
  <si>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</si>
  <si>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</si>
  <si>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</si>
  <si>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</si>
  <si>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</si>
  <si>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</si>
  <si>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</si>
  <si>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</si>
  <si>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</si>
  <si>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</si>
  <si>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</si>
  <si>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</si>
  <si>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</si>
  <si>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</si>
  <si>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</si>
  <si>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</si>
  <si>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</si>
  <si>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</si>
  <si>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</si>
  <si>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</si>
  <si>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</si>
  <si>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</si>
  <si>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</si>
  <si>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</si>
  <si>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</si>
  <si>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</si>
  <si>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</si>
  <si>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</si>
  <si>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</si>
  <si>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</si>
  <si>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</si>
  <si>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</si>
  <si>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</si>
  <si>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</si>
  <si>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</si>
  <si>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</si>
  <si>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</si>
  <si>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</si>
  <si>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</si>
  <si>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</si>
  <si>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</si>
  <si>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</si>
  <si>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</si>
  <si>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</si>
  <si>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</si>
  <si>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</si>
  <si>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</si>
  <si>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</si>
  <si>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</si>
  <si>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</si>
  <si>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</si>
  <si>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</si>
  <si>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</si>
  <si>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</si>
  <si>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</si>
  <si>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</si>
  <si>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</si>
  <si>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</si>
  <si>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</si>
  <si>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</si>
  <si>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</si>
  <si>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</si>
  <si>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</si>
  <si>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</si>
  <si>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</si>
  <si>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</si>
  <si>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</si>
  <si>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</si>
  <si>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</si>
  <si>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</si>
  <si>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</si>
  <si>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</si>
  <si>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</si>
  <si>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</si>
  <si>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</si>
  <si>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</si>
  <si>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</si>
  <si>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</si>
  <si>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</si>
  <si>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</si>
  <si>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</si>
  <si>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</si>
  <si>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</si>
  <si>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</si>
  <si>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</si>
  <si>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</si>
  <si>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</si>
  <si>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</si>
  <si>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</si>
  <si>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</si>
  <si>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</si>
  <si>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</si>
  <si>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</si>
  <si>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</si>
  <si>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</si>
  <si>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</si>
  <si>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</si>
  <si>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</si>
  <si>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</si>
  <si>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</si>
  <si>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</si>
  <si>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</si>
  <si>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</si>
  <si>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</si>
  <si>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</si>
  <si>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</si>
  <si>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</si>
  <si>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</si>
  <si>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</si>
  <si>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</si>
  <si>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</si>
  <si>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</si>
  <si>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</si>
  <si>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</si>
  <si>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</si>
  <si>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</si>
  <si>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</si>
  <si>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</si>
  <si>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</si>
  <si>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</si>
  <si>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</si>
  <si>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</si>
  <si>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</si>
  <si>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</si>
  <si>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</si>
  <si>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</si>
  <si>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</si>
  <si>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</si>
  <si>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</si>
  <si>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</si>
  <si>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</si>
  <si>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</si>
  <si>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</si>
  <si>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</si>
  <si>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</si>
  <si>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</si>
  <si>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</si>
  <si>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</si>
  <si>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</si>
  <si>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</si>
  <si>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</si>
  <si>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</si>
  <si>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</si>
  <si>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</si>
  <si>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</si>
  <si>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</si>
  <si>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</si>
  <si>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</si>
  <si>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</si>
  <si>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</si>
  <si>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</si>
  <si>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</si>
  <si>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</si>
  <si>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</si>
  <si>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</si>
  <si>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</si>
  <si>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</si>
  <si>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</si>
  <si>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</si>
  <si>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</si>
  <si>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</si>
  <si>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</si>
  <si>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</si>
  <si>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</si>
  <si>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</si>
  <si>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</si>
  <si>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</si>
  <si>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</si>
  <si>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</si>
  <si>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</si>
  <si>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</si>
  <si>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</si>
  <si>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</si>
  <si>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</si>
  <si>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</si>
  <si>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</si>
  <si>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</si>
  <si>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</si>
  <si>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</si>
  <si>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</si>
  <si>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</si>
  <si>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</si>
  <si>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</si>
  <si>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</si>
  <si>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</si>
  <si>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</si>
  <si>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</si>
  <si>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</si>
  <si>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</si>
  <si>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</si>
  <si>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</si>
  <si>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</si>
  <si>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</si>
  <si>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</si>
  <si>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</si>
  <si>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</si>
  <si>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</si>
  <si>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</si>
  <si>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</si>
  <si>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</si>
  <si>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</si>
  <si>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</si>
  <si>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</si>
  <si>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</si>
  <si>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</si>
  <si>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</si>
  <si>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</si>
  <si>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</si>
  <si>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</si>
  <si>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</si>
  <si>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</si>
  <si>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</si>
  <si>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</si>
  <si>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</si>
  <si>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</si>
  <si>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</si>
  <si>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</si>
  <si>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</si>
  <si>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</si>
  <si>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</si>
  <si>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</si>
  <si>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</si>
  <si>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</si>
  <si>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</si>
  <si>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</si>
  <si>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</si>
  <si>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</si>
  <si>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</si>
  <si>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</si>
  <si>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</si>
  <si>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</si>
  <si>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</si>
  <si>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</si>
  <si>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</si>
  <si>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</si>
  <si>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</si>
  <si>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</si>
  <si>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</si>
  <si>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</si>
  <si>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</si>
  <si>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</si>
  <si>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</si>
  <si>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</si>
  <si>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</si>
  <si>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</si>
  <si>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</si>
  <si>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</si>
  <si>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</si>
  <si>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</si>
  <si>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</si>
  <si>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</si>
  <si>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</si>
  <si>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</si>
  <si>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</si>
  <si>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</si>
  <si>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</si>
  <si>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</si>
  <si>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</si>
  <si>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</si>
  <si>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</si>
  <si>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</si>
  <si>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</si>
  <si>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</si>
  <si>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</si>
  <si>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</si>
  <si>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</si>
  <si>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</si>
  <si>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</si>
  <si>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</si>
  <si>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</si>
  <si>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</si>
  <si>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</si>
  <si>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</si>
  <si>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</si>
  <si>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</si>
  <si>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</si>
  <si>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</si>
  <si>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</si>
  <si>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</si>
  <si>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</si>
  <si>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</si>
  <si>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</si>
  <si>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</si>
  <si>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</si>
  <si>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</si>
  <si>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</si>
  <si>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</si>
  <si>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</si>
  <si>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</si>
  <si>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</si>
  <si>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</si>
  <si>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</si>
  <si>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</si>
  <si>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</si>
  <si>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</si>
  <si>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</si>
  <si>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</si>
  <si>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</si>
  <si>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</si>
  <si>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</si>
  <si>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</si>
  <si>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</si>
  <si>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</si>
  <si>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</si>
  <si>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</si>
  <si>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</si>
  <si>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</si>
  <si>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</si>
  <si>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</si>
  <si>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</si>
  <si>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</si>
  <si>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</si>
  <si>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</si>
  <si>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</si>
  <si>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</si>
  <si>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</si>
  <si>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</si>
  <si>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</si>
  <si>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</si>
  <si>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</si>
  <si>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</si>
  <si>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</si>
  <si>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</si>
  <si>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</si>
  <si>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</si>
  <si>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</si>
  <si>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</si>
  <si>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</si>
  <si>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</si>
  <si>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</si>
  <si>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</si>
  <si>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</si>
  <si>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</si>
  <si>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</si>
  <si>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</si>
  <si>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</si>
  <si>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</si>
  <si>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</si>
  <si>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</si>
  <si>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</si>
  <si>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</si>
  <si>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</si>
  <si>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</si>
  <si>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</si>
  <si>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</si>
  <si>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</si>
  <si>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</si>
  <si>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</si>
  <si>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</si>
  <si>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</si>
  <si>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</si>
  <si>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</si>
  <si>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</si>
  <si>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</si>
  <si>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</si>
  <si>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</si>
  <si>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</si>
  <si>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</si>
  <si>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</si>
  <si>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</si>
  <si>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</si>
  <si>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</si>
  <si>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</si>
  <si>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</si>
  <si>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</si>
  <si>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</si>
  <si>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</si>
  <si>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</si>
  <si>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</si>
  <si>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</si>
  <si>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</si>
  <si>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</si>
  <si>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</si>
  <si>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</si>
  <si>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</si>
  <si>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</si>
  <si>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</si>
  <si>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</si>
  <si>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</si>
  <si>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</si>
  <si>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</si>
  <si>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</si>
  <si>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</si>
  <si>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</si>
  <si>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</si>
  <si>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</si>
  <si>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</si>
  <si>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</si>
  <si>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</si>
  <si>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</si>
  <si>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</si>
  <si>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</si>
  <si>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</si>
  <si>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</si>
  <si>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</si>
  <si>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</si>
  <si>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</si>
  <si>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</si>
  <si>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</si>
  <si>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</si>
  <si>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</si>
  <si>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</si>
  <si>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</si>
  <si>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</si>
  <si>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</si>
  <si>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</si>
  <si>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</si>
  <si>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</si>
  <si>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</si>
  <si>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</si>
  <si>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</si>
  <si>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</si>
  <si>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</si>
  <si>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</si>
  <si>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</si>
  <si>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</si>
  <si>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</si>
  <si>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</si>
  <si>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</si>
  <si>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</si>
  <si>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</si>
  <si>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</si>
  <si>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</si>
  <si>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</si>
  <si>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</si>
  <si>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</si>
  <si>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</si>
  <si>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</si>
  <si>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</si>
  <si>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</si>
  <si>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</si>
  <si>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</si>
  <si>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</si>
  <si>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</si>
  <si>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</si>
  <si>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</si>
  <si>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</si>
  <si>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</si>
  <si>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</si>
  <si>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</si>
  <si>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</si>
  <si>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</si>
  <si>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</si>
  <si>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</si>
  <si>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</si>
  <si>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</si>
  <si>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</si>
  <si>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</si>
  <si>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</si>
  <si>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</si>
  <si>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</si>
  <si>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</si>
  <si>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</si>
  <si>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</si>
  <si>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</si>
  <si>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</si>
  <si>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</si>
  <si>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</si>
  <si>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</si>
  <si>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</si>
  <si>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</si>
  <si>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</si>
  <si>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</si>
  <si>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</si>
  <si>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</si>
  <si>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</si>
  <si>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</si>
  <si>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</si>
  <si>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</si>
  <si>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</si>
  <si>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</si>
  <si>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</si>
  <si>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</si>
  <si>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</si>
  <si>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</si>
  <si>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</si>
  <si>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</si>
  <si>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</si>
  <si>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</si>
  <si>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</si>
  <si>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</si>
  <si>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</si>
  <si>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</si>
  <si>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</si>
  <si>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</si>
  <si>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</si>
  <si>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</si>
  <si>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</si>
  <si>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</si>
  <si>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</si>
  <si>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</si>
  <si>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</si>
  <si>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</si>
  <si>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</si>
  <si>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</si>
  <si>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</si>
  <si>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</si>
  <si>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</si>
  <si>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</si>
  <si>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</si>
  <si>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</si>
  <si>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</si>
  <si>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</si>
  <si>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</si>
  <si>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</si>
  <si>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</si>
  <si>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</si>
  <si>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</si>
  <si>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</si>
  <si>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</si>
  <si>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</si>
  <si>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</si>
  <si>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</si>
  <si>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</si>
  <si>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</si>
  <si>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</si>
  <si>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</si>
  <si>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</si>
  <si>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</si>
  <si>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</si>
  <si>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</si>
  <si>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</si>
  <si>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</si>
  <si>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</si>
  <si>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</si>
  <si>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</si>
  <si>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</si>
  <si>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</si>
  <si>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</si>
  <si>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</si>
  <si>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</si>
  <si>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</si>
  <si>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</si>
  <si>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</si>
  <si>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</si>
  <si>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</si>
  <si>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</si>
  <si>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</si>
  <si>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</si>
  <si>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</si>
  <si>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</si>
  <si>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</si>
  <si>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</si>
  <si>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</si>
  <si>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</si>
  <si>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</si>
  <si>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</si>
  <si>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</si>
  <si>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</si>
  <si>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</si>
  <si>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</si>
  <si>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</si>
  <si>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</si>
  <si>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</si>
  <si>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</si>
  <si>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</si>
  <si>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</si>
  <si>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</si>
  <si>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</si>
  <si>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</si>
  <si>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</si>
  <si>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</si>
  <si>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</si>
  <si>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</si>
  <si>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</si>
  <si>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</si>
  <si>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</si>
  <si>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</si>
  <si>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</si>
  <si>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</si>
  <si>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</si>
  <si>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</si>
  <si>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</si>
  <si>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</si>
  <si>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</si>
  <si>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</si>
  <si>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</si>
  <si>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</si>
  <si>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</si>
  <si>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</si>
  <si>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</si>
  <si>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</si>
  <si>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</si>
  <si>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</si>
  <si>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</si>
  <si>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</si>
  <si>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</si>
  <si>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</si>
  <si>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</si>
  <si>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</si>
  <si>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</si>
  <si>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</si>
  <si>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</si>
  <si>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</si>
  <si>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</si>
  <si>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</si>
  <si>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</si>
  <si>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</si>
  <si>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</si>
  <si>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</si>
  <si>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</si>
  <si>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</si>
  <si>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</si>
  <si>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</si>
  <si>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</si>
  <si>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</si>
  <si>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</si>
  <si>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</si>
  <si>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</si>
  <si>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</si>
  <si>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</si>
  <si>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</si>
  <si>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</si>
  <si>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</si>
  <si>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</si>
  <si>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</si>
  <si>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</si>
  <si>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</si>
  <si>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</si>
  <si>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</si>
  <si>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</si>
  <si>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</si>
  <si>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</si>
  <si>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</si>
  <si>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</si>
  <si>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</si>
  <si>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</si>
  <si>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</si>
  <si>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</si>
  <si>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</si>
  <si>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</si>
  <si>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</si>
  <si>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</si>
  <si>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</si>
  <si>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</si>
  <si>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</si>
  <si>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</si>
  <si>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</si>
  <si>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</si>
  <si>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</si>
  <si>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</si>
  <si>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</si>
  <si>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</si>
  <si>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</si>
  <si>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</si>
  <si>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</si>
  <si>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</si>
  <si>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</si>
  <si>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</si>
  <si>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</si>
  <si>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</si>
  <si>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</si>
  <si>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</si>
  <si>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</si>
  <si>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</si>
  <si>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</si>
  <si>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</si>
  <si>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</si>
  <si>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</si>
  <si>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</si>
  <si>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</si>
  <si>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</si>
  <si>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</si>
  <si>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</si>
  <si>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</si>
  <si>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</si>
  <si>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</si>
  <si>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</si>
  <si>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</si>
  <si>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</si>
  <si>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</si>
  <si>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</si>
  <si>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</si>
  <si>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</si>
  <si>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</si>
  <si>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</si>
  <si>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</si>
  <si>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</si>
  <si>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</si>
  <si>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</si>
  <si>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</si>
  <si>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</si>
  <si>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</si>
  <si>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</si>
  <si>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</si>
  <si>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</si>
  <si>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</si>
  <si>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</si>
  <si>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</si>
  <si>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</si>
  <si>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</si>
  <si>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</si>
  <si>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</si>
  <si>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</si>
  <si>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</si>
  <si>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</si>
  <si>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</si>
  <si>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</si>
  <si>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</si>
  <si>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</si>
  <si>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</si>
  <si>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</si>
  <si>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</si>
  <si>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</si>
  <si>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</si>
  <si>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</si>
  <si>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</si>
  <si>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</si>
  <si>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</si>
  <si>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</si>
  <si>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</si>
  <si>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</si>
  <si>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</si>
  <si>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</si>
  <si>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</si>
  <si>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</si>
  <si>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</si>
  <si>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</si>
  <si>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</si>
  <si>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</si>
  <si>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</si>
  <si>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</si>
  <si>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</si>
  <si>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</si>
  <si>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</si>
  <si>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</si>
  <si>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</si>
  <si>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</si>
  <si>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</si>
  <si>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</si>
  <si>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</si>
  <si>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</si>
  <si>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</si>
  <si>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</si>
  <si>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</si>
  <si>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</si>
  <si>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</si>
  <si>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</si>
  <si>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</si>
  <si>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</si>
  <si>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</si>
  <si>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</si>
  <si>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</si>
  <si>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</si>
  <si>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</si>
  <si>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</si>
  <si>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</si>
  <si>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</si>
  <si>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</si>
  <si>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</si>
  <si>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</si>
  <si>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</si>
  <si>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</si>
  <si>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</si>
  <si>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</si>
  <si>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</si>
  <si>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</si>
  <si>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</si>
  <si>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</si>
  <si>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</si>
  <si>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</si>
  <si>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</si>
  <si>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</si>
  <si>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</si>
  <si>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</si>
  <si>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</si>
  <si>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</si>
  <si>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</si>
  <si>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</si>
  <si>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</si>
  <si>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</si>
  <si>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</si>
  <si>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</si>
  <si>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</si>
  <si>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</si>
  <si>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</si>
  <si>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</si>
  <si>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</si>
  <si>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</si>
  <si>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</si>
  <si>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</si>
  <si>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</si>
  <si>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</si>
  <si>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</si>
  <si>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</si>
  <si>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</si>
  <si>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</si>
  <si>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</si>
  <si>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</si>
  <si>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</si>
  <si>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</si>
  <si>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</si>
  <si>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</si>
  <si>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</si>
  <si>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</si>
  <si>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</si>
  <si>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</si>
  <si>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</si>
  <si>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</si>
  <si>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</si>
  <si>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</si>
  <si>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</si>
  <si>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</si>
  <si>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</si>
  <si>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</si>
  <si>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</si>
  <si>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</si>
  <si>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</si>
  <si>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</si>
  <si>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</si>
  <si>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</si>
  <si>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</si>
  <si>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</si>
  <si>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</si>
  <si>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</si>
  <si>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</si>
  <si>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</si>
  <si>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</si>
  <si>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</si>
  <si>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</si>
  <si>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</si>
  <si>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</si>
  <si>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</si>
  <si>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</si>
  <si>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</si>
  <si>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</si>
  <si>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</si>
  <si>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</si>
  <si>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</si>
  <si>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</si>
  <si>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</si>
  <si>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</si>
  <si>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</si>
  <si>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</si>
  <si>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</si>
  <si>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</si>
  <si>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</si>
  <si>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</si>
  <si>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</si>
  <si>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</si>
  <si>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</si>
  <si>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</si>
  <si>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</si>
  <si>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</si>
  <si>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</si>
  <si>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</si>
  <si>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</si>
  <si>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</si>
  <si>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</si>
  <si>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</si>
  <si>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</si>
  <si>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</si>
  <si>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</si>
  <si>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</si>
  <si>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</si>
  <si>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</si>
  <si>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</si>
  <si>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</si>
  <si>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</si>
  <si>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</si>
  <si>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</si>
  <si>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</si>
  <si>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</si>
  <si>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</si>
  <si>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</si>
  <si>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</si>
  <si>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</si>
  <si>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</si>
  <si>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</si>
  <si>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</si>
  <si>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</si>
  <si>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</si>
  <si>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</si>
  <si>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</si>
  <si>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</si>
  <si>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</si>
  <si>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</si>
  <si>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</si>
  <si>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</si>
  <si>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</si>
  <si>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</si>
  <si>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</si>
  <si>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</si>
  <si>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</si>
  <si>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</si>
  <si>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</si>
  <si>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</si>
  <si>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</si>
  <si>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</si>
  <si>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</si>
  <si>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</si>
  <si>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</si>
  <si>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</si>
  <si>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</si>
  <si>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</si>
  <si>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</si>
  <si>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</si>
  <si>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</si>
  <si>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</si>
  <si>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</si>
  <si>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</si>
  <si>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</si>
  <si>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</si>
  <si>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</si>
  <si>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</si>
  <si>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</si>
  <si>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</si>
  <si>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</si>
  <si>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</si>
  <si>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</si>
  <si>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</si>
  <si>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</si>
  <si>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</si>
  <si>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</si>
  <si>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</si>
  <si>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</si>
  <si>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</si>
  <si>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</si>
  <si>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</si>
  <si>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</si>
  <si>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</si>
  <si>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</si>
  <si>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</si>
  <si>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</si>
  <si>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</si>
  <si>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</si>
  <si>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</si>
  <si>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</si>
  <si>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</si>
  <si>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</si>
  <si>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</si>
  <si>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</si>
  <si>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</si>
  <si>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</si>
  <si>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</si>
  <si>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</si>
  <si>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</si>
  <si>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</si>
  <si>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</si>
  <si>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</si>
  <si>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</si>
  <si>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</si>
  <si>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</si>
  <si>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</si>
  <si>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</si>
  <si>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</si>
  <si>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</si>
  <si>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</si>
  <si>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</si>
  <si>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</si>
  <si>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</si>
  <si>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</si>
  <si>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</si>
  <si>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</si>
  <si>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</si>
  <si>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</si>
  <si>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</si>
  <si>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</si>
  <si>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</si>
  <si>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</si>
  <si>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</si>
  <si>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</si>
  <si>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</si>
  <si>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</si>
  <si>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</si>
  <si>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</si>
  <si>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</si>
  <si>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</si>
  <si>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</si>
  <si>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</si>
  <si>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</si>
  <si>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</si>
  <si>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</si>
  <si>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</si>
  <si>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</si>
  <si>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</si>
  <si>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</si>
  <si>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</si>
  <si>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</si>
  <si>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</si>
  <si>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</si>
  <si>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</si>
  <si>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</si>
  <si>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</si>
  <si>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</si>
  <si>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</si>
  <si>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</si>
  <si>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</si>
  <si>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</si>
  <si>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</si>
  <si>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</si>
  <si>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</si>
  <si>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</si>
  <si>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</si>
  <si>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</si>
  <si>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</si>
  <si>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</si>
  <si>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</si>
  <si>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</si>
  <si>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</si>
  <si>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</si>
  <si>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</si>
  <si>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</si>
  <si>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</si>
  <si>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</si>
  <si>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</si>
  <si>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</si>
  <si>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</si>
  <si>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</si>
  <si>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</si>
  <si>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</si>
  <si>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</si>
  <si>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</si>
  <si>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</si>
  <si>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</si>
  <si>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</si>
  <si>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</si>
  <si>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</si>
  <si>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</si>
  <si>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</si>
  <si>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</si>
  <si>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</si>
  <si>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</si>
  <si>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</si>
  <si>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</si>
  <si>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</si>
  <si>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</si>
  <si>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</si>
  <si>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</si>
  <si>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</si>
  <si>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</si>
  <si>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</si>
  <si>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</si>
  <si>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</si>
  <si>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</si>
  <si>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</si>
  <si>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</si>
  <si>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</si>
  <si>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</si>
  <si>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</si>
  <si>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</si>
  <si>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</si>
  <si>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</si>
  <si>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</si>
  <si>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</si>
  <si>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</si>
  <si>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</si>
  <si>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</si>
  <si>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</si>
  <si>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</si>
  <si>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</si>
  <si>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</si>
  <si>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</si>
  <si>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</si>
  <si>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</si>
  <si>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</si>
  <si>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</si>
  <si>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</si>
  <si>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</si>
  <si>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</si>
  <si>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</si>
  <si>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</si>
  <si>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</si>
  <si>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</si>
  <si>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</si>
  <si>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</si>
  <si>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</si>
  <si>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</si>
  <si>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</si>
  <si>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</si>
  <si>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</si>
  <si>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</si>
  <si>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</si>
  <si>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</si>
  <si>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</si>
  <si>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</si>
  <si>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</si>
  <si>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</si>
  <si>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</si>
  <si>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</si>
  <si>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</si>
  <si>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</si>
  <si>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</si>
  <si>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</si>
  <si>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</si>
  <si>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</si>
  <si>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</si>
  <si>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</si>
  <si>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</si>
  <si>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</si>
  <si>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</si>
  <si>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</si>
  <si>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</si>
  <si>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</si>
  <si>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</si>
  <si>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</si>
  <si>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</si>
  <si>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</si>
  <si>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</si>
  <si>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</si>
  <si>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</si>
  <si>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</si>
  <si>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</si>
  <si>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</si>
  <si>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</si>
  <si>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</si>
  <si>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</si>
  <si>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</si>
  <si>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</si>
  <si>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</si>
  <si>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</si>
  <si>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</si>
  <si>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</si>
  <si>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</si>
  <si>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</si>
  <si>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</si>
  <si>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</si>
  <si>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</si>
  <si>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</si>
  <si>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</si>
  <si>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</si>
  <si>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</si>
  <si>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</si>
  <si>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</si>
  <si>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</si>
  <si>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</si>
  <si>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</si>
  <si>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</si>
  <si>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</si>
  <si>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</si>
  <si>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</si>
  <si>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</si>
  <si>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</si>
  <si>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</si>
  <si>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</si>
  <si>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</si>
  <si>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</si>
  <si>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</si>
  <si>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</si>
  <si>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</si>
  <si>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</si>
  <si>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</si>
  <si>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</si>
  <si>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</si>
  <si>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</si>
  <si>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</si>
  <si>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</si>
  <si>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</si>
  <si>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</si>
  <si>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</si>
  <si>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</si>
  <si>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</si>
  <si>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</si>
  <si>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</si>
  <si>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</si>
  <si>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</si>
  <si>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</si>
  <si>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</si>
  <si>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</si>
  <si>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</si>
  <si>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</si>
  <si>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</si>
  <si>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</si>
  <si>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</si>
  <si>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</si>
  <si>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</si>
  <si>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</si>
  <si>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</si>
  <si>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</si>
  <si>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</si>
  <si>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</si>
  <si>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</si>
  <si>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</si>
  <si>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</si>
  <si>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</si>
  <si>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</si>
  <si>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</si>
  <si>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</si>
  <si>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</si>
  <si>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</si>
  <si>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</si>
  <si>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</si>
  <si>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</si>
  <si>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</si>
  <si>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</si>
  <si>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</si>
  <si>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</si>
  <si>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</si>
  <si>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</si>
  <si>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</si>
  <si>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</si>
  <si>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</si>
  <si>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</si>
  <si>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</si>
  <si>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</si>
  <si>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</si>
  <si>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</si>
  <si>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</si>
  <si>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</si>
  <si>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</si>
  <si>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</si>
  <si>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</si>
  <si>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</si>
  <si>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</si>
  <si>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</si>
  <si>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</si>
  <si>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</si>
  <si>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</si>
  <si>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</si>
  <si>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</si>
  <si>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</si>
  <si>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</si>
  <si>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</si>
  <si>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</si>
  <si>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</si>
  <si>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</si>
  <si>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</si>
  <si>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</si>
  <si>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</si>
  <si>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</si>
  <si>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</si>
  <si>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</si>
  <si>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</si>
  <si>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</si>
  <si>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</si>
  <si>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</si>
  <si>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</si>
  <si>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</si>
  <si>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</si>
  <si>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</si>
  <si>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</si>
  <si>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</si>
  <si>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</si>
  <si>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</si>
  <si>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</si>
  <si>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</si>
  <si>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</si>
  <si>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</si>
  <si>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</si>
  <si>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</si>
  <si>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</si>
  <si>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</si>
  <si>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</si>
  <si>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</si>
  <si>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</si>
  <si>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</si>
  <si>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</si>
  <si>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</si>
  <si>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</si>
  <si>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</si>
  <si>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</si>
  <si>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</si>
  <si>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</si>
  <si>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</si>
  <si>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</si>
  <si>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</si>
  <si>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</si>
  <si>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</si>
  <si>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</si>
  <si>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</si>
  <si>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</si>
  <si>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</si>
  <si>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</si>
  <si>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</si>
  <si>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</si>
  <si>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</si>
  <si>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</si>
  <si>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</si>
  <si>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</si>
  <si>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</si>
  <si>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</si>
  <si>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</si>
  <si>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</si>
  <si>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</si>
  <si>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</si>
  <si>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</si>
  <si>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</si>
  <si>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</si>
  <si>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</si>
  <si>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</si>
  <si>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</si>
  <si>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</si>
  <si>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</si>
  <si>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</si>
  <si>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</si>
  <si>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</si>
  <si>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</si>
  <si>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</si>
  <si>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</si>
  <si>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</si>
  <si>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</si>
  <si>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</si>
  <si>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</si>
  <si>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</si>
  <si>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</si>
  <si>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</si>
  <si>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</si>
  <si>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</si>
  <si>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</si>
  <si>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</si>
  <si>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</si>
  <si>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</si>
  <si>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</si>
  <si>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</si>
  <si>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</si>
  <si>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</si>
  <si>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</si>
  <si>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</si>
  <si>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</si>
  <si>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</si>
  <si>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</si>
  <si>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</si>
  <si>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</si>
  <si>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</si>
  <si>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</si>
  <si>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</si>
  <si>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</si>
  <si>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</si>
  <si>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</si>
  <si>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</si>
  <si>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</si>
  <si>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</si>
  <si>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</si>
  <si>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</si>
  <si>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</si>
  <si>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</si>
  <si>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</si>
  <si>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</si>
  <si>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</si>
  <si>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</si>
  <si>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</si>
  <si>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</si>
  <si>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</si>
  <si>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</si>
  <si>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</si>
  <si>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</si>
  <si>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</si>
  <si>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</si>
  <si>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</si>
  <si>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</si>
  <si>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</si>
  <si>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</si>
  <si>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</si>
  <si>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</si>
  <si>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</si>
  <si>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</si>
  <si>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</si>
  <si>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</si>
  <si>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</si>
  <si>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</si>
  <si>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</si>
  <si>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</si>
  <si>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</si>
  <si>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</si>
  <si>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</si>
  <si>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</si>
  <si>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</si>
  <si>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</si>
  <si>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</si>
  <si>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</si>
  <si>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</si>
  <si>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</si>
  <si>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</si>
  <si>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</si>
  <si>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</si>
  <si>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</si>
  <si>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</si>
  <si>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</si>
  <si>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</si>
  <si>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</si>
  <si>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</si>
  <si>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</si>
  <si>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</si>
  <si>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</si>
  <si>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</si>
  <si>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</si>
  <si>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</si>
  <si>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</si>
  <si>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</si>
  <si>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</si>
  <si>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</si>
  <si>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</si>
  <si>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</si>
  <si>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</si>
  <si>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</si>
  <si>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</si>
  <si>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</si>
  <si>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</si>
  <si>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</si>
  <si>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</si>
  <si>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</si>
  <si>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</si>
  <si>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</si>
  <si>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</si>
  <si>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</si>
  <si>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</si>
  <si>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</si>
  <si>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</si>
  <si>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</si>
  <si>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</si>
  <si>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</si>
  <si>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</si>
  <si>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</si>
  <si>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</si>
  <si>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</si>
  <si>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</si>
  <si>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</si>
  <si>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</si>
  <si>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</si>
  <si>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</si>
  <si>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</si>
  <si>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</si>
  <si>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</si>
  <si>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</si>
  <si>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</si>
  <si>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</si>
  <si>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</si>
  <si>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</si>
  <si>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</si>
  <si>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</si>
  <si>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</si>
  <si>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</si>
  <si>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</si>
  <si>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</si>
  <si>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</si>
  <si>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</si>
  <si>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</si>
  <si>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</si>
  <si>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</si>
  <si>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</si>
  <si>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</si>
  <si>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</si>
  <si>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</si>
  <si>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</si>
  <si>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</si>
  <si>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</si>
  <si>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</si>
  <si>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</si>
  <si>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</si>
  <si>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</si>
  <si>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</si>
  <si>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</si>
  <si>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</si>
  <si>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</si>
  <si>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</si>
  <si>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</si>
  <si>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</si>
  <si>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</si>
  <si>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</si>
  <si>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</si>
  <si>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</si>
  <si>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</si>
  <si>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</si>
  <si>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</si>
  <si>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</si>
  <si>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</si>
  <si>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</si>
  <si>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</si>
  <si>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</si>
  <si>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</si>
  <si>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</si>
  <si>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</si>
  <si>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</si>
  <si>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</si>
  <si>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</si>
  <si>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</si>
  <si>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</si>
  <si>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</si>
  <si>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</si>
  <si>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</si>
  <si>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</si>
  <si>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</si>
  <si>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</si>
  <si>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</si>
  <si>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</si>
  <si>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</si>
  <si>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</si>
  <si>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</si>
  <si>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</si>
  <si>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</si>
  <si>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</si>
  <si>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</si>
  <si>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</si>
  <si>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</si>
  <si>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</si>
  <si>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</si>
  <si>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</si>
  <si>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</si>
  <si>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</si>
  <si>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</si>
  <si>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</si>
  <si>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</si>
  <si>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</si>
  <si>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</si>
  <si>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</si>
  <si>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</si>
  <si>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</si>
  <si>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</si>
  <si>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</si>
  <si>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</si>
  <si>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</si>
  <si>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</si>
  <si>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</si>
  <si>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</si>
  <si>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</si>
  <si>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</si>
  <si>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</si>
  <si>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</si>
  <si>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</si>
  <si>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</si>
  <si>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</si>
  <si>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</si>
  <si>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</si>
  <si>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</si>
  <si>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</si>
  <si>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</si>
  <si>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</si>
  <si>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</si>
  <si>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</si>
  <si>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</si>
  <si>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</si>
  <si>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</si>
  <si>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</si>
  <si>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</si>
  <si>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</si>
  <si>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</si>
  <si>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</si>
  <si>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</si>
  <si>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</si>
  <si>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</si>
  <si>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</si>
  <si>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</si>
  <si>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</si>
  <si>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</si>
  <si>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</si>
  <si>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</si>
  <si>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</si>
  <si>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</si>
  <si>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</si>
  <si>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</si>
  <si>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</si>
  <si>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</si>
  <si>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</si>
  <si>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</si>
  <si>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</si>
  <si>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</si>
  <si>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</si>
  <si>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</si>
  <si>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</si>
  <si>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</si>
  <si>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</si>
  <si>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</si>
  <si>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</si>
  <si>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</si>
  <si>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</si>
  <si>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</si>
  <si>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</si>
  <si>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</si>
  <si>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</si>
  <si>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</si>
  <si>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</si>
  <si>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</si>
  <si>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</si>
  <si>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</si>
  <si>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</si>
  <si>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</si>
  <si>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</si>
  <si>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</si>
  <si>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</si>
  <si>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</si>
  <si>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</si>
  <si>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</si>
  <si>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</si>
  <si>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</si>
  <si>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</si>
  <si>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</si>
  <si>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</si>
  <si>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</si>
  <si>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</si>
  <si>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</si>
  <si>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</si>
  <si>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</si>
  <si>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</si>
  <si>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</si>
  <si>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</si>
  <si>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</si>
  <si>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</si>
  <si>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</si>
  <si>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</si>
  <si>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</si>
  <si>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</si>
  <si>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</si>
  <si>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</si>
  <si>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</si>
  <si>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</si>
  <si>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</si>
  <si>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</si>
  <si>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</si>
  <si>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</si>
  <si>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</si>
  <si>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</si>
  <si>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</si>
  <si>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</si>
  <si>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</si>
  <si>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</si>
  <si>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</si>
  <si>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</si>
  <si>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</si>
  <si>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</si>
  <si>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</si>
  <si>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</si>
  <si>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</si>
  <si>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</si>
  <si>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</si>
  <si>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</si>
  <si>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</si>
  <si>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</si>
  <si>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</si>
  <si>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</si>
  <si>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</si>
  <si>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</si>
  <si>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</si>
  <si>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</si>
  <si>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</si>
  <si>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</si>
  <si>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</si>
  <si>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</si>
  <si>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</si>
  <si>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</si>
  <si>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</si>
  <si>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</si>
  <si>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</si>
  <si>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</si>
  <si>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</si>
  <si>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</si>
  <si>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</si>
  <si>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</si>
  <si>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</si>
  <si>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</si>
  <si>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</si>
  <si>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</si>
  <si>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</si>
  <si>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</si>
  <si>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</si>
  <si>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</si>
  <si>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</si>
  <si>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</si>
  <si>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</si>
  <si>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</si>
  <si>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</si>
  <si>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</si>
  <si>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</si>
  <si>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</si>
  <si>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</si>
  <si>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</si>
  <si>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</si>
  <si>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</si>
  <si>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</si>
  <si>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</si>
  <si>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</si>
  <si>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</si>
  <si>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</si>
  <si>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</si>
  <si>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</si>
  <si>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</si>
  <si>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</si>
  <si>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</si>
  <si>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</si>
  <si>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</si>
  <si>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</si>
  <si>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</si>
  <si>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</si>
  <si>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</si>
  <si>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</si>
  <si>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</si>
  <si>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</si>
  <si>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</si>
  <si>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</si>
  <si>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</si>
  <si>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</si>
  <si>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</si>
  <si>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</si>
  <si>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</si>
  <si>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</si>
  <si>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</si>
  <si>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</si>
  <si>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</si>
  <si>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</si>
  <si>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</si>
  <si>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</si>
  <si>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</si>
  <si>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</si>
  <si>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</si>
  <si>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</si>
  <si>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</si>
  <si>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</si>
  <si>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</si>
  <si>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</si>
  <si>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</si>
  <si>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</si>
  <si>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</si>
  <si>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</si>
  <si>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</si>
  <si>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</si>
  <si>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</si>
  <si>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</si>
  <si>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</si>
  <si>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</si>
  <si>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</si>
  <si>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</si>
  <si>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</si>
  <si>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</si>
  <si>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</si>
  <si>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</si>
  <si>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</si>
  <si>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</si>
  <si>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</si>
  <si>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</si>
  <si>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</si>
  <si>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</si>
  <si>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</si>
  <si>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</si>
  <si>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</si>
  <si>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</si>
  <si>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</si>
  <si>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</si>
  <si>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</si>
  <si>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</si>
  <si>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</si>
  <si>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</si>
  <si>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</si>
  <si>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</si>
  <si>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</si>
  <si>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</si>
  <si>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</si>
  <si>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</si>
  <si>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</si>
  <si>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</si>
  <si>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</si>
  <si>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</si>
  <si>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</si>
  <si>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</si>
  <si>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</si>
  <si>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</si>
  <si>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</si>
  <si>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</si>
  <si>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</si>
  <si>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</si>
  <si>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</si>
  <si>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</si>
  <si>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</si>
  <si>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</si>
  <si>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</si>
  <si>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</si>
  <si>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</si>
  <si>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</si>
  <si>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</si>
  <si>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</si>
  <si>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</si>
  <si>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</si>
  <si>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</si>
  <si>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</si>
  <si>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</si>
  <si>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</si>
  <si>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</si>
  <si>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</si>
  <si>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</si>
  <si>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</si>
  <si>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</si>
  <si>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</si>
  <si>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</si>
  <si>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</si>
  <si>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</si>
  <si>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</si>
  <si>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</si>
  <si>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</si>
  <si>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</si>
  <si>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</si>
  <si>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</si>
  <si>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</si>
  <si>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</si>
  <si>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</si>
  <si>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</si>
  <si>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</si>
  <si>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</si>
  <si>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</si>
  <si>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</si>
  <si>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</si>
  <si>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</si>
  <si>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</si>
  <si>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</si>
  <si>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</si>
  <si>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</si>
  <si>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</si>
  <si>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</si>
  <si>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</si>
  <si>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</si>
  <si>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</si>
  <si>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</si>
  <si>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</si>
  <si>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</si>
  <si>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</si>
  <si>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</si>
  <si>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</si>
  <si>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</si>
  <si>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</si>
  <si>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</si>
  <si>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</si>
  <si>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</si>
  <si>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</si>
  <si>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</si>
  <si>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</si>
  <si>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</si>
  <si>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</si>
  <si>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</si>
  <si>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</si>
  <si>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</si>
  <si>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</si>
  <si>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</si>
  <si>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</si>
  <si>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</si>
  <si>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</si>
  <si>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</si>
  <si>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</si>
  <si>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</si>
  <si>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</si>
  <si>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</si>
  <si>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</si>
  <si>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</si>
  <si>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</si>
  <si>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</si>
  <si>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</si>
  <si>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</si>
  <si>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</si>
  <si>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</si>
  <si>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</si>
  <si>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</si>
  <si>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</si>
  <si>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</si>
  <si>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</si>
  <si>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</si>
  <si>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</si>
  <si>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</si>
  <si>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</si>
  <si>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</si>
  <si>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</si>
  <si>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</si>
  <si>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</si>
  <si>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</si>
  <si>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</si>
  <si>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</si>
  <si>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</si>
  <si>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</si>
  <si>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</si>
  <si>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</si>
  <si>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</si>
  <si>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</si>
  <si>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</si>
  <si>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</si>
  <si>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</si>
  <si>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</si>
  <si>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</si>
  <si>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</si>
  <si>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</si>
  <si>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</si>
  <si>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</si>
  <si>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</si>
  <si>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</si>
  <si>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</si>
  <si>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</si>
  <si>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</si>
  <si>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</si>
  <si>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</si>
  <si>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</si>
  <si>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</si>
  <si>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</si>
  <si>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</si>
  <si>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</si>
  <si>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</si>
  <si>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</si>
  <si>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</si>
  <si>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</si>
  <si>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</si>
  <si>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</si>
  <si>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</si>
  <si>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</si>
  <si>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</si>
  <si>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</si>
  <si>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</si>
  <si>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</si>
  <si>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</si>
  <si>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</si>
  <si>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</si>
  <si>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</si>
  <si>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</si>
  <si>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</si>
  <si>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</si>
  <si>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</si>
  <si>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</si>
  <si>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</si>
  <si>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</si>
  <si>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</si>
  <si>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</si>
  <si>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</si>
  <si>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</si>
  <si>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</si>
  <si>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</si>
  <si>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</si>
  <si>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</si>
  <si>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</si>
  <si>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</si>
  <si>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</si>
  <si>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</si>
  <si>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</si>
  <si>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</si>
  <si>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</si>
  <si>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</si>
  <si>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</si>
  <si>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</si>
  <si>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</si>
  <si>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</si>
  <si>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</si>
  <si>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</si>
  <si>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</si>
  <si>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</si>
  <si>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</si>
  <si>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</si>
  <si>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</si>
  <si>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</si>
  <si>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</si>
  <si>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</si>
  <si>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</si>
  <si>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</si>
  <si>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</si>
  <si>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</si>
  <si>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</si>
  <si>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</si>
  <si>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</si>
  <si>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</si>
  <si>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</si>
  <si>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</si>
  <si>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</si>
  <si>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</si>
  <si>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</si>
  <si>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</si>
  <si>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</si>
  <si>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</si>
  <si>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</si>
  <si>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</si>
  <si>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</si>
  <si>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</si>
  <si>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</si>
  <si>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</si>
  <si>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</si>
  <si>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</si>
  <si>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</si>
  <si>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</si>
  <si>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</si>
  <si>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</si>
  <si>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</si>
  <si>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</si>
  <si>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</si>
  <si>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</si>
  <si>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</si>
  <si>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</si>
  <si>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</si>
  <si>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</si>
  <si>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</si>
  <si>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</si>
  <si>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</si>
  <si>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</si>
  <si>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</si>
  <si>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</si>
  <si>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</si>
  <si>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</si>
  <si>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</si>
  <si>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</si>
  <si>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</si>
  <si>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</si>
  <si>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</si>
  <si>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</si>
  <si>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</si>
  <si>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</si>
  <si>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</si>
  <si>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</si>
  <si>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</si>
  <si>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</si>
  <si>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</si>
  <si>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</si>
  <si>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</si>
  <si>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</si>
  <si>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</si>
  <si>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</si>
  <si>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</si>
  <si>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</si>
  <si>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</si>
  <si>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</si>
  <si>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</si>
  <si>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</si>
  <si>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</si>
  <si>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</si>
  <si>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</si>
  <si>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</si>
  <si>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</si>
  <si>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</si>
  <si>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</si>
  <si>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</si>
  <si>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</si>
  <si>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</si>
  <si>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</si>
  <si>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</si>
  <si>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</si>
  <si>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</si>
  <si>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</si>
  <si>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</si>
  <si>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</si>
  <si>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</si>
  <si>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</si>
  <si>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</si>
  <si>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</si>
  <si>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</si>
  <si>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</si>
  <si>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</si>
  <si>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</si>
  <si>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</si>
  <si>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</si>
  <si>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</si>
  <si>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</si>
  <si>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</si>
  <si>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</si>
  <si>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</si>
  <si>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</si>
  <si>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</si>
  <si>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</si>
  <si>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</si>
  <si>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</si>
  <si>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</si>
  <si>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</si>
  <si>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</si>
  <si>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</si>
  <si>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</si>
  <si>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</si>
  <si>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</si>
  <si>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</si>
  <si>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</si>
  <si>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</si>
  <si>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</si>
  <si>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</si>
  <si>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</si>
  <si>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</si>
  <si>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</si>
  <si>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</si>
  <si>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</si>
  <si>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</si>
  <si>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</si>
  <si>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</si>
  <si>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</si>
  <si>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</si>
  <si>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</si>
  <si>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</si>
  <si>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</si>
  <si>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</si>
  <si>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</si>
  <si>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</si>
  <si>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</si>
  <si>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</si>
  <si>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</si>
  <si>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</si>
  <si>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</si>
  <si>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</si>
  <si>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</si>
  <si>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</si>
  <si>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</si>
  <si>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</si>
  <si>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</si>
  <si>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</si>
  <si>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</si>
  <si>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</si>
  <si>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</si>
  <si>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</si>
  <si>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</si>
  <si>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</si>
  <si>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</si>
  <si>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</si>
  <si>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</si>
  <si>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</si>
  <si>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</si>
  <si>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</si>
  <si>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</si>
  <si>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</si>
  <si>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</si>
  <si>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</si>
  <si>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</si>
  <si>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</si>
  <si>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</si>
  <si>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</si>
  <si>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</si>
  <si>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</si>
  <si>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</si>
  <si>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</si>
  <si>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</si>
  <si>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</si>
  <si>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</si>
  <si>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</si>
  <si>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</si>
  <si>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</si>
  <si>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</si>
  <si>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</si>
  <si>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</si>
  <si>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</si>
  <si>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</si>
  <si>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</si>
  <si>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</si>
  <si>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</si>
  <si>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</si>
  <si>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</si>
  <si>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</si>
  <si>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</si>
  <si>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</si>
  <si>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</si>
  <si>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</si>
  <si>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</si>
  <si>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</si>
  <si>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</si>
  <si>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</si>
  <si>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</si>
  <si>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</si>
  <si>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</si>
  <si>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</si>
  <si>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</si>
  <si>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</si>
  <si>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</si>
  <si>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</si>
  <si>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</si>
  <si>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</si>
  <si>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</si>
  <si>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</si>
  <si>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</si>
  <si>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</si>
  <si>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</si>
  <si>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</si>
  <si>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</si>
  <si>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</si>
  <si>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</si>
  <si>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</si>
  <si>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</si>
  <si>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</si>
  <si>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</si>
  <si>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</si>
  <si>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</si>
  <si>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</si>
  <si>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</si>
  <si>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</si>
  <si>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</si>
  <si>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</si>
  <si>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</si>
  <si>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</si>
  <si>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</si>
  <si>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</si>
  <si>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</si>
  <si>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</si>
  <si>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</si>
  <si>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</si>
  <si>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</si>
  <si>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</si>
  <si>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</si>
  <si>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</si>
  <si>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</si>
  <si>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</si>
  <si>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</si>
  <si>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</si>
  <si>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</si>
  <si>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</si>
  <si>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</si>
  <si>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</si>
  <si>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</si>
  <si>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</si>
  <si>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</si>
  <si>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</si>
  <si>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</si>
  <si>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</si>
  <si>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</si>
  <si>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</si>
  <si>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</si>
  <si>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</si>
  <si>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</si>
  <si>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</si>
  <si>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</si>
  <si>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</si>
  <si>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</si>
  <si>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</si>
  <si>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</si>
  <si>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</si>
  <si>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</si>
  <si>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</si>
  <si>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</si>
  <si>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</si>
  <si>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</si>
  <si>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</si>
  <si>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</si>
  <si>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</si>
  <si>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</si>
  <si>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</si>
  <si>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</si>
  <si>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</si>
  <si>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</si>
  <si>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</si>
  <si>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</si>
  <si>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</si>
  <si>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</si>
  <si>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</si>
  <si>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</si>
  <si>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</si>
  <si>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</si>
  <si>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</si>
  <si>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</si>
  <si>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</si>
  <si>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</si>
  <si>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</si>
  <si>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</si>
  <si>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</si>
  <si>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</si>
  <si>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</si>
  <si>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</si>
  <si>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</si>
  <si>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</si>
  <si>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</si>
  <si>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</si>
  <si>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</si>
  <si>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</si>
  <si>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</si>
  <si>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</si>
  <si>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</si>
  <si>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</si>
  <si>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</si>
  <si>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</si>
  <si>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</si>
  <si>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</si>
  <si>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</si>
  <si>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</si>
  <si>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</si>
  <si>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</si>
  <si>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</si>
  <si>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</si>
  <si>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</si>
  <si>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</si>
  <si>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</si>
  <si>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</si>
  <si>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</si>
  <si>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</si>
  <si>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</si>
  <si>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</si>
  <si>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</si>
  <si>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</si>
  <si>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</si>
  <si>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</si>
  <si>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</si>
  <si>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</si>
  <si>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</si>
  <si>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</si>
  <si>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</si>
  <si>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</si>
  <si>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</si>
  <si>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</si>
  <si>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</si>
  <si>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</si>
  <si>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</si>
  <si>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</si>
  <si>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</si>
  <si>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</si>
  <si>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</si>
  <si>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</si>
  <si>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</si>
  <si>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</si>
  <si>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</si>
  <si>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</si>
  <si>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</si>
  <si>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</si>
  <si>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</si>
  <si>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</si>
  <si>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</si>
  <si>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</si>
  <si>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</si>
  <si>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</si>
  <si>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</si>
  <si>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</si>
  <si>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</si>
  <si>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</si>
  <si>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</si>
  <si>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</si>
  <si>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</si>
  <si>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</si>
  <si>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</si>
  <si>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</si>
  <si>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</si>
  <si>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</si>
  <si>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</si>
  <si>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</si>
  <si>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</si>
  <si>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</si>
  <si>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</si>
  <si>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</si>
  <si>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</si>
  <si>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</si>
  <si>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</si>
  <si>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</si>
  <si>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</si>
  <si>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</si>
  <si>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</si>
  <si>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</si>
  <si>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</si>
  <si>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</si>
  <si>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</si>
  <si>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</si>
  <si>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</si>
  <si>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</si>
  <si>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</si>
  <si>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</si>
  <si>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</si>
  <si>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</si>
  <si>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</si>
  <si>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</si>
  <si>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</si>
  <si>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</si>
  <si>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</si>
  <si>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</si>
  <si>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</si>
  <si>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</si>
  <si>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</si>
  <si>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</si>
  <si>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</si>
  <si>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</si>
  <si>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</si>
  <si>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</si>
  <si>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</si>
  <si>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</si>
  <si>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</si>
  <si>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</si>
  <si>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</si>
  <si>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</si>
  <si>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</si>
  <si>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</si>
  <si>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</si>
  <si>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</si>
  <si>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</si>
  <si>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</si>
  <si>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</si>
  <si>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</si>
  <si>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</si>
  <si>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</si>
  <si>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</si>
  <si>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</si>
  <si>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</si>
  <si>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</si>
  <si>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</si>
  <si>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</si>
  <si>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</si>
  <si>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</si>
  <si>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</si>
  <si>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</si>
  <si>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</si>
  <si>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</si>
  <si>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</si>
  <si>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</si>
  <si>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</si>
  <si>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</si>
  <si>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</si>
  <si>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</si>
  <si>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</si>
  <si>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</si>
  <si>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</si>
  <si>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</si>
  <si>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</si>
  <si>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</si>
  <si>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</si>
  <si>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</si>
  <si>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</si>
  <si>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</si>
  <si>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</si>
  <si>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</si>
  <si>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</si>
  <si>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</si>
  <si>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</si>
  <si>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</si>
  <si>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</si>
  <si>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</si>
  <si>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</si>
  <si>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</si>
  <si>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</si>
  <si>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</si>
  <si>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</si>
  <si>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</si>
  <si>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</si>
  <si>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</si>
  <si>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</si>
  <si>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</si>
  <si>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</si>
  <si>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</si>
  <si>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</si>
  <si>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</si>
  <si>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</si>
  <si>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</si>
  <si>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</si>
  <si>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</si>
  <si>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</si>
  <si>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</si>
  <si>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</si>
  <si>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</si>
  <si>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</si>
  <si>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</si>
  <si>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</si>
  <si>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</si>
  <si>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</si>
  <si>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</si>
  <si>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</si>
  <si>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</si>
  <si>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</si>
  <si>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</si>
  <si>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</si>
  <si>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</si>
  <si>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</si>
  <si>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</si>
  <si>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</si>
  <si>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</si>
  <si>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</si>
  <si>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</si>
  <si>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</si>
  <si>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</si>
  <si>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</si>
  <si>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</si>
  <si>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</si>
  <si>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</si>
  <si>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</si>
  <si>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</si>
  <si>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</si>
  <si>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</si>
  <si>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</si>
  <si>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</si>
  <si>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</si>
  <si>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</si>
  <si>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</si>
  <si>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</si>
  <si>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</si>
  <si>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</si>
  <si>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</si>
  <si>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</si>
  <si>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</si>
  <si>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</si>
  <si>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</si>
  <si>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</si>
  <si>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</si>
  <si>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</si>
  <si>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</si>
  <si>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</si>
  <si>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</si>
  <si>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</si>
  <si>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</si>
  <si>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</si>
  <si>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</si>
  <si>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</si>
  <si>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</si>
  <si>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</si>
  <si>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</si>
  <si>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</si>
  <si>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</si>
  <si>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</si>
  <si>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</si>
  <si>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</si>
  <si>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</si>
  <si>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</si>
  <si>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</si>
  <si>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</si>
  <si>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</si>
  <si>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</si>
  <si>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</si>
  <si>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</si>
  <si>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</si>
  <si>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</si>
  <si>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</si>
  <si>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</si>
  <si>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</si>
  <si>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</si>
  <si>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</si>
  <si>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</si>
  <si>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</si>
  <si>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</si>
  <si>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</si>
  <si>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</si>
  <si>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</si>
  <si>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</si>
  <si>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</si>
  <si>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</si>
  <si>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</si>
  <si>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</si>
  <si>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</si>
  <si>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</si>
  <si>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</si>
  <si>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</si>
  <si>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</si>
  <si>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</si>
  <si>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</si>
  <si>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</si>
  <si>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</si>
  <si>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</si>
  <si>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</si>
  <si>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</si>
  <si>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</si>
  <si>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</si>
  <si>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</si>
  <si>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</si>
  <si>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</si>
  <si>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</si>
  <si>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</si>
  <si>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</si>
  <si>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</si>
  <si>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</si>
  <si>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</si>
  <si>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</si>
  <si>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</si>
  <si>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</si>
  <si>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</si>
  <si>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</si>
  <si>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</si>
  <si>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</si>
  <si>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</si>
  <si>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</si>
  <si>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</si>
  <si>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</si>
  <si>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</si>
  <si>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</si>
  <si>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</si>
  <si>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</si>
  <si>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</si>
  <si>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</si>
  <si>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</si>
  <si>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</si>
  <si>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</si>
  <si>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</si>
  <si>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</si>
  <si>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</si>
  <si>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</si>
  <si>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</si>
  <si>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</si>
  <si>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</si>
  <si>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</si>
  <si>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</si>
  <si>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</si>
  <si>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</si>
  <si>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</si>
  <si>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</si>
  <si>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</si>
  <si>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</si>
  <si>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</si>
  <si>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</si>
  <si>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</si>
  <si>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</si>
  <si>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</si>
  <si>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</si>
  <si>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</si>
  <si>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</si>
  <si>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</si>
  <si>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</si>
  <si>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</si>
  <si>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</si>
  <si>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</si>
  <si>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</si>
  <si>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</si>
  <si>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</si>
  <si>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</si>
  <si>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</si>
  <si>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</si>
  <si>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</si>
  <si>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</si>
  <si>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</si>
  <si>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</si>
  <si>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</si>
  <si>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</si>
  <si>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</si>
  <si>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</si>
  <si>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</si>
  <si>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</si>
  <si>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</si>
  <si>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</si>
  <si>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</si>
  <si>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</si>
  <si>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</si>
  <si>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</si>
  <si>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</si>
  <si>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</si>
  <si>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</si>
  <si>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</si>
  <si>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</si>
  <si>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</si>
  <si>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</si>
  <si>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</si>
  <si>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</si>
  <si>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</si>
  <si>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</si>
  <si>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</si>
  <si>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</si>
  <si>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</si>
  <si>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</si>
  <si>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</si>
  <si>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</si>
  <si>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</si>
  <si>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</si>
  <si>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</si>
  <si>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</si>
  <si>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</si>
  <si>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</si>
  <si>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</si>
  <si>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</si>
  <si>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</si>
  <si>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</si>
  <si>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</si>
  <si>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</si>
  <si>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</si>
  <si>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</si>
  <si>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</si>
  <si>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</si>
  <si>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</si>
  <si>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</si>
  <si>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</si>
  <si>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</si>
  <si>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</si>
  <si>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</si>
  <si>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</si>
  <si>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</si>
  <si>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</si>
  <si>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</si>
  <si>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</si>
  <si>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</si>
  <si>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</si>
  <si>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</si>
  <si>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</si>
  <si>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</si>
  <si>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</si>
  <si>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</si>
  <si>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</si>
  <si>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</si>
  <si>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</si>
  <si>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</si>
  <si>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</si>
  <si>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</si>
  <si>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</si>
  <si>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</si>
  <si>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</si>
  <si>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</si>
  <si>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</si>
  <si>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</si>
  <si>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</si>
  <si>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</si>
  <si>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</si>
  <si>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</si>
  <si>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</si>
  <si>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</si>
  <si>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</si>
  <si>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</si>
  <si>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</si>
  <si>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</si>
  <si>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</si>
  <si>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</si>
  <si>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</si>
  <si>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</si>
  <si>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</si>
  <si>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</si>
  <si>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</si>
  <si>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</si>
  <si>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</si>
  <si>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</si>
  <si>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</si>
  <si>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</si>
  <si>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</si>
  <si>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</si>
  <si>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</si>
  <si>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</si>
  <si>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</si>
  <si>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</si>
  <si>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</si>
  <si>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</si>
  <si>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</si>
  <si>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</si>
  <si>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</si>
  <si>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</si>
  <si>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</si>
  <si>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</si>
  <si>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</si>
  <si>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</si>
  <si>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</si>
  <si>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</si>
  <si>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</si>
  <si>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</si>
  <si>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</si>
  <si>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</si>
  <si>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</si>
  <si>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</si>
  <si>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</si>
  <si>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</si>
  <si>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</si>
  <si>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</si>
  <si>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</si>
  <si>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</si>
  <si>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</si>
  <si>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</si>
  <si>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</si>
  <si>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</si>
  <si>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</si>
  <si>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</si>
  <si>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</si>
  <si>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</si>
  <si>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</si>
  <si>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</si>
  <si>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</si>
  <si>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</si>
  <si>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</si>
  <si>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</si>
  <si>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</si>
  <si>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</si>
  <si>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</si>
  <si>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</si>
  <si>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</si>
  <si>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</si>
  <si>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</si>
  <si>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</si>
  <si>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</si>
  <si>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</si>
  <si>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</si>
  <si>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</si>
  <si>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</si>
  <si>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</si>
  <si>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</si>
  <si>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</si>
  <si>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</si>
  <si>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</si>
  <si>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</si>
  <si>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</si>
  <si>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</si>
  <si>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</si>
  <si>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</si>
  <si>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</si>
  <si>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</si>
  <si>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</si>
  <si>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</si>
  <si>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</si>
  <si>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</si>
  <si>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</si>
  <si>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</si>
  <si>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</si>
  <si>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</si>
  <si>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</si>
  <si>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</si>
  <si>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</si>
  <si>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</si>
  <si>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</si>
  <si>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</si>
  <si>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</si>
  <si>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</si>
  <si>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</si>
  <si>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</si>
  <si>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</si>
  <si>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</si>
  <si>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</si>
  <si>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</si>
  <si>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</si>
  <si>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</si>
  <si>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</si>
  <si>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</si>
  <si>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</si>
  <si>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</si>
  <si>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</si>
  <si>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</si>
  <si>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</si>
  <si>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</si>
  <si>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</si>
  <si>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</si>
  <si>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</si>
  <si>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</si>
  <si>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</si>
  <si>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</si>
  <si>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</si>
  <si>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</si>
  <si>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</si>
  <si>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</si>
  <si>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</si>
  <si>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</si>
  <si>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</si>
  <si>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</si>
  <si>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</si>
  <si>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</si>
  <si>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</si>
  <si>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</si>
  <si>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</si>
  <si>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</si>
  <si>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</si>
  <si>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</si>
  <si>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</si>
  <si>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</si>
  <si>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</si>
  <si>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</si>
  <si>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</si>
  <si>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</si>
  <si>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</si>
  <si>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</si>
  <si>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</si>
  <si>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</si>
  <si>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</si>
  <si>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</si>
  <si>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</si>
  <si>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</si>
  <si>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</si>
  <si>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</si>
  <si>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</si>
  <si>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</si>
  <si>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</si>
  <si>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</si>
  <si>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</si>
  <si>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</si>
  <si>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</si>
  <si>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</si>
  <si>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</si>
  <si>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</si>
  <si>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</si>
  <si>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</si>
  <si>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</si>
  <si>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</si>
  <si>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</si>
  <si>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</si>
  <si>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</si>
  <si>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</si>
  <si>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</si>
  <si>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</si>
  <si>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</si>
  <si>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</si>
  <si>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</si>
  <si>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</si>
  <si>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</si>
  <si>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</si>
  <si>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</si>
  <si>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</si>
  <si>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</si>
  <si>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</si>
  <si>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</si>
  <si>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</si>
  <si>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</si>
  <si>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</si>
  <si>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</si>
  <si>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</si>
  <si>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</si>
  <si>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</si>
  <si>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</si>
  <si>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</si>
  <si>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</si>
  <si>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</si>
  <si>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</si>
  <si>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</si>
  <si>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</si>
  <si>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</si>
  <si>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</si>
  <si>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</si>
  <si>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</si>
  <si>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</si>
  <si>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</si>
  <si>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</si>
  <si>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</si>
  <si>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</si>
  <si>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</si>
  <si>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</si>
  <si>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</si>
  <si>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</si>
  <si>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</si>
  <si>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</si>
  <si>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</si>
  <si>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</si>
  <si>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</si>
  <si>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</si>
  <si>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</si>
  <si>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</si>
  <si>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</si>
  <si>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</si>
  <si>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</si>
  <si>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</si>
  <si>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</si>
  <si>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</si>
  <si>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</si>
  <si>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</si>
  <si>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</si>
  <si>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</si>
  <si>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</si>
  <si>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</si>
  <si>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</si>
  <si>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</si>
  <si>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</si>
  <si>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</si>
  <si>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</si>
  <si>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</si>
  <si>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</si>
  <si>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</si>
  <si>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</si>
  <si>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</si>
  <si>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</si>
  <si>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</si>
  <si>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</si>
  <si>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</si>
  <si>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</si>
  <si>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</si>
  <si>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</si>
  <si>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</si>
  <si>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</si>
  <si>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</si>
  <si>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</si>
  <si>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</si>
  <si>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</si>
  <si>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</si>
  <si>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</si>
  <si>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</si>
  <si>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</si>
  <si>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</si>
  <si>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</si>
  <si>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</si>
  <si>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</si>
  <si>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</si>
  <si>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</si>
  <si>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</si>
  <si>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</si>
  <si>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</si>
  <si>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</si>
  <si>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</si>
  <si>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</si>
  <si>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</si>
  <si>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</si>
  <si>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</si>
  <si>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</si>
  <si>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</si>
  <si>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</si>
  <si>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</si>
  <si>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</si>
  <si>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</si>
  <si>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</si>
  <si>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</si>
  <si>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</si>
  <si>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</si>
  <si>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</si>
  <si>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</si>
  <si>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</si>
  <si>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</si>
  <si>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</si>
  <si>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</si>
  <si>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</si>
  <si>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</si>
  <si>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</si>
  <si>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</si>
  <si>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</si>
  <si>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</si>
  <si>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</si>
  <si>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</si>
  <si>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</si>
  <si>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</si>
  <si>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</si>
  <si>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</si>
  <si>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</si>
  <si>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</si>
  <si>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</si>
  <si>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</si>
  <si>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</si>
  <si>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</si>
  <si>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</si>
  <si>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</si>
  <si>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</si>
  <si>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</si>
  <si>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</si>
  <si>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</si>
  <si>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</si>
  <si>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</si>
  <si>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</si>
  <si>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</si>
  <si>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</si>
  <si>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</si>
  <si>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</si>
  <si>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</si>
  <si>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</si>
  <si>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</si>
  <si>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</si>
  <si>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</si>
  <si>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</si>
  <si>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</si>
  <si>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</si>
  <si>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</si>
  <si>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</si>
  <si>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</si>
  <si>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</si>
  <si>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</si>
  <si>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</si>
  <si>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</si>
  <si>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</si>
  <si>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</si>
  <si>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</si>
  <si>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</si>
  <si>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</si>
  <si>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</si>
  <si>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</si>
  <si>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</si>
  <si>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</si>
  <si>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</si>
  <si>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</si>
  <si>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</si>
  <si>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</si>
  <si>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</si>
  <si>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</si>
  <si>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</si>
  <si>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</si>
  <si>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</si>
  <si>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</si>
  <si>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</si>
  <si>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</si>
  <si>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</si>
  <si>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</si>
  <si>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</si>
  <si>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</si>
  <si>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</si>
  <si>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</si>
  <si>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</si>
  <si>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</si>
  <si>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</si>
  <si>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</si>
  <si>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</si>
  <si>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</si>
  <si>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</si>
  <si>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</si>
  <si>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</si>
  <si>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</si>
  <si>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</si>
  <si>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</si>
  <si>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</si>
  <si>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</si>
  <si>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</si>
  <si>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</si>
  <si>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</si>
  <si>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</si>
  <si>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</si>
  <si>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</si>
  <si>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</si>
  <si>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</si>
  <si>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</si>
  <si>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</si>
  <si>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</si>
  <si>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</si>
  <si>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</si>
  <si>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</si>
  <si>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</si>
  <si>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</si>
  <si>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</si>
  <si>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</si>
  <si>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</si>
  <si>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</si>
  <si>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</si>
  <si>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</si>
  <si>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</si>
  <si>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</si>
  <si>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</si>
  <si>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</si>
  <si>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</si>
  <si>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</si>
  <si>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</si>
  <si>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</si>
  <si>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</si>
  <si>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</si>
  <si>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</si>
  <si>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</si>
  <si>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</si>
  <si>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</si>
  <si>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</si>
  <si>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</si>
  <si>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</si>
  <si>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</si>
  <si>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</si>
  <si>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</si>
  <si>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</si>
  <si>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</si>
  <si>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</si>
  <si>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</si>
  <si>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</si>
  <si>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</si>
  <si>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</si>
  <si>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</si>
  <si>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</si>
  <si>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</si>
  <si>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</si>
  <si>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</si>
  <si>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</si>
  <si>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</si>
  <si>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</si>
  <si>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</si>
  <si>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</si>
  <si>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</si>
  <si>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</si>
  <si>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</si>
  <si>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</si>
  <si>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</si>
  <si>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</si>
  <si>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</si>
  <si>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</si>
  <si>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</si>
  <si>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</si>
  <si>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</si>
  <si>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</si>
  <si>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</si>
  <si>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</si>
  <si>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</si>
  <si>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</si>
  <si>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</si>
  <si>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</si>
  <si>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</si>
  <si>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</si>
  <si>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</si>
  <si>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</si>
  <si>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</si>
  <si>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</si>
  <si>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</si>
  <si>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</si>
  <si>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</si>
  <si>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</si>
  <si>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</si>
  <si>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</si>
  <si>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</si>
  <si>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</si>
  <si>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</si>
  <si>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</si>
  <si>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</si>
  <si>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</si>
  <si>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</si>
  <si>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</si>
  <si>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</si>
  <si>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</si>
  <si>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</si>
  <si>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</si>
  <si>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</si>
  <si>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</si>
  <si>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</si>
  <si>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</si>
  <si>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</si>
  <si>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</si>
  <si>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</si>
  <si>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</si>
  <si>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</si>
  <si>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</si>
  <si>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</si>
  <si>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</si>
  <si>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</si>
  <si>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</si>
  <si>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</si>
  <si>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</si>
  <si>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</si>
  <si>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</si>
  <si>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</si>
  <si>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</si>
  <si>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</si>
  <si>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</si>
  <si>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</si>
  <si>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</si>
  <si>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</si>
  <si>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</si>
  <si>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</si>
  <si>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</si>
  <si>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</si>
  <si>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</si>
  <si>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</si>
  <si>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</si>
  <si>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</si>
  <si>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</si>
  <si>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</si>
  <si>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</si>
  <si>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</si>
  <si>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</si>
  <si>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</si>
  <si>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</si>
  <si>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</si>
  <si>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</si>
  <si>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</si>
  <si>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</si>
  <si>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</si>
  <si>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</si>
  <si>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</si>
  <si>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</si>
  <si>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</si>
  <si>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</si>
  <si>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</si>
  <si>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</si>
  <si>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</si>
  <si>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</si>
  <si>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</si>
  <si>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</si>
  <si>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</si>
  <si>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</si>
  <si>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</si>
  <si>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</si>
  <si>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</si>
  <si>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</si>
  <si>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</si>
  <si>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</si>
  <si>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</si>
  <si>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</si>
  <si>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</si>
  <si>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</si>
  <si>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</si>
  <si>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</si>
  <si>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</si>
  <si>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</si>
  <si>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</si>
  <si>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</si>
  <si>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</si>
  <si>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</si>
  <si>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</si>
  <si>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</si>
  <si>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</si>
  <si>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</si>
  <si>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</si>
  <si>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</si>
  <si>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</si>
  <si>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</si>
  <si>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</si>
  <si>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</si>
  <si>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</si>
  <si>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</si>
  <si>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</si>
  <si>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</si>
  <si>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</si>
  <si>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</si>
  <si>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</si>
  <si>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</si>
  <si>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</si>
  <si>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</si>
  <si>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</si>
  <si>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</si>
  <si>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</si>
  <si>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</si>
  <si>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</si>
  <si>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</si>
  <si>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</si>
  <si>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</si>
  <si>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</si>
  <si>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</si>
  <si>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</si>
  <si>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</si>
  <si>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</si>
  <si>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</si>
  <si>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</si>
  <si>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</si>
  <si>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</si>
  <si>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</si>
  <si>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</si>
  <si>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</si>
  <si>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</si>
  <si>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</si>
  <si>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</si>
  <si>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</si>
  <si>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</si>
  <si>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</si>
  <si>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</si>
  <si>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</si>
  <si>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</si>
  <si>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</si>
  <si>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</si>
  <si>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</si>
  <si>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</si>
  <si>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</si>
  <si>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</si>
  <si>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</si>
  <si>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</si>
  <si>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</si>
  <si>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</si>
  <si>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</si>
  <si>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</si>
  <si>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</si>
  <si>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</si>
  <si>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</si>
  <si>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</si>
  <si>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</si>
  <si>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</si>
  <si>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</si>
  <si>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</si>
  <si>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</si>
  <si>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</si>
  <si>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</si>
  <si>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</si>
  <si>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</si>
  <si>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</si>
  <si>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</si>
  <si>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</si>
  <si>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</si>
  <si>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</si>
  <si>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</si>
  <si>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</si>
  <si>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</si>
  <si>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</si>
  <si>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</si>
  <si>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</si>
  <si>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</si>
  <si>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</si>
  <si>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</si>
  <si>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</si>
  <si>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</si>
  <si>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</si>
  <si>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</si>
  <si>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</si>
  <si>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</si>
  <si>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</si>
  <si>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</si>
  <si>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</si>
  <si>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</si>
  <si>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</si>
  <si>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</si>
  <si>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</si>
  <si>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</si>
  <si>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</si>
  <si>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</si>
  <si>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</si>
  <si>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</si>
  <si>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</si>
  <si>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</si>
  <si>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</si>
  <si>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</si>
  <si>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</si>
  <si>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</si>
  <si>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</si>
  <si>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</si>
  <si>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</si>
  <si>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</si>
  <si>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</si>
  <si>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</si>
  <si>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</si>
  <si>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</si>
  <si>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</si>
  <si>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</si>
  <si>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</si>
  <si>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</si>
  <si>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</si>
  <si>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</si>
  <si>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</si>
  <si>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</si>
  <si>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</si>
  <si>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</si>
  <si>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</si>
  <si>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</si>
  <si>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</si>
  <si>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</si>
  <si>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</si>
  <si>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</si>
  <si>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</si>
  <si>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</si>
  <si>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</si>
  <si>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</si>
  <si>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</si>
  <si>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</si>
  <si>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</si>
  <si>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</si>
  <si>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</si>
  <si>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</si>
  <si>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</si>
  <si>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</si>
  <si>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</si>
  <si>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</si>
  <si>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</si>
  <si>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</si>
  <si>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</si>
  <si>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</si>
  <si>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</si>
  <si>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</si>
  <si>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</si>
  <si>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</si>
  <si>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</si>
  <si>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</si>
  <si>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</si>
  <si>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</si>
  <si>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</si>
  <si>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</si>
  <si>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</si>
  <si>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</si>
  <si>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</si>
  <si>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</si>
  <si>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</si>
  <si>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</si>
  <si>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</si>
  <si>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</si>
  <si>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</si>
  <si>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</si>
  <si>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</si>
  <si>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</si>
  <si>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</si>
  <si>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</si>
  <si>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</si>
  <si>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</si>
  <si>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</si>
  <si>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</si>
  <si>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</si>
  <si>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</si>
  <si>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</si>
  <si>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</si>
  <si>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</si>
  <si>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</si>
  <si>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</si>
  <si>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</si>
  <si>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</si>
  <si>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</si>
  <si>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</si>
  <si>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</si>
  <si>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</si>
  <si>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</si>
  <si>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</si>
  <si>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</si>
  <si>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</si>
  <si>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</si>
  <si>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</si>
  <si>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</si>
  <si>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</si>
  <si>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</si>
  <si>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</si>
  <si>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</si>
  <si>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</si>
  <si>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</si>
  <si>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</si>
  <si>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</si>
  <si>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</si>
  <si>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</si>
  <si>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</si>
  <si>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</si>
  <si>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</si>
  <si>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</si>
  <si>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</si>
  <si>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</si>
  <si>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</si>
  <si>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</si>
  <si>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</si>
  <si>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</si>
  <si>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</si>
  <si>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</si>
  <si>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</si>
  <si>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</si>
  <si>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</si>
  <si>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</si>
  <si>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</si>
  <si>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</si>
  <si>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</si>
  <si>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</si>
  <si>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</si>
  <si>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</si>
  <si>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</si>
  <si>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</si>
  <si>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</si>
  <si>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</si>
  <si>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</si>
  <si>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</si>
  <si>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</si>
  <si>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</si>
  <si>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</si>
  <si>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</si>
  <si>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</si>
  <si>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</si>
  <si>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</si>
  <si>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</si>
  <si>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</si>
  <si>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</si>
  <si>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</si>
  <si>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</si>
  <si>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</si>
  <si>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</si>
  <si>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</si>
  <si>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</si>
  <si>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</si>
  <si>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</si>
  <si>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</si>
  <si>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</si>
  <si>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</si>
  <si>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</si>
  <si>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</si>
  <si>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</si>
  <si>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</si>
  <si>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</si>
  <si>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</si>
  <si>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</si>
  <si>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</si>
  <si>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</si>
  <si>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</si>
  <si>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</si>
  <si>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</si>
  <si>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</si>
  <si>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</si>
  <si>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</si>
  <si>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</si>
  <si>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</si>
  <si>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</si>
  <si>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</si>
  <si>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</si>
  <si>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</si>
  <si>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</si>
  <si>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</si>
  <si>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</si>
  <si>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</si>
  <si>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</si>
  <si>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</si>
  <si>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</si>
  <si>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</si>
  <si>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</si>
  <si>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</si>
  <si>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</si>
  <si>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</si>
  <si>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</si>
  <si>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</si>
  <si>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</si>
  <si>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</si>
  <si>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</si>
  <si>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</si>
  <si>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</si>
  <si>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</si>
  <si>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</si>
  <si>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</si>
  <si>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</si>
  <si>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</si>
  <si>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</si>
  <si>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</si>
  <si>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</si>
  <si>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</si>
  <si>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</si>
  <si>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</si>
  <si>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</si>
  <si>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</si>
  <si>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</si>
  <si>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</si>
  <si>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</si>
  <si>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</si>
  <si>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</si>
  <si>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</si>
  <si>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</si>
  <si>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</si>
  <si>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</si>
  <si>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</si>
  <si>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</si>
  <si>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</si>
  <si>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</si>
  <si>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</si>
  <si>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</si>
  <si>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</si>
  <si>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</si>
  <si>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</si>
  <si>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</si>
  <si>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</si>
  <si>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</si>
  <si>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</si>
  <si>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</si>
  <si>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</si>
  <si>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</si>
  <si>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</si>
  <si>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</si>
  <si>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</si>
  <si>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</si>
  <si>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</si>
  <si>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</si>
  <si>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</si>
  <si>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</si>
  <si>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</si>
  <si>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</si>
  <si>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</si>
  <si>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</si>
  <si>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</si>
  <si>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</si>
  <si>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</si>
  <si>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</si>
  <si>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</si>
  <si>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</si>
  <si>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</si>
  <si>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</si>
  <si>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</si>
  <si>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</si>
  <si>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</si>
  <si>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</si>
  <si>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</si>
  <si>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</si>
  <si>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</si>
  <si>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</si>
  <si>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</si>
  <si>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</si>
  <si>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</si>
  <si>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</si>
  <si>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</si>
  <si>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</si>
  <si>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</si>
  <si>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</si>
  <si>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</si>
  <si>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</si>
  <si>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</si>
  <si>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</si>
  <si>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</si>
  <si>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</si>
  <si>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</si>
  <si>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</si>
  <si>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</si>
  <si>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</si>
  <si>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</si>
  <si>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</si>
  <si>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</si>
  <si>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</si>
  <si>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</si>
  <si>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</si>
  <si>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</si>
  <si>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</si>
  <si>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</si>
  <si>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</si>
  <si>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</si>
  <si>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</si>
  <si>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</si>
  <si>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</si>
  <si>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</si>
  <si>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</si>
  <si>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</si>
  <si>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</si>
  <si>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</si>
  <si>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</si>
  <si>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</si>
  <si>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</si>
  <si>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</si>
  <si>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</si>
  <si>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</si>
  <si>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</si>
  <si>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</si>
  <si>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</si>
  <si>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</si>
  <si>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</si>
  <si>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</si>
  <si>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</si>
  <si>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</si>
  <si>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</si>
  <si>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</si>
  <si>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</si>
  <si>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</si>
  <si>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</si>
  <si>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</si>
  <si>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</si>
  <si>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</si>
  <si>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</si>
  <si>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</si>
  <si>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</si>
  <si>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</si>
  <si>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</si>
  <si>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</si>
  <si>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</si>
  <si>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</si>
  <si>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</si>
  <si>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</si>
  <si>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</si>
  <si>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</si>
  <si>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</si>
  <si>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</si>
  <si>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</si>
  <si>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</si>
  <si>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</si>
  <si>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</si>
  <si>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</si>
  <si>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</si>
  <si>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</si>
  <si>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</si>
  <si>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</si>
  <si>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</si>
  <si>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</si>
  <si>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</si>
  <si>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</si>
  <si>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</si>
  <si>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</si>
  <si>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</si>
  <si>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</si>
  <si>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</si>
  <si>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</si>
  <si>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</si>
  <si>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</si>
  <si>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</si>
  <si>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</si>
  <si>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</si>
  <si>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</si>
  <si>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</si>
  <si>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</si>
  <si>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</si>
  <si>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</si>
  <si>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</si>
  <si>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</si>
  <si>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</si>
  <si>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</si>
  <si>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</si>
  <si>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</si>
  <si>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</si>
  <si>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</si>
  <si>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</si>
  <si>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</si>
  <si>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</si>
  <si>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</si>
  <si>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</si>
  <si>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</si>
  <si>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</si>
  <si>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</si>
  <si>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</si>
  <si>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</si>
  <si>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</si>
  <si>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</si>
  <si>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</si>
  <si>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</si>
  <si>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</si>
  <si>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</si>
  <si>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</si>
  <si>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</si>
  <si>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</si>
  <si>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</si>
  <si>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</si>
  <si>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</si>
  <si>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</si>
  <si>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</si>
  <si>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</si>
  <si>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</si>
  <si>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</si>
  <si>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</si>
  <si>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</si>
  <si>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</si>
  <si>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</si>
  <si>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</si>
  <si>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</si>
  <si>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</si>
  <si>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</si>
  <si>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</si>
  <si>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</si>
  <si>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</si>
  <si>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</si>
  <si>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</si>
  <si>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</si>
  <si>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</si>
  <si>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</si>
  <si>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</si>
  <si>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</si>
  <si>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</si>
  <si>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</si>
  <si>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</si>
  <si>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</si>
  <si>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</si>
  <si>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</si>
  <si>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</si>
  <si>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SWA</t>
  </si>
  <si>
    <t>Write macro to serialize Conditional Formatting in dev Worksheet</t>
  </si>
  <si>
    <t>Add per-load, per-instrument PB sums to Worksheet dev</t>
  </si>
  <si>
    <t>SDT1HSK4</t>
  </si>
  <si>
    <t>Leave blank=&gt;</t>
  </si>
  <si>
    <t xml:space="preserve">&lt;=RT2H </t>
  </si>
  <si>
    <t>&lt;=RT1H</t>
  </si>
  <si>
    <t xml:space="preserve">&lt;=RT30M </t>
  </si>
  <si>
    <t xml:space="preserve">&lt;=RT10M </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</si>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</sst>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s>
  <fills count="74">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59">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9"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70" fillId="67" borderId="4" xfId="0" applyFont="1" applyFill="1" applyBorder="1"/>
    <xf numFmtId="0" fontId="70" fillId="67" borderId="24" xfId="0" applyFont="1" applyFill="1" applyBorder="1" applyAlignment="1">
      <alignment horizontal="center"/>
    </xf>
    <xf numFmtId="0" fontId="70" fillId="67" borderId="0" xfId="0" applyFont="1" applyFill="1" applyAlignment="1">
      <alignment horizontal="center"/>
    </xf>
    <xf numFmtId="0" fontId="70" fillId="67" borderId="12" xfId="0" applyFont="1" applyFill="1" applyBorder="1" applyAlignment="1">
      <alignment horizontal="center"/>
    </xf>
    <xf numFmtId="0" fontId="70" fillId="68" borderId="6" xfId="0" applyFont="1" applyFill="1" applyBorder="1" applyAlignment="1">
      <alignment horizontal="center"/>
    </xf>
    <xf numFmtId="0" fontId="70" fillId="68" borderId="20" xfId="0" applyFont="1" applyFill="1" applyBorder="1" applyAlignment="1">
      <alignment horizontal="center"/>
    </xf>
    <xf numFmtId="0" fontId="70" fillId="68" borderId="0" xfId="0" applyFont="1" applyFill="1" applyAlignment="1">
      <alignment horizontal="center"/>
    </xf>
    <xf numFmtId="0" fontId="70"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2"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2"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3"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12" fillId="0" borderId="0" xfId="0" applyNumberFormat="1" applyFont="1" applyAlignment="1">
      <alignment horizontal="right"/>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wrapText="1"/>
    </xf>
    <xf numFmtId="1" fontId="76" fillId="0" borderId="0" xfId="0" applyNumberFormat="1" applyFont="1" applyAlignment="1">
      <alignment horizontal="right"/>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2" fontId="11" fillId="0" borderId="0" xfId="0" applyNumberFormat="1" applyFont="1" applyAlignment="1">
      <alignment wrapText="1"/>
    </xf>
    <xf numFmtId="2" fontId="0" fillId="73" borderId="0" xfId="0" applyNumberFormat="1" applyFill="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02">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color rgb="FFFF0000"/>
      </font>
    </dxf>
    <dxf>
      <font>
        <color rgb="FFFF0000"/>
      </font>
    </dxf>
    <dxf>
      <font>
        <color rgb="FFFF0000"/>
      </font>
    </dxf>
    <dxf>
      <font>
        <b val="0"/>
        <i val="0"/>
        <strike val="0"/>
      </font>
      <fill>
        <patternFill patternType="solid">
          <fgColor auto="1"/>
          <bgColor rgb="FFBDD7EE"/>
        </patternFill>
      </fill>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1257300</xdr:colOff>
          <xdr:row>4</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3</xdr:row>
          <xdr:rowOff>171450</xdr:rowOff>
        </xdr:from>
        <xdr:to>
          <xdr:col>12</xdr:col>
          <xdr:colOff>809625</xdr:colOff>
          <xdr:row>5</xdr:row>
          <xdr:rowOff>152400</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19050</xdr:rowOff>
        </xdr:from>
        <xdr:to>
          <xdr:col>0</xdr:col>
          <xdr:colOff>1257300</xdr:colOff>
          <xdr:row>6</xdr:row>
          <xdr:rowOff>19050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Drag corners and Click</a:t>
              </a:r>
            </a:p>
            <a:p>
              <a:pPr algn="ctr" rtl="0">
                <a:defRPr sz="1000"/>
              </a:pPr>
              <a:r>
                <a:rPr lang="en-US" sz="10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0</xdr:row>
          <xdr:rowOff>0</xdr:rowOff>
        </xdr:from>
        <xdr:to>
          <xdr:col>12</xdr:col>
          <xdr:colOff>819150</xdr:colOff>
          <xdr:row>1</xdr:row>
          <xdr:rowOff>161925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xdr:row>
          <xdr:rowOff>180975</xdr:rowOff>
        </xdr:from>
        <xdr:to>
          <xdr:col>12</xdr:col>
          <xdr:colOff>819150</xdr:colOff>
          <xdr:row>3</xdr:row>
          <xdr:rowOff>152400</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9614E7A1-A57D-4D9F-9B76-8F67D7DB3AF8}"/>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non-zero diff cell,</a:t>
              </a:r>
            </a:p>
            <a:p>
              <a:pPr algn="ctr" rtl="0">
                <a:defRPr sz="1000"/>
              </a:pPr>
              <a:r>
                <a:rPr lang="en-US" sz="11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179</xdr:row>
      <xdr:rowOff>113850</xdr:rowOff>
    </xdr:from>
    <xdr:to>
      <xdr:col>19</xdr:col>
      <xdr:colOff>381135</xdr:colOff>
      <xdr:row>184</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179</xdr:row>
      <xdr:rowOff>133290</xdr:rowOff>
    </xdr:from>
    <xdr:to>
      <xdr:col>17</xdr:col>
      <xdr:colOff>133410</xdr:colOff>
      <xdr:row>179</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179</xdr:row>
      <xdr:rowOff>133290</xdr:rowOff>
    </xdr:from>
    <xdr:to>
      <xdr:col>17</xdr:col>
      <xdr:colOff>274890</xdr:colOff>
      <xdr:row>179</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179</xdr:row>
      <xdr:rowOff>87210</xdr:rowOff>
    </xdr:from>
    <xdr:to>
      <xdr:col>17</xdr:col>
      <xdr:colOff>286770</xdr:colOff>
      <xdr:row>179</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179</xdr:row>
      <xdr:rowOff>120690</xdr:rowOff>
    </xdr:from>
    <xdr:to>
      <xdr:col>17</xdr:col>
      <xdr:colOff>286410</xdr:colOff>
      <xdr:row>179</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182</xdr:row>
      <xdr:rowOff>85425</xdr:rowOff>
    </xdr:from>
    <xdr:to>
      <xdr:col>18</xdr:col>
      <xdr:colOff>183615</xdr:colOff>
      <xdr:row>184</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182</xdr:row>
      <xdr:rowOff>42818</xdr:rowOff>
    </xdr:from>
    <xdr:to>
      <xdr:col>14</xdr:col>
      <xdr:colOff>386213</xdr:colOff>
      <xdr:row>182</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182</xdr:row>
      <xdr:rowOff>33098</xdr:rowOff>
    </xdr:from>
    <xdr:to>
      <xdr:col>14</xdr:col>
      <xdr:colOff>438053</xdr:colOff>
      <xdr:row>182</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101" dataCellStyle="Normal 5"/>
    <tableColumn id="4" xr3:uid="{E3799C3A-4B31-4D4E-8397-EE7909C117C2}" uniqueName="4" name="MET" queryTableFieldId="4" dataDxfId="100" dataCellStyle="Normal 5"/>
    <tableColumn id="5" xr3:uid="{DE120A99-B5F2-4B1A-A22E-A9BEEE9C55B0}" uniqueName="5" name="cmd" queryTableFieldId="5" dataDxfId="99" dataCellStyle="Normal 5"/>
    <tableColumn id="6" xr3:uid="{19AF7F27-0D9D-4BCE-A533-94878B619783}" uniqueName="6" name="arg" queryTableFieldId="6" dataDxfId="98" dataCellStyle="Normal 5"/>
    <tableColumn id="14" xr3:uid="{662EB3B0-32F5-402D-80A6-61D3564CADAD}" uniqueName="14" name="a" queryTableFieldId="14" dataDxfId="97" dataCellStyle="Normal 5"/>
    <tableColumn id="1" xr3:uid="{7CF75EA0-B63F-443B-B61A-2AE13C55F8DA}" uniqueName="1" name="MET→UTC" queryTableFieldId="68" dataDxfId="96" dataCellStyle="Normal 5">
      <calculatedColumnFormula array="1">MID(met2utc(PEPSSI_Commanding[[#This Row],[MET]]),3,15)</calculatedColumnFormula>
    </tableColumn>
    <tableColumn id="15" xr3:uid="{9C5328F3-FA02-47D1-83DC-B1DBCA9D89BA}" uniqueName="15" name="cmd+arg" queryTableFieldId="15" dataDxfId="95" dataCellStyle="Normal 5">
      <calculatedColumnFormula>_xlfn.TEXTJOIN("+",TRUE,$C14:$D14)</calculatedColumnFormula>
    </tableColumn>
    <tableColumn id="16" xr3:uid="{F4B97D7B-76B9-472C-BE55-DDF523C91B54}" uniqueName="16" name="Segment_x000a_MET Start" queryTableFieldId="16" dataDxfId="94" dataCellStyle="Normal 5">
      <calculatedColumnFormula>IF($C14="ON",$B14,IF(RIGHT($H13,9)="MET Start","",IF(AND($K14&lt;&gt;0,$K13=1),$B14,$H13)))</calculatedColumnFormula>
    </tableColumn>
    <tableColumn id="17" xr3:uid="{75D7A893-75C0-4A6D-8B25-0B595F60D7D7}" uniqueName="17" name="Segment_x000a_MET End" queryTableFieldId="17" dataDxfId="93" dataCellStyle="Normal 5">
      <calculatedColumnFormula>IF($C14="OFF",$B14,IF($B15="",$B14+31500000,IF($K14=1,$B15,I15)))</calculatedColumnFormula>
    </tableColumn>
    <tableColumn id="18" xr3:uid="{FE7FC58F-1F68-4601-9509-6833A5279466}" uniqueName="18" name="Offset_x000a_fr ON" queryTableFieldId="18" dataDxfId="92" dataCellStyle="Normal 5">
      <calculatedColumnFormula>IF($G14="ON",0,IF(OR(J13="",LEFT(J13,6)="Offset"),"",J13+1))</calculatedColumnFormula>
    </tableColumn>
    <tableColumn id="19" xr3:uid="{2E9987EA-D81C-4D54-957D-0506DB032AC5}" uniqueName="19" name="Offset_x000a_to End" queryTableFieldId="19" dataDxfId="91" dataCellStyle="Normal 5">
      <calculatedColumnFormula>IF($G14="OFF",0,IF(AND($J15&lt;&gt;0,$J14&lt;&gt;9,$G15&lt;&gt;"MAC+111",($B15-$B14)&lt;7200),K15+1,1))</calculatedColumnFormula>
    </tableColumn>
    <tableColumn id="20" xr3:uid="{462F98F8-6248-4D4E-8AD2-6EC7109B2E52}" uniqueName="20" name="b" queryTableFieldId="20" dataDxfId="90" dataCellStyle="Normal 5"/>
    <tableColumn id="21" xr3:uid="{0FBD6B38-B1E1-4E9C-81A5-CA14B2F9084A}" uniqueName="21" name="N1" queryTableFieldId="21" dataDxfId="89" dataCellStyle="Normal 5">
      <calculatedColumnFormula>IF($C14="ON","",IF($C14="N1",$D14,IF(M13="N1","",M13)))</calculatedColumnFormula>
    </tableColumn>
    <tableColumn id="22" xr3:uid="{A5045F8C-7AE0-4763-BBC4-A4CC8954069F}" uniqueName="22" name="N2" queryTableFieldId="22" dataDxfId="88" dataCellStyle="Normal 5">
      <calculatedColumnFormula>IF($C14="ON","",IF($C14="N2",$D14,IF($G14="MAC+103",3,IF($G14="MAC+104",2,IF(N13="N2","",N13)))))</calculatedColumnFormula>
    </tableColumn>
    <tableColumn id="23" xr3:uid="{9B014DB1-4E67-4325-A7FF-B51BB73C144C}" uniqueName="23" name="N3" queryTableFieldId="23" dataDxfId="87" dataCellStyle="Normal 5">
      <calculatedColumnFormula>IF($C14="ON","",IF($C14="N3",$D14,IF(O13="N3","",O13)))</calculatedColumnFormula>
    </tableColumn>
    <tableColumn id="24" xr3:uid="{5660ED6E-B39C-41E9-9202-1674D6671C41}" uniqueName="24" name="STAT" queryTableFieldId="24" dataDxfId="86" dataCellStyle="Normal 5">
      <calculatedColumnFormula>IF($C14="ON","",IF($C14="STAT",$D14,IF(P13="STAT","",P13)))</calculatedColumnFormula>
    </tableColumn>
    <tableColumn id="25" xr3:uid="{12FF0207-469E-4F94-A1F8-EBA478DE17D3}" uniqueName="25" name="N2 disabled" queryTableFieldId="25" dataDxfId="85"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84"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83" dataCellStyle="Normal 5">
      <calculatedColumnFormula>IF($C14="ON","",IF($G14="MAC+102","102",IF(RIGHT(S13,1)="?","",S13)))</calculatedColumnFormula>
    </tableColumn>
    <tableColumn id="28" xr3:uid="{EBBF58EA-A53F-4BBA-A5D0-7897A48C89F7}" uniqueName="28" name="c" queryTableFieldId="28" dataDxfId="82" dataCellStyle="Normal 5"/>
    <tableColumn id="29" xr3:uid="{3369BB1D-534B-4412-A3BF-FEC6F2C8BBA1}" uniqueName="29" name="TrgAssess_x000a_bit/s" queryTableFieldId="29" dataDxfId="81" dataCellStyle="Normal 5">
      <calculatedColumnFormula>IF(OR($N14="",$R14=""),0,U$1/64/$N14)</calculatedColumnFormula>
    </tableColumn>
    <tableColumn id="30" xr3:uid="{55B18AA0-1F9B-467A-B1E9-BA2EE8619FDC}" uniqueName="30" name="BRD_x000a_bit/s" queryTableFieldId="30" dataDxfId="80" dataCellStyle="Normal 5">
      <calculatedColumnFormula>IF(OR($N14="",$R14=""),0,V$1/64/$N14)</calculatedColumnFormula>
    </tableColumn>
    <tableColumn id="31" xr3:uid="{090EFE20-88EA-4674-BD37-BEF6B463F4DB}" uniqueName="31" name="STAT_x000a_bit/s" queryTableFieldId="31" dataDxfId="79" dataCellStyle="Normal 5">
      <calculatedColumnFormula>IF($P14="",0,W$1/$P14)</calculatedColumnFormula>
    </tableColumn>
    <tableColumn id="32" xr3:uid="{B18EAE2A-70E1-4898-A71B-5A3C36BF4EE0}" uniqueName="32" name="N1_x000a_bit/s" queryTableFieldId="32" dataDxfId="78" dataCellStyle="Normal 5">
      <calculatedColumnFormula>IF($M14="",0,X$1/$M14)</calculatedColumnFormula>
    </tableColumn>
    <tableColumn id="33" xr3:uid="{E4838A52-964A-4DE1-B5E0-0AE42E730F68}" uniqueName="33" name="N2_x000a_bit/s" queryTableFieldId="33" dataDxfId="77" dataCellStyle="Normal 5">
      <calculatedColumnFormula>IF(OR($N14="",$Q14&lt;&gt;""),0,Y$1/$N14)</calculatedColumnFormula>
    </tableColumn>
    <tableColumn id="34" xr3:uid="{FB6527D2-6F60-4531-AE7F-873F0C6AB8D6}" uniqueName="34" name="N2_x000a_bit/s2" queryTableFieldId="34" dataDxfId="76" dataCellStyle="Normal 5">
      <calculatedColumnFormula>IF($N14="",0,IF($R14="",1,R14/43200)*Y14)</calculatedColumnFormula>
    </tableColumn>
    <tableColumn id="35" xr3:uid="{9E653D53-4500-4832-A022-C911049DBBA5}" uniqueName="35" name="N3_x000a_bit/s" queryTableFieldId="35" dataDxfId="75" dataCellStyle="Normal 5">
      <calculatedColumnFormula>IF($O14="",0,AA$1/$O14)</calculatedColumnFormula>
    </tableColumn>
    <tableColumn id="36" xr3:uid="{8ED16EFB-45C9-4EDA-AF99-AA59788EFFC4}" uniqueName="36" name="d" queryTableFieldId="36" dataDxfId="74" dataCellStyle="Normal 5"/>
    <tableColumn id="37" xr3:uid="{84B53164-2455-4095-84F3-40F1C7BB6A8F}" uniqueName="37" name="DT1" queryTableFieldId="37" dataDxfId="73"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2"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1"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0"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9"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8"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7"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6"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5"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4"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3"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2"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1"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0"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9"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8"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7"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6"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5"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4"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3"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2"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1"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0"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9"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8"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7"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6"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5"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4"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3"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455" activePane="bottomLeft"/>
      <selection activeCell="N38" sqref="N38"/>
      <selection pane="bottomLeft" activeCell="AA472" sqref="AA472"/>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42" priority="2" stopIfTrue="1">
      <formula>_xlfn.TEXTJOIN("",FALSE,$E1:$K1)="HSK3DT1DT2DT3DT4SDT1HSK4"</formula>
    </cfRule>
    <cfRule type="expression" dxfId="41" priority="10" stopIfTrue="1">
      <formula>AND(_xlfn.TEXTJOIN("",FALSE,$E1:$I1) &lt;&gt;"",_xlfn.TEXTJOIN("",FALSE,$J1:$K1) &lt;&gt; "")</formula>
    </cfRule>
  </conditionalFormatting>
  <conditionalFormatting sqref="E1:K1048576">
    <cfRule type="expression" dxfId="40" priority="11" stopIfTrue="1">
      <formula>NOT(OR(EXACT(E1,""),EXACT(E1,E$1)))</formula>
    </cfRule>
  </conditionalFormatting>
  <conditionalFormatting sqref="O1:P1048576 E1:K1048576">
    <cfRule type="expression" dxfId="39" priority="8" stopIfTrue="1">
      <formula>AND(_xlfn.XOR(_xlfn.TEXTJOIN("",TRUE,$E1:$I1)&lt;&gt;"",_xlfn.TEXTJOIN("",TRUE,$J1:$K1)&lt;&gt;""),$O1="",$P1="")</formula>
    </cfRule>
  </conditionalFormatting>
  <conditionalFormatting sqref="X9">
    <cfRule type="expression" dxfId="38"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37" priority="4">
      <formula>AC$12&lt;&gt;""</formula>
    </cfRule>
  </conditionalFormatting>
  <conditionalFormatting sqref="AD8:BG8">
    <cfRule type="expression" dxfId="36" priority="5">
      <formula>AD8&lt;&gt;(AC8+1)</formula>
    </cfRule>
  </conditionalFormatting>
  <conditionalFormatting sqref="A14:BG1048576">
    <cfRule type="expression" dxfId="35" priority="6">
      <formula>OR($C14="ON",FALSE)</formula>
    </cfRule>
  </conditionalFormatting>
  <conditionalFormatting sqref="A183:BG1048537 A122:BG122 A166:BG166 A14:BG120">
    <cfRule type="expression" dxfId="34" priority="3">
      <formula>OR($G14="OFF",AND($G15&lt;&gt;"OFF",$K14=1))</formula>
    </cfRule>
  </conditionalFormatting>
  <conditionalFormatting sqref="A14:D1048576">
    <cfRule type="expression" dxfId="33" priority="7">
      <formula>AND($J14&lt;&gt;"",$J14&lt;=9)</formula>
    </cfRule>
  </conditionalFormatting>
  <conditionalFormatting sqref="A121:BG182">
    <cfRule type="expression" dxfId="32"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46"/>
  <sheetViews>
    <sheetView tabSelected="1" zoomScaleNormal="100" workbookViewId="0">
      <pane ySplit="2730" topLeftCell="A23" activePane="bottomLeft"/>
      <selection activeCell="H4" sqref="H4"/>
      <selection pane="bottomLeft" activeCell="P29" sqref="P29:P42"/>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20" bestFit="1" customWidth="1"/>
    <col min="11" max="11" width="9.28515625" style="20"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5.5703125" style="20" customWidth="1"/>
    <col min="28" max="29" width="5.5703125" style="556" customWidth="1"/>
    <col min="30" max="33" width="5.5703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5843</v>
      </c>
      <c r="K1" s="3"/>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J2" s="3"/>
      <c r="K2" s="3"/>
      <c r="L2" s="3"/>
      <c r="N2" s="20"/>
      <c r="O2" s="3"/>
      <c r="R2" s="6" t="s">
        <v>1166</v>
      </c>
      <c r="S2" s="270">
        <f>'SWAP Data Volumns'!K108</f>
        <v>0.5056665308181959</v>
      </c>
      <c r="T2" s="18" t="s">
        <v>5845</v>
      </c>
      <c r="U2" s="520">
        <f>1.579/0.000008</f>
        <v>197375</v>
      </c>
      <c r="V2" s="521" t="s">
        <v>5831</v>
      </c>
      <c r="Y2"/>
      <c r="Z2"/>
      <c r="AA2"/>
      <c r="AC2" s="100"/>
      <c r="AD2"/>
      <c r="AE2"/>
      <c r="AF2"/>
      <c r="AG2"/>
      <c r="AH2" s="18"/>
      <c r="AI2" s="18"/>
    </row>
    <row r="3" spans="1:40">
      <c r="A3"/>
      <c r="B3" s="3"/>
      <c r="C3" s="3"/>
      <c r="D3" s="3"/>
      <c r="E3" s="3"/>
      <c r="F3" s="3"/>
      <c r="G3" s="3"/>
      <c r="H3" s="3"/>
      <c r="I3" s="3"/>
      <c r="J3" s="3"/>
      <c r="K3" s="3"/>
      <c r="L3" s="3"/>
      <c r="N3" s="20"/>
      <c r="O3" s="3"/>
      <c r="R3" s="6" t="s">
        <v>1196</v>
      </c>
      <c r="S3" s="270">
        <f>'SWAP Data Volumns'!K99</f>
        <v>0.80996710526315774</v>
      </c>
      <c r="T3" s="18" t="s">
        <v>5846</v>
      </c>
      <c r="Y3"/>
      <c r="Z3"/>
      <c r="AA3"/>
      <c r="AC3" s="100"/>
      <c r="AD3"/>
      <c r="AE3"/>
      <c r="AF3"/>
      <c r="AG3"/>
      <c r="AH3" s="18"/>
      <c r="AI3" s="18"/>
    </row>
    <row r="4" spans="1:40">
      <c r="A4"/>
      <c r="B4" s="3"/>
      <c r="C4" s="3"/>
      <c r="D4" s="3"/>
      <c r="E4" s="3"/>
      <c r="F4" s="3"/>
      <c r="G4" s="3"/>
      <c r="H4" s="3"/>
      <c r="I4" s="3"/>
      <c r="J4" s="3"/>
      <c r="K4" s="3"/>
      <c r="L4" s="3"/>
      <c r="N4" s="20"/>
      <c r="O4" s="3"/>
      <c r="R4" s="6" t="s">
        <v>1068</v>
      </c>
      <c r="S4" s="270">
        <f>'SWAP Data Volumns'!K90</f>
        <v>1.4028285692679976</v>
      </c>
      <c r="T4" s="18" t="s">
        <v>5847</v>
      </c>
      <c r="Y4"/>
      <c r="Z4"/>
      <c r="AA4"/>
      <c r="AC4" s="100"/>
      <c r="AD4"/>
      <c r="AE4"/>
      <c r="AF4"/>
      <c r="AG4"/>
      <c r="AH4" s="18"/>
      <c r="AI4" s="18"/>
    </row>
    <row r="5" spans="1:40">
      <c r="A5"/>
      <c r="B5" s="3"/>
      <c r="C5" s="3"/>
      <c r="D5" s="3"/>
      <c r="E5" s="3"/>
      <c r="F5" s="3"/>
      <c r="G5" s="3"/>
      <c r="H5" s="3"/>
      <c r="I5" s="3"/>
      <c r="J5" s="3"/>
      <c r="K5" s="3"/>
      <c r="L5" s="3"/>
      <c r="N5" s="20"/>
      <c r="O5" s="3"/>
      <c r="R5" s="6" t="s">
        <v>1165</v>
      </c>
      <c r="S5" s="270">
        <f>'SWAP Data Volumns'!K72</f>
        <v>3.6959320175438592</v>
      </c>
      <c r="T5" s="18" t="s">
        <v>5848</v>
      </c>
      <c r="Y5"/>
      <c r="Z5"/>
      <c r="AA5"/>
      <c r="AC5" s="100"/>
      <c r="AD5"/>
      <c r="AE5"/>
      <c r="AF5"/>
      <c r="AG5"/>
      <c r="AH5" s="18"/>
      <c r="AI5" s="18"/>
    </row>
    <row r="6" spans="1:40">
      <c r="A6"/>
      <c r="B6" s="3"/>
      <c r="C6" s="3"/>
      <c r="D6" s="3"/>
      <c r="E6" s="3"/>
      <c r="F6" s="3"/>
      <c r="G6" s="3"/>
      <c r="H6" s="3"/>
      <c r="I6" s="3" t="s">
        <v>54</v>
      </c>
      <c r="J6" s="3"/>
      <c r="K6" s="3"/>
      <c r="L6" s="3"/>
      <c r="N6" s="20"/>
      <c r="O6" s="3"/>
      <c r="S6" s="516" t="s">
        <v>5844</v>
      </c>
      <c r="T6" s="516" t="str">
        <f>""</f>
        <v/>
      </c>
      <c r="Y6"/>
      <c r="Z6"/>
      <c r="AA6"/>
      <c r="AC6" s="100"/>
      <c r="AD6"/>
      <c r="AE6"/>
      <c r="AF6"/>
      <c r="AG6"/>
      <c r="AH6" s="18"/>
      <c r="AI6" s="18"/>
    </row>
    <row r="7" spans="1:40">
      <c r="A7"/>
      <c r="B7" s="3"/>
      <c r="C7" s="3"/>
      <c r="D7" s="3"/>
      <c r="E7" s="3"/>
      <c r="F7" s="3"/>
      <c r="G7" s="3"/>
      <c r="H7" s="3"/>
      <c r="I7" s="3"/>
      <c r="J7" s="3" t="s">
        <v>228</v>
      </c>
      <c r="K7" s="3"/>
      <c r="L7" s="3"/>
      <c r="N7" s="20"/>
      <c r="O7" s="3"/>
      <c r="Y7"/>
      <c r="Z7"/>
      <c r="AA7"/>
      <c r="AC7" s="100"/>
      <c r="AD7"/>
      <c r="AE7"/>
      <c r="AF7"/>
      <c r="AG7"/>
      <c r="AH7" s="18"/>
      <c r="AI7" s="18"/>
    </row>
    <row r="8" spans="1:40">
      <c r="A8"/>
      <c r="B8" s="3"/>
      <c r="C8" s="3"/>
      <c r="D8" s="3"/>
      <c r="E8" s="3"/>
      <c r="F8" s="3"/>
      <c r="G8" s="3"/>
      <c r="H8" s="3"/>
      <c r="I8" s="3" t="s">
        <v>54</v>
      </c>
      <c r="J8" s="3" t="s">
        <v>228</v>
      </c>
      <c r="K8" s="3"/>
      <c r="L8" s="3"/>
      <c r="N8" s="20"/>
      <c r="O8" s="3"/>
      <c r="Y8"/>
      <c r="Z8"/>
      <c r="AA8"/>
      <c r="AC8" s="100"/>
      <c r="AD8"/>
      <c r="AE8"/>
      <c r="AF8"/>
      <c r="AG8"/>
      <c r="AH8" s="18"/>
      <c r="AI8" s="18"/>
    </row>
    <row r="10" spans="1:40">
      <c r="E10" s="20" t="s">
        <v>51</v>
      </c>
      <c r="F10" s="20" t="s">
        <v>49</v>
      </c>
      <c r="G10" s="20" t="s">
        <v>50</v>
      </c>
      <c r="H10" s="20" t="s">
        <v>53</v>
      </c>
      <c r="I10" s="20" t="s">
        <v>54</v>
      </c>
      <c r="J10" s="20" t="s">
        <v>5843</v>
      </c>
      <c r="P10" s="3">
        <v>25207</v>
      </c>
      <c r="AB10" s="556" t="s">
        <v>5839</v>
      </c>
      <c r="AC10" s="556" t="s">
        <v>5840</v>
      </c>
      <c r="AH10" s="513" t="s">
        <v>5810</v>
      </c>
      <c r="AN10" s="6" t="s">
        <v>5789</v>
      </c>
    </row>
    <row r="11" spans="1:40" s="454" customFormat="1" ht="45">
      <c r="K11" s="522"/>
      <c r="P11" s="514" t="str">
        <f t="shared" ref="P11:X11" si="0">P$1</f>
        <v>track</v>
      </c>
      <c r="Q11" s="517" t="str">
        <f t="shared" si="0"/>
        <v>start met</v>
      </c>
      <c r="R11" s="517" t="str">
        <f t="shared" si="0"/>
        <v>end met</v>
      </c>
      <c r="S11" s="517" t="str">
        <f t="shared" si="0"/>
        <v>seconds</v>
      </c>
      <c r="T11" s="517" t="str">
        <f t="shared" si="0"/>
        <v>calculated bytes</v>
      </c>
      <c r="U11" s="517" t="str">
        <f t="shared" si="0"/>
        <v>pwr on</v>
      </c>
      <c r="V11" s="517" t="str">
        <f t="shared" si="0"/>
        <v>total calc bytes</v>
      </c>
      <c r="W11" s="517" t="str">
        <f t="shared" si="0"/>
        <v>bytes avail</v>
      </c>
      <c r="X11" s="517" t="str">
        <f t="shared" si="0"/>
        <v>difference</v>
      </c>
      <c r="AB11" s="557">
        <f ca="1">SUM(AB12:AB22)</f>
        <v>0</v>
      </c>
      <c r="AC11" s="557">
        <f ca="1">SUM(AC12:AC22)</f>
        <v>4.4947686591367796E-2</v>
      </c>
      <c r="AH11" s="454" t="s">
        <v>5790</v>
      </c>
      <c r="AI11" s="454" t="s">
        <v>5791</v>
      </c>
      <c r="AJ11" s="454" t="s">
        <v>5792</v>
      </c>
      <c r="AK11" s="454" t="s">
        <v>5793</v>
      </c>
      <c r="AL11" s="454" t="s">
        <v>5794</v>
      </c>
      <c r="AM11" s="454" t="s">
        <v>5795</v>
      </c>
      <c r="AN11" s="454">
        <v>5</v>
      </c>
    </row>
    <row r="12" spans="1:40" s="454" customFormat="1">
      <c r="B12"/>
      <c r="C12"/>
      <c r="D12"/>
      <c r="E12" t="s">
        <v>51</v>
      </c>
      <c r="F12"/>
      <c r="G12"/>
      <c r="H12"/>
      <c r="I12"/>
      <c r="J12" t="str">
        <f>IF(LEFT($K12,4)="&lt;=RT",J$1,IF($K12="","","???=&gt;"))</f>
        <v/>
      </c>
      <c r="K12" s="5" t="str">
        <f>$T$6</f>
        <v/>
      </c>
      <c r="L12" s="3" t="str">
        <f t="shared" ref="L12:L21" ca="1" si="1">IF(ISNUMBER(Q12),IF(Q12&gt;400000000,MID(met2utc(Q12),3,12),""),"")</f>
        <v>25-288/14:53</v>
      </c>
      <c r="M12" s="3" t="str">
        <f t="shared" ref="M12:M21" ca="1" si="2">IF(ISNUMBER(R12),IF(R12&gt;400000000,MID(met2utc(R12),3,12),""),"")</f>
        <v>25-288/14:53</v>
      </c>
      <c r="N12"/>
      <c r="O12" s="3" t="str">
        <f t="shared" ref="O12:O21" si="3">MID(deltautc($AI12),6,9)</f>
        <v>209/22:54</v>
      </c>
      <c r="P12" s="3" t="str">
        <f t="shared" ref="P12:P21" si="4">MID(AH12,5,5)</f>
        <v>209_2</v>
      </c>
      <c r="Q12" s="519">
        <v>622845950.93747699</v>
      </c>
      <c r="R12" s="516">
        <f>Q12+W12/devrate(E12:K12,Q12)</f>
        <v>622845950.93747699</v>
      </c>
      <c r="S12" s="20">
        <f t="shared" ref="S12:S21" si="5">R12-Q12</f>
        <v>0</v>
      </c>
      <c r="T12" s="20">
        <f ca="1">S12*IF(OR(EXACT($Y12,"PEP"),EXACT($Y12,"SWA")),devrate(E12:K12,$Q12),0)</f>
        <v>0</v>
      </c>
      <c r="U12" s="20">
        <f>0</f>
        <v>0</v>
      </c>
      <c r="V12" s="20">
        <f t="shared" ref="V12:V21" ca="1" si="6">T12+IF($Y12="PEP",$U12*$U$2,0)</f>
        <v>0</v>
      </c>
      <c r="W12" s="20">
        <f t="shared" ref="W12:W21" si="7">AN12*1000000/8</f>
        <v>33654.6</v>
      </c>
      <c r="X12" s="20">
        <f t="shared" ref="X12:X21" ca="1" si="8">W12-V12</f>
        <v>33654.6</v>
      </c>
      <c r="Y12" s="3" t="str">
        <f t="shared" ref="Y12:Y21" ca="1" si="9">IF($L12&lt;&gt;"",IF($M12&lt;&gt;"",IF(_xlfn.XOR(_xlfn.TEXTJOIN("",TRUE,$E12:$I12)&lt;&gt;"",_xlfn.TEXTJOIN("",TRUE,$J12:$K12)&lt;&gt;""),IF(_xlfn.TEXTJOIN("",TRUE,$J12:$K12)="","PEP","SWA"),""),""),"")</f>
        <v>PEP</v>
      </c>
      <c r="Z12"/>
      <c r="AA12"/>
      <c r="AB12" s="100">
        <f t="shared" ref="AB12:AB15" ca="1" si="10">IF(AND(ISNUMBER(V12),EXACT(Y12,"PEP")),V12*8/1000000,"")</f>
        <v>0</v>
      </c>
      <c r="AC12" s="100" t="str">
        <f ca="1">IF(AND(ISNUMBER(V12),EXACT(Y12,"SWA")),V12*8/1000000,"")</f>
        <v/>
      </c>
      <c r="AD12"/>
      <c r="AE12"/>
      <c r="AF12"/>
      <c r="AG12"/>
      <c r="AH12" t="s">
        <v>766</v>
      </c>
      <c r="AI12" t="s">
        <v>5798</v>
      </c>
      <c r="AJ12">
        <v>0.674759</v>
      </c>
      <c r="AK12">
        <v>0.70681099999999997</v>
      </c>
      <c r="AL12">
        <v>3.2051999999999997E-2</v>
      </c>
      <c r="AM12">
        <v>0.282059</v>
      </c>
      <c r="AN12" s="3">
        <f t="shared" ref="AN12:AN21" si="11">AL12*8*(100+AN$11)/100</f>
        <v>0.2692368</v>
      </c>
    </row>
    <row r="13" spans="1:40">
      <c r="A13"/>
      <c r="B13"/>
      <c r="C13"/>
      <c r="D13"/>
      <c r="E13"/>
      <c r="F13" t="s">
        <v>49</v>
      </c>
      <c r="G13"/>
      <c r="H13"/>
      <c r="I13"/>
      <c r="J13" t="str">
        <f t="shared" ref="J13:J21" si="12">IF(LEFT($K13,4)="&lt;=RT",J$1,IF($K13="","","???=&gt;"))</f>
        <v/>
      </c>
      <c r="K13" s="5" t="str">
        <f>$T$6</f>
        <v/>
      </c>
      <c r="L13" s="3" t="str">
        <f t="shared" ca="1" si="1"/>
        <v>25-288/17:40</v>
      </c>
      <c r="M13" s="3" t="str">
        <f t="shared" ca="1" si="2"/>
        <v>25-288/17:40</v>
      </c>
      <c r="N13"/>
      <c r="O13" s="3" t="str">
        <f t="shared" si="3"/>
        <v>210/20:49</v>
      </c>
      <c r="P13" s="3" t="str">
        <f t="shared" si="4"/>
        <v>210_2</v>
      </c>
      <c r="Q13" s="519">
        <f>Q12+10000</f>
        <v>622855950.93747699</v>
      </c>
      <c r="R13" s="516">
        <f t="shared" ref="R13:R21" si="13">Q13+W13/devrate(E13:K13,Q13)</f>
        <v>622855950.93747699</v>
      </c>
      <c r="S13" s="20">
        <f t="shared" si="5"/>
        <v>0</v>
      </c>
      <c r="T13" s="20">
        <f t="shared" ref="T13:T21" ca="1" si="14">S13*IF(OR(EXACT($Y13,"PEP"),EXACT($Y13,"SWA")),devrate(E13:K13,$Q13),0)</f>
        <v>0</v>
      </c>
      <c r="U13" s="20">
        <v>0</v>
      </c>
      <c r="V13" s="20">
        <f t="shared" ca="1" si="6"/>
        <v>0</v>
      </c>
      <c r="W13" s="20">
        <f t="shared" si="7"/>
        <v>887912.55</v>
      </c>
      <c r="X13" s="20">
        <f t="shared" ca="1" si="8"/>
        <v>887912.55</v>
      </c>
      <c r="Y13" s="3" t="str">
        <f t="shared" ca="1" si="9"/>
        <v>PEP</v>
      </c>
      <c r="Z13"/>
      <c r="AA13"/>
      <c r="AB13" s="100">
        <f t="shared" ca="1" si="10"/>
        <v>0</v>
      </c>
      <c r="AC13" s="100" t="str">
        <f t="shared" ref="AC13:AC22" ca="1" si="15">IF(AND(ISNUMBER(V13),EXACT(Y13,"SWA")),V13*8/1000000,"")</f>
        <v/>
      </c>
      <c r="AD13"/>
      <c r="AE13"/>
      <c r="AF13"/>
      <c r="AG13"/>
      <c r="AH13" t="s">
        <v>772</v>
      </c>
      <c r="AI13" t="s">
        <v>5799</v>
      </c>
      <c r="AJ13">
        <v>0.55793700000000002</v>
      </c>
      <c r="AK13">
        <v>1.4035679999999999</v>
      </c>
      <c r="AL13">
        <v>0.84563100000000002</v>
      </c>
      <c r="AM13">
        <v>7.4415480000000001</v>
      </c>
      <c r="AN13" s="3">
        <f t="shared" si="11"/>
        <v>7.1033004000000002</v>
      </c>
    </row>
    <row r="14" spans="1:40">
      <c r="A14"/>
      <c r="B14"/>
      <c r="C14"/>
      <c r="D14"/>
      <c r="E14"/>
      <c r="F14"/>
      <c r="G14" t="s">
        <v>50</v>
      </c>
      <c r="H14"/>
      <c r="I14"/>
      <c r="J14" t="str">
        <f t="shared" si="12"/>
        <v/>
      </c>
      <c r="K14" s="5" t="str">
        <f>$T$6</f>
        <v/>
      </c>
      <c r="L14" s="3" t="str">
        <f t="shared" ca="1" si="1"/>
        <v>25-288/20:27</v>
      </c>
      <c r="M14" s="3" t="str">
        <f t="shared" ca="1" si="2"/>
        <v>25-288/20:27</v>
      </c>
      <c r="N14"/>
      <c r="O14" s="3" t="str">
        <f t="shared" si="3"/>
        <v>211/13:39</v>
      </c>
      <c r="P14" s="3" t="str">
        <f t="shared" si="4"/>
        <v>211_1</v>
      </c>
      <c r="Q14" s="519">
        <f t="shared" ref="Q14:Q19" si="16">Q13+10000</f>
        <v>622865950.93747699</v>
      </c>
      <c r="R14" s="516">
        <f t="shared" si="13"/>
        <v>622865950.93747699</v>
      </c>
      <c r="S14" s="20">
        <f t="shared" si="5"/>
        <v>0</v>
      </c>
      <c r="T14" s="20">
        <f t="shared" ca="1" si="14"/>
        <v>0</v>
      </c>
      <c r="U14" s="20">
        <f>0</f>
        <v>0</v>
      </c>
      <c r="V14" s="20">
        <f t="shared" ca="1" si="6"/>
        <v>0</v>
      </c>
      <c r="W14" s="20">
        <f t="shared" si="7"/>
        <v>864537.45</v>
      </c>
      <c r="X14" s="20">
        <f t="shared" ca="1" si="8"/>
        <v>864537.45</v>
      </c>
      <c r="Y14" s="3" t="str">
        <f t="shared" ca="1" si="9"/>
        <v>PEP</v>
      </c>
      <c r="Z14"/>
      <c r="AA14"/>
      <c r="AB14" s="100">
        <f t="shared" ca="1" si="10"/>
        <v>0</v>
      </c>
      <c r="AC14" s="100" t="str">
        <f t="shared" ca="1" si="15"/>
        <v/>
      </c>
      <c r="AD14"/>
      <c r="AE14"/>
      <c r="AF14"/>
      <c r="AG14"/>
      <c r="AH14" t="s">
        <v>39</v>
      </c>
      <c r="AI14" t="s">
        <v>5800</v>
      </c>
      <c r="AJ14">
        <v>0.24687999999999999</v>
      </c>
      <c r="AK14">
        <v>1.070249</v>
      </c>
      <c r="AL14">
        <v>0.82336900000000002</v>
      </c>
      <c r="AM14">
        <v>7.2456469999999999</v>
      </c>
      <c r="AN14" s="3">
        <f t="shared" si="11"/>
        <v>6.9162995999999994</v>
      </c>
    </row>
    <row r="15" spans="1:40">
      <c r="A15"/>
      <c r="B15"/>
      <c r="C15"/>
      <c r="D15"/>
      <c r="E15" t="s">
        <v>51</v>
      </c>
      <c r="F15" t="s">
        <v>49</v>
      </c>
      <c r="G15" t="s">
        <v>50</v>
      </c>
      <c r="H15" t="s">
        <v>53</v>
      </c>
      <c r="I15" t="s">
        <v>54</v>
      </c>
      <c r="J15"/>
      <c r="K15" s="5" t="str">
        <f>$T$6</f>
        <v/>
      </c>
      <c r="L15" s="3" t="str">
        <f t="shared" ca="1" si="1"/>
        <v>25-288/23:13</v>
      </c>
      <c r="M15" s="3" t="str">
        <f t="shared" ca="1" si="2"/>
        <v>25-288/23:13</v>
      </c>
      <c r="N15"/>
      <c r="O15" s="3" t="str">
        <f t="shared" si="3"/>
        <v>212/08:19</v>
      </c>
      <c r="P15" s="3" t="str">
        <f t="shared" si="4"/>
        <v>212_1</v>
      </c>
      <c r="Q15" s="519">
        <f t="shared" si="16"/>
        <v>622875950.93747699</v>
      </c>
      <c r="R15" s="516">
        <f t="shared" si="13"/>
        <v>622875950.93747699</v>
      </c>
      <c r="S15" s="20">
        <f t="shared" si="5"/>
        <v>0</v>
      </c>
      <c r="T15" s="20">
        <f t="shared" ca="1" si="14"/>
        <v>0</v>
      </c>
      <c r="U15" s="20">
        <f>0</f>
        <v>0</v>
      </c>
      <c r="V15" s="20">
        <f t="shared" ca="1" si="6"/>
        <v>0</v>
      </c>
      <c r="W15" s="20">
        <f t="shared" si="7"/>
        <v>116923.79999999999</v>
      </c>
      <c r="X15" s="20">
        <f t="shared" ca="1" si="8"/>
        <v>116923.79999999999</v>
      </c>
      <c r="Y15" s="3" t="str">
        <f t="shared" ca="1" si="9"/>
        <v>PEP</v>
      </c>
      <c r="Z15"/>
      <c r="AA15"/>
      <c r="AB15" s="100">
        <f t="shared" ca="1" si="10"/>
        <v>0</v>
      </c>
      <c r="AC15" s="100" t="str">
        <f t="shared" ca="1" si="15"/>
        <v/>
      </c>
      <c r="AD15"/>
      <c r="AE15"/>
      <c r="AF15"/>
      <c r="AG15"/>
      <c r="AH15" t="s">
        <v>779</v>
      </c>
      <c r="AI15" t="s">
        <v>5801</v>
      </c>
      <c r="AJ15">
        <v>0.26269700000000001</v>
      </c>
      <c r="AK15">
        <v>0.37405300000000002</v>
      </c>
      <c r="AL15">
        <v>0.111356</v>
      </c>
      <c r="AM15">
        <v>0.97992999999999997</v>
      </c>
      <c r="AN15" s="3">
        <f t="shared" si="11"/>
        <v>0.93539039999999996</v>
      </c>
    </row>
    <row r="16" spans="1:40">
      <c r="A16"/>
      <c r="B16"/>
      <c r="C16"/>
      <c r="D16"/>
      <c r="E16"/>
      <c r="F16"/>
      <c r="G16"/>
      <c r="H16"/>
      <c r="I16"/>
      <c r="J16" t="str">
        <f t="shared" si="12"/>
        <v>SDT1HSK4</v>
      </c>
      <c r="K16" s="5" t="str">
        <f>$T$3</f>
        <v>&lt;=RT1H</v>
      </c>
      <c r="L16" s="3" t="str">
        <f t="shared" ca="1" si="1"/>
        <v>25-289/07:33</v>
      </c>
      <c r="M16" s="3" t="str">
        <f t="shared" ca="1" si="2"/>
        <v>25-289/07:33</v>
      </c>
      <c r="N16"/>
      <c r="O16" s="3" t="str">
        <f t="shared" si="3"/>
        <v>212/20:54</v>
      </c>
      <c r="P16" s="3" t="str">
        <f t="shared" si="4"/>
        <v>212_2</v>
      </c>
      <c r="Q16" s="519">
        <f>Q$15+30000</f>
        <v>622905950.93747699</v>
      </c>
      <c r="R16" s="519">
        <f t="shared" si="13"/>
        <v>622905950.93747699</v>
      </c>
      <c r="S16" s="20">
        <f t="shared" si="5"/>
        <v>0</v>
      </c>
      <c r="T16" s="20">
        <f t="shared" ca="1" si="14"/>
        <v>0</v>
      </c>
      <c r="U16" s="20">
        <f>0</f>
        <v>0</v>
      </c>
      <c r="V16" s="20">
        <f t="shared" ca="1" si="6"/>
        <v>0</v>
      </c>
      <c r="W16" s="20">
        <f t="shared" si="7"/>
        <v>1150204.6500000001</v>
      </c>
      <c r="X16" s="20">
        <f t="shared" ca="1" si="8"/>
        <v>1150204.6500000001</v>
      </c>
      <c r="Y16" s="3" t="str">
        <f t="shared" ca="1" si="9"/>
        <v>SWA</v>
      </c>
      <c r="Z16"/>
      <c r="AA16"/>
      <c r="AB16" s="100" t="str">
        <f ca="1">IF(AND(ISNUMBER(V16),EXACT(Y16,"PEP")),V16*8/1000000,"")</f>
        <v/>
      </c>
      <c r="AC16" s="100">
        <f t="shared" ca="1" si="15"/>
        <v>0</v>
      </c>
      <c r="AD16"/>
      <c r="AE16"/>
      <c r="AF16"/>
      <c r="AG16"/>
      <c r="AH16" t="s">
        <v>783</v>
      </c>
      <c r="AI16" t="s">
        <v>5802</v>
      </c>
      <c r="AJ16">
        <v>0.227911</v>
      </c>
      <c r="AK16">
        <v>1.3233440000000001</v>
      </c>
      <c r="AL16">
        <v>1.0954330000000001</v>
      </c>
      <c r="AM16">
        <v>9.6398080000000004</v>
      </c>
      <c r="AN16" s="3">
        <f t="shared" si="11"/>
        <v>9.2016372000000004</v>
      </c>
    </row>
    <row r="17" spans="1:40">
      <c r="A17"/>
      <c r="B17"/>
      <c r="C17"/>
      <c r="D17"/>
      <c r="E17"/>
      <c r="F17"/>
      <c r="G17"/>
      <c r="H17"/>
      <c r="I17"/>
      <c r="J17" t="str">
        <f t="shared" si="12"/>
        <v>SDT1HSK4</v>
      </c>
      <c r="K17" s="5" t="str">
        <f>$T$3</f>
        <v>&lt;=RT1H</v>
      </c>
      <c r="L17" s="3" t="str">
        <f t="shared" ca="1" si="1"/>
        <v>25-289/10:20</v>
      </c>
      <c r="M17" s="3" t="str">
        <f t="shared" ca="1" si="2"/>
        <v>25-289/10:20</v>
      </c>
      <c r="N17"/>
      <c r="O17" s="3" t="str">
        <f t="shared" si="3"/>
        <v>213/11:49</v>
      </c>
      <c r="P17" s="3" t="str">
        <f t="shared" si="4"/>
        <v>213_1</v>
      </c>
      <c r="Q17" s="519">
        <f t="shared" si="16"/>
        <v>622915950.93747699</v>
      </c>
      <c r="R17" s="516">
        <f t="shared" si="13"/>
        <v>622915950.93747699</v>
      </c>
      <c r="S17" s="20">
        <f t="shared" si="5"/>
        <v>0</v>
      </c>
      <c r="T17" s="20">
        <f t="shared" ca="1" si="14"/>
        <v>0</v>
      </c>
      <c r="U17" s="20">
        <f>0</f>
        <v>0</v>
      </c>
      <c r="V17" s="20">
        <f t="shared" ca="1" si="6"/>
        <v>0</v>
      </c>
      <c r="W17" s="20">
        <f t="shared" si="7"/>
        <v>1121578.5</v>
      </c>
      <c r="X17" s="20">
        <f t="shared" ca="1" si="8"/>
        <v>1121578.5</v>
      </c>
      <c r="Y17" s="3" t="str">
        <f t="shared" ca="1" si="9"/>
        <v>SWA</v>
      </c>
      <c r="Z17"/>
      <c r="AA17"/>
      <c r="AB17" s="100" t="str">
        <f t="shared" ref="AB17:AB22" ca="1" si="17">IF(AND(ISNUMBER(V17),EXACT(Y17,"PEP")),V17*8/1000000,"")</f>
        <v/>
      </c>
      <c r="AC17" s="100">
        <f t="shared" ca="1" si="15"/>
        <v>0</v>
      </c>
      <c r="AD17"/>
      <c r="AE17"/>
      <c r="AF17"/>
      <c r="AG17"/>
      <c r="AH17" t="s">
        <v>40</v>
      </c>
      <c r="AI17" t="s">
        <v>5803</v>
      </c>
      <c r="AJ17">
        <v>0.386322</v>
      </c>
      <c r="AK17">
        <v>1.4544919999999999</v>
      </c>
      <c r="AL17">
        <v>1.0681700000000001</v>
      </c>
      <c r="AM17">
        <v>9.3998989999999996</v>
      </c>
      <c r="AN17" s="3">
        <f t="shared" si="11"/>
        <v>8.9726280000000003</v>
      </c>
    </row>
    <row r="18" spans="1:40">
      <c r="A18"/>
      <c r="B18"/>
      <c r="C18"/>
      <c r="D18"/>
      <c r="E18"/>
      <c r="F18"/>
      <c r="G18"/>
      <c r="H18"/>
      <c r="I18"/>
      <c r="J18" t="str">
        <f t="shared" si="12"/>
        <v>SDT1HSK4</v>
      </c>
      <c r="K18" s="5" t="str">
        <f>$T$4</f>
        <v xml:space="preserve">&lt;=RT30M </v>
      </c>
      <c r="L18" s="3" t="str">
        <f t="shared" ca="1" si="1"/>
        <v>25-289/13:07</v>
      </c>
      <c r="M18" s="3" t="str">
        <f t="shared" ca="1" si="2"/>
        <v>25-289/13:07</v>
      </c>
      <c r="N18"/>
      <c r="O18" s="3" t="str">
        <f t="shared" si="3"/>
        <v>215/17:43</v>
      </c>
      <c r="P18" s="3" t="str">
        <f t="shared" si="4"/>
        <v>215_1</v>
      </c>
      <c r="Q18" s="518">
        <f t="shared" si="16"/>
        <v>622925950.93747699</v>
      </c>
      <c r="R18" s="516">
        <f t="shared" si="13"/>
        <v>622925950.93747699</v>
      </c>
      <c r="S18" s="20">
        <f t="shared" si="5"/>
        <v>0</v>
      </c>
      <c r="T18" s="20">
        <f t="shared" ca="1" si="14"/>
        <v>0</v>
      </c>
      <c r="U18" s="20">
        <f>0</f>
        <v>0</v>
      </c>
      <c r="V18" s="20">
        <f t="shared" ca="1" si="6"/>
        <v>0</v>
      </c>
      <c r="W18" s="20">
        <f t="shared" si="7"/>
        <v>1171036.6499999999</v>
      </c>
      <c r="X18" s="20">
        <f t="shared" ca="1" si="8"/>
        <v>1171036.6499999999</v>
      </c>
      <c r="Y18" s="3" t="str">
        <f t="shared" ca="1" si="9"/>
        <v>SWA</v>
      </c>
      <c r="Z18"/>
      <c r="AA18"/>
      <c r="AB18" s="100" t="str">
        <f t="shared" ca="1" si="17"/>
        <v/>
      </c>
      <c r="AC18" s="100">
        <f t="shared" ca="1" si="15"/>
        <v>0</v>
      </c>
      <c r="AD18"/>
      <c r="AE18"/>
      <c r="AF18"/>
      <c r="AG18"/>
      <c r="AH18" t="s">
        <v>795</v>
      </c>
      <c r="AI18" t="s">
        <v>5804</v>
      </c>
      <c r="AJ18">
        <v>0.97636599999999996</v>
      </c>
      <c r="AK18">
        <v>2.0916389999999998</v>
      </c>
      <c r="AL18">
        <v>1.115273</v>
      </c>
      <c r="AM18">
        <v>9.8144030000000004</v>
      </c>
      <c r="AN18" s="3">
        <f t="shared" si="11"/>
        <v>9.3682932000000001</v>
      </c>
    </row>
    <row r="19" spans="1:40">
      <c r="A19"/>
      <c r="B19"/>
      <c r="C19"/>
      <c r="D19"/>
      <c r="E19"/>
      <c r="F19"/>
      <c r="G19"/>
      <c r="H19"/>
      <c r="I19"/>
      <c r="J19" t="str">
        <f t="shared" si="12"/>
        <v>SDT1HSK4</v>
      </c>
      <c r="K19" s="5" t="str">
        <f>$T$2</f>
        <v xml:space="preserve">&lt;=RT2H </v>
      </c>
      <c r="L19" s="3" t="str">
        <f t="shared" ca="1" si="1"/>
        <v>25-289/15:53</v>
      </c>
      <c r="M19" s="3" t="str">
        <f t="shared" ca="1" si="2"/>
        <v>25-289/18:59</v>
      </c>
      <c r="N19"/>
      <c r="O19" s="3" t="str">
        <f t="shared" si="3"/>
        <v>216/11:48</v>
      </c>
      <c r="P19" s="3" t="str">
        <f t="shared" si="4"/>
        <v>216_1</v>
      </c>
      <c r="Q19" s="518">
        <f t="shared" si="16"/>
        <v>622935950.93747699</v>
      </c>
      <c r="R19" s="516">
        <f>Q19+11111</f>
        <v>622947061.93747699</v>
      </c>
      <c r="S19" s="20">
        <f t="shared" si="5"/>
        <v>11111</v>
      </c>
      <c r="T19" s="20">
        <f t="shared" ca="1" si="14"/>
        <v>5618.4608239209747</v>
      </c>
      <c r="U19" s="20">
        <f>0</f>
        <v>0</v>
      </c>
      <c r="V19" s="20">
        <f t="shared" ca="1" si="6"/>
        <v>5618.4608239209747</v>
      </c>
      <c r="W19" s="20">
        <f t="shared" si="7"/>
        <v>2863877.0999999996</v>
      </c>
      <c r="X19" s="20">
        <f t="shared" ca="1" si="8"/>
        <v>2858258.6391760786</v>
      </c>
      <c r="Y19" s="3" t="str">
        <f t="shared" ca="1" si="9"/>
        <v>SWA</v>
      </c>
      <c r="Z19"/>
      <c r="AA19"/>
      <c r="AB19" s="100" t="str">
        <f t="shared" ca="1" si="17"/>
        <v/>
      </c>
      <c r="AC19" s="100">
        <f t="shared" ca="1" si="15"/>
        <v>4.4947686591367796E-2</v>
      </c>
      <c r="AD19"/>
      <c r="AE19"/>
      <c r="AF19"/>
      <c r="AG19"/>
      <c r="AH19" t="s">
        <v>797</v>
      </c>
      <c r="AI19" t="s">
        <v>5805</v>
      </c>
      <c r="AJ19">
        <v>0.246971</v>
      </c>
      <c r="AK19">
        <v>2.9744730000000001</v>
      </c>
      <c r="AL19">
        <v>2.7275019999999999</v>
      </c>
      <c r="AM19">
        <v>24.002020000000002</v>
      </c>
      <c r="AN19" s="3">
        <f t="shared" si="11"/>
        <v>22.911016799999999</v>
      </c>
    </row>
    <row r="20" spans="1:40">
      <c r="A20"/>
      <c r="B20"/>
      <c r="C20"/>
      <c r="D20"/>
      <c r="E20"/>
      <c r="F20"/>
      <c r="G20"/>
      <c r="H20"/>
      <c r="I20"/>
      <c r="J20" t="str">
        <f t="shared" si="12"/>
        <v/>
      </c>
      <c r="K20" s="5"/>
      <c r="L20" s="3" t="str">
        <f t="shared" si="1"/>
        <v/>
      </c>
      <c r="M20" s="3" t="str">
        <f t="shared" si="2"/>
        <v/>
      </c>
      <c r="N20"/>
      <c r="O20" s="3" t="str">
        <f t="shared" si="3"/>
        <v>217/20:13</v>
      </c>
      <c r="P20" s="3" t="str">
        <f t="shared" si="4"/>
        <v>217_2</v>
      </c>
      <c r="Q20" s="518"/>
      <c r="R20" s="516">
        <f t="shared" si="13"/>
        <v>8.8402649999999997E-33</v>
      </c>
      <c r="S20" s="20">
        <f t="shared" si="5"/>
        <v>8.8402649999999997E-33</v>
      </c>
      <c r="T20" s="20">
        <f t="shared" si="14"/>
        <v>0</v>
      </c>
      <c r="U20" s="20">
        <f>0</f>
        <v>0</v>
      </c>
      <c r="V20" s="20">
        <f t="shared" si="6"/>
        <v>0</v>
      </c>
      <c r="W20" s="20">
        <f t="shared" si="7"/>
        <v>884026.49999999988</v>
      </c>
      <c r="X20" s="20">
        <f t="shared" si="8"/>
        <v>884026.49999999988</v>
      </c>
      <c r="Y20" s="3" t="str">
        <f t="shared" si="9"/>
        <v/>
      </c>
      <c r="Z20"/>
      <c r="AA20"/>
      <c r="AB20" s="100" t="str">
        <f t="shared" si="17"/>
        <v/>
      </c>
      <c r="AC20" s="100" t="str">
        <f t="shared" si="15"/>
        <v/>
      </c>
      <c r="AD20"/>
      <c r="AE20"/>
      <c r="AF20"/>
      <c r="AG20"/>
      <c r="AH20" t="s">
        <v>804</v>
      </c>
      <c r="AI20" t="s">
        <v>5806</v>
      </c>
      <c r="AJ20">
        <v>0.52772699999999995</v>
      </c>
      <c r="AK20">
        <v>1.3696569999999999</v>
      </c>
      <c r="AL20">
        <v>0.84192999999999996</v>
      </c>
      <c r="AM20">
        <v>7.4089850000000004</v>
      </c>
      <c r="AN20" s="3">
        <f t="shared" si="11"/>
        <v>7.0722119999999995</v>
      </c>
    </row>
    <row r="21" spans="1:40">
      <c r="A21"/>
      <c r="B21"/>
      <c r="C21"/>
      <c r="D21"/>
      <c r="E21"/>
      <c r="F21"/>
      <c r="G21"/>
      <c r="H21"/>
      <c r="I21"/>
      <c r="J21" t="str">
        <f t="shared" si="12"/>
        <v/>
      </c>
      <c r="K21" s="5" t="str">
        <f t="shared" ref="K21" si="18">$T$6</f>
        <v/>
      </c>
      <c r="L21" s="3" t="str">
        <f t="shared" si="1"/>
        <v/>
      </c>
      <c r="M21" s="3" t="str">
        <f t="shared" si="2"/>
        <v/>
      </c>
      <c r="N21"/>
      <c r="O21" s="3" t="str">
        <f t="shared" si="3"/>
        <v>218/19:43</v>
      </c>
      <c r="P21" s="3" t="str">
        <f t="shared" si="4"/>
        <v>218_1</v>
      </c>
      <c r="Q21" s="523"/>
      <c r="R21" s="516">
        <f t="shared" si="13"/>
        <v>5.6746199999999994E-34</v>
      </c>
      <c r="S21" s="20">
        <f t="shared" si="5"/>
        <v>5.6746199999999994E-34</v>
      </c>
      <c r="T21" s="20">
        <f t="shared" si="14"/>
        <v>0</v>
      </c>
      <c r="U21" s="20">
        <f>0</f>
        <v>0</v>
      </c>
      <c r="V21" s="20">
        <f t="shared" si="6"/>
        <v>0</v>
      </c>
      <c r="W21" s="20">
        <f t="shared" si="7"/>
        <v>56746.2</v>
      </c>
      <c r="X21" s="20">
        <f t="shared" si="8"/>
        <v>56746.2</v>
      </c>
      <c r="Y21" s="3" t="str">
        <f t="shared" si="9"/>
        <v/>
      </c>
      <c r="Z21"/>
      <c r="AA21"/>
      <c r="AB21" s="100" t="str">
        <f t="shared" si="17"/>
        <v/>
      </c>
      <c r="AC21" s="100" t="str">
        <f t="shared" si="15"/>
        <v/>
      </c>
      <c r="AD21"/>
      <c r="AE21"/>
      <c r="AF21"/>
      <c r="AG21"/>
      <c r="AH21" t="s">
        <v>809</v>
      </c>
      <c r="AI21" t="s">
        <v>5807</v>
      </c>
      <c r="AJ21">
        <v>0.27238099999999998</v>
      </c>
      <c r="AK21">
        <v>0.32642500000000002</v>
      </c>
      <c r="AL21">
        <v>5.4044000000000002E-2</v>
      </c>
      <c r="AM21">
        <v>0.47558499999999998</v>
      </c>
      <c r="AN21" s="3">
        <f t="shared" si="11"/>
        <v>0.45396959999999997</v>
      </c>
    </row>
    <row r="22" spans="1:40">
      <c r="A22"/>
      <c r="B22"/>
      <c r="C22"/>
      <c r="D22"/>
      <c r="E22"/>
      <c r="F22"/>
      <c r="G22"/>
      <c r="H22"/>
      <c r="I22"/>
      <c r="J22"/>
      <c r="K22"/>
      <c r="L22" s="3"/>
      <c r="M22" s="3"/>
      <c r="N22"/>
      <c r="O22" s="3"/>
      <c r="Q22" s="518"/>
      <c r="S22" s="20"/>
      <c r="T22" s="20"/>
      <c r="U22" s="20"/>
      <c r="V22" s="20"/>
      <c r="W22" s="20">
        <f>X21</f>
        <v>56746.2</v>
      </c>
      <c r="X22" s="20"/>
      <c r="Y22" s="3"/>
      <c r="Z22"/>
      <c r="AA22"/>
      <c r="AB22" s="100" t="str">
        <f t="shared" si="17"/>
        <v/>
      </c>
      <c r="AC22" s="100" t="str">
        <f t="shared" si="15"/>
        <v/>
      </c>
      <c r="AD22"/>
      <c r="AE22"/>
      <c r="AF22"/>
      <c r="AG22"/>
      <c r="AH22" t="s">
        <v>5796</v>
      </c>
      <c r="AI22"/>
      <c r="AJ22"/>
      <c r="AK22"/>
      <c r="AL22"/>
      <c r="AM22"/>
      <c r="AN22" s="3"/>
    </row>
    <row r="23" spans="1:40">
      <c r="A23"/>
      <c r="B23"/>
      <c r="C23"/>
      <c r="D23"/>
      <c r="E23"/>
      <c r="F23"/>
      <c r="G23"/>
      <c r="H23"/>
      <c r="I23"/>
      <c r="J23"/>
      <c r="K23"/>
      <c r="L23"/>
      <c r="M23"/>
      <c r="N23"/>
      <c r="O23"/>
      <c r="Y23"/>
      <c r="Z23"/>
      <c r="AA23"/>
      <c r="AB23" s="100"/>
      <c r="AC23" s="100"/>
      <c r="AD23"/>
      <c r="AE23"/>
      <c r="AF23"/>
      <c r="AG23"/>
      <c r="AH23" t="s">
        <v>5808</v>
      </c>
      <c r="AI23"/>
      <c r="AJ23"/>
      <c r="AK23"/>
      <c r="AL23"/>
      <c r="AM23"/>
      <c r="AN23"/>
    </row>
    <row r="24" spans="1:40">
      <c r="A24"/>
      <c r="B24"/>
      <c r="C24"/>
      <c r="D24"/>
      <c r="E24"/>
      <c r="F24"/>
      <c r="G24"/>
      <c r="H24"/>
      <c r="I24"/>
      <c r="J24"/>
      <c r="K24"/>
      <c r="L24"/>
      <c r="M24"/>
      <c r="N24"/>
      <c r="O24"/>
      <c r="Y24"/>
      <c r="Z24"/>
      <c r="AA24"/>
      <c r="AB24" s="100"/>
      <c r="AC24" s="100"/>
      <c r="AD24"/>
      <c r="AE24"/>
      <c r="AF24"/>
      <c r="AG24"/>
      <c r="AH24" t="s">
        <v>5809</v>
      </c>
      <c r="AI24"/>
      <c r="AJ24"/>
      <c r="AK24"/>
      <c r="AL24"/>
      <c r="AM24"/>
      <c r="AN24"/>
    </row>
    <row r="25" spans="1:40">
      <c r="A25"/>
      <c r="B25"/>
      <c r="C25"/>
      <c r="D25"/>
      <c r="E25"/>
      <c r="F25"/>
      <c r="G25"/>
      <c r="H25"/>
      <c r="I25"/>
      <c r="J25"/>
      <c r="K25"/>
      <c r="L25"/>
      <c r="M25"/>
      <c r="N25"/>
      <c r="O25"/>
      <c r="Y25"/>
      <c r="Z25"/>
      <c r="AA25"/>
      <c r="AB25" s="100"/>
      <c r="AC25" s="100"/>
      <c r="AD25"/>
      <c r="AE25"/>
      <c r="AF25"/>
      <c r="AG25"/>
      <c r="AH25" t="s">
        <v>5797</v>
      </c>
      <c r="AI25"/>
      <c r="AJ25"/>
      <c r="AK25"/>
      <c r="AL25"/>
      <c r="AM25"/>
      <c r="AN25"/>
    </row>
    <row r="27" spans="1:40">
      <c r="P27" s="3">
        <v>25207</v>
      </c>
      <c r="AB27" s="558" t="s">
        <v>5839</v>
      </c>
      <c r="AC27" s="558" t="s">
        <v>5840</v>
      </c>
      <c r="AH27" s="513" t="s">
        <v>5810</v>
      </c>
      <c r="AN27" s="6" t="s">
        <v>5789</v>
      </c>
    </row>
    <row r="28" spans="1:40" s="454" customFormat="1" ht="45">
      <c r="A28" s="554"/>
      <c r="B28" s="554"/>
      <c r="C28" s="554"/>
      <c r="D28" s="554"/>
      <c r="E28" s="554" t="str">
        <f>$E$1</f>
        <v>HSK3</v>
      </c>
      <c r="F28" s="554" t="str">
        <f>$F$1</f>
        <v>DT1</v>
      </c>
      <c r="G28" s="554" t="str">
        <f>$G$1</f>
        <v>DT2</v>
      </c>
      <c r="H28" s="554" t="str">
        <f>$H$1</f>
        <v>DT3</v>
      </c>
      <c r="I28" s="554" t="str">
        <f>$I$1</f>
        <v>DT4</v>
      </c>
      <c r="J28" s="554" t="str">
        <f>$J$1</f>
        <v>SDT1HSK4</v>
      </c>
      <c r="K28" s="554"/>
      <c r="L28" s="554"/>
      <c r="M28" s="554"/>
      <c r="N28" s="514"/>
      <c r="O28" s="554"/>
      <c r="P28" s="514" t="str">
        <f>P$1</f>
        <v>track</v>
      </c>
      <c r="Q28" s="517" t="str">
        <f>Q$1</f>
        <v>start met</v>
      </c>
      <c r="R28" s="517" t="str">
        <f>R$1</f>
        <v>end met</v>
      </c>
      <c r="S28" s="517" t="str">
        <f>S$1</f>
        <v>seconds</v>
      </c>
      <c r="T28" s="517" t="str">
        <f>T$1</f>
        <v>calculated bytes</v>
      </c>
      <c r="U28" s="517" t="str">
        <f>U$1</f>
        <v>pwr on</v>
      </c>
      <c r="V28" s="517" t="str">
        <f>V$1</f>
        <v>total calc bytes</v>
      </c>
      <c r="W28" s="517" t="str">
        <f>W$1</f>
        <v>bytes avail</v>
      </c>
      <c r="X28" s="517" t="str">
        <f>X$1</f>
        <v>difference</v>
      </c>
      <c r="Y28" s="554"/>
      <c r="Z28" s="554"/>
      <c r="AA28" s="554"/>
      <c r="AB28" s="555">
        <f ca="1">SUM(AB29:AB46)</f>
        <v>56.476165200002008</v>
      </c>
      <c r="AC28" s="555">
        <f ca="1">SUM(AC29:AC46)</f>
        <v>16.727818799999433</v>
      </c>
      <c r="AD28" s="554"/>
      <c r="AE28" s="554"/>
      <c r="AF28" s="554"/>
      <c r="AG28" s="554"/>
      <c r="AH28" s="552" t="s">
        <v>5790</v>
      </c>
      <c r="AI28" s="552" t="s">
        <v>5791</v>
      </c>
      <c r="AJ28" s="553" t="s">
        <v>5792</v>
      </c>
      <c r="AK28" s="553" t="s">
        <v>5793</v>
      </c>
      <c r="AL28" s="553" t="s">
        <v>5794</v>
      </c>
      <c r="AM28" s="553" t="s">
        <v>5795</v>
      </c>
      <c r="AN28" s="553">
        <v>5</v>
      </c>
    </row>
    <row r="29" spans="1:40">
      <c r="E29" s="20" t="s">
        <v>51</v>
      </c>
      <c r="F29" s="20" t="s">
        <v>49</v>
      </c>
      <c r="J29" s="20" t="str">
        <f>IF(LEFT($K29,4)="&lt;=RT",J$1,IF($K29="","","???=&gt;"))</f>
        <v/>
      </c>
      <c r="L29" s="20" t="str">
        <f ca="1">IF(ISNUMBER(Q29),IF(Q29&gt;400000000,MID(met2utc(Q29),3,12),""),"")</f>
        <v>25-289/15:53</v>
      </c>
      <c r="M29" s="20" t="str">
        <f ca="1">IF(ISNUMBER(R29),IF(R29&gt;400000000,MID(met2utc(R29),3,12),""),"")</f>
        <v>25-290/04:46</v>
      </c>
      <c r="O29" s="20" t="str">
        <f>MID(deltautc($AI29),6,9)</f>
        <v>209/22:54</v>
      </c>
      <c r="P29" s="3" t="str">
        <f>MID(AH29,5,5)</f>
        <v>209_2</v>
      </c>
      <c r="Q29" s="519">
        <v>622935950.93747699</v>
      </c>
      <c r="R29" s="20">
        <f>Q29+W29/devrate(E29:K29,Q29)</f>
        <v>622982317.78018653</v>
      </c>
      <c r="S29" s="20">
        <f>R29-Q29</f>
        <v>46366.842709541321</v>
      </c>
      <c r="T29" s="20">
        <f ca="1">S29*IF(OR(EXACT($Y29,"PEP"),EXACT($Y29,"SWA")),devrate(E29:K29,$Q29),0)</f>
        <v>33654.600000008744</v>
      </c>
      <c r="U29" s="20">
        <f>0</f>
        <v>0</v>
      </c>
      <c r="V29" s="20">
        <f ca="1">T29+IF($Y29="PEP",$U29*$U$2,0)</f>
        <v>33654.600000008744</v>
      </c>
      <c r="W29" s="20">
        <f>AN29*1000000/8</f>
        <v>33654.6</v>
      </c>
      <c r="X29" s="20">
        <f ca="1">W29-V29</f>
        <v>-8.7457010522484779E-9</v>
      </c>
      <c r="Y29" s="20" t="str">
        <f ca="1">IF($L29&lt;&gt;"",IF($M29&lt;&gt;"",IF(_xlfn.XOR(_xlfn.TEXTJOIN("",TRUE,$E29:$I29)&lt;&gt;"",_xlfn.TEXTJOIN("",TRUE,$J29:$K29)&lt;&gt;""),IF(_xlfn.TEXTJOIN("",TRUE,$J29:$K29)="","PEP","SWA"),""),""),"")</f>
        <v>PEP</v>
      </c>
      <c r="AB29" s="556">
        <f ca="1">IF(AND(ISNUMBER(V29),EXACT(Y29,"PEP")),V29*8/1000000,"")</f>
        <v>0.26923680000006994</v>
      </c>
      <c r="AC29" s="556" t="str">
        <f ca="1">IF(AND(ISNUMBER(V29),EXACT(Y29,"SWA")),V29*8/1000000,"")</f>
        <v/>
      </c>
      <c r="AH29" s="513" t="s">
        <v>766</v>
      </c>
      <c r="AI29" s="513" t="s">
        <v>5798</v>
      </c>
      <c r="AJ29" s="6">
        <v>0.674759</v>
      </c>
      <c r="AK29" s="6">
        <v>0.70681099999999997</v>
      </c>
      <c r="AL29" s="6">
        <v>3.2051999999999997E-2</v>
      </c>
      <c r="AM29" s="6">
        <v>0.282059</v>
      </c>
      <c r="AN29" s="3">
        <f>AL29*8*(100+AN$28)/100</f>
        <v>0.2692368</v>
      </c>
    </row>
    <row r="30" spans="1:40">
      <c r="F30" s="20" t="s">
        <v>49</v>
      </c>
      <c r="G30" s="20" t="s">
        <v>50</v>
      </c>
      <c r="J30" s="20" t="str">
        <f>IF(LEFT($K30,4)="&lt;=RT",J$1,IF($K30="","","???=&gt;"))</f>
        <v/>
      </c>
      <c r="L30" s="20" t="str">
        <f ca="1">IF(ISNUMBER(Q30),IF(Q30&gt;400000000,MID(met2utc(Q30),3,12),""),"")</f>
        <v>25-289/15:53</v>
      </c>
      <c r="M30" s="20" t="str">
        <f ca="1">IF(ISNUMBER(R30),IF(R30&gt;400000000,MID(met2utc(R30),3,12),""),"")</f>
        <v>25-290/07:05</v>
      </c>
      <c r="O30" s="20" t="str">
        <f>MID(deltautc($AI30),6,9)</f>
        <v>210/20:49</v>
      </c>
      <c r="P30" s="3" t="str">
        <f>MID(AH30,5,5)</f>
        <v>210_2</v>
      </c>
      <c r="Q30" s="519">
        <v>622935950.93747699</v>
      </c>
      <c r="R30" s="20">
        <f>Q30+54677</f>
        <v>622990627.93747699</v>
      </c>
      <c r="S30" s="20">
        <f>R30-Q30</f>
        <v>54677</v>
      </c>
      <c r="T30" s="20">
        <f ca="1">S30*IF(OR(EXACT($Y30,"PEP"),EXACT($Y30,"SWA")),devrate(E30:K30,$Q30),0)</f>
        <v>313869.7113368056</v>
      </c>
      <c r="U30" s="20">
        <f>0</f>
        <v>0</v>
      </c>
      <c r="V30" s="20">
        <f ca="1">T30+IF($Y30="PEP",$U30*$U$2,0)</f>
        <v>313869.7113368056</v>
      </c>
      <c r="W30" s="20">
        <f>AN30*1000000/8</f>
        <v>887912.55</v>
      </c>
      <c r="X30" s="20">
        <f ca="1">W30-V30</f>
        <v>574042.83866319444</v>
      </c>
      <c r="Y30" s="20" t="str">
        <f ca="1">IF($L30&lt;&gt;"",IF($M30&lt;&gt;"",IF(_xlfn.XOR(_xlfn.TEXTJOIN("",TRUE,$E30:$I30)&lt;&gt;"",_xlfn.TEXTJOIN("",TRUE,$J30:$K30)&lt;&gt;""),IF(_xlfn.TEXTJOIN("",TRUE,$J30:$K30)="","PEP","SWA"),""),""),"")</f>
        <v>PEP</v>
      </c>
      <c r="Z30" s="20" t="s">
        <v>5849</v>
      </c>
      <c r="AB30" s="556">
        <f ca="1">IF(AND(ISNUMBER(V30),EXACT(Y30,"PEP")),V30*8/1000000,"")</f>
        <v>2.5109576906944446</v>
      </c>
      <c r="AC30" s="556" t="str">
        <f ca="1">IF(AND(ISNUMBER(V30),EXACT(Y30,"SWA")),V30*8/1000000,"")</f>
        <v/>
      </c>
      <c r="AH30" s="513" t="s">
        <v>772</v>
      </c>
      <c r="AI30" s="513" t="s">
        <v>5799</v>
      </c>
      <c r="AJ30" s="6">
        <v>0.55793700000000002</v>
      </c>
      <c r="AK30" s="6">
        <v>1.4035679999999999</v>
      </c>
      <c r="AL30" s="6">
        <v>0.84563100000000002</v>
      </c>
      <c r="AM30" s="6">
        <v>7.4415480000000001</v>
      </c>
      <c r="AN30" s="3">
        <f>AL30*8*(100+AN$28)/100</f>
        <v>7.1033004000000002</v>
      </c>
    </row>
    <row r="31" spans="1:40">
      <c r="F31" s="20" t="s">
        <v>49</v>
      </c>
      <c r="G31" s="20" t="s">
        <v>50</v>
      </c>
      <c r="J31" s="20" t="str">
        <f>IF(LEFT($K31,4)="&lt;=RT",J$1,IF($K31="","","???=&gt;"))</f>
        <v/>
      </c>
      <c r="K31" s="20" t="str">
        <f>$T$6</f>
        <v/>
      </c>
      <c r="L31" s="20" t="str">
        <f ca="1">IF(ISNUMBER(Q31),IF(Q31&gt;400000000,MID(met2utc(Q31),3,12),""),"")</f>
        <v>25-289/15:53</v>
      </c>
      <c r="M31" s="20" t="str">
        <f ca="1">IF(ISNUMBER(R31),IF(R31&gt;400000000,MID(met2utc(R31),3,12),""),"")</f>
        <v>25-290/05:47</v>
      </c>
      <c r="O31" s="20" t="s">
        <v>5850</v>
      </c>
      <c r="Q31" s="519">
        <v>622935950.93747699</v>
      </c>
      <c r="R31" s="20">
        <f>Q31+50000</f>
        <v>622985950.93747699</v>
      </c>
      <c r="S31" s="20">
        <f>R31-Q31</f>
        <v>50000</v>
      </c>
      <c r="T31" s="20">
        <f ca="1">S31*IF(OR(EXACT($Y31,"PEP"),EXACT($Y31,"SWA")),devrate(E31:K31,$Q31),0)</f>
        <v>287021.70138888893</v>
      </c>
      <c r="U31" s="20">
        <f>0</f>
        <v>0</v>
      </c>
      <c r="V31" s="20">
        <f ca="1">T31+IF($Y31="PEP",$U31*$U$2,0)</f>
        <v>287021.70138888893</v>
      </c>
      <c r="W31" s="20">
        <f ca="1">X30</f>
        <v>574042.83866319444</v>
      </c>
      <c r="X31" s="20">
        <f ca="1">W31-V31</f>
        <v>287021.13727430551</v>
      </c>
      <c r="Y31" s="20" t="str">
        <f ca="1">IF($L31&lt;&gt;"",IF($M31&lt;&gt;"",IF(_xlfn.XOR(_xlfn.TEXTJOIN("",TRUE,$E31:$I31)&lt;&gt;"",_xlfn.TEXTJOIN("",TRUE,$J31:$K31)&lt;&gt;""),IF(_xlfn.TEXTJOIN("",TRUE,$J31:$K31)="","PEP","SWA"),""),""),"")</f>
        <v>PEP</v>
      </c>
      <c r="AB31" s="556">
        <f ca="1">IF(AND(ISNUMBER(V31),EXACT(Y31,"PEP")),V31*8/1000000,"")</f>
        <v>2.2961736111111115</v>
      </c>
      <c r="AC31" s="556" t="str">
        <f ca="1">IF(AND(ISNUMBER(V31),EXACT(Y31,"SWA")),V31*8/1000000,"")</f>
        <v/>
      </c>
      <c r="AN31" s="3"/>
    </row>
    <row r="32" spans="1:40">
      <c r="F32" s="20" t="s">
        <v>49</v>
      </c>
      <c r="G32" s="20" t="s">
        <v>50</v>
      </c>
      <c r="J32" s="20" t="str">
        <f>IF(LEFT($K32,4)="&lt;=RT",J$1,IF($K32="","","???=&gt;"))</f>
        <v/>
      </c>
      <c r="L32" s="20" t="str">
        <f ca="1">IF(ISNUMBER(Q32),IF(Q32&gt;400000000,MID(met2utc(Q32),3,12),""),"")</f>
        <v>25-289/15:53</v>
      </c>
      <c r="M32" s="20" t="str">
        <f ca="1">IF(ISNUMBER(R32),IF(R32&gt;400000000,MID(met2utc(R32),3,12),""),"")</f>
        <v>25-289/22:50</v>
      </c>
      <c r="O32" s="20" t="s">
        <v>5850</v>
      </c>
      <c r="Q32" s="519">
        <v>622935950.93747699</v>
      </c>
      <c r="R32" s="20">
        <f>Q32+25000</f>
        <v>622960950.93747699</v>
      </c>
      <c r="S32" s="20">
        <f>R32-Q32</f>
        <v>25000</v>
      </c>
      <c r="T32" s="20">
        <f ca="1">S32*IF(OR(EXACT($Y32,"PEP"),EXACT($Y32,"SWA")),devrate(E32:K32,$Q32),0)</f>
        <v>143510.85069444447</v>
      </c>
      <c r="U32" s="20">
        <f>0</f>
        <v>0</v>
      </c>
      <c r="V32" s="20">
        <f ca="1">T32+IF($Y32="PEP",$U32*$U$2,0)</f>
        <v>143510.85069444447</v>
      </c>
      <c r="W32" s="20">
        <f ca="1">X31</f>
        <v>287021.13727430551</v>
      </c>
      <c r="X32" s="20">
        <f ca="1">W32-V32</f>
        <v>143510.28657986104</v>
      </c>
      <c r="Y32" s="20" t="str">
        <f ca="1">IF($L32&lt;&gt;"",IF($M32&lt;&gt;"",IF(_xlfn.XOR(_xlfn.TEXTJOIN("",TRUE,$E32:$I32)&lt;&gt;"",_xlfn.TEXTJOIN("",TRUE,$J32:$K32)&lt;&gt;""),IF(_xlfn.TEXTJOIN("",TRUE,$J32:$K32)="","PEP","SWA"),""),""),"")</f>
        <v>PEP</v>
      </c>
      <c r="AB32" s="556">
        <f ca="1">IF(AND(ISNUMBER(V32),EXACT(Y32,"PEP")),V32*8/1000000,"")</f>
        <v>1.1480868055555558</v>
      </c>
      <c r="AC32" s="556" t="str">
        <f ca="1">IF(AND(ISNUMBER(V32),EXACT(Y32,"SWA")),V32*8/1000000,"")</f>
        <v/>
      </c>
      <c r="AN32" s="3"/>
    </row>
    <row r="33" spans="5:40">
      <c r="F33" s="20" t="s">
        <v>49</v>
      </c>
      <c r="G33" s="20" t="s">
        <v>50</v>
      </c>
      <c r="J33" s="20" t="str">
        <f>IF(LEFT($K33,4)="&lt;=RT",J$1,IF($K33="","","???=&gt;"))</f>
        <v/>
      </c>
      <c r="L33" s="20" t="str">
        <f ca="1">IF(ISNUMBER(Q33),IF(Q33&gt;400000000,MID(met2utc(Q33),3,12),""),"")</f>
        <v>25-289/15:53</v>
      </c>
      <c r="M33" s="20" t="str">
        <f ca="1">IF(ISNUMBER(R33),IF(R33&gt;400000000,MID(met2utc(R33),3,12),""),"")</f>
        <v>25-289/19:22</v>
      </c>
      <c r="O33" s="20" t="s">
        <v>5850</v>
      </c>
      <c r="Q33" s="519">
        <v>622935950.93747699</v>
      </c>
      <c r="R33" s="20">
        <f>Q33+12500</f>
        <v>622948450.93747699</v>
      </c>
      <c r="S33" s="20">
        <f>R33-Q33</f>
        <v>12500</v>
      </c>
      <c r="T33" s="20">
        <f ca="1">S33*IF(OR(EXACT($Y33,"PEP"),EXACT($Y33,"SWA")),devrate(E33:K33,$Q33),0)</f>
        <v>71755.425347222234</v>
      </c>
      <c r="U33" s="20">
        <f>0</f>
        <v>0</v>
      </c>
      <c r="V33" s="20">
        <f ca="1">T33+IF($Y33="PEP",$U33*$U$2,0)</f>
        <v>71755.425347222234</v>
      </c>
      <c r="W33" s="20">
        <f ca="1">X32+(0)</f>
        <v>143510.28657986104</v>
      </c>
      <c r="X33" s="20">
        <f ca="1">W33-V33</f>
        <v>71754.86123263881</v>
      </c>
      <c r="Y33" s="20" t="str">
        <f ca="1">IF($L33&lt;&gt;"",IF($M33&lt;&gt;"",IF(_xlfn.XOR(_xlfn.TEXTJOIN("",TRUE,$E33:$I33)&lt;&gt;"",_xlfn.TEXTJOIN("",TRUE,$J33:$K33)&lt;&gt;""),IF(_xlfn.TEXTJOIN("",TRUE,$J33:$K33)="","PEP","SWA"),""),""),"")</f>
        <v>PEP</v>
      </c>
      <c r="AB33" s="556">
        <f ca="1">IF(AND(ISNUMBER(V33),EXACT(Y33,"PEP")),V33*8/1000000,"")</f>
        <v>0.57404340277777788</v>
      </c>
      <c r="AC33" s="556" t="str">
        <f ca="1">IF(AND(ISNUMBER(V33),EXACT(Y33,"SWA")),V33*8/1000000,"")</f>
        <v/>
      </c>
      <c r="AN33" s="3"/>
    </row>
    <row r="34" spans="5:40">
      <c r="F34" s="20" t="s">
        <v>49</v>
      </c>
      <c r="G34" s="20" t="s">
        <v>50</v>
      </c>
      <c r="J34" s="20" t="str">
        <f>IF(LEFT($K34,4)="&lt;=RT",J$1,IF($K34="","","???=&gt;"))</f>
        <v/>
      </c>
      <c r="L34" s="20" t="str">
        <f ca="1">IF(ISNUMBER(Q34),IF(Q34&gt;400000000,MID(met2utc(Q34),3,12),""),"")</f>
        <v>25-289/15:53</v>
      </c>
      <c r="M34" s="20" t="str">
        <f ca="1">IF(ISNUMBER(R34),IF(R34&gt;400000000,MID(met2utc(R34),3,12),""),"")</f>
        <v>25-289/19:22</v>
      </c>
      <c r="O34" s="20" t="s">
        <v>5850</v>
      </c>
      <c r="Q34" s="519">
        <v>622935950.93747699</v>
      </c>
      <c r="R34" s="20">
        <f ca="1">Q34+W34/devrate(E34:K34,Q34)</f>
        <v>622948450.83920658</v>
      </c>
      <c r="S34" s="20">
        <f ca="1">R34-Q34</f>
        <v>12499.90172958374</v>
      </c>
      <c r="T34" s="20">
        <f ca="1">S34*IF(OR(EXACT($Y34,"PEP"),EXACT($Y34,"SWA")),devrate(E34:K34,$Q34),0)</f>
        <v>71754.861232380819</v>
      </c>
      <c r="U34" s="20">
        <f>0</f>
        <v>0</v>
      </c>
      <c r="V34" s="20">
        <f ca="1">T34+IF($Y34="PEP",$U34*$U$2,0)</f>
        <v>71754.861232380819</v>
      </c>
      <c r="W34" s="20">
        <f ca="1">X33</f>
        <v>71754.86123263881</v>
      </c>
      <c r="X34" s="20">
        <f ca="1">W34-V34</f>
        <v>2.5799090508371592E-7</v>
      </c>
      <c r="Y34" s="20" t="str">
        <f ca="1">IF($L34&lt;&gt;"",IF($M34&lt;&gt;"",IF(_xlfn.XOR(_xlfn.TEXTJOIN("",TRUE,$E34:$I34)&lt;&gt;"",_xlfn.TEXTJOIN("",TRUE,$J34:$K34)&lt;&gt;""),IF(_xlfn.TEXTJOIN("",TRUE,$J34:$K34)="","PEP","SWA"),""),""),"")</f>
        <v>PEP</v>
      </c>
      <c r="AB34" s="556">
        <f ca="1">IF(AND(ISNUMBER(V34),EXACT(Y34,"PEP")),V34*8/1000000,"")</f>
        <v>0.57403888985904661</v>
      </c>
      <c r="AC34" s="556" t="str">
        <f ca="1">IF(AND(ISNUMBER(V34),EXACT(Y34,"SWA")),V34*8/1000000,"")</f>
        <v/>
      </c>
      <c r="AN34" s="3"/>
    </row>
    <row r="35" spans="5:40">
      <c r="G35" s="20" t="s">
        <v>50</v>
      </c>
      <c r="H35" s="20" t="s">
        <v>53</v>
      </c>
      <c r="J35" s="20" t="str">
        <f>IF(LEFT($K35,4)="&lt;=RT",J$1,IF($K35="","","???=&gt;"))</f>
        <v/>
      </c>
      <c r="L35" s="20" t="str">
        <f ca="1">IF(ISNUMBER(Q35),IF(Q35&gt;400000000,MID(met2utc(Q35),3,12),""),"")</f>
        <v>25-289/15:53</v>
      </c>
      <c r="M35" s="20" t="str">
        <f ca="1">IF(ISNUMBER(R35),IF(R35&gt;400000000,MID(met2utc(R35),3,12),""),"")</f>
        <v>25-291/10:34</v>
      </c>
      <c r="O35" s="20" t="str">
        <f>MID(deltautc($AI35),6,9)</f>
        <v>211/13:39</v>
      </c>
      <c r="P35" s="3" t="str">
        <f>MID(AH35,5,5)</f>
        <v>211_1</v>
      </c>
      <c r="Q35" s="519">
        <v>622935950.93747699</v>
      </c>
      <c r="R35" s="20">
        <f>Q35+W35/devrate(E35:K35,Q35)</f>
        <v>623089580.57513249</v>
      </c>
      <c r="S35" s="20">
        <f>R35-Q35</f>
        <v>153629.6376554966</v>
      </c>
      <c r="T35" s="20">
        <f ca="1">S35*IF(OR(EXACT($Y35,"PEP"),EXACT($Y35,"SWA")),devrate(E35:K35,$Q35),0)</f>
        <v>864537.45000026072</v>
      </c>
      <c r="U35" s="20">
        <f>0</f>
        <v>0</v>
      </c>
      <c r="V35" s="20">
        <f ca="1">T35+IF($Y35="PEP",$U35*$U$2,0)</f>
        <v>864537.45000026072</v>
      </c>
      <c r="W35" s="20">
        <f>AN35*1000000/8</f>
        <v>864537.45</v>
      </c>
      <c r="X35" s="20">
        <f ca="1">W35-V35</f>
        <v>-2.6077032089233398E-7</v>
      </c>
      <c r="Y35" s="20" t="str">
        <f ca="1">IF($L35&lt;&gt;"",IF($M35&lt;&gt;"",IF(_xlfn.XOR(_xlfn.TEXTJOIN("",TRUE,$E35:$I35)&lt;&gt;"",_xlfn.TEXTJOIN("",TRUE,$J35:$K35)&lt;&gt;""),IF(_xlfn.TEXTJOIN("",TRUE,$J35:$K35)="","PEP","SWA"),""),""),"")</f>
        <v>PEP</v>
      </c>
      <c r="AB35" s="556">
        <f ca="1">IF(AND(ISNUMBER(V35),EXACT(Y35,"PEP")),V35*8/1000000,"")</f>
        <v>6.9162996000020858</v>
      </c>
      <c r="AC35" s="556" t="str">
        <f ca="1">IF(AND(ISNUMBER(V35),EXACT(Y35,"SWA")),V35*8/1000000,"")</f>
        <v/>
      </c>
      <c r="AH35" s="513" t="s">
        <v>39</v>
      </c>
      <c r="AI35" s="513" t="s">
        <v>5800</v>
      </c>
      <c r="AJ35" s="6">
        <v>0.24687999999999999</v>
      </c>
      <c r="AK35" s="6">
        <v>1.070249</v>
      </c>
      <c r="AL35" s="6">
        <v>0.82336900000000002</v>
      </c>
      <c r="AM35" s="6">
        <v>7.2456469999999999</v>
      </c>
      <c r="AN35" s="3">
        <f>AL35*8*(100+AN$28)/100</f>
        <v>6.9162995999999994</v>
      </c>
    </row>
    <row r="36" spans="5:40">
      <c r="H36" s="20" t="s">
        <v>53</v>
      </c>
      <c r="I36" s="20" t="s">
        <v>54</v>
      </c>
      <c r="J36" s="20" t="str">
        <f>IF(LEFT($K36,4)="&lt;=RT",J$1,IF($K36="","","???=&gt;"))</f>
        <v/>
      </c>
      <c r="L36" s="20" t="str">
        <f ca="1">IF(ISNUMBER(Q36),IF(Q36&gt;400000000,MID(met2utc(Q36),3,12),""),"")</f>
        <v>25-289/15:53</v>
      </c>
      <c r="M36" s="20" t="str">
        <f ca="1">IF(ISNUMBER(R36),IF(R36&gt;400000000,MID(met2utc(R36),3,12),""),"")</f>
        <v>25-290/20:41</v>
      </c>
      <c r="O36" s="20" t="str">
        <f>MID(deltautc($AI36),6,9)</f>
        <v>212/08:19</v>
      </c>
      <c r="P36" s="3" t="str">
        <f>MID(AH36,5,5)</f>
        <v>212_1</v>
      </c>
      <c r="Q36" s="519">
        <v>622935950.93747699</v>
      </c>
      <c r="R36" s="20">
        <f>Q36+W36/devrate(E36:K36,Q36)</f>
        <v>623039603.27883911</v>
      </c>
      <c r="S36" s="20">
        <f>R36-Q36</f>
        <v>103652.34136211872</v>
      </c>
      <c r="T36" s="20">
        <f ca="1">S36*IF(OR(EXACT($Y36,"PEP"),EXACT($Y36,"SWA")),devrate(E36:K36,$Q36),0)</f>
        <v>116923.80000006361</v>
      </c>
      <c r="U36" s="20">
        <f>0</f>
        <v>0</v>
      </c>
      <c r="V36" s="20">
        <f ca="1">T36+IF($Y36="PEP",$U36*$U$2,0)</f>
        <v>116923.80000006361</v>
      </c>
      <c r="W36" s="20">
        <f>AN36*1000000/8</f>
        <v>116923.79999999999</v>
      </c>
      <c r="X36" s="20">
        <f ca="1">W36-V36</f>
        <v>-6.3620973378419876E-8</v>
      </c>
      <c r="Y36" s="20" t="str">
        <f ca="1">IF($L36&lt;&gt;"",IF($M36&lt;&gt;"",IF(_xlfn.XOR(_xlfn.TEXTJOIN("",TRUE,$E36:$I36)&lt;&gt;"",_xlfn.TEXTJOIN("",TRUE,$J36:$K36)&lt;&gt;""),IF(_xlfn.TEXTJOIN("",TRUE,$J36:$K36)="","PEP","SWA"),""),""),"")</f>
        <v>PEP</v>
      </c>
      <c r="AB36" s="556">
        <f ca="1">IF(AND(ISNUMBER(V36),EXACT(Y36,"PEP")),V36*8/1000000,"")</f>
        <v>0.93539040000050888</v>
      </c>
      <c r="AC36" s="556" t="str">
        <f ca="1">IF(AND(ISNUMBER(V36),EXACT(Y36,"SWA")),V36*8/1000000,"")</f>
        <v/>
      </c>
      <c r="AH36" s="513" t="s">
        <v>779</v>
      </c>
      <c r="AI36" s="513" t="s">
        <v>5801</v>
      </c>
      <c r="AJ36" s="6">
        <v>0.26269700000000001</v>
      </c>
      <c r="AK36" s="6">
        <v>0.37405300000000002</v>
      </c>
      <c r="AL36" s="6">
        <v>0.111356</v>
      </c>
      <c r="AM36" s="6">
        <v>0.97992999999999997</v>
      </c>
      <c r="AN36" s="3">
        <f>AL36*8*(100+AN$28)/100</f>
        <v>0.93539039999999996</v>
      </c>
    </row>
    <row r="37" spans="5:40">
      <c r="J37" s="20" t="str">
        <f>IF(LEFT($K37,4)="&lt;=RT",J$1,IF($K37="","","???=&gt;"))</f>
        <v>SDT1HSK4</v>
      </c>
      <c r="K37" s="20" t="str">
        <f>$T$2</f>
        <v xml:space="preserve">&lt;=RT2H </v>
      </c>
      <c r="L37" s="20" t="str">
        <f ca="1">IF(ISNUMBER(Q37),IF(Q37&gt;400000000,MID(met2utc(Q37),3,12),""),"")</f>
        <v>25-289/15:53</v>
      </c>
      <c r="M37" s="20" t="str">
        <f ca="1">IF(ISNUMBER(R37),IF(R37&gt;400000000,MID(met2utc(R37),3,12),""),"")</f>
        <v>25-315/23:44</v>
      </c>
      <c r="O37" s="20" t="str">
        <f>MID(deltautc($AI37),6,9)</f>
        <v>212/20:54</v>
      </c>
      <c r="P37" s="3" t="str">
        <f>MID(AH37,5,5)</f>
        <v>212_2</v>
      </c>
      <c r="Q37" s="516">
        <v>622935950.93747699</v>
      </c>
      <c r="R37" s="20">
        <f>Q37+W37/devrate(E37:K37,Q37)</f>
        <v>625210581.70676863</v>
      </c>
      <c r="S37" s="20">
        <f>R37-Q37</f>
        <v>2274630.7692916393</v>
      </c>
      <c r="T37" s="20">
        <f ca="1">S37*IF(OR(EXACT($Y37,"PEP"),EXACT($Y37,"SWA")),devrate(E37:K37,$Q37),0)</f>
        <v>1150204.6500000274</v>
      </c>
      <c r="U37" s="20">
        <f>0</f>
        <v>0</v>
      </c>
      <c r="V37" s="20">
        <f ca="1">T37+IF($Y37="PEP",$U37*$U$2,0)</f>
        <v>1150204.6500000274</v>
      </c>
      <c r="W37" s="20">
        <f>AN37*1000000/8</f>
        <v>1150204.6500000001</v>
      </c>
      <c r="X37" s="20">
        <f ca="1">W37-V37</f>
        <v>-2.7241185307502747E-8</v>
      </c>
      <c r="Y37" s="20" t="str">
        <f ca="1">IF($L37&lt;&gt;"",IF($M37&lt;&gt;"",IF(_xlfn.XOR(_xlfn.TEXTJOIN("",TRUE,$E37:$I37)&lt;&gt;"",_xlfn.TEXTJOIN("",TRUE,$J37:$K37)&lt;&gt;""),IF(_xlfn.TEXTJOIN("",TRUE,$J37:$K37)="","PEP","SWA"),""),""),"")</f>
        <v>SWA</v>
      </c>
      <c r="AB37" s="556" t="str">
        <f ca="1">IF(AND(ISNUMBER(V37),EXACT(Y37,"PEP")),V37*8/1000000,"")</f>
        <v/>
      </c>
      <c r="AC37" s="556">
        <f ca="1">IF(AND(ISNUMBER(V37),EXACT(Y37,"SWA")),V37*8/1000000,"")</f>
        <v>9.2016372000002189</v>
      </c>
      <c r="AH37" s="513" t="s">
        <v>783</v>
      </c>
      <c r="AI37" s="513" t="s">
        <v>5802</v>
      </c>
      <c r="AJ37" s="6">
        <v>0.227911</v>
      </c>
      <c r="AK37" s="6">
        <v>1.3233440000000001</v>
      </c>
      <c r="AL37" s="6">
        <v>1.0954330000000001</v>
      </c>
      <c r="AM37" s="6">
        <v>9.6398080000000004</v>
      </c>
      <c r="AN37" s="3">
        <f>AL37*8*(100+AN$28)/100</f>
        <v>9.2016372000000004</v>
      </c>
    </row>
    <row r="38" spans="5:40">
      <c r="E38" s="20" t="s">
        <v>51</v>
      </c>
      <c r="F38" s="20" t="s">
        <v>49</v>
      </c>
      <c r="G38" s="20" t="s">
        <v>50</v>
      </c>
      <c r="J38" s="20" t="str">
        <f>IF(LEFT($K38,4)="&lt;=RT",J$1,IF($K38="","","???=&gt;"))</f>
        <v/>
      </c>
      <c r="K38" s="20" t="str">
        <f>$T$6</f>
        <v/>
      </c>
      <c r="L38" s="20" t="str">
        <f ca="1">IF(ISNUMBER(Q38),IF(Q38&gt;400000000,MID(met2utc(Q38),3,12),""),"")</f>
        <v>25-289/15:53</v>
      </c>
      <c r="M38" s="20" t="str">
        <f ca="1">IF(ISNUMBER(R38),IF(R38&gt;400000000,MID(met2utc(R38),3,12),""),"")</f>
        <v>25-291/21:50</v>
      </c>
      <c r="O38" s="20" t="str">
        <f>MID(deltautc($AI38),6,9)</f>
        <v>213/11:49</v>
      </c>
      <c r="P38" s="3" t="str">
        <f>MID(AH38,5,5)</f>
        <v>213_1</v>
      </c>
      <c r="Q38" s="519">
        <v>622935950.93747699</v>
      </c>
      <c r="R38" s="20">
        <f>Q38+W38/devrate(E38:K38,Q38)</f>
        <v>623130130.39085352</v>
      </c>
      <c r="S38" s="20">
        <f>R38-Q38</f>
        <v>194179.4533765316</v>
      </c>
      <c r="T38" s="20">
        <f ca="1">S38*IF(OR(EXACT($Y38,"PEP"),EXACT($Y38,"SWA")),devrate(E38:K38,$Q38),0)</f>
        <v>1121578.5000002075</v>
      </c>
      <c r="U38" s="20">
        <f>0</f>
        <v>0</v>
      </c>
      <c r="V38" s="20">
        <f ca="1">T38+IF($Y38="PEP",$U38*$U$2,0)</f>
        <v>1121578.5000002075</v>
      </c>
      <c r="W38" s="20">
        <f>AN38*1000000/8</f>
        <v>1121578.5</v>
      </c>
      <c r="X38" s="20">
        <f ca="1">W38-V38</f>
        <v>-2.0745210349559784E-7</v>
      </c>
      <c r="Y38" s="20" t="str">
        <f ca="1">IF($L38&lt;&gt;"",IF($M38&lt;&gt;"",IF(_xlfn.XOR(_xlfn.TEXTJOIN("",TRUE,$E38:$I38)&lt;&gt;"",_xlfn.TEXTJOIN("",TRUE,$J38:$K38)&lt;&gt;""),IF(_xlfn.TEXTJOIN("",TRUE,$J38:$K38)="","PEP","SWA"),""),""),"")</f>
        <v>PEP</v>
      </c>
      <c r="AB38" s="556">
        <f ca="1">IF(AND(ISNUMBER(V38),EXACT(Y38,"PEP")),V38*8/1000000,"")</f>
        <v>8.9726280000016594</v>
      </c>
      <c r="AC38" s="556" t="str">
        <f ca="1">IF(AND(ISNUMBER(V38),EXACT(Y38,"SWA")),V38*8/1000000,"")</f>
        <v/>
      </c>
      <c r="AH38" s="513" t="s">
        <v>40</v>
      </c>
      <c r="AI38" s="513" t="s">
        <v>5803</v>
      </c>
      <c r="AJ38" s="6">
        <v>0.386322</v>
      </c>
      <c r="AK38" s="6">
        <v>1.4544919999999999</v>
      </c>
      <c r="AL38" s="6">
        <v>1.0681700000000001</v>
      </c>
      <c r="AM38" s="6">
        <v>9.3998989999999996</v>
      </c>
      <c r="AN38" s="3">
        <f>AL38*8*(100+AN$28)/100</f>
        <v>8.9726280000000003</v>
      </c>
    </row>
    <row r="39" spans="5:40">
      <c r="F39" s="20" t="s">
        <v>49</v>
      </c>
      <c r="G39" s="20" t="s">
        <v>50</v>
      </c>
      <c r="H39" s="20" t="s">
        <v>53</v>
      </c>
      <c r="J39" s="20" t="str">
        <f>IF(LEFT($K39,4)="&lt;=RT",J$1,IF($K39="","","???=&gt;"))</f>
        <v/>
      </c>
      <c r="K39" s="20" t="str">
        <f>$T$6</f>
        <v/>
      </c>
      <c r="L39" s="20" t="str">
        <f ca="1">IF(ISNUMBER(Q39),IF(Q39&gt;400000000,MID(met2utc(Q39),3,12),""),"")</f>
        <v>25-289/15:53</v>
      </c>
      <c r="M39" s="20" t="str">
        <f ca="1">IF(ISNUMBER(R39),IF(R39&gt;400000000,MID(met2utc(R39),3,12),""),"")</f>
        <v>25-291/19:23</v>
      </c>
      <c r="O39" s="20" t="str">
        <f>MID(deltautc($AI39),6,9)</f>
        <v>215/17:43</v>
      </c>
      <c r="P39" s="3" t="str">
        <f>MID(AH39,5,5)</f>
        <v>215_1</v>
      </c>
      <c r="Q39" s="519">
        <v>622935950.93747699</v>
      </c>
      <c r="R39" s="20">
        <f>Q39+W39/devrate(E39:K39,Q39)</f>
        <v>623121309.26778293</v>
      </c>
      <c r="S39" s="20">
        <f>R39-Q39</f>
        <v>185358.33030593395</v>
      </c>
      <c r="T39" s="20">
        <f ca="1">S39*IF(OR(EXACT($Y39,"PEP"),EXACT($Y39,"SWA")),devrate(E39:K39,$Q39),0)</f>
        <v>1171036.6499999838</v>
      </c>
      <c r="U39" s="20">
        <f>0</f>
        <v>0</v>
      </c>
      <c r="V39" s="20">
        <f ca="1">T39+IF($Y39="PEP",$U39*$U$2,0)</f>
        <v>1171036.6499999838</v>
      </c>
      <c r="W39" s="20">
        <f>AN39*1000000/8</f>
        <v>1171036.6499999999</v>
      </c>
      <c r="X39" s="20">
        <f ca="1">W39-V39</f>
        <v>1.6065314412117004E-8</v>
      </c>
      <c r="Y39" s="20" t="str">
        <f ca="1">IF($L39&lt;&gt;"",IF($M39&lt;&gt;"",IF(_xlfn.XOR(_xlfn.TEXTJOIN("",TRUE,$E39:$I39)&lt;&gt;"",_xlfn.TEXTJOIN("",TRUE,$J39:$K39)&lt;&gt;""),IF(_xlfn.TEXTJOIN("",TRUE,$J39:$K39)="","PEP","SWA"),""),""),"")</f>
        <v>PEP</v>
      </c>
      <c r="AB39" s="556">
        <f ca="1">IF(AND(ISNUMBER(V39),EXACT(Y39,"PEP")),V39*8/1000000,"")</f>
        <v>9.3682931999998704</v>
      </c>
      <c r="AC39" s="556" t="str">
        <f ca="1">IF(AND(ISNUMBER(V39),EXACT(Y39,"SWA")),V39*8/1000000,"")</f>
        <v/>
      </c>
      <c r="AH39" s="513" t="s">
        <v>795</v>
      </c>
      <c r="AI39" s="513" t="s">
        <v>5804</v>
      </c>
      <c r="AJ39" s="6">
        <v>0.97636599999999996</v>
      </c>
      <c r="AK39" s="6">
        <v>2.0916389999999998</v>
      </c>
      <c r="AL39" s="6">
        <v>1.115273</v>
      </c>
      <c r="AM39" s="6">
        <v>9.8144030000000004</v>
      </c>
      <c r="AN39" s="3">
        <f>AL39*8*(100+AN$28)/100</f>
        <v>9.3682932000000001</v>
      </c>
    </row>
    <row r="40" spans="5:40">
      <c r="G40" s="20" t="s">
        <v>50</v>
      </c>
      <c r="H40" s="20" t="s">
        <v>53</v>
      </c>
      <c r="I40" s="20" t="s">
        <v>54</v>
      </c>
      <c r="J40" s="20" t="str">
        <f>IF(LEFT($K40,4)="&lt;=RT",J$1,IF($K40="","","???=&gt;"))</f>
        <v/>
      </c>
      <c r="L40" s="20" t="str">
        <f ca="1">IF(ISNUMBER(Q40),IF(Q40&gt;400000000,MID(met2utc(Q40),3,12),""),"")</f>
        <v>25-289/15:53</v>
      </c>
      <c r="M40" s="20" t="str">
        <f ca="1">IF(ISNUMBER(R40),IF(R40&gt;400000000,MID(met2utc(R40),3,12),""),"")</f>
        <v>25-295/00:39</v>
      </c>
      <c r="O40" s="20" t="str">
        <f>MID(deltautc($AI40),6,9)</f>
        <v>216/11:48</v>
      </c>
      <c r="P40" s="3" t="str">
        <f>MID(AH40,5,5)</f>
        <v>216_1</v>
      </c>
      <c r="Q40" s="519">
        <v>622935950.93747699</v>
      </c>
      <c r="R40" s="20">
        <f>Q40+W40/devrate(E40:K40,Q40)</f>
        <v>623399496.90155315</v>
      </c>
      <c r="S40" s="20">
        <f>R40-Q40</f>
        <v>463545.96407616138</v>
      </c>
      <c r="T40" s="20">
        <f ca="1">S40*IF(OR(EXACT($Y40,"PEP"),EXACT($Y40,"SWA")),devrate(E40:K40,$Q40),0)</f>
        <v>2863877.0999999847</v>
      </c>
      <c r="U40" s="20">
        <f>0</f>
        <v>0</v>
      </c>
      <c r="V40" s="20">
        <f ca="1">T40+IF($Y40="PEP",$U40*$U$2,0)</f>
        <v>2863877.0999999847</v>
      </c>
      <c r="W40" s="20">
        <f>AN40*1000000/8</f>
        <v>2863877.0999999996</v>
      </c>
      <c r="X40" s="20">
        <f ca="1">W40-V40</f>
        <v>1.4901161193847656E-8</v>
      </c>
      <c r="Y40" s="20" t="str">
        <f ca="1">IF($L40&lt;&gt;"",IF($M40&lt;&gt;"",IF(_xlfn.XOR(_xlfn.TEXTJOIN("",TRUE,$E40:$I40)&lt;&gt;"",_xlfn.TEXTJOIN("",TRUE,$J40:$K40)&lt;&gt;""),IF(_xlfn.TEXTJOIN("",TRUE,$J40:$K40)="","PEP","SWA"),""),""),"")</f>
        <v>PEP</v>
      </c>
      <c r="AB40" s="556">
        <f ca="1">IF(AND(ISNUMBER(V40),EXACT(Y40,"PEP")),V40*8/1000000,"")</f>
        <v>22.911016799999878</v>
      </c>
      <c r="AC40" s="556" t="str">
        <f ca="1">IF(AND(ISNUMBER(V40),EXACT(Y40,"SWA")),V40*8/1000000,"")</f>
        <v/>
      </c>
      <c r="AH40" s="513" t="s">
        <v>797</v>
      </c>
      <c r="AI40" s="513" t="s">
        <v>5805</v>
      </c>
      <c r="AJ40" s="6">
        <v>0.246971</v>
      </c>
      <c r="AK40" s="6">
        <v>2.9744730000000001</v>
      </c>
      <c r="AL40" s="6">
        <v>2.7275019999999999</v>
      </c>
      <c r="AM40" s="6">
        <v>24.002020000000002</v>
      </c>
      <c r="AN40" s="3">
        <f>AL40*8*(100+AN$28)/100</f>
        <v>22.911016799999999</v>
      </c>
    </row>
    <row r="41" spans="5:40">
      <c r="J41" s="20" t="str">
        <f>IF(LEFT($K41,4)="&lt;=RT",J$1,IF($K41="","","???=&gt;"))</f>
        <v>SDT1HSK4</v>
      </c>
      <c r="K41" s="20" t="str">
        <f>$T$3</f>
        <v>&lt;=RT1H</v>
      </c>
      <c r="L41" s="20" t="str">
        <f ca="1">IF(ISNUMBER(Q41),IF(Q41&gt;400000000,MID(met2utc(Q41),3,12),""),"")</f>
        <v>25-289/15:53</v>
      </c>
      <c r="M41" s="20" t="str">
        <f ca="1">IF(ISNUMBER(R41),IF(R41&gt;400000000,MID(met2utc(R41),3,12),""),"")</f>
        <v>25-302/07:04</v>
      </c>
      <c r="O41" s="20" t="str">
        <f>MID(deltautc($AI41),6,9)</f>
        <v>217/20:13</v>
      </c>
      <c r="P41" s="3" t="str">
        <f>MID(AH41,5,5)</f>
        <v>217_2</v>
      </c>
      <c r="Q41" s="516">
        <v>622935950.93747699</v>
      </c>
      <c r="R41" s="20">
        <f>Q41+W41/devrate(E41:K41,Q41)</f>
        <v>624027386.00225377</v>
      </c>
      <c r="S41" s="20">
        <f>R41-Q41</f>
        <v>1091435.0647767782</v>
      </c>
      <c r="T41" s="20">
        <f ca="1">S41*IF(OR(EXACT($Y41,"PEP"),EXACT($Y41,"SWA")),devrate(E41:K41,$Q41),0)</f>
        <v>884026.49999995413</v>
      </c>
      <c r="U41" s="20">
        <f>0</f>
        <v>0</v>
      </c>
      <c r="V41" s="20">
        <f ca="1">T41+IF($Y41="PEP",$U41*$U$2,0)</f>
        <v>884026.49999995413</v>
      </c>
      <c r="W41" s="20">
        <f>AN41*1000000/8</f>
        <v>884026.49999999988</v>
      </c>
      <c r="X41" s="20">
        <f ca="1">W41-V41</f>
        <v>4.5751221477985382E-8</v>
      </c>
      <c r="Y41" s="20" t="str">
        <f ca="1">IF($L41&lt;&gt;"",IF($M41&lt;&gt;"",IF(_xlfn.XOR(_xlfn.TEXTJOIN("",TRUE,$E41:$I41)&lt;&gt;"",_xlfn.TEXTJOIN("",TRUE,$J41:$K41)&lt;&gt;""),IF(_xlfn.TEXTJOIN("",TRUE,$J41:$K41)="","PEP","SWA"),""),""),"")</f>
        <v>SWA</v>
      </c>
      <c r="AB41" s="556" t="str">
        <f ca="1">IF(AND(ISNUMBER(V41),EXACT(Y41,"PEP")),V41*8/1000000,"")</f>
        <v/>
      </c>
      <c r="AC41" s="556">
        <f ca="1">IF(AND(ISNUMBER(V41),EXACT(Y41,"SWA")),V41*8/1000000,"")</f>
        <v>7.0722119999996327</v>
      </c>
      <c r="AH41" s="513" t="s">
        <v>804</v>
      </c>
      <c r="AI41" s="513" t="s">
        <v>5806</v>
      </c>
      <c r="AJ41" s="6">
        <v>0.52772699999999995</v>
      </c>
      <c r="AK41" s="6">
        <v>1.3696569999999999</v>
      </c>
      <c r="AL41" s="6">
        <v>0.84192999999999996</v>
      </c>
      <c r="AM41" s="6">
        <v>7.4089850000000004</v>
      </c>
      <c r="AN41" s="3">
        <f>AL41*8*(100+AN$28)/100</f>
        <v>7.0722119999999995</v>
      </c>
    </row>
    <row r="42" spans="5:40">
      <c r="J42" s="20" t="str">
        <f>IF(LEFT($K42,4)="&lt;=RT",J$1,IF($K42="","","???=&gt;"))</f>
        <v>SDT1HSK4</v>
      </c>
      <c r="K42" s="20" t="str">
        <f>$T$5</f>
        <v xml:space="preserve">&lt;=RT10M </v>
      </c>
      <c r="L42" s="20" t="str">
        <f ca="1">IF(ISNUMBER(Q42),IF(Q42&gt;400000000,MID(met2utc(Q42),3,12),""),"")</f>
        <v>25-289/15:53</v>
      </c>
      <c r="M42" s="20" t="str">
        <f ca="1">IF(ISNUMBER(R42),IF(R42&gt;400000000,MID(met2utc(R42),3,12),""),"")</f>
        <v>25-289/20:09</v>
      </c>
      <c r="O42" s="20" t="str">
        <f>MID(deltautc($AI42),6,9)</f>
        <v>218/19:43</v>
      </c>
      <c r="P42" s="3" t="str">
        <f>MID(AH42,5,5)</f>
        <v>218_1</v>
      </c>
      <c r="Q42" s="516">
        <v>622935950.93747699</v>
      </c>
      <c r="R42" s="20">
        <f>Q42+W42/devrate(E42:K42,Q42)</f>
        <v>622951304.62897635</v>
      </c>
      <c r="S42" s="20">
        <f>R42-Q42</f>
        <v>15353.691499352455</v>
      </c>
      <c r="T42" s="20">
        <f ca="1">S42*IF(OR(EXACT($Y42,"PEP"),EXACT($Y42,"SWA")),devrate(E42:K42,$Q42),0)</f>
        <v>56746.199999947719</v>
      </c>
      <c r="U42" s="20">
        <f>0</f>
        <v>0</v>
      </c>
      <c r="V42" s="20">
        <f ca="1">T42+IF($Y42="PEP",$U42*$U$2,0)</f>
        <v>56746.199999947719</v>
      </c>
      <c r="W42" s="20">
        <f>AN42*1000000/8</f>
        <v>56746.2</v>
      </c>
      <c r="X42" s="20">
        <f ca="1">W42-V42</f>
        <v>5.2277755457907915E-8</v>
      </c>
      <c r="Y42" s="20" t="str">
        <f ca="1">IF($L42&lt;&gt;"",IF($M42&lt;&gt;"",IF(_xlfn.XOR(_xlfn.TEXTJOIN("",TRUE,$E42:$I42)&lt;&gt;"",_xlfn.TEXTJOIN("",TRUE,$J42:$K42)&lt;&gt;""),IF(_xlfn.TEXTJOIN("",TRUE,$J42:$K42)="","PEP","SWA"),""),""),"")</f>
        <v>SWA</v>
      </c>
      <c r="AB42" s="556" t="str">
        <f ca="1">IF(AND(ISNUMBER(V42),EXACT(Y42,"PEP")),V42*8/1000000,"")</f>
        <v/>
      </c>
      <c r="AC42" s="556">
        <f ca="1">IF(AND(ISNUMBER(V42),EXACT(Y42,"SWA")),V42*8/1000000,"")</f>
        <v>0.45396959999958175</v>
      </c>
      <c r="AH42" s="513" t="s">
        <v>809</v>
      </c>
      <c r="AI42" s="513" t="s">
        <v>5807</v>
      </c>
      <c r="AJ42" s="6">
        <v>0.27238099999999998</v>
      </c>
      <c r="AK42" s="6">
        <v>0.32642500000000002</v>
      </c>
      <c r="AL42" s="6">
        <v>5.4044000000000002E-2</v>
      </c>
      <c r="AM42" s="6">
        <v>0.47558499999999998</v>
      </c>
      <c r="AN42" s="3">
        <f>AL42*8*(100+AN$28)/100</f>
        <v>0.45396959999999997</v>
      </c>
    </row>
    <row r="43" spans="5:40">
      <c r="AH43" s="513" t="s">
        <v>5796</v>
      </c>
    </row>
    <row r="44" spans="5:40">
      <c r="AH44" s="513" t="s">
        <v>5808</v>
      </c>
    </row>
    <row r="45" spans="5:40">
      <c r="AH45" s="513" t="s">
        <v>5809</v>
      </c>
    </row>
    <row r="46" spans="5:40">
      <c r="AH46" s="513" t="s">
        <v>5797</v>
      </c>
    </row>
  </sheetData>
  <conditionalFormatting sqref="E1:J1048576">
    <cfRule type="expression" dxfId="31" priority="5" stopIfTrue="1">
      <formula>NOT(OR(EXACT(E1,""),EXACT(E1,E$1)))</formula>
    </cfRule>
  </conditionalFormatting>
  <conditionalFormatting sqref="P1:X1048576">
    <cfRule type="expression" dxfId="30" priority="9" stopIfTrue="1">
      <formula>EXACT(P$1,P1)</formula>
    </cfRule>
  </conditionalFormatting>
  <conditionalFormatting sqref="X1:X1048576">
    <cfRule type="expression" dxfId="29" priority="11">
      <formula>IF(ISNUMBER(X1),IF(X1&gt;0.1,TRUE))</formula>
    </cfRule>
  </conditionalFormatting>
  <conditionalFormatting sqref="W36:W1048576 W28:W32">
    <cfRule type="expression" dxfId="28" priority="12">
      <formula>IF(ISNUMBER(W28),IF(ISNUMBER(X27),IF(X27&gt;0.5,IF(X27=W28,TRUE))))</formula>
    </cfRule>
  </conditionalFormatting>
  <conditionalFormatting sqref="O1:P1048576 E1:K1048576">
    <cfRule type="expression" dxfId="27" priority="4" stopIfTrue="1">
      <formula>AND(_xlfn.XOR(_xlfn.TEXTJOIN("",TRUE,$E1:$I1)&lt;&gt;"",_xlfn.TEXTJOIN("",TRUE,$J1:$K1)&lt;&gt;""),$O1="",$P1="")</formula>
    </cfRule>
  </conditionalFormatting>
  <conditionalFormatting sqref="X1:X1048576 Q1:T1048576">
    <cfRule type="expression" dxfId="26" priority="18">
      <formula>OR(EXACT($Y1,"SWA"),EXACT($Y1,"PEP"))</formula>
    </cfRule>
  </conditionalFormatting>
  <conditionalFormatting sqref="P1:P1048576">
    <cfRule type="expression" dxfId="25" priority="2" stopIfTrue="1">
      <formula>AND(ISNUMBER(P1),P1&gt;20000,P1&lt;100000)</formula>
    </cfRule>
    <cfRule type="expression" dxfId="24" priority="31">
      <formula>OR(EXACT($Y1,"SWA"),EXACT($Y1,"PEP"))</formula>
    </cfRule>
  </conditionalFormatting>
  <conditionalFormatting sqref="O1:O1048576 Y1:Y1048576">
    <cfRule type="expression" dxfId="23" priority="10">
      <formula>OR(EXACT($Y1,"PEP"),EXACT($Y1,"SWA"))</formula>
    </cfRule>
  </conditionalFormatting>
  <conditionalFormatting sqref="Q1:Q1048576">
    <cfRule type="expression" dxfId="22" priority="16">
      <formula>AND(OR(EXACT($Y1,"SWA"),EXACT($Y1,"PEP")),EXACT(LEFT($Z1,1),"S"))</formula>
    </cfRule>
  </conditionalFormatting>
  <conditionalFormatting sqref="R1:R1048576">
    <cfRule type="expression" dxfId="21" priority="17">
      <formula>AND(OR(EXACT($Y1,"SWA"),EXACT($Y1,"PEP")),EXACT(RIGHT($Z1,1),"E"))</formula>
    </cfRule>
  </conditionalFormatting>
  <conditionalFormatting sqref="C1:K1048576">
    <cfRule type="expression" dxfId="20" priority="3" stopIfTrue="1">
      <formula>_xlfn.TEXTJOIN("",FALSE,$E1:$J1)="HSK3DT1DT2DT3DT4SDT1HSK4"</formula>
    </cfRule>
    <cfRule type="expression" dxfId="19" priority="6" stopIfTrue="1">
      <formula>AND(_xlfn.TEXTJOIN("",FALSE,$E1:$I1) &lt;&gt;"",_xlfn.TEXTJOIN("",FALSE,$J1:$K1) &lt;&gt; "")</formula>
    </cfRule>
  </conditionalFormatting>
  <conditionalFormatting sqref="L1:M1048576">
    <cfRule type="expression" dxfId="18" priority="7" stopIfTrue="1">
      <formula>EXACT($Y1,"PEP")</formula>
    </cfRule>
    <cfRule type="expression" dxfId="17" priority="8" stopIfTrue="1">
      <formula>EXACT($Y1,"SWA")</formula>
    </cfRule>
  </conditionalFormatting>
  <conditionalFormatting sqref="T2:T5">
    <cfRule type="expression" dxfId="16" priority="1">
      <formula>AND(OR(EXACT($Y2,"SWA"),EXACT($Y2,"PEP")),EXACT(RIGHT($Z2,1),"E"))</formula>
    </cfRule>
  </conditionalFormatting>
  <conditionalFormatting sqref="W1:W25">
    <cfRule type="expression" dxfId="15" priority="41">
      <formula>IF(ISNUMBER(W1),IF(ISNUMBER(X1048557),IF(X1048557&gt;0.5,IF(X1048557=W1,TRUE))))</formula>
    </cfRule>
  </conditionalFormatting>
  <conditionalFormatting sqref="W26:W27">
    <cfRule type="expression" dxfId="14" priority="43">
      <formula>IF(ISNUMBER(W26),IF(ISNUMBER(#REF!),IF(#REF!&gt;0.5,IF(#REF!=W26,TRUE))))</formula>
    </cfRule>
  </conditionalFormatting>
  <conditionalFormatting sqref="W35">
    <cfRule type="expression" dxfId="13" priority="89">
      <formula>IF(ISNUMBER(W35),IF(ISNUMBER(X30),IF(X30&gt;0.5,IF(X30=W35,TRUE))))</formula>
    </cfRule>
  </conditionalFormatting>
  <conditionalFormatting sqref="W33:W34">
    <cfRule type="expression" dxfId="12" priority="361">
      <formula>IF(ISNUMBER(W33),IF(ISNUMBER(X31),IF(X31&gt;0.5,IF(X31=W33,TRUE))))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mc:AlternateContent xmlns:mc="http://schemas.openxmlformats.org/markup-compatibility/2006">
          <mc:Choice Requires="x14">
            <control shapeId="98497" r:id="rId4" name="Button 193">
              <controlPr defaultSize="0" print="0" autoFill="0" autoPict="0" macro="[0]!ToogleBlue_METs">
                <anchor moveWithCells="1" sizeWithCells="1">
                  <from>
                    <xdr:col>0</xdr:col>
                    <xdr:colOff>0</xdr:colOff>
                    <xdr:row>2</xdr:row>
                    <xdr:rowOff>9525</xdr:rowOff>
                  </from>
                  <to>
                    <xdr:col>0</xdr:col>
                    <xdr:colOff>1257300</xdr:colOff>
                    <xdr:row>4</xdr:row>
                    <xdr:rowOff>0</xdr:rowOff>
                  </to>
                </anchor>
              </controlPr>
            </control>
          </mc:Choice>
        </mc:AlternateContent>
        <mc:AlternateContent xmlns:mc="http://schemas.openxmlformats.org/markup-compatibility/2006">
          <mc:Choice Requires="x14">
            <control shapeId="98498" r:id="rId5" name="Button 194">
              <controlPr defaultSize="0" print="0" autoFill="0" autoPict="0" macro="[0]!ExportToSASF" altText="Write SASF">
                <anchor moveWithCells="1">
                  <from>
                    <xdr:col>11</xdr:col>
                    <xdr:colOff>9525</xdr:colOff>
                    <xdr:row>3</xdr:row>
                    <xdr:rowOff>171450</xdr:rowOff>
                  </from>
                  <to>
                    <xdr:col>12</xdr:col>
                    <xdr:colOff>809625</xdr:colOff>
                    <xdr:row>5</xdr:row>
                    <xdr:rowOff>152400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0</xdr:col>
                    <xdr:colOff>0</xdr:colOff>
                    <xdr:row>4</xdr:row>
                    <xdr:rowOff>19050</xdr:rowOff>
                  </from>
                  <to>
                    <xdr:col>0</xdr:col>
                    <xdr:colOff>1257300</xdr:colOff>
                    <xdr:row>6</xdr:row>
                    <xdr:rowOff>19050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11</xdr:col>
                    <xdr:colOff>19050</xdr:colOff>
                    <xdr:row>0</xdr:row>
                    <xdr:rowOff>0</xdr:rowOff>
                  </from>
                  <to>
                    <xdr:col>12</xdr:col>
                    <xdr:colOff>819150</xdr:colOff>
                    <xdr:row>1</xdr:row>
                    <xdr:rowOff>161925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11</xdr:col>
                    <xdr:colOff>19050</xdr:colOff>
                    <xdr:row>1</xdr:row>
                    <xdr:rowOff>180975</xdr:rowOff>
                  </from>
                  <to>
                    <xdr:col>12</xdr:col>
                    <xdr:colOff>819150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ca="1">MID(met2utc(A11),3,15)</f>
        <v>25-160/03:11:00</v>
      </c>
      <c r="D11" s="3" t="str">
        <f ca="1">MID(met2utc(B11),3,15)</f>
        <v>25-160/03:39:00</v>
      </c>
      <c r="E11" s="6" t="str">
        <f>FormatDuration(B11-A11)</f>
        <v>28:00</v>
      </c>
    </row>
    <row r="12" spans="1:10">
      <c r="A12" s="5">
        <v>611746256</v>
      </c>
      <c r="B12" s="5">
        <v>613555316</v>
      </c>
      <c r="C12" s="3" t="str">
        <f ca="1">MID(met2utc(A12),3,15)</f>
        <v>25-160/03:39:00</v>
      </c>
      <c r="D12" s="3" t="str">
        <f ca="1">MID(met2utc(B12),3,15)</f>
        <v>25-181/02:10:00</v>
      </c>
      <c r="E12" s="6" t="str">
        <f>FormatDuration(B12-A12)</f>
        <v>20-22:31:00</v>
      </c>
    </row>
    <row r="13" spans="1:10">
      <c r="A13" s="5">
        <v>613555316</v>
      </c>
      <c r="B13" s="5">
        <v>615857156</v>
      </c>
      <c r="C13" s="3" t="str">
        <f ca="1">MID(met2utc(A13),3,15)</f>
        <v>25-181/02:10:00</v>
      </c>
      <c r="D13" s="3" t="str">
        <f ca="1">MID(met2utc(B13),3,15)</f>
        <v>25-207/17:34:00</v>
      </c>
      <c r="E13" s="6" t="str">
        <f>FormatDuration(B13-A13)</f>
        <v>26-15:24:00</v>
      </c>
    </row>
    <row r="14" spans="1:10">
      <c r="A14" s="5">
        <v>615857156</v>
      </c>
      <c r="B14" s="5">
        <v>616807206</v>
      </c>
      <c r="C14" s="3" t="str">
        <f ca="1">MID(met2utc(A14),3,15)</f>
        <v>25-207/17:34:00</v>
      </c>
      <c r="D14" s="3" t="str">
        <f ca="1">MID(met2utc(B14),3,15)</f>
        <v>25-218/17:28:10</v>
      </c>
      <c r="E14" s="6" t="str">
        <f>FormatDuration(B14-A14)</f>
        <v>10-23:54:10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ca="1">MID(met2utc(A11),3,15)</f>
        <v>25-219/03:27:00</v>
      </c>
      <c r="D11" s="3" t="str">
        <f ca="1">MID(met2utc(B11),3,15)</f>
        <v>25-219/03:55:00</v>
      </c>
      <c r="E11" s="6" t="str">
        <f t="shared" ref="E11:E20" si="0">FormatDuration(B11-A11)</f>
        <v>28:00</v>
      </c>
    </row>
    <row r="12" spans="1:10">
      <c r="A12" s="5">
        <v>616844816</v>
      </c>
      <c r="B12" s="5">
        <v>622845951</v>
      </c>
      <c r="C12" s="3" t="str">
        <f ca="1">MID(met2utc(A12),3,15)</f>
        <v>25-219/03:55:00</v>
      </c>
      <c r="D12" s="3" t="str">
        <f ca="1">MID(met2utc(B12),3,15)</f>
        <v>25-288/14:53:55</v>
      </c>
      <c r="E12" s="6" t="str">
        <f t="shared" si="0"/>
        <v>69-10:58:55</v>
      </c>
    </row>
    <row r="13" spans="1:10">
      <c r="A13" s="5">
        <v>622845951</v>
      </c>
      <c r="B13" s="5">
        <v>622855951</v>
      </c>
      <c r="C13" s="3" t="str">
        <f ca="1">MID(met2utc(A13),3,15)</f>
        <v>25-288/14:53:55</v>
      </c>
      <c r="D13" s="3" t="str">
        <f ca="1">MID(met2utc(B13),3,15)</f>
        <v>25-288/17:40:35</v>
      </c>
      <c r="E13" s="6" t="str">
        <f t="shared" si="0"/>
        <v>02:46:40</v>
      </c>
      <c r="F13" s="3" t="s">
        <v>51</v>
      </c>
    </row>
    <row r="14" spans="1:10">
      <c r="A14" s="5">
        <v>622855951</v>
      </c>
      <c r="B14" s="5">
        <v>622865951</v>
      </c>
      <c r="C14" s="3" t="str">
        <f ca="1">MID(met2utc(A14),3,15)</f>
        <v>25-288/17:40:35</v>
      </c>
      <c r="D14" s="3" t="str">
        <f ca="1">MID(met2utc(B14),3,15)</f>
        <v>25-288/20:27:15</v>
      </c>
      <c r="E14" s="6" t="str">
        <f t="shared" si="0"/>
        <v>02:46:40</v>
      </c>
      <c r="F14" s="3" t="s">
        <v>51</v>
      </c>
      <c r="G14" s="3" t="s">
        <v>49</v>
      </c>
    </row>
    <row r="15" spans="1:10">
      <c r="A15" s="5">
        <v>622865951</v>
      </c>
      <c r="B15" s="5">
        <v>622875951</v>
      </c>
      <c r="C15" s="3" t="str">
        <f ca="1">MID(met2utc(A15),3,15)</f>
        <v>25-288/20:27:15</v>
      </c>
      <c r="D15" s="3" t="str">
        <f ca="1">MID(met2utc(B15),3,15)</f>
        <v>25-288/23:13:55</v>
      </c>
      <c r="E15" s="6" t="str">
        <f t="shared" si="0"/>
        <v>02:46:40</v>
      </c>
      <c r="F15" s="3" t="s">
        <v>51</v>
      </c>
      <c r="G15" s="3" t="s">
        <v>49</v>
      </c>
      <c r="H15" s="3" t="s">
        <v>50</v>
      </c>
    </row>
    <row r="16" spans="1:10">
      <c r="A16" s="5">
        <v>622875951</v>
      </c>
      <c r="B16" s="5">
        <v>622892887</v>
      </c>
      <c r="C16" s="3" t="str">
        <f ca="1">MID(met2utc(A16),3,15)</f>
        <v>25-288/23:13:55</v>
      </c>
      <c r="D16" s="3" t="str">
        <f ca="1">MID(met2utc(B16),3,15)</f>
        <v>25-289/03:56:11</v>
      </c>
      <c r="E16" s="6" t="str">
        <f t="shared" si="0"/>
        <v>04:42:16</v>
      </c>
      <c r="F16" s="3" t="s">
        <v>51</v>
      </c>
      <c r="G16" s="3" t="s">
        <v>49</v>
      </c>
      <c r="H16" s="3" t="s">
        <v>50</v>
      </c>
      <c r="I16" s="3" t="s">
        <v>53</v>
      </c>
      <c r="J16" s="3" t="s">
        <v>54</v>
      </c>
    </row>
    <row r="17" spans="1:8">
      <c r="A17" s="5">
        <v>622892887</v>
      </c>
      <c r="B17" s="5">
        <v>623037141</v>
      </c>
      <c r="C17" s="3" t="str">
        <f ca="1">MID(met2utc(A17),3,15)</f>
        <v>25-289/03:56:11</v>
      </c>
      <c r="D17" s="3" t="str">
        <f ca="1">MID(met2utc(B17),3,15)</f>
        <v>25-290/20:00:25</v>
      </c>
      <c r="E17" s="6" t="str">
        <f t="shared" si="0"/>
        <v>1-16:04:14</v>
      </c>
      <c r="F17" s="3" t="s">
        <v>51</v>
      </c>
      <c r="G17" s="3" t="s">
        <v>49</v>
      </c>
      <c r="H17" s="3" t="s">
        <v>50</v>
      </c>
    </row>
    <row r="18" spans="1:8">
      <c r="A18" s="5">
        <v>623037141</v>
      </c>
      <c r="B18" s="5">
        <v>623792487</v>
      </c>
      <c r="C18" s="3" t="str">
        <f ca="1">MID(met2utc(A18),3,15)</f>
        <v>25-290/20:00:25</v>
      </c>
      <c r="D18" s="3" t="str">
        <f ca="1">MID(met2utc(B18),3,15)</f>
        <v>25-299/13:49:31</v>
      </c>
      <c r="E18" s="6" t="str">
        <f t="shared" si="0"/>
        <v>8-17:49:06</v>
      </c>
      <c r="F18" s="3" t="s">
        <v>51</v>
      </c>
      <c r="G18" s="3" t="s">
        <v>49</v>
      </c>
    </row>
    <row r="19" spans="1:8">
      <c r="A19" s="5">
        <v>623792487</v>
      </c>
      <c r="B19" s="5">
        <v>624142263</v>
      </c>
      <c r="C19" s="3" t="str">
        <f ca="1">MID(met2utc(A19),3,15)</f>
        <v>25-299/13:49:31</v>
      </c>
      <c r="D19" s="3" t="str">
        <f ca="1">MID(met2utc(B19),3,15)</f>
        <v>25-303/14:59:07</v>
      </c>
      <c r="E19" s="6" t="str">
        <f t="shared" si="0"/>
        <v>4-01:09:36</v>
      </c>
      <c r="G19" s="3" t="s">
        <v>49</v>
      </c>
    </row>
    <row r="20" spans="1:8">
      <c r="A20" s="5">
        <v>624142263</v>
      </c>
      <c r="B20" s="5">
        <v>644287985</v>
      </c>
      <c r="C20" s="3" t="str">
        <f ca="1">MID(met2utc(A20),3,15)</f>
        <v>25-303/14:59:07</v>
      </c>
      <c r="D20" s="3" t="str">
        <f ca="1">MID(met2utc(B20),3,15)</f>
        <v>26-171/19:01:09</v>
      </c>
      <c r="E20" s="6" t="str">
        <f t="shared" si="0"/>
        <v>233-04:02:02</v>
      </c>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ca="1">MID(met2utc(A11),3,15)</f>
        <v>26-179/03:29:59</v>
      </c>
      <c r="D11" s="3" t="str">
        <f ca="1">MID(met2utc(B11),3,15)</f>
        <v>26-179/03:57:59</v>
      </c>
      <c r="E11" s="6" t="str">
        <f>FormatDuration(B11-A11)</f>
        <v>28:00</v>
      </c>
    </row>
    <row r="12" spans="1:10">
      <c r="A12" s="5">
        <v>644924995</v>
      </c>
      <c r="B12" s="5">
        <v>646883515</v>
      </c>
      <c r="C12" s="3" t="str">
        <f ca="1">MID(met2utc(A12),3,15)</f>
        <v>26-179/03:57:59</v>
      </c>
      <c r="D12" s="3" t="str">
        <f ca="1">MID(met2utc(B12),3,15)</f>
        <v>26-201/19:59:59</v>
      </c>
      <c r="E12" s="6" t="str">
        <f>FormatDuration(B12-A12)</f>
        <v>22-16:02:00</v>
      </c>
    </row>
    <row r="13" spans="1:10">
      <c r="A13" s="5">
        <v>646883515</v>
      </c>
      <c r="B13" s="5">
        <v>678385315</v>
      </c>
      <c r="C13" s="3" t="str">
        <f ca="1">MID(met2utc(A13),3,15)</f>
        <v>26-201/19:59:59</v>
      </c>
      <c r="D13" s="3" t="str">
        <f ca="1">MID(met2utc(B13),3,15)</f>
        <v>27-201/10:30:00</v>
      </c>
      <c r="E13" s="6" t="str">
        <f>FormatDuration(B13-A13)</f>
        <v>364-14:30:00</v>
      </c>
    </row>
  </sheetData>
  <conditionalFormatting sqref="F10:J1048576">
    <cfRule type="expression" dxfId="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23"/>
  <sheetViews>
    <sheetView topLeftCell="A114" zoomScaleNormal="100" workbookViewId="0">
      <selection activeCell="C135" sqref="C135"/>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1:5" ht="15.75" customHeight="1">
      <c r="B129" s="6" t="s">
        <v>1267</v>
      </c>
      <c r="C129" t="s">
        <v>5841</v>
      </c>
    </row>
    <row r="130" spans="1:5" ht="15.75" customHeight="1">
      <c r="B130" s="6" t="s">
        <v>1267</v>
      </c>
      <c r="C130" t="s">
        <v>5842</v>
      </c>
    </row>
    <row r="131" spans="1:5">
      <c r="B131" s="6"/>
    </row>
    <row r="132" spans="1:5">
      <c r="B132" t="s">
        <v>5852</v>
      </c>
    </row>
    <row r="133" spans="1:5" ht="15.75" customHeight="1">
      <c r="B133" s="6" t="s">
        <v>1267</v>
      </c>
      <c r="C133" t="s">
        <v>5851</v>
      </c>
    </row>
    <row r="134" spans="1:5" ht="15.75" customHeight="1">
      <c r="B134" s="6" t="s">
        <v>1267</v>
      </c>
      <c r="C134" t="s">
        <v>5853</v>
      </c>
    </row>
    <row r="135" spans="1:5">
      <c r="B135" s="6"/>
    </row>
    <row r="137" spans="1:5" s="202" customFormat="1">
      <c r="A137" s="201" t="s">
        <v>1278</v>
      </c>
    </row>
    <row r="138" spans="1:5">
      <c r="A138" s="198"/>
    </row>
    <row r="139" spans="1:5">
      <c r="B139" s="254" t="s">
        <v>5379</v>
      </c>
      <c r="C139" s="254"/>
      <c r="D139" s="254"/>
      <c r="E139" s="254"/>
    </row>
    <row r="140" spans="1:5">
      <c r="B140" s="6" t="s">
        <v>1267</v>
      </c>
      <c r="C140" t="s">
        <v>5382</v>
      </c>
    </row>
    <row r="141" spans="1:5">
      <c r="B141" s="6" t="s">
        <v>1267</v>
      </c>
      <c r="C141" s="253" t="s">
        <v>1279</v>
      </c>
    </row>
    <row r="142" spans="1:5">
      <c r="B142" s="6" t="s">
        <v>1267</v>
      </c>
      <c r="C142" s="253" t="s">
        <v>1287</v>
      </c>
    </row>
    <row r="143" spans="1:5">
      <c r="B143" s="6" t="s">
        <v>1267</v>
      </c>
      <c r="C143" s="253" t="s">
        <v>1288</v>
      </c>
    </row>
    <row r="144" spans="1:5">
      <c r="B144" s="6"/>
    </row>
    <row r="145" spans="2:5">
      <c r="B145" t="s">
        <v>5384</v>
      </c>
    </row>
    <row r="146" spans="2:5">
      <c r="B146" s="6" t="s">
        <v>1267</v>
      </c>
      <c r="C146" t="s">
        <v>5389</v>
      </c>
    </row>
    <row r="147" spans="2:5">
      <c r="B147" s="6" t="s">
        <v>1267</v>
      </c>
      <c r="C147" t="s">
        <v>5383</v>
      </c>
    </row>
    <row r="148" spans="2:5">
      <c r="B148" s="6" t="s">
        <v>1267</v>
      </c>
      <c r="C148" t="s">
        <v>5378</v>
      </c>
    </row>
    <row r="149" spans="2:5">
      <c r="B149" s="6" t="s">
        <v>1267</v>
      </c>
      <c r="C149" s="18" t="s">
        <v>1280</v>
      </c>
    </row>
    <row r="150" spans="2:5">
      <c r="B150" s="6"/>
      <c r="C150" s="6" t="s">
        <v>1267</v>
      </c>
      <c r="D150" t="s">
        <v>1285</v>
      </c>
    </row>
    <row r="151" spans="2:5">
      <c r="D151" s="6" t="s">
        <v>1267</v>
      </c>
      <c r="E151" t="s">
        <v>1282</v>
      </c>
    </row>
    <row r="152" spans="2:5">
      <c r="D152" s="6" t="s">
        <v>1267</v>
      </c>
      <c r="E152" t="s">
        <v>5380</v>
      </c>
    </row>
    <row r="153" spans="2:5">
      <c r="D153" s="6" t="s">
        <v>1267</v>
      </c>
      <c r="E153" t="s">
        <v>5390</v>
      </c>
    </row>
    <row r="154" spans="2:5">
      <c r="D154" s="6" t="s">
        <v>1267</v>
      </c>
      <c r="E154" t="s">
        <v>1283</v>
      </c>
    </row>
    <row r="155" spans="2:5">
      <c r="D155" s="6" t="s">
        <v>1267</v>
      </c>
      <c r="E155" t="s">
        <v>1284</v>
      </c>
    </row>
    <row r="156" spans="2:5">
      <c r="C156" s="6" t="s">
        <v>1267</v>
      </c>
      <c r="D156" t="s">
        <v>1281</v>
      </c>
    </row>
    <row r="158" spans="2:5">
      <c r="B158" t="s">
        <v>5381</v>
      </c>
    </row>
    <row r="159" spans="2:5">
      <c r="B159" s="6" t="s">
        <v>1267</v>
      </c>
      <c r="C159" t="s">
        <v>1286</v>
      </c>
    </row>
    <row r="161" spans="1:18">
      <c r="B161" t="s">
        <v>5385</v>
      </c>
    </row>
    <row r="162" spans="1:18">
      <c r="B162" s="6" t="s">
        <v>1267</v>
      </c>
      <c r="C162" t="s">
        <v>5386</v>
      </c>
    </row>
    <row r="163" spans="1:18">
      <c r="B163" s="6" t="s">
        <v>5387</v>
      </c>
      <c r="C163" t="s">
        <v>5388</v>
      </c>
    </row>
    <row r="165" spans="1:18" s="202" customFormat="1">
      <c r="A165" s="201" t="s">
        <v>1277</v>
      </c>
    </row>
    <row r="166" spans="1:18">
      <c r="A166" s="198"/>
    </row>
    <row r="167" spans="1:18">
      <c r="B167" t="s">
        <v>1290</v>
      </c>
    </row>
    <row r="168" spans="1:18">
      <c r="B168" t="s">
        <v>1289</v>
      </c>
    </row>
    <row r="171" spans="1:18" s="202" customFormat="1">
      <c r="A171" s="202" t="s">
        <v>5727</v>
      </c>
    </row>
    <row r="172" spans="1:18" ht="15.75" thickBot="1"/>
    <row r="173" spans="1:18">
      <c r="H173" s="306" t="s">
        <v>5715</v>
      </c>
      <c r="I173" s="436"/>
      <c r="J173" s="433"/>
      <c r="K173" s="433"/>
      <c r="L173" s="433"/>
      <c r="M173" s="433"/>
      <c r="N173" s="433"/>
      <c r="O173" s="433"/>
      <c r="P173" s="433"/>
      <c r="Q173" s="433"/>
      <c r="R173" s="434"/>
    </row>
    <row r="174" spans="1:18">
      <c r="H174" s="307"/>
      <c r="R174" s="169"/>
    </row>
    <row r="175" spans="1:18">
      <c r="H175" s="307"/>
      <c r="M175" s="3" t="s">
        <v>5718</v>
      </c>
      <c r="R175" s="169"/>
    </row>
    <row r="176" spans="1:18" ht="15.75" thickBot="1">
      <c r="H176" s="307"/>
      <c r="R176" s="169"/>
    </row>
    <row r="177" spans="2:24" ht="15" customHeight="1">
      <c r="H177" s="307"/>
      <c r="I177" s="306"/>
      <c r="J177" s="432"/>
      <c r="K177" s="442" t="s">
        <v>5430</v>
      </c>
      <c r="L177" s="443" t="s">
        <v>5430</v>
      </c>
      <c r="M177" s="443" t="s">
        <v>5430</v>
      </c>
      <c r="N177" s="444" t="s">
        <v>5714</v>
      </c>
      <c r="O177" s="446" t="s">
        <v>5714</v>
      </c>
      <c r="P177" s="445" t="s">
        <v>5714</v>
      </c>
      <c r="Q177" s="455" t="s">
        <v>5714</v>
      </c>
      <c r="R177" s="463"/>
      <c r="S177" s="525" t="s">
        <v>5719</v>
      </c>
      <c r="T177" s="525"/>
      <c r="U177" s="525"/>
      <c r="V177" s="525"/>
      <c r="W177" s="525"/>
      <c r="X177" s="526"/>
    </row>
    <row r="178" spans="2:24">
      <c r="H178" s="307"/>
      <c r="I178" s="438" t="s">
        <v>5282</v>
      </c>
      <c r="J178" s="439" t="s">
        <v>5308</v>
      </c>
      <c r="K178" s="317" t="s">
        <v>5431</v>
      </c>
      <c r="L178" s="318" t="s">
        <v>5431</v>
      </c>
      <c r="M178" s="318" t="s">
        <v>5431</v>
      </c>
      <c r="N178" s="317" t="s">
        <v>5431</v>
      </c>
      <c r="O178" s="447" t="s">
        <v>5431</v>
      </c>
      <c r="P178" s="318" t="s">
        <v>5431</v>
      </c>
      <c r="Q178" s="320" t="s">
        <v>5431</v>
      </c>
      <c r="R178" s="169"/>
      <c r="S178" s="527"/>
      <c r="T178" s="527"/>
      <c r="U178" s="527"/>
      <c r="V178" s="527"/>
      <c r="W178" s="527"/>
      <c r="X178" s="528"/>
    </row>
    <row r="179" spans="2:24">
      <c r="H179" s="307"/>
      <c r="I179" s="438" t="s">
        <v>5282</v>
      </c>
      <c r="J179" s="439" t="s">
        <v>5308</v>
      </c>
      <c r="K179" s="319" t="s">
        <v>5431</v>
      </c>
      <c r="L179" s="431" t="s">
        <v>5431</v>
      </c>
      <c r="M179" s="431" t="s">
        <v>5431</v>
      </c>
      <c r="N179" s="319" t="s">
        <v>5431</v>
      </c>
      <c r="O179" s="448" t="s">
        <v>5431</v>
      </c>
      <c r="P179" s="431" t="s">
        <v>5431</v>
      </c>
      <c r="Q179" s="321" t="s">
        <v>5431</v>
      </c>
      <c r="R179" s="169"/>
    </row>
    <row r="180" spans="2:24">
      <c r="H180" s="307"/>
      <c r="I180" s="450" t="s">
        <v>5282</v>
      </c>
      <c r="J180" s="451" t="s">
        <v>5308</v>
      </c>
      <c r="K180" s="451" t="s">
        <v>5431</v>
      </c>
      <c r="L180" s="452" t="s">
        <v>5431</v>
      </c>
      <c r="M180" s="452" t="s">
        <v>5431</v>
      </c>
      <c r="N180" s="451" t="s">
        <v>5431</v>
      </c>
      <c r="O180" s="453" t="s">
        <v>5431</v>
      </c>
      <c r="P180" s="452" t="s">
        <v>5431</v>
      </c>
      <c r="Q180" s="452" t="s">
        <v>5431</v>
      </c>
      <c r="R180" s="169"/>
    </row>
    <row r="181" spans="2:24">
      <c r="H181" s="307"/>
      <c r="I181" s="438" t="s">
        <v>5282</v>
      </c>
      <c r="J181" s="439" t="s">
        <v>5308</v>
      </c>
      <c r="K181" s="319" t="s">
        <v>5431</v>
      </c>
      <c r="L181" s="431" t="s">
        <v>5431</v>
      </c>
      <c r="M181" s="431" t="s">
        <v>5431</v>
      </c>
      <c r="N181" s="319" t="s">
        <v>5431</v>
      </c>
      <c r="O181" s="448" t="s">
        <v>5431</v>
      </c>
      <c r="P181" s="431" t="s">
        <v>5431</v>
      </c>
      <c r="Q181" s="321" t="s">
        <v>5431</v>
      </c>
      <c r="R181" s="169"/>
    </row>
    <row r="182" spans="2:24" ht="15.75" thickBot="1">
      <c r="H182" s="307"/>
      <c r="I182" s="440" t="s">
        <v>5282</v>
      </c>
      <c r="J182" s="441" t="s">
        <v>5308</v>
      </c>
      <c r="K182" s="322" t="s">
        <v>5431</v>
      </c>
      <c r="L182" s="323" t="s">
        <v>5431</v>
      </c>
      <c r="M182" s="323" t="s">
        <v>5431</v>
      </c>
      <c r="N182" s="322" t="s">
        <v>5431</v>
      </c>
      <c r="O182" s="449" t="s">
        <v>5431</v>
      </c>
      <c r="P182" s="323" t="s">
        <v>5431</v>
      </c>
      <c r="Q182" s="324" t="s">
        <v>5431</v>
      </c>
      <c r="R182" s="169"/>
    </row>
    <row r="183" spans="2:24" ht="15.75" thickBot="1">
      <c r="H183" s="310"/>
      <c r="I183" s="461"/>
      <c r="J183" s="462"/>
      <c r="K183" s="311"/>
      <c r="L183" s="311"/>
      <c r="M183" s="311"/>
      <c r="N183" s="437"/>
      <c r="O183" s="311"/>
      <c r="P183" s="311"/>
      <c r="Q183" s="311"/>
      <c r="R183" s="435"/>
    </row>
    <row r="184" spans="2:24" ht="18.75" customHeight="1">
      <c r="B184" s="456"/>
      <c r="C184" s="457"/>
      <c r="D184" s="457"/>
      <c r="E184" s="457"/>
      <c r="F184" s="457"/>
      <c r="G184" s="457"/>
      <c r="H184" s="458"/>
      <c r="I184" s="459" t="s">
        <v>5717</v>
      </c>
      <c r="J184" s="460" t="s">
        <v>5716</v>
      </c>
    </row>
    <row r="186" spans="2:24" ht="15" customHeight="1">
      <c r="B186" s="6" t="s">
        <v>1267</v>
      </c>
      <c r="C186" s="18" t="s">
        <v>5721</v>
      </c>
      <c r="R186" s="529" t="s">
        <v>5720</v>
      </c>
      <c r="S186" s="530"/>
      <c r="T186" s="530"/>
      <c r="U186" s="530"/>
      <c r="V186" s="531"/>
      <c r="W186" s="454"/>
    </row>
    <row r="187" spans="2:24">
      <c r="B187" s="6" t="s">
        <v>1267</v>
      </c>
      <c r="C187" s="18" t="s">
        <v>5722</v>
      </c>
      <c r="R187" s="532"/>
      <c r="S187" s="533"/>
      <c r="T187" s="533"/>
      <c r="U187" s="533"/>
      <c r="V187" s="534"/>
      <c r="W187" s="454"/>
    </row>
    <row r="188" spans="2:24">
      <c r="B188" s="6" t="s">
        <v>1267</v>
      </c>
      <c r="C188" s="18" t="s">
        <v>5723</v>
      </c>
      <c r="R188" s="535"/>
      <c r="S188" s="536"/>
      <c r="T188" s="536"/>
      <c r="U188" s="536"/>
      <c r="V188" s="537"/>
      <c r="W188" s="454"/>
    </row>
    <row r="189" spans="2:24">
      <c r="C189" s="6" t="s">
        <v>5387</v>
      </c>
      <c r="D189" t="s">
        <v>5726</v>
      </c>
    </row>
    <row r="190" spans="2:24">
      <c r="C190" s="6" t="s">
        <v>5387</v>
      </c>
      <c r="D190" t="s">
        <v>5724</v>
      </c>
    </row>
    <row r="191" spans="2:24">
      <c r="B191" s="6" t="s">
        <v>1267</v>
      </c>
      <c r="C191" s="18" t="s">
        <v>5728</v>
      </c>
    </row>
    <row r="192" spans="2:24">
      <c r="C192" s="6" t="s">
        <v>5387</v>
      </c>
      <c r="D192" t="s">
        <v>5725</v>
      </c>
    </row>
    <row r="193" spans="1:21">
      <c r="C193" s="6" t="s">
        <v>5387</v>
      </c>
      <c r="D193" t="s">
        <v>5730</v>
      </c>
      <c r="U193" s="464"/>
    </row>
    <row r="194" spans="1:21">
      <c r="B194" s="6" t="s">
        <v>1267</v>
      </c>
      <c r="C194" s="18" t="s">
        <v>5729</v>
      </c>
    </row>
    <row r="197" spans="1:21" s="202" customFormat="1">
      <c r="A197" s="468" t="s">
        <v>5753</v>
      </c>
      <c r="B197" s="468"/>
      <c r="C197" s="468"/>
      <c r="D197" s="468"/>
      <c r="E197" s="468"/>
      <c r="F197" s="468"/>
      <c r="G197" s="468"/>
      <c r="H197" s="468"/>
      <c r="I197" s="468"/>
      <c r="J197" s="468"/>
      <c r="K197" s="468"/>
      <c r="L197" s="468"/>
      <c r="M197" s="468"/>
      <c r="N197" s="468"/>
      <c r="O197" s="468"/>
      <c r="P197" s="468"/>
      <c r="Q197" s="468"/>
      <c r="R197" s="468"/>
    </row>
    <row r="198" spans="1:21">
      <c r="A198" s="469"/>
      <c r="B198" s="469"/>
      <c r="C198" s="469"/>
      <c r="D198" s="469"/>
      <c r="E198" s="469"/>
      <c r="F198" s="469"/>
      <c r="G198" s="469"/>
      <c r="H198" s="469"/>
      <c r="I198" s="469"/>
      <c r="J198" s="469"/>
      <c r="K198" s="469"/>
      <c r="L198" s="469"/>
      <c r="M198" s="469"/>
      <c r="N198" s="469"/>
      <c r="O198" s="469"/>
      <c r="P198" s="469"/>
      <c r="Q198" s="469"/>
      <c r="R198" s="469"/>
    </row>
    <row r="199" spans="1:21">
      <c r="A199" s="469"/>
      <c r="B199" s="470" t="s">
        <v>1267</v>
      </c>
      <c r="C199" s="469" t="s">
        <v>5766</v>
      </c>
      <c r="D199" s="469"/>
      <c r="E199" s="469"/>
      <c r="F199" s="469"/>
      <c r="G199" s="469"/>
      <c r="H199" s="469"/>
      <c r="I199" s="469"/>
      <c r="J199" s="469"/>
      <c r="K199" s="469"/>
      <c r="L199" s="469"/>
      <c r="M199" s="469"/>
      <c r="N199" s="469"/>
      <c r="O199" s="469"/>
      <c r="P199" s="469"/>
      <c r="Q199" s="469"/>
      <c r="R199" s="469"/>
    </row>
    <row r="200" spans="1:21">
      <c r="A200" s="469"/>
      <c r="B200" s="470" t="s">
        <v>1267</v>
      </c>
      <c r="C200" s="469" t="s">
        <v>5757</v>
      </c>
      <c r="D200" s="469"/>
      <c r="E200" s="469"/>
      <c r="F200" s="469"/>
      <c r="G200" s="469"/>
      <c r="H200" s="469"/>
      <c r="I200" s="469"/>
      <c r="J200" s="469"/>
      <c r="K200" s="469"/>
      <c r="L200" s="469"/>
      <c r="M200" s="469"/>
      <c r="N200" s="469"/>
      <c r="O200" s="469"/>
      <c r="P200" s="469"/>
      <c r="Q200" s="469"/>
      <c r="R200" s="469"/>
    </row>
    <row r="201" spans="1:21">
      <c r="A201" s="469"/>
      <c r="B201" s="469"/>
      <c r="C201" s="470"/>
      <c r="D201" s="469"/>
      <c r="E201" s="469"/>
      <c r="F201" s="469"/>
      <c r="G201" s="469"/>
      <c r="H201" s="469"/>
      <c r="I201" s="469"/>
      <c r="J201" s="469"/>
      <c r="K201" s="469"/>
      <c r="L201" s="469"/>
      <c r="M201" s="469"/>
      <c r="N201" s="469"/>
      <c r="O201" s="469"/>
      <c r="P201" s="469"/>
      <c r="Q201" s="469"/>
      <c r="R201" s="469"/>
    </row>
    <row r="202" spans="1:21" ht="17.25">
      <c r="A202" s="469"/>
      <c r="B202" s="470" t="s">
        <v>1267</v>
      </c>
      <c r="C202" s="469" t="s">
        <v>5747</v>
      </c>
      <c r="D202" s="469"/>
      <c r="E202" s="469"/>
      <c r="F202" s="538" t="s">
        <v>5751</v>
      </c>
      <c r="G202" s="538"/>
      <c r="H202" s="471" t="s">
        <v>5739</v>
      </c>
      <c r="I202" s="539" t="s">
        <v>5759</v>
      </c>
      <c r="J202" s="539"/>
      <c r="K202" s="469"/>
      <c r="L202" s="469"/>
      <c r="M202" s="495" t="s">
        <v>5764</v>
      </c>
      <c r="N202" s="469"/>
      <c r="O202" s="469"/>
      <c r="P202" s="469"/>
      <c r="Q202" s="469"/>
      <c r="R202" s="469"/>
    </row>
    <row r="203" spans="1:21" ht="17.25">
      <c r="A203" s="469"/>
      <c r="B203" s="469"/>
      <c r="C203" s="469"/>
      <c r="D203" s="469"/>
      <c r="E203" s="469"/>
      <c r="F203" s="469"/>
      <c r="G203" s="469"/>
      <c r="H203" s="469"/>
      <c r="I203" s="469"/>
      <c r="J203" s="469"/>
      <c r="K203" s="469"/>
      <c r="L203" s="469"/>
      <c r="M203" s="507" t="s">
        <v>5758</v>
      </c>
      <c r="N203" s="469"/>
      <c r="O203" s="469"/>
      <c r="P203" s="469"/>
      <c r="Q203" s="469"/>
      <c r="R203" s="469"/>
    </row>
    <row r="204" spans="1:21" ht="18" thickBot="1">
      <c r="A204" s="469"/>
      <c r="B204" s="470" t="s">
        <v>1267</v>
      </c>
      <c r="C204" s="469" t="s">
        <v>5747</v>
      </c>
      <c r="D204" s="469"/>
      <c r="E204" s="469"/>
      <c r="F204" s="540" t="s">
        <v>5741</v>
      </c>
      <c r="G204" s="540"/>
      <c r="H204" s="471" t="s">
        <v>5739</v>
      </c>
      <c r="I204" s="540" t="s">
        <v>5760</v>
      </c>
      <c r="J204" s="540"/>
      <c r="K204" s="469"/>
      <c r="M204" s="495" t="s">
        <v>5761</v>
      </c>
      <c r="N204" s="469"/>
      <c r="O204" s="469"/>
      <c r="P204" s="469"/>
      <c r="Q204" s="469"/>
      <c r="R204" s="469"/>
    </row>
    <row r="205" spans="1:21" ht="17.25">
      <c r="A205" s="469"/>
      <c r="B205" s="469"/>
      <c r="C205" s="469"/>
      <c r="D205" s="469"/>
      <c r="E205" s="469"/>
      <c r="F205" s="524" t="s">
        <v>5740</v>
      </c>
      <c r="G205" s="524"/>
      <c r="H205" s="469"/>
      <c r="I205" s="524" t="s">
        <v>5762</v>
      </c>
      <c r="J205" s="524"/>
      <c r="K205" s="469"/>
      <c r="M205" s="495" t="s">
        <v>5754</v>
      </c>
      <c r="N205" s="469"/>
      <c r="O205" s="469"/>
      <c r="P205" s="469"/>
      <c r="Q205" s="469"/>
      <c r="R205" s="469"/>
    </row>
    <row r="206" spans="1:21">
      <c r="A206" s="469"/>
      <c r="B206" s="469"/>
      <c r="C206" s="469"/>
      <c r="D206" s="469"/>
      <c r="E206" s="469"/>
      <c r="F206" s="471"/>
      <c r="G206" s="471"/>
      <c r="H206" s="469"/>
      <c r="I206" s="471"/>
      <c r="J206" s="471"/>
      <c r="K206" s="469"/>
      <c r="L206" s="472"/>
      <c r="M206" s="469"/>
      <c r="N206" s="469"/>
      <c r="O206" s="469"/>
      <c r="P206" s="469"/>
      <c r="Q206" s="469"/>
      <c r="R206" s="469"/>
    </row>
    <row r="207" spans="1:21">
      <c r="A207" s="469"/>
      <c r="B207" s="469"/>
      <c r="C207" s="469"/>
      <c r="D207" s="469"/>
      <c r="E207" s="469"/>
      <c r="F207" s="471"/>
      <c r="G207" s="471"/>
      <c r="H207" s="469"/>
      <c r="I207" s="471"/>
      <c r="J207" s="471"/>
      <c r="K207" s="469"/>
      <c r="M207" s="469"/>
      <c r="N207" s="469"/>
      <c r="O207" s="469"/>
      <c r="P207" s="469"/>
      <c r="Q207" s="469"/>
      <c r="R207" s="469"/>
    </row>
    <row r="208" spans="1:21">
      <c r="A208" s="469"/>
      <c r="B208" s="469"/>
      <c r="C208" s="469"/>
      <c r="D208" s="469"/>
      <c r="E208" s="469"/>
      <c r="F208" s="471"/>
      <c r="G208" s="471"/>
      <c r="H208" s="469"/>
      <c r="I208" s="471"/>
      <c r="J208" s="471"/>
      <c r="K208" s="469"/>
      <c r="L208" s="469"/>
      <c r="M208" s="469"/>
      <c r="N208" s="469"/>
      <c r="O208" s="469"/>
      <c r="P208" s="469"/>
      <c r="Q208" s="469"/>
      <c r="R208" s="469"/>
    </row>
    <row r="209" spans="1:18">
      <c r="A209" s="469"/>
      <c r="B209" s="469"/>
      <c r="C209" s="469"/>
      <c r="D209" s="469"/>
      <c r="E209" s="469"/>
      <c r="F209" s="471"/>
      <c r="G209" s="471"/>
      <c r="H209" s="469"/>
      <c r="I209" s="471" t="s">
        <v>5756</v>
      </c>
      <c r="J209" s="471"/>
      <c r="K209" s="469"/>
      <c r="L209" s="469"/>
      <c r="M209" s="469"/>
      <c r="N209" s="469"/>
      <c r="O209" s="469"/>
      <c r="P209" s="469"/>
      <c r="Q209" s="469"/>
      <c r="R209" s="469"/>
    </row>
    <row r="210" spans="1:18">
      <c r="A210" s="469"/>
      <c r="B210" s="469"/>
      <c r="C210" s="469"/>
      <c r="D210" s="469"/>
      <c r="E210" s="469"/>
      <c r="F210" s="471"/>
      <c r="G210" s="471"/>
      <c r="H210" s="469"/>
      <c r="I210" s="471" t="s">
        <v>5765</v>
      </c>
      <c r="J210" s="471"/>
      <c r="K210" s="469"/>
      <c r="L210" s="469"/>
      <c r="M210" s="469"/>
      <c r="N210" s="469"/>
      <c r="O210" s="469"/>
      <c r="P210" s="469"/>
      <c r="Q210" s="469"/>
      <c r="R210" s="469"/>
    </row>
    <row r="211" spans="1:18">
      <c r="A211" s="469"/>
      <c r="B211" s="469"/>
      <c r="C211" s="469"/>
      <c r="D211" s="469"/>
      <c r="E211" s="469"/>
      <c r="F211" s="471"/>
      <c r="G211" s="471"/>
      <c r="H211" s="469"/>
      <c r="I211" s="506" t="s">
        <v>5755</v>
      </c>
      <c r="J211" s="471"/>
      <c r="K211" s="469"/>
      <c r="L211" s="469"/>
      <c r="M211" s="469"/>
      <c r="N211" s="469"/>
      <c r="O211" s="469"/>
      <c r="P211" s="469"/>
      <c r="Q211" s="469"/>
      <c r="R211" s="469"/>
    </row>
    <row r="212" spans="1:18" ht="15.75" thickBot="1">
      <c r="A212" s="469"/>
      <c r="B212" s="469"/>
      <c r="C212" s="469"/>
      <c r="D212" s="469"/>
      <c r="E212" s="469"/>
      <c r="F212" s="469"/>
      <c r="G212" s="469"/>
      <c r="H212" s="469"/>
      <c r="J212" s="469"/>
      <c r="K212" s="469"/>
      <c r="L212" s="469"/>
      <c r="M212" s="469"/>
      <c r="N212" s="469"/>
      <c r="O212" s="469"/>
      <c r="P212" s="469"/>
      <c r="Q212" s="469"/>
      <c r="R212" s="469"/>
    </row>
    <row r="213" spans="1:18" ht="15.75" thickBot="1">
      <c r="A213" s="469"/>
      <c r="B213" s="469"/>
      <c r="C213" s="469"/>
      <c r="D213" s="469"/>
      <c r="E213" s="469"/>
      <c r="F213" s="473"/>
      <c r="G213" s="473"/>
      <c r="H213" s="474"/>
      <c r="I213" s="475" t="s">
        <v>5745</v>
      </c>
      <c r="J213" s="474"/>
      <c r="K213" s="474"/>
      <c r="L213" s="476"/>
      <c r="N213" s="469"/>
      <c r="O213" s="469"/>
      <c r="P213" s="469"/>
      <c r="Q213" s="469"/>
      <c r="R213" s="469"/>
    </row>
    <row r="214" spans="1:18">
      <c r="A214" s="469"/>
      <c r="B214" s="469"/>
      <c r="C214" s="469"/>
      <c r="D214" s="469"/>
      <c r="E214" s="469"/>
      <c r="F214" s="477"/>
      <c r="G214" s="478" t="s">
        <v>53</v>
      </c>
      <c r="H214" s="479" t="s">
        <v>54</v>
      </c>
      <c r="I214" s="479" t="s">
        <v>5742</v>
      </c>
      <c r="J214" s="479" t="s">
        <v>49</v>
      </c>
      <c r="K214" s="479" t="s">
        <v>50</v>
      </c>
      <c r="L214" s="480" t="s">
        <v>51</v>
      </c>
      <c r="M214" s="469"/>
      <c r="N214" s="469"/>
      <c r="O214" s="469"/>
      <c r="P214" s="469"/>
      <c r="Q214" s="469"/>
      <c r="R214" s="469"/>
    </row>
    <row r="215" spans="1:18" ht="15.75" thickBot="1">
      <c r="A215" s="469"/>
      <c r="B215" s="469"/>
      <c r="C215" s="469"/>
      <c r="D215" s="469"/>
      <c r="E215" s="470"/>
      <c r="F215" s="481"/>
      <c r="G215" s="482" t="s">
        <v>61</v>
      </c>
      <c r="H215" s="483" t="s">
        <v>5737</v>
      </c>
      <c r="I215" s="483" t="s">
        <v>5399</v>
      </c>
      <c r="J215" s="483" t="s">
        <v>1</v>
      </c>
      <c r="K215" s="483" t="s">
        <v>58</v>
      </c>
      <c r="L215" s="484" t="s">
        <v>5284</v>
      </c>
      <c r="M215" s="469"/>
      <c r="N215" s="469"/>
      <c r="O215" s="469"/>
      <c r="P215" s="469"/>
      <c r="Q215" s="469"/>
      <c r="R215" s="469"/>
    </row>
    <row r="216" spans="1:18" ht="30">
      <c r="A216" s="469"/>
      <c r="B216" s="469"/>
      <c r="C216" s="469"/>
      <c r="D216" s="469"/>
      <c r="E216" s="469"/>
      <c r="F216" s="485" t="s">
        <v>5752</v>
      </c>
      <c r="G216" s="486" t="s">
        <v>5744</v>
      </c>
      <c r="H216" s="487" t="s">
        <v>5738</v>
      </c>
      <c r="I216" s="487" t="s">
        <v>5763</v>
      </c>
      <c r="J216" s="487" t="s">
        <v>5744</v>
      </c>
      <c r="K216" s="487" t="s">
        <v>5744</v>
      </c>
      <c r="L216" s="488" t="s">
        <v>5744</v>
      </c>
      <c r="M216" s="511" t="s">
        <v>5767</v>
      </c>
      <c r="N216" s="469"/>
      <c r="O216" s="469"/>
      <c r="P216" s="469"/>
      <c r="Q216" s="469"/>
      <c r="R216" s="469"/>
    </row>
    <row r="217" spans="1:18" ht="17.25">
      <c r="A217" s="469"/>
      <c r="B217" s="469"/>
      <c r="C217" s="469"/>
      <c r="D217" s="469"/>
      <c r="E217" s="469"/>
      <c r="F217" s="489">
        <v>102</v>
      </c>
      <c r="G217" s="490" t="s">
        <v>5743</v>
      </c>
      <c r="H217" s="491" t="s">
        <v>5743</v>
      </c>
      <c r="I217" s="512" t="s">
        <v>5768</v>
      </c>
      <c r="J217" s="491" t="s">
        <v>5743</v>
      </c>
      <c r="K217" s="491" t="s">
        <v>5743</v>
      </c>
      <c r="L217" s="492" t="s">
        <v>5743</v>
      </c>
      <c r="M217" s="495" t="s">
        <v>5769</v>
      </c>
      <c r="N217" s="469"/>
      <c r="O217" s="469"/>
      <c r="P217" s="469"/>
      <c r="Q217" s="469"/>
      <c r="R217" s="469"/>
    </row>
    <row r="218" spans="1:18" ht="17.25">
      <c r="A218" s="469"/>
      <c r="B218" s="469"/>
      <c r="C218" s="469"/>
      <c r="D218" s="469"/>
      <c r="E218" s="469" t="s">
        <v>5746</v>
      </c>
      <c r="F218" s="493" t="s">
        <v>5736</v>
      </c>
      <c r="G218" s="508" t="s">
        <v>5738</v>
      </c>
      <c r="H218" s="510" t="s">
        <v>5770</v>
      </c>
      <c r="I218" s="510" t="s">
        <v>5770</v>
      </c>
      <c r="J218" s="491" t="s">
        <v>5743</v>
      </c>
      <c r="K218" s="491" t="s">
        <v>5743</v>
      </c>
      <c r="L218" s="494" t="s">
        <v>5743</v>
      </c>
      <c r="M218" s="495" t="s">
        <v>5772</v>
      </c>
      <c r="N218" s="496"/>
      <c r="O218" s="469"/>
      <c r="P218" s="469"/>
      <c r="Q218" s="469"/>
      <c r="R218" s="469"/>
    </row>
    <row r="219" spans="1:18" ht="17.25">
      <c r="A219" s="469"/>
      <c r="B219" s="469"/>
      <c r="C219" s="469"/>
      <c r="D219" s="469"/>
      <c r="E219" s="469"/>
      <c r="F219" s="493" t="s">
        <v>5735</v>
      </c>
      <c r="G219" s="509" t="s">
        <v>5744</v>
      </c>
      <c r="H219" s="491" t="s">
        <v>5771</v>
      </c>
      <c r="I219" s="491" t="s">
        <v>5771</v>
      </c>
      <c r="J219" s="491" t="s">
        <v>5743</v>
      </c>
      <c r="K219" s="491" t="s">
        <v>5743</v>
      </c>
      <c r="L219" s="494" t="s">
        <v>5743</v>
      </c>
      <c r="M219" s="497" t="s">
        <v>5773</v>
      </c>
      <c r="N219" s="469"/>
      <c r="O219" s="469"/>
      <c r="P219" s="469"/>
      <c r="Q219" s="469"/>
      <c r="R219" s="469"/>
    </row>
    <row r="220" spans="1:18">
      <c r="A220" s="469"/>
      <c r="B220" s="469"/>
      <c r="C220" s="469"/>
      <c r="D220" s="469"/>
      <c r="E220" s="469"/>
      <c r="F220" s="489">
        <v>111</v>
      </c>
      <c r="G220" s="490" t="s">
        <v>5738</v>
      </c>
      <c r="H220" s="491" t="s">
        <v>5738</v>
      </c>
      <c r="I220" s="491" t="s">
        <v>5738</v>
      </c>
      <c r="J220" s="491" t="s">
        <v>5743</v>
      </c>
      <c r="K220" s="491" t="s">
        <v>5743</v>
      </c>
      <c r="L220" s="494" t="s">
        <v>5743</v>
      </c>
      <c r="M220" s="495" t="s">
        <v>5774</v>
      </c>
      <c r="N220" s="469"/>
      <c r="O220" s="469"/>
      <c r="P220" s="469"/>
      <c r="Q220" s="469"/>
      <c r="R220" s="469"/>
    </row>
    <row r="221" spans="1:18" ht="15.75" thickBot="1">
      <c r="A221" s="469"/>
      <c r="B221" s="469"/>
      <c r="C221" s="469"/>
      <c r="D221" s="469"/>
      <c r="E221" s="469"/>
      <c r="F221" s="498" t="s">
        <v>5738</v>
      </c>
      <c r="G221" s="499" t="s">
        <v>5738</v>
      </c>
      <c r="H221" s="500" t="s">
        <v>5738</v>
      </c>
      <c r="I221" s="500" t="s">
        <v>5738</v>
      </c>
      <c r="J221" s="500" t="s">
        <v>5738</v>
      </c>
      <c r="K221" s="500" t="s">
        <v>5738</v>
      </c>
      <c r="L221" s="501" t="s">
        <v>5738</v>
      </c>
      <c r="M221" s="469"/>
      <c r="N221" s="469"/>
      <c r="O221" s="469"/>
      <c r="P221" s="469"/>
      <c r="Q221" s="469"/>
      <c r="R221" s="469"/>
    </row>
    <row r="222" spans="1:18">
      <c r="A222" s="469"/>
      <c r="B222" s="469"/>
      <c r="C222" s="469"/>
      <c r="D222" s="469"/>
      <c r="E222" s="469"/>
      <c r="F222" s="469"/>
      <c r="G222" s="469"/>
      <c r="H222" s="469"/>
      <c r="I222" s="469"/>
      <c r="J222" s="469"/>
      <c r="K222" s="469"/>
      <c r="L222" s="469"/>
      <c r="M222" s="469"/>
      <c r="N222" s="469"/>
      <c r="O222" s="469"/>
      <c r="P222" s="469"/>
      <c r="Q222" s="469"/>
      <c r="R222" s="469"/>
    </row>
    <row r="223" spans="1:18">
      <c r="A223" s="469"/>
      <c r="B223" s="469"/>
      <c r="C223" s="469"/>
      <c r="D223" s="469"/>
      <c r="E223" s="502"/>
      <c r="F223" s="503" t="s">
        <v>5748</v>
      </c>
      <c r="G223" s="504">
        <v>1988</v>
      </c>
      <c r="H223" s="504">
        <v>19908</v>
      </c>
      <c r="I223" s="504">
        <v>1330</v>
      </c>
      <c r="J223" s="505" t="s">
        <v>5750</v>
      </c>
      <c r="K223" s="505" t="s">
        <v>5749</v>
      </c>
      <c r="L223" s="504">
        <v>512</v>
      </c>
      <c r="M223" s="469"/>
      <c r="N223" s="469"/>
      <c r="O223" s="469"/>
      <c r="P223" s="469"/>
      <c r="Q223" s="469"/>
      <c r="R223" s="469"/>
    </row>
  </sheetData>
  <mergeCells count="8">
    <mergeCell ref="I205:J205"/>
    <mergeCell ref="F205:G205"/>
    <mergeCell ref="S177:X178"/>
    <mergeCell ref="R186:V188"/>
    <mergeCell ref="F202:G202"/>
    <mergeCell ref="I202:J202"/>
    <mergeCell ref="F204:G204"/>
    <mergeCell ref="I204:J204"/>
  </mergeCells>
  <pageMargins left="0.7" right="0.7" top="0.75" bottom="0.75" header="0.3" footer="0.3"/>
  <ignoredErrors>
    <ignoredError sqref="I217"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41" t="s">
        <v>891</v>
      </c>
      <c r="C25" s="541"/>
      <c r="D25" s="541"/>
      <c r="E25" s="541"/>
      <c r="F25" s="541"/>
      <c r="G25" s="541"/>
      <c r="H25" s="541"/>
      <c r="I25" s="541"/>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42" t="s">
        <v>901</v>
      </c>
      <c r="K30" s="542"/>
      <c r="L30" s="542"/>
      <c r="M30" s="542"/>
      <c r="N30" s="542"/>
    </row>
    <row r="31" spans="2:22">
      <c r="B31" s="143" t="s">
        <v>875</v>
      </c>
      <c r="C31" s="143" t="s">
        <v>876</v>
      </c>
      <c r="D31" s="143">
        <f>$E$8</f>
        <v>1632</v>
      </c>
      <c r="E31" s="143" t="s">
        <v>900</v>
      </c>
      <c r="F31" s="143">
        <v>0</v>
      </c>
      <c r="G31" s="143">
        <f>D31*F31</f>
        <v>0</v>
      </c>
      <c r="H31" s="143">
        <v>0</v>
      </c>
      <c r="I31" s="143">
        <f>G31*H31/1000000</f>
        <v>0</v>
      </c>
      <c r="J31" s="542"/>
      <c r="K31" s="542"/>
      <c r="L31" s="542"/>
      <c r="M31" s="542"/>
      <c r="N31" s="542"/>
    </row>
    <row r="32" spans="2:22" ht="15.75">
      <c r="B32" s="543"/>
      <c r="C32" s="543"/>
      <c r="D32" s="543"/>
      <c r="E32" s="543"/>
      <c r="F32" s="543"/>
      <c r="G32" s="543"/>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41" t="s">
        <v>903</v>
      </c>
      <c r="C38" s="541"/>
      <c r="D38" s="541"/>
      <c r="E38" s="541"/>
      <c r="F38" s="541"/>
      <c r="G38" s="541"/>
      <c r="H38" s="541"/>
      <c r="I38" s="541"/>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44" t="s">
        <v>904</v>
      </c>
      <c r="K43" s="544"/>
      <c r="L43" s="544"/>
      <c r="M43" s="544"/>
      <c r="N43" s="544"/>
      <c r="O43" s="98"/>
    </row>
    <row r="44" spans="2:16">
      <c r="B44" s="143" t="s">
        <v>875</v>
      </c>
      <c r="C44" s="143" t="s">
        <v>876</v>
      </c>
      <c r="D44" s="143">
        <f>$E$8</f>
        <v>1632</v>
      </c>
      <c r="E44" s="143" t="s">
        <v>865</v>
      </c>
      <c r="F44" s="143">
        <f>$M$4*$F$8</f>
        <v>7.2916666666666659E-4</v>
      </c>
      <c r="G44" s="143">
        <f>D44*F44</f>
        <v>1.19</v>
      </c>
      <c r="H44" s="143">
        <v>86400</v>
      </c>
      <c r="I44" s="143">
        <f>G44*H44/1000000</f>
        <v>0.102816</v>
      </c>
      <c r="J44" s="544"/>
      <c r="K44" s="544"/>
      <c r="L44" s="544"/>
      <c r="M44" s="544"/>
      <c r="N44" s="544"/>
      <c r="O44" s="98"/>
    </row>
    <row r="45" spans="2:16">
      <c r="B45" s="543"/>
      <c r="C45" s="543"/>
      <c r="D45" s="543"/>
      <c r="E45" s="543"/>
      <c r="F45" s="543"/>
      <c r="G45" s="543"/>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41" t="s">
        <v>905</v>
      </c>
      <c r="C47" s="541"/>
      <c r="D47" s="541"/>
      <c r="E47" s="541"/>
      <c r="F47" s="541"/>
      <c r="G47" s="541"/>
      <c r="H47" s="541"/>
      <c r="I47" s="541"/>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43"/>
      <c r="C54" s="543"/>
      <c r="D54" s="543"/>
      <c r="E54" s="543"/>
      <c r="F54" s="543"/>
      <c r="G54" s="543"/>
      <c r="H54" s="147" t="s">
        <v>902</v>
      </c>
      <c r="I54" s="147">
        <f>SUM(I49:I53)</f>
        <v>12.231428210526317</v>
      </c>
      <c r="J54" s="17">
        <f>I54*1000000/86400</f>
        <v>141.56745614035088</v>
      </c>
      <c r="K54">
        <f>J54/8</f>
        <v>17.695932017543861</v>
      </c>
    </row>
    <row r="55" spans="2:11">
      <c r="I55" s="17"/>
      <c r="J55" s="3" t="s">
        <v>0</v>
      </c>
      <c r="K55" s="3" t="s">
        <v>1017</v>
      </c>
    </row>
    <row r="56" spans="2:11" ht="18.75">
      <c r="B56" s="541" t="s">
        <v>906</v>
      </c>
      <c r="C56" s="541"/>
      <c r="D56" s="541"/>
      <c r="E56" s="541"/>
      <c r="F56" s="541"/>
      <c r="G56" s="541"/>
      <c r="H56" s="541"/>
      <c r="I56" s="541"/>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43"/>
      <c r="C63" s="543"/>
      <c r="D63" s="543"/>
      <c r="E63" s="543"/>
      <c r="F63" s="543"/>
      <c r="G63" s="543"/>
      <c r="H63" s="147" t="s">
        <v>902</v>
      </c>
      <c r="I63" s="147">
        <f>SUM(I58:I62)</f>
        <v>4.9738282105263156</v>
      </c>
      <c r="J63" s="17">
        <f>I63*1000000/86400</f>
        <v>57.56745614035087</v>
      </c>
      <c r="K63">
        <f>J63/8</f>
        <v>7.1959320175438588</v>
      </c>
    </row>
    <row r="64" spans="2:11">
      <c r="I64" s="17"/>
      <c r="J64" s="3" t="s">
        <v>0</v>
      </c>
      <c r="K64" s="3" t="s">
        <v>1017</v>
      </c>
    </row>
    <row r="65" spans="2:11" ht="18.75">
      <c r="B65" s="541" t="s">
        <v>907</v>
      </c>
      <c r="C65" s="541"/>
      <c r="D65" s="541"/>
      <c r="E65" s="541"/>
      <c r="F65" s="541"/>
      <c r="G65" s="541"/>
      <c r="H65" s="541"/>
      <c r="I65" s="541"/>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43"/>
      <c r="C72" s="543"/>
      <c r="D72" s="543"/>
      <c r="E72" s="543"/>
      <c r="F72" s="543"/>
      <c r="G72" s="543"/>
      <c r="H72" s="147" t="s">
        <v>902</v>
      </c>
      <c r="I72" s="147">
        <f>SUM(I67:I71)</f>
        <v>2.5546282105263156</v>
      </c>
      <c r="J72" s="17">
        <f>I72*1000000/86400</f>
        <v>29.567456140350874</v>
      </c>
      <c r="K72" s="176">
        <f>J72/8</f>
        <v>3.6959320175438592</v>
      </c>
    </row>
    <row r="73" spans="2:11">
      <c r="J73" s="3" t="s">
        <v>0</v>
      </c>
      <c r="K73" s="3" t="s">
        <v>1017</v>
      </c>
    </row>
    <row r="74" spans="2:11" ht="18.75">
      <c r="B74" s="541" t="s">
        <v>908</v>
      </c>
      <c r="C74" s="541"/>
      <c r="D74" s="541"/>
      <c r="E74" s="541"/>
      <c r="F74" s="541"/>
      <c r="G74" s="541"/>
      <c r="H74" s="541"/>
      <c r="I74" s="541"/>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43"/>
      <c r="C81" s="543"/>
      <c r="D81" s="543"/>
      <c r="E81" s="543"/>
      <c r="F81" s="543"/>
      <c r="G81" s="543"/>
      <c r="H81" s="147" t="s">
        <v>902</v>
      </c>
      <c r="I81" s="147">
        <f>SUM(I76:I80)</f>
        <v>1.3450282105263158</v>
      </c>
      <c r="J81" s="17">
        <f>I81*1000000/86400</f>
        <v>15.567456140350876</v>
      </c>
      <c r="K81">
        <f>J81/8</f>
        <v>1.9459320175438595</v>
      </c>
    </row>
    <row r="82" spans="2:11">
      <c r="I82" s="17"/>
      <c r="J82" s="3" t="s">
        <v>0</v>
      </c>
      <c r="K82" s="3" t="s">
        <v>1017</v>
      </c>
    </row>
    <row r="83" spans="2:11" ht="18.75">
      <c r="B83" s="541" t="s">
        <v>909</v>
      </c>
      <c r="C83" s="541"/>
      <c r="D83" s="541"/>
      <c r="E83" s="541"/>
      <c r="F83" s="541"/>
      <c r="G83" s="541"/>
      <c r="H83" s="541"/>
      <c r="I83" s="541"/>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41" t="s">
        <v>910</v>
      </c>
      <c r="C92" s="541"/>
      <c r="D92" s="541"/>
      <c r="E92" s="541"/>
      <c r="F92" s="541"/>
      <c r="G92" s="541"/>
      <c r="H92" s="541"/>
      <c r="I92" s="541"/>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43"/>
      <c r="C99" s="543"/>
      <c r="D99" s="543"/>
      <c r="E99" s="543"/>
      <c r="F99" s="543"/>
      <c r="G99" s="543"/>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41" t="s">
        <v>911</v>
      </c>
      <c r="C101" s="541"/>
      <c r="D101" s="541"/>
      <c r="E101" s="541"/>
      <c r="F101" s="541"/>
      <c r="G101" s="541"/>
      <c r="H101" s="541"/>
      <c r="I101" s="541"/>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43"/>
      <c r="C108" s="543"/>
      <c r="D108" s="543"/>
      <c r="E108" s="543"/>
      <c r="F108" s="543"/>
      <c r="G108" s="543"/>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41" t="s">
        <v>912</v>
      </c>
      <c r="C110" s="541"/>
      <c r="D110" s="541"/>
      <c r="E110" s="541"/>
      <c r="F110" s="541"/>
      <c r="G110" s="541"/>
      <c r="H110" s="541"/>
      <c r="I110" s="541"/>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43"/>
      <c r="C117" s="543"/>
      <c r="D117" s="543"/>
      <c r="E117" s="543"/>
      <c r="F117" s="543"/>
      <c r="G117" s="543"/>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41" t="s">
        <v>913</v>
      </c>
      <c r="C119" s="541"/>
      <c r="D119" s="541"/>
      <c r="E119" s="541"/>
      <c r="F119" s="541"/>
      <c r="G119" s="541"/>
      <c r="H119" s="541"/>
      <c r="I119" s="541"/>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43"/>
      <c r="C126" s="543"/>
      <c r="D126" s="543"/>
      <c r="E126" s="543"/>
      <c r="F126" s="543"/>
      <c r="G126" s="543"/>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41" t="s">
        <v>914</v>
      </c>
      <c r="C128" s="541"/>
      <c r="D128" s="541"/>
      <c r="E128" s="541"/>
      <c r="F128" s="541"/>
      <c r="G128" s="541"/>
      <c r="H128" s="541"/>
      <c r="I128" s="541"/>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43"/>
      <c r="C135" s="543"/>
      <c r="D135" s="543"/>
      <c r="E135" s="543"/>
      <c r="F135" s="543"/>
      <c r="G135" s="543"/>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41" t="s">
        <v>915</v>
      </c>
      <c r="C137" s="541"/>
      <c r="D137" s="541"/>
      <c r="E137" s="541"/>
      <c r="F137" s="541"/>
      <c r="G137" s="541"/>
      <c r="H137" s="541"/>
      <c r="I137" s="541"/>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45"/>
      <c r="C144" s="545"/>
      <c r="D144" s="545"/>
      <c r="E144" s="545"/>
      <c r="F144" s="545"/>
      <c r="G144" s="545"/>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46" t="s">
        <v>916</v>
      </c>
      <c r="C149" s="546"/>
      <c r="D149" s="546"/>
      <c r="E149" s="546"/>
      <c r="F149" s="546"/>
      <c r="G149" s="546"/>
      <c r="H149" s="546"/>
      <c r="I149" s="546"/>
      <c r="J149" s="547" t="s">
        <v>917</v>
      </c>
      <c r="K149" s="547"/>
      <c r="L149" s="547"/>
      <c r="M149" s="547"/>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43"/>
      <c r="C156" s="543"/>
      <c r="D156" s="543"/>
      <c r="E156" s="543"/>
      <c r="F156" s="543"/>
      <c r="G156" s="543"/>
      <c r="H156" s="147" t="s">
        <v>902</v>
      </c>
      <c r="I156" s="147">
        <f>SUM(I151:I155)+(15000/1000000)</f>
        <v>6.351</v>
      </c>
      <c r="J156" s="17"/>
    </row>
    <row r="162" spans="2:7" ht="72" customHeight="1">
      <c r="B162" s="549" t="s">
        <v>918</v>
      </c>
      <c r="C162" s="153" t="s">
        <v>919</v>
      </c>
      <c r="D162" s="154" t="s">
        <v>920</v>
      </c>
      <c r="E162" s="550" t="s">
        <v>921</v>
      </c>
      <c r="F162" s="550"/>
      <c r="G162" s="550"/>
    </row>
    <row r="163" spans="2:7" ht="78.75" customHeight="1">
      <c r="B163" s="549"/>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49" t="s">
        <v>918</v>
      </c>
      <c r="C179" s="153" t="s">
        <v>919</v>
      </c>
      <c r="D179" s="154" t="s">
        <v>920</v>
      </c>
    </row>
    <row r="180" spans="2:11" ht="36">
      <c r="B180" s="549"/>
      <c r="C180" s="1" t="s">
        <v>924</v>
      </c>
      <c r="D180" s="154" t="s">
        <v>925</v>
      </c>
    </row>
    <row r="181" spans="2:11" ht="36">
      <c r="B181" s="155" t="s">
        <v>926</v>
      </c>
      <c r="C181" s="160">
        <f>$I$32</f>
        <v>24.222884210526313</v>
      </c>
      <c r="D181" s="160">
        <f>C181*365.25/1000</f>
        <v>8.847408457894737</v>
      </c>
    </row>
    <row r="189" spans="2:11" ht="21" customHeight="1">
      <c r="B189" s="551" t="s">
        <v>927</v>
      </c>
      <c r="C189" s="551"/>
      <c r="D189" s="551"/>
      <c r="E189" s="551"/>
      <c r="F189" s="551"/>
      <c r="G189" s="551"/>
      <c r="H189" s="551"/>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48" t="s">
        <v>929</v>
      </c>
      <c r="C197" s="548"/>
      <c r="D197" s="548"/>
      <c r="F197" s="548" t="s">
        <v>929</v>
      </c>
      <c r="G197" s="548"/>
      <c r="H197" s="548"/>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48" t="s">
        <v>936</v>
      </c>
      <c r="C204" s="548"/>
      <c r="D204" s="548"/>
      <c r="F204" s="548" t="s">
        <v>936</v>
      </c>
      <c r="G204" s="548"/>
      <c r="H204" s="548"/>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1" priority="1">
      <formula>M3=I3</formula>
    </cfRule>
    <cfRule type="expression" dxfId="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2026-08-22T16:04:08Z</dcterms:modified>
  <dc:language>en-US</dc:language>
</cp:coreProperties>
</file>