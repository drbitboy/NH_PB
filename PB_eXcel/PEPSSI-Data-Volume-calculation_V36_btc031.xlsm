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6E058323-2196-414A-9E0A-0361DBE2ED77}" xr6:coauthVersionLast="47" xr6:coauthVersionMax="47" xr10:uidLastSave="{00000000-0000-0000-0000-000000000000}"/>
  <bookViews>
    <workbookView xWindow="75" yWindow="630" windowWidth="28725" windowHeight="14520" tabRatio="747" activeTab="7"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dev" sheetId="22"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61" i="21" l="1"/>
  <c r="T455" i="21"/>
  <c r="T458" i="21"/>
  <c r="R29" i="22"/>
  <c r="S29" i="22" s="1"/>
  <c r="R28" i="22"/>
  <c r="S28" i="22" s="1"/>
  <c r="R27" i="22"/>
  <c r="S27" i="22" s="1"/>
  <c r="R26" i="22"/>
  <c r="S26" i="22" s="1"/>
  <c r="R25" i="22"/>
  <c r="S25" i="22" s="1"/>
  <c r="R24" i="22"/>
  <c r="S24" i="22" s="1"/>
  <c r="R23" i="22"/>
  <c r="R22" i="22"/>
  <c r="R20" i="22"/>
  <c r="R21" i="22"/>
  <c r="S21" i="22" l="1"/>
  <c r="S20" i="22"/>
  <c r="S23" i="22"/>
  <c r="S22" i="22"/>
  <c r="Q21" i="22"/>
  <c r="W29" i="22"/>
  <c r="U29" i="22"/>
  <c r="P29" i="22"/>
  <c r="AN29" i="22"/>
  <c r="W28" i="22"/>
  <c r="U28" i="22"/>
  <c r="P28" i="22"/>
  <c r="AN28" i="22"/>
  <c r="W27" i="22"/>
  <c r="U27" i="22"/>
  <c r="P27" i="22"/>
  <c r="AN27" i="22"/>
  <c r="W26" i="22"/>
  <c r="U26" i="22"/>
  <c r="P26" i="22"/>
  <c r="AN26" i="22"/>
  <c r="W25" i="22"/>
  <c r="U25" i="22"/>
  <c r="P25" i="22"/>
  <c r="AN25" i="22"/>
  <c r="W24" i="22"/>
  <c r="U24" i="22"/>
  <c r="P24" i="22"/>
  <c r="AN24" i="22"/>
  <c r="W23" i="22"/>
  <c r="U23" i="22"/>
  <c r="P23" i="22"/>
  <c r="AN23" i="22"/>
  <c r="W22" i="22"/>
  <c r="U22" i="22"/>
  <c r="P22" i="22"/>
  <c r="AN22" i="22"/>
  <c r="W21" i="22"/>
  <c r="P21" i="22"/>
  <c r="AN21" i="22"/>
  <c r="W20" i="22"/>
  <c r="U20" i="22"/>
  <c r="P20" i="22"/>
  <c r="AN20" i="22"/>
  <c r="X19" i="22"/>
  <c r="W19" i="22"/>
  <c r="V19" i="22"/>
  <c r="U19" i="22"/>
  <c r="T19" i="22"/>
  <c r="S19" i="22"/>
  <c r="R19" i="22"/>
  <c r="Q19" i="22"/>
  <c r="P19" i="22"/>
  <c r="S5" i="22"/>
  <c r="S4" i="22"/>
  <c r="S3" i="22"/>
  <c r="S2" i="22"/>
  <c r="U2" i="22"/>
  <c r="L21" i="22"/>
  <c r="L20" i="22"/>
  <c r="O29" i="22"/>
  <c r="O28" i="22"/>
  <c r="O27" i="22"/>
  <c r="O26" i="22"/>
  <c r="O25" i="22"/>
  <c r="O24" i="22"/>
  <c r="O23" i="22"/>
  <c r="O22" i="22"/>
  <c r="O21" i="22"/>
  <c r="O20" i="22"/>
  <c r="R11" i="22" a="1"/>
  <c r="N11" i="22" a="1"/>
  <c r="Q22" i="22" l="1"/>
  <c r="N11" i="22"/>
  <c r="R11" i="22"/>
  <c r="O11" i="22" s="1"/>
  <c r="P11" i="22"/>
  <c r="Q11" i="22"/>
  <c r="L22" i="22"/>
  <c r="M21" i="22"/>
  <c r="M22" i="22"/>
  <c r="Y22" i="22" l="1"/>
  <c r="Q23" i="22"/>
  <c r="Y21" i="22"/>
  <c r="P452" i="21"/>
  <c r="O15" i="22"/>
  <c r="W16" i="22"/>
  <c r="W15" i="22"/>
  <c r="W14" i="22"/>
  <c r="W13" i="22"/>
  <c r="W12" i="22"/>
  <c r="W11" i="22"/>
  <c r="U16" i="22"/>
  <c r="U15" i="22"/>
  <c r="U14" i="22"/>
  <c r="U13" i="22"/>
  <c r="U12" i="22"/>
  <c r="U11" i="22"/>
  <c r="R15" i="22"/>
  <c r="Q16" i="22"/>
  <c r="Q15" i="22"/>
  <c r="Q14" i="22"/>
  <c r="Q13" i="22"/>
  <c r="Q12" i="22"/>
  <c r="P16" i="22"/>
  <c r="P15" i="22"/>
  <c r="P14" i="22"/>
  <c r="P13" i="22"/>
  <c r="P12" i="22"/>
  <c r="K16" i="22"/>
  <c r="J16" i="22"/>
  <c r="I16" i="22"/>
  <c r="H16" i="22"/>
  <c r="G16" i="22"/>
  <c r="F16" i="22"/>
  <c r="E16" i="22"/>
  <c r="D16" i="22"/>
  <c r="C16" i="22"/>
  <c r="K15" i="22"/>
  <c r="J15" i="22"/>
  <c r="I15" i="22"/>
  <c r="H15" i="22"/>
  <c r="G15" i="22"/>
  <c r="F15" i="22"/>
  <c r="E15" i="22"/>
  <c r="D15" i="22"/>
  <c r="C15" i="22"/>
  <c r="K14" i="22"/>
  <c r="J14" i="22"/>
  <c r="I14" i="22"/>
  <c r="H14" i="22"/>
  <c r="G14" i="22"/>
  <c r="F14" i="22"/>
  <c r="E14" i="22"/>
  <c r="D14" i="22"/>
  <c r="C14" i="22"/>
  <c r="K13" i="22"/>
  <c r="J13" i="22"/>
  <c r="I13" i="22"/>
  <c r="H13" i="22"/>
  <c r="G13" i="22"/>
  <c r="F13" i="22"/>
  <c r="E13" i="22"/>
  <c r="D13" i="22"/>
  <c r="C13" i="22"/>
  <c r="K12" i="22"/>
  <c r="J12" i="22"/>
  <c r="I12" i="22"/>
  <c r="H12" i="22"/>
  <c r="G12" i="22"/>
  <c r="F12" i="22"/>
  <c r="E12" i="22"/>
  <c r="D12" i="22"/>
  <c r="C12" i="22"/>
  <c r="K11" i="22"/>
  <c r="J11" i="22"/>
  <c r="I11" i="22"/>
  <c r="H11" i="22"/>
  <c r="G11" i="22"/>
  <c r="F11" i="22"/>
  <c r="E11" i="22"/>
  <c r="D11" i="22"/>
  <c r="C11" i="22"/>
  <c r="W9" i="22"/>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T22" i="22"/>
  <c r="T21" i="22"/>
  <c r="L23" i="22"/>
  <c r="M20" i="22"/>
  <c r="N13" i="22" a="1"/>
  <c r="R16" i="22" a="1"/>
  <c r="R13" i="22" a="1"/>
  <c r="N14" i="22" a="1"/>
  <c r="N16" i="22" a="1"/>
  <c r="R12" i="22" a="1"/>
  <c r="N15" i="22" a="1"/>
  <c r="N12" i="22" a="1"/>
  <c r="M23" i="22"/>
  <c r="Y23" i="22" l="1"/>
  <c r="V22" i="22"/>
  <c r="X22" i="22" s="1"/>
  <c r="Q24" i="22"/>
  <c r="V21" i="22"/>
  <c r="X21" i="22" s="1"/>
  <c r="Y20" i="22"/>
  <c r="S15" i="22"/>
  <c r="R12" i="22"/>
  <c r="O12" i="22" s="1"/>
  <c r="R16" i="22"/>
  <c r="O16" i="22" s="1"/>
  <c r="R13" i="22"/>
  <c r="O13" i="22" s="1"/>
  <c r="N12" i="22"/>
  <c r="N16" i="22"/>
  <c r="N13" i="22"/>
  <c r="N15" i="22"/>
  <c r="N14"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T23" i="22"/>
  <c r="T20" i="22"/>
  <c r="L24" i="22"/>
  <c r="T15" i="22" a="1"/>
  <c r="R14" i="22" a="1"/>
  <c r="V23" i="22" l="1"/>
  <c r="X23" i="22" s="1"/>
  <c r="Q25" i="22"/>
  <c r="V20" i="22"/>
  <c r="X20" i="22" s="1"/>
  <c r="T15" i="22"/>
  <c r="V15" i="22" s="1"/>
  <c r="R14" i="22"/>
  <c r="O14" i="22" s="1"/>
  <c r="S16" i="22"/>
  <c r="S12" i="22"/>
  <c r="X15" i="22"/>
  <c r="S13" i="22"/>
  <c r="S11" i="22"/>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M24" i="22"/>
  <c r="L25" i="22"/>
  <c r="T16" i="22" a="1"/>
  <c r="T13" i="22" a="1"/>
  <c r="T11" i="22" a="1"/>
  <c r="T12" i="22" a="1"/>
  <c r="Y24" i="22" l="1"/>
  <c r="T24" i="22" s="1"/>
  <c r="Q26" i="22"/>
  <c r="T12" i="22"/>
  <c r="T13" i="22"/>
  <c r="T11" i="22"/>
  <c r="T16" i="22"/>
  <c r="S14" i="22"/>
  <c r="R73" i="19"/>
  <c r="U72" i="19"/>
  <c r="U20" i="19"/>
  <c r="R21" i="19"/>
  <c r="U180" i="19"/>
  <c r="R181" i="19"/>
  <c r="U120" i="19"/>
  <c r="R121" i="19"/>
  <c r="R37" i="19"/>
  <c r="U36" i="19"/>
  <c r="U104" i="19"/>
  <c r="R105" i="19"/>
  <c r="U52" i="19"/>
  <c r="R53" i="19"/>
  <c r="U88" i="19"/>
  <c r="R89" i="19"/>
  <c r="R165" i="19"/>
  <c r="U164" i="19"/>
  <c r="U138" i="19"/>
  <c r="R139" i="19"/>
  <c r="U139" i="19" s="1"/>
  <c r="U146" i="19"/>
  <c r="R147" i="19"/>
  <c r="M25" i="22"/>
  <c r="L26" i="22"/>
  <c r="T14" i="22" a="1"/>
  <c r="Y25" i="22" l="1"/>
  <c r="T25" i="22" s="1"/>
  <c r="V24" i="22"/>
  <c r="X24" i="22" s="1"/>
  <c r="Q27" i="22"/>
  <c r="V11" i="22"/>
  <c r="X11" i="22" s="1"/>
  <c r="V13" i="22"/>
  <c r="X13" i="22" s="1"/>
  <c r="V12" i="22"/>
  <c r="X12" i="22" s="1"/>
  <c r="V16" i="22"/>
  <c r="X16" i="22" s="1"/>
  <c r="T14" i="22"/>
  <c r="R122" i="19"/>
  <c r="U121" i="19"/>
  <c r="R90" i="19"/>
  <c r="U89" i="19"/>
  <c r="R22" i="19"/>
  <c r="U21" i="19"/>
  <c r="R54" i="19"/>
  <c r="U53" i="19"/>
  <c r="R182" i="19"/>
  <c r="U182" i="19" s="1"/>
  <c r="U181" i="19"/>
  <c r="R106" i="19"/>
  <c r="U105" i="19"/>
  <c r="U147" i="19"/>
  <c r="R148" i="19"/>
  <c r="R166" i="19"/>
  <c r="U165" i="19"/>
  <c r="R38" i="19"/>
  <c r="U37" i="19"/>
  <c r="R74" i="19"/>
  <c r="U73" i="19"/>
  <c r="M26" i="22"/>
  <c r="L27" i="22"/>
  <c r="V25" i="22" l="1"/>
  <c r="X25" i="22" s="1"/>
  <c r="Y26" i="22"/>
  <c r="T26" i="22" s="1"/>
  <c r="Q28" i="22"/>
  <c r="V14" i="22"/>
  <c r="X14" i="22" s="1"/>
  <c r="U106" i="19"/>
  <c r="R107" i="19"/>
  <c r="U54" i="19"/>
  <c r="R55" i="19"/>
  <c r="U90" i="19"/>
  <c r="R91" i="19"/>
  <c r="U74" i="19"/>
  <c r="R75" i="19"/>
  <c r="U166" i="19"/>
  <c r="R167" i="19"/>
  <c r="U148" i="19"/>
  <c r="R149" i="19"/>
  <c r="U38" i="19"/>
  <c r="R39" i="19"/>
  <c r="U22" i="19"/>
  <c r="R23" i="19"/>
  <c r="U122" i="19"/>
  <c r="R123" i="19"/>
  <c r="M27" i="22"/>
  <c r="L28" i="22"/>
  <c r="V26" i="22" l="1"/>
  <c r="X26" i="22" s="1"/>
  <c r="Y27" i="22"/>
  <c r="T27" i="22" s="1"/>
  <c r="Q29" i="22"/>
  <c r="U23" i="19"/>
  <c r="R24" i="19"/>
  <c r="R150" i="19"/>
  <c r="U149" i="19"/>
  <c r="U75" i="19"/>
  <c r="R76" i="19"/>
  <c r="U55" i="19"/>
  <c r="R56" i="19"/>
  <c r="U39" i="19"/>
  <c r="R40" i="19"/>
  <c r="U167" i="19"/>
  <c r="R168" i="19"/>
  <c r="U107" i="19"/>
  <c r="R108" i="19"/>
  <c r="U123" i="19"/>
  <c r="R124" i="19"/>
  <c r="U91" i="19"/>
  <c r="R92" i="19"/>
  <c r="M28" i="22"/>
  <c r="L29" i="22"/>
  <c r="Y28" i="22" l="1"/>
  <c r="T28" i="22" s="1"/>
  <c r="V27" i="22"/>
  <c r="X27" i="22" s="1"/>
  <c r="U168" i="19"/>
  <c r="R169" i="19"/>
  <c r="R57" i="19"/>
  <c r="U56" i="19"/>
  <c r="U150" i="19"/>
  <c r="R151" i="19"/>
  <c r="R125" i="19"/>
  <c r="U124" i="19"/>
  <c r="U108" i="19"/>
  <c r="R109" i="19"/>
  <c r="U40" i="19"/>
  <c r="R41" i="19"/>
  <c r="R25" i="19"/>
  <c r="U24" i="19"/>
  <c r="R93" i="19"/>
  <c r="U92" i="19"/>
  <c r="U76" i="19"/>
  <c r="R77" i="19"/>
  <c r="M29" i="22"/>
  <c r="V28" i="22" l="1"/>
  <c r="X28" i="22" s="1"/>
  <c r="Y29" i="22"/>
  <c r="T29" i="22" s="1"/>
  <c r="R42" i="19"/>
  <c r="U41" i="19"/>
  <c r="R94" i="19"/>
  <c r="U93" i="19"/>
  <c r="R126" i="19"/>
  <c r="U125" i="19"/>
  <c r="R58" i="19"/>
  <c r="U57" i="19"/>
  <c r="U151" i="19"/>
  <c r="R152" i="19"/>
  <c r="R78" i="19"/>
  <c r="U77" i="19"/>
  <c r="R110" i="19"/>
  <c r="U109" i="19"/>
  <c r="R170" i="19"/>
  <c r="U169" i="19"/>
  <c r="R26" i="19"/>
  <c r="U25" i="19"/>
  <c r="V29" i="22" l="1"/>
  <c r="X29" i="22" s="1"/>
  <c r="W30" i="22" s="1"/>
  <c r="U170" i="19"/>
  <c r="R171" i="19"/>
  <c r="U78" i="19"/>
  <c r="R79" i="19"/>
  <c r="U79" i="19" s="1"/>
  <c r="U58" i="19"/>
  <c r="R59" i="19"/>
  <c r="U94" i="19"/>
  <c r="R95" i="19"/>
  <c r="R153" i="19"/>
  <c r="U152" i="19"/>
  <c r="U26" i="19"/>
  <c r="R27" i="19"/>
  <c r="U110" i="19"/>
  <c r="R111" i="19"/>
  <c r="U126" i="19"/>
  <c r="R127" i="19"/>
  <c r="U42" i="19"/>
  <c r="R43" i="19"/>
  <c r="U27" i="19" l="1"/>
  <c r="R28" i="19"/>
  <c r="U28" i="19" s="1"/>
  <c r="U95" i="19"/>
  <c r="R96" i="19"/>
  <c r="U96" i="19" s="1"/>
  <c r="U43" i="19"/>
  <c r="R44" i="19"/>
  <c r="U171" i="19"/>
  <c r="R172" i="19"/>
  <c r="U127" i="19"/>
  <c r="R128" i="19"/>
  <c r="U111" i="19"/>
  <c r="R112" i="19"/>
  <c r="U59" i="19"/>
  <c r="R60" i="19"/>
  <c r="R154" i="19"/>
  <c r="U153" i="19"/>
  <c r="R113" i="19" l="1"/>
  <c r="U113" i="19" s="1"/>
  <c r="U112" i="19"/>
  <c r="U154" i="19"/>
  <c r="R155" i="19"/>
  <c r="R61" i="19"/>
  <c r="U60" i="19"/>
  <c r="R45" i="19"/>
  <c r="U45" i="19" s="1"/>
  <c r="U44" i="19"/>
  <c r="R173" i="19"/>
  <c r="U172" i="19"/>
  <c r="R129" i="19"/>
  <c r="U128" i="19"/>
  <c r="U155" i="19" l="1"/>
  <c r="R156" i="19"/>
  <c r="R130" i="19"/>
  <c r="U129" i="19"/>
  <c r="R174" i="19"/>
  <c r="U173" i="19"/>
  <c r="R62" i="19"/>
  <c r="U62" i="19" s="1"/>
  <c r="U61" i="19"/>
  <c r="U130" i="19" l="1"/>
  <c r="R131" i="19"/>
  <c r="U156" i="19"/>
  <c r="R157" i="19"/>
  <c r="U157" i="19" s="1"/>
  <c r="U174" i="19"/>
  <c r="R175" i="19"/>
  <c r="U175" i="19" s="1"/>
  <c r="U131" i="19" l="1"/>
  <c r="R132" i="19"/>
  <c r="U132" i="19" s="1"/>
  <c r="V140" i="19" l="1"/>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175" i="19" a="1"/>
  <c r="F32" i="19" a="1"/>
  <c r="F34" i="19" a="1"/>
  <c r="F68" i="19" a="1"/>
  <c r="F48" i="19" a="1"/>
  <c r="F163" i="19" a="1"/>
  <c r="F121" i="19" a="1"/>
  <c r="F31" i="19" a="1"/>
  <c r="F165" i="19" a="1"/>
  <c r="F96" i="19" a="1"/>
  <c r="F75" i="19" a="1"/>
  <c r="F183" i="19" a="1"/>
  <c r="F85" i="19" a="1"/>
  <c r="F69" i="19" a="1"/>
  <c r="F79" i="19" a="1"/>
  <c r="F74" i="19" a="1"/>
  <c r="F138" i="19" a="1"/>
  <c r="F15" i="19" a="1"/>
  <c r="F42" i="19" a="1"/>
  <c r="F47" i="19" a="1"/>
  <c r="F137" i="19" a="1"/>
  <c r="F111" i="19" a="1"/>
  <c r="F66" i="19" a="1"/>
  <c r="F58" i="19" a="1"/>
  <c r="F116" i="19" a="1"/>
  <c r="F67" i="19" a="1"/>
  <c r="F27" i="19" a="1"/>
  <c r="F84" i="19" a="1"/>
  <c r="F62" i="19" a="1"/>
  <c r="F73" i="19" a="1"/>
  <c r="F14" i="19" a="1"/>
  <c r="F112" i="19" a="1"/>
  <c r="F24" i="19" a="1"/>
  <c r="F72" i="19" a="1"/>
  <c r="F126" i="19" a="1"/>
  <c r="F171" i="19" a="1"/>
  <c r="F82" i="19" a="1"/>
  <c r="F134" i="19" a="1"/>
  <c r="F167" i="19" a="1"/>
  <c r="F154" i="19" a="1"/>
  <c r="F128" i="19" a="1"/>
  <c r="F22" i="19" a="1"/>
  <c r="F97" i="19" a="1"/>
  <c r="F98" i="19" a="1"/>
  <c r="F124" i="19" a="1"/>
  <c r="F123" i="19" a="1"/>
  <c r="F161" i="19" a="1"/>
  <c r="F120" i="19" a="1"/>
  <c r="F103" i="19" a="1"/>
  <c r="F50" i="19" a="1"/>
  <c r="F148" i="19" a="1"/>
  <c r="F104" i="19" a="1"/>
  <c r="F105" i="19" a="1"/>
  <c r="F119" i="19" a="1"/>
  <c r="F155" i="19" a="1"/>
  <c r="F20" i="19" a="1"/>
  <c r="F182" i="19" a="1"/>
  <c r="F28" i="19" a="1"/>
  <c r="F39" i="19" a="1"/>
  <c r="F18" i="19" a="1"/>
  <c r="F178" i="19" a="1"/>
  <c r="F130" i="19" a="1"/>
  <c r="F36" i="19" a="1"/>
  <c r="F80" i="19" a="1"/>
  <c r="F106" i="19" a="1"/>
  <c r="F94" i="19" a="1"/>
  <c r="F40" i="19" a="1"/>
  <c r="F61" i="19" a="1"/>
  <c r="F142" i="19" a="1"/>
  <c r="F70" i="19" a="1"/>
  <c r="F93" i="19" a="1"/>
  <c r="F139" i="19" a="1"/>
  <c r="F52" i="19" a="1"/>
  <c r="F65" i="19" a="1"/>
  <c r="F118" i="19" a="1"/>
  <c r="F54" i="19" a="1"/>
  <c r="F41" i="19" a="1"/>
  <c r="F172" i="19" a="1"/>
  <c r="F51" i="19" a="1"/>
  <c r="F144" i="19" a="1"/>
  <c r="F166" i="19" a="1"/>
  <c r="F114" i="19" a="1"/>
  <c r="F91" i="19" a="1"/>
  <c r="F150" i="19" a="1"/>
  <c r="F170" i="19" a="1"/>
  <c r="F76" i="19" a="1"/>
  <c r="F100" i="19" a="1"/>
  <c r="F113" i="19" a="1"/>
  <c r="F29" i="19" a="1"/>
  <c r="F110" i="19" a="1"/>
  <c r="F64" i="19" a="1"/>
  <c r="F133" i="19" a="1"/>
  <c r="F33" i="19" a="1"/>
  <c r="F145" i="19" a="1"/>
  <c r="F135" i="19" a="1"/>
  <c r="F146" i="19" a="1"/>
  <c r="F151" i="19" a="1"/>
  <c r="F143" i="19" a="1"/>
  <c r="F35" i="19" a="1"/>
  <c r="F160" i="19" a="1"/>
  <c r="F87" i="19" a="1"/>
  <c r="F129" i="19" a="1"/>
  <c r="F92" i="19" a="1"/>
  <c r="F55" i="19" a="1"/>
  <c r="F17" i="19" a="1"/>
  <c r="F59" i="19" a="1"/>
  <c r="F78" i="19" a="1"/>
  <c r="F45" i="19" a="1"/>
  <c r="F46" i="19" a="1"/>
  <c r="F158" i="19" a="1"/>
  <c r="F83" i="19" a="1"/>
  <c r="F95" i="19" a="1"/>
  <c r="F30" i="19" a="1"/>
  <c r="F49" i="19" a="1"/>
  <c r="F179" i="19" a="1"/>
  <c r="F122" i="19" a="1"/>
  <c r="F89" i="19" a="1"/>
  <c r="F88" i="19" a="1"/>
  <c r="F63" i="19" a="1"/>
  <c r="F152" i="19" a="1"/>
  <c r="F177" i="19" a="1"/>
  <c r="F37" i="19" a="1"/>
  <c r="F157" i="19" a="1"/>
  <c r="F174" i="19" a="1"/>
  <c r="F153" i="19" a="1"/>
  <c r="F56" i="19" a="1"/>
  <c r="F101" i="19" a="1"/>
  <c r="F71" i="19" a="1"/>
  <c r="F159" i="19" a="1"/>
  <c r="F176" i="19" a="1"/>
  <c r="F115" i="19" a="1"/>
  <c r="F16" i="19" a="1"/>
  <c r="F23" i="19" a="1"/>
  <c r="F43" i="19" a="1"/>
  <c r="F44" i="19" a="1"/>
  <c r="F81" i="19" a="1"/>
  <c r="F169" i="19" a="1"/>
  <c r="F125" i="19" a="1"/>
  <c r="F181" i="19" a="1"/>
  <c r="F109" i="19" a="1"/>
  <c r="F140" i="19" a="1"/>
  <c r="F136" i="19" a="1"/>
  <c r="F164" i="19" a="1"/>
  <c r="F57" i="19" a="1"/>
  <c r="F26" i="19" a="1"/>
  <c r="F102" i="19" a="1"/>
  <c r="F90" i="19" a="1"/>
  <c r="F38" i="19" a="1"/>
  <c r="F162" i="19" a="1"/>
  <c r="F60" i="19" a="1"/>
  <c r="F173" i="19" a="1"/>
  <c r="F25" i="19" a="1"/>
  <c r="F21" i="19" a="1"/>
  <c r="F19" i="19" a="1"/>
  <c r="F108" i="19" a="1"/>
  <c r="F156" i="19" a="1"/>
  <c r="F107" i="19" a="1"/>
  <c r="F147" i="19" a="1"/>
  <c r="F86" i="19" a="1"/>
  <c r="F53" i="19" a="1"/>
  <c r="F180" i="19" a="1"/>
  <c r="F77" i="19" a="1"/>
  <c r="F141" i="19" a="1"/>
  <c r="F99" i="19" a="1"/>
  <c r="F132" i="19" a="1"/>
  <c r="F117" i="19" a="1"/>
  <c r="F127" i="19" a="1"/>
  <c r="F168" i="19" a="1"/>
  <c r="F149" i="19" a="1"/>
  <c r="F131"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X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L70" i="21" a="1"/>
  <c r="M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72" i="21" a="1"/>
  <c r="L68"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L360"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412" i="21" a="1"/>
  <c r="L97"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X182" i="21"/>
  <c r="AJ182" i="21" s="1"/>
  <c r="AE440" i="21"/>
  <c r="X440" i="21"/>
  <c r="AD440" i="21" s="1"/>
  <c r="AC182" i="2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M383" i="21" a="1"/>
  <c r="L47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21" i="21" a="1"/>
  <c r="L475" i="21" a="1"/>
  <c r="R475" i="21" l="1"/>
  <c r="L421" i="21"/>
  <c r="L475" i="21"/>
  <c r="S475" i="21"/>
  <c r="T475" i="21" s="1"/>
  <c r="V475" i="21" s="1"/>
  <c r="AE475" i="21" s="1"/>
  <c r="R421" i="21"/>
  <c r="AE420" i="21"/>
  <c r="AC420" i="21" s="1"/>
  <c r="X420" i="21"/>
  <c r="AD420" i="21" s="1"/>
  <c r="AE474" i="21"/>
  <c r="X474" i="21"/>
  <c r="AD474" i="21" s="1"/>
  <c r="M475" i="21" a="1"/>
  <c r="M421"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77" i="21" a="1"/>
  <c r="L423"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78" i="21" a="1"/>
  <c r="M424"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33" i="21" a="1"/>
  <c r="L464"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V458" i="21" s="1"/>
  <c r="Q483" i="21"/>
  <c r="L483" i="21" a="1"/>
  <c r="L483" i="21" l="1"/>
  <c r="AE458" i="21"/>
  <c r="AC458" i="21" s="1"/>
  <c r="X458" i="21"/>
  <c r="AD458" i="21" s="1"/>
  <c r="S483" i="21"/>
  <c r="T483" i="21" s="1"/>
  <c r="V483" i="21" s="1"/>
  <c r="AE483" i="21" l="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N11" authorId="0" shapeId="0" xr:uid="{9DD9AEBD-814A-4CC2-9D51-A387D32B5BCC}">
      <text>
        <r>
          <rPr>
            <b/>
            <sz val="9"/>
            <color indexed="81"/>
            <rFont val="Tahoma"/>
            <family val="2"/>
          </rPr>
          <t xml:space="preserve">0.55078125:byte/s_x000D_
4.40625:bit/s_x000D_
AJ158:Rate_Cell_x000D_
N11:caller_x000D_
</t>
        </r>
      </text>
    </comment>
    <comment ref="R11" authorId="0" shapeId="0" xr:uid="{2E0C9D86-F897-45F6-803C-3FACF1788EB9}">
      <text>
        <r>
          <rPr>
            <b/>
            <sz val="9"/>
            <color indexed="81"/>
            <rFont val="Tahoma"/>
            <family val="2"/>
          </rPr>
          <t xml:space="preserve">0.55078125:byte/s_x000D_
4.40625:bit/s_x000D_
AJ158:Rate_Cell_x000D_
R11:caller_x000D_
</t>
        </r>
      </text>
    </comment>
    <comment ref="T11" authorId="0" shapeId="0" xr:uid="{1C9DA137-C7C2-4AE0-AECD-3C83B5874AC3}">
      <text>
        <r>
          <rPr>
            <b/>
            <sz val="9"/>
            <color indexed="81"/>
            <rFont val="Tahoma"/>
            <family val="2"/>
          </rPr>
          <t xml:space="preserve">0.55078125:byte/s_x000D_
4.40625:bit/s_x000D_
AJ158:Rate_Cell_x000D_
T11:caller_x000D_
</t>
        </r>
      </text>
    </comment>
    <comment ref="N12" authorId="0" shapeId="0" xr:uid="{EC7AFAE8-914E-40CA-8ED1-B736E16838F9}">
      <text>
        <r>
          <rPr>
            <b/>
            <sz val="9"/>
            <color indexed="81"/>
            <rFont val="Tahoma"/>
            <family val="2"/>
          </rPr>
          <t xml:space="preserve">0.55078125:byte/s_x000D_
4.40625:bit/s_x000D_
AJ158:Rate_Cell_x000D_
N12:caller_x000D_
</t>
        </r>
      </text>
    </comment>
    <comment ref="R12" authorId="0" shapeId="0" xr:uid="{287235EA-255C-4160-B525-6E81BFD9011D}">
      <text>
        <r>
          <rPr>
            <b/>
            <sz val="9"/>
            <color indexed="81"/>
            <rFont val="Tahoma"/>
            <family val="2"/>
          </rPr>
          <t xml:space="preserve">0.55078125:byte/s_x000D_
4.40625:bit/s_x000D_
AJ158:Rate_Cell_x000D_
R12:caller_x000D_
</t>
        </r>
      </text>
    </comment>
    <comment ref="T12" authorId="0" shapeId="0" xr:uid="{8BA935B7-1F6D-43EC-B9A6-DB046111E1FC}">
      <text>
        <r>
          <rPr>
            <b/>
            <sz val="9"/>
            <color indexed="81"/>
            <rFont val="Tahoma"/>
            <family val="2"/>
          </rPr>
          <t xml:space="preserve">0.55078125:byte/s_x000D_
4.40625:bit/s_x000D_
AJ158:Rate_Cell_x000D_
T12:caller_x000D_
</t>
        </r>
      </text>
    </comment>
    <comment ref="N13" authorId="0" shapeId="0" xr:uid="{6EF25837-58BE-4227-A8C0-8E64B56D77F5}">
      <text>
        <r>
          <rPr>
            <b/>
            <sz val="9"/>
            <color indexed="81"/>
            <rFont val="Tahoma"/>
            <family val="2"/>
          </rPr>
          <t xml:space="preserve">0.55078125:byte/s_x000D_
4.40625:bit/s_x000D_
AJ158:Rate_Cell_x000D_
N13:caller_x000D_
</t>
        </r>
      </text>
    </comment>
    <comment ref="R13" authorId="0" shapeId="0" xr:uid="{FD37E0BD-65C6-4842-A238-4479324C45E9}">
      <text>
        <r>
          <rPr>
            <b/>
            <sz val="9"/>
            <color indexed="81"/>
            <rFont val="Tahoma"/>
            <family val="2"/>
          </rPr>
          <t xml:space="preserve">0.55078125:byte/s_x000D_
4.40625:bit/s_x000D_
AJ158:Rate_Cell_x000D_
R13:caller_x000D_
</t>
        </r>
      </text>
    </comment>
    <comment ref="T13" authorId="0" shapeId="0" xr:uid="{18FB7F55-9D62-4D70-8F4C-0D2E8DF55AA8}">
      <text>
        <r>
          <rPr>
            <b/>
            <sz val="9"/>
            <color indexed="81"/>
            <rFont val="Tahoma"/>
            <family val="2"/>
          </rPr>
          <t xml:space="preserve">0.55078125:byte/s_x000D_
4.40625:bit/s_x000D_
AJ158:Rate_Cell_x000D_
T13:caller_x000D_
</t>
        </r>
      </text>
    </comment>
    <comment ref="N14" authorId="0" shapeId="0" xr:uid="{43E750A8-93A9-4124-BBD0-15A6EDE1A218}">
      <text>
        <r>
          <rPr>
            <b/>
            <sz val="9"/>
            <color indexed="81"/>
            <rFont val="Tahoma"/>
            <family val="2"/>
          </rPr>
          <t xml:space="preserve">0.55078125:byte/s_x000D_
4.40625:bit/s_x000D_
AJ158:Rate_Cell_x000D_
N14:caller_x000D_
</t>
        </r>
      </text>
    </comment>
    <comment ref="R14" authorId="0" shapeId="0" xr:uid="{CF927934-3335-47A6-8061-DF917A271E97}">
      <text>
        <r>
          <rPr>
            <b/>
            <sz val="9"/>
            <color indexed="81"/>
            <rFont val="Tahoma"/>
            <family val="2"/>
          </rPr>
          <t xml:space="preserve">0.55078125:byte/s_x000D_
4.40625:bit/s_x000D_
AJ158:Rate_Cell_x000D_
R14:caller_x000D_
</t>
        </r>
      </text>
    </comment>
    <comment ref="T14" authorId="0" shapeId="0" xr:uid="{505BEB89-0685-4E31-8E24-9972629FCB2B}">
      <text>
        <r>
          <rPr>
            <b/>
            <sz val="9"/>
            <color indexed="81"/>
            <rFont val="Tahoma"/>
            <family val="2"/>
          </rPr>
          <t xml:space="preserve">0.55078125:byte/s_x000D_
4.40625:bit/s_x000D_
AJ158:Rate_Cell_x000D_
T14:caller_x000D_
</t>
        </r>
      </text>
    </comment>
    <comment ref="N15" authorId="0" shapeId="0" xr:uid="{ACAFD547-1803-4DD0-83B5-E56D6C24B473}">
      <text>
        <r>
          <rPr>
            <b/>
            <sz val="9"/>
            <color indexed="81"/>
            <rFont val="Tahoma"/>
            <family val="2"/>
          </rPr>
          <t xml:space="preserve">0.55078125:byte/s_x000D_
4.40625:bit/s_x000D_
AJ158:Rate_Cell_x000D_
N15:caller_x000D_
</t>
        </r>
      </text>
    </comment>
    <comment ref="T15" authorId="0" shapeId="0" xr:uid="{754E0816-8F56-42C8-8EE7-3A263A2704AC}">
      <text>
        <r>
          <rPr>
            <b/>
            <sz val="9"/>
            <color indexed="81"/>
            <rFont val="Tahoma"/>
            <family val="2"/>
          </rPr>
          <t xml:space="preserve">0.55078125:byte/s_x000D_
4.40625:bit/s_x000D_
AJ158:Rate_Cell_x000D_
T15:caller_x000D_
</t>
        </r>
      </text>
    </comment>
    <comment ref="N16" authorId="0" shapeId="0" xr:uid="{405D3D6A-0F21-4213-A82F-B86AA590B726}">
      <text>
        <r>
          <rPr>
            <b/>
            <sz val="9"/>
            <color indexed="81"/>
            <rFont val="Tahoma"/>
            <family val="2"/>
          </rPr>
          <t xml:space="preserve">5.05015625:byte/s_x000D_
40.40125:bit/s_x000D_
AD158:Rate_Cell_x000D_
N16:caller_x000D_
</t>
        </r>
      </text>
    </comment>
    <comment ref="R16" authorId="0" shapeId="0" xr:uid="{D6D212F7-89D7-4C16-98C7-A6814D888E48}">
      <text>
        <r>
          <rPr>
            <b/>
            <sz val="9"/>
            <color indexed="81"/>
            <rFont val="Tahoma"/>
            <family val="2"/>
          </rPr>
          <t xml:space="preserve">5.05015625:byte/s_x000D_
40.40125:bit/s_x000D_
AD158:Rate_Cell_x000D_
R16:caller_x000D_
</t>
        </r>
      </text>
    </comment>
    <comment ref="T16" authorId="0" shapeId="0" xr:uid="{1F239A66-86B1-42C1-A496-9B5289D191AF}">
      <text>
        <r>
          <rPr>
            <b/>
            <sz val="9"/>
            <color indexed="81"/>
            <rFont val="Tahoma"/>
            <family val="2"/>
          </rPr>
          <t xml:space="preserve">5.05015625:byte/s_x000D_
40.40125:bit/s_x000D_
AD158:Rate_Cell_x000D_
T16:caller_x000D_
</t>
        </r>
      </text>
    </comment>
    <comment ref="R20" authorId="0" shapeId="0" xr:uid="{5AB815B7-7A28-44E4-A865-D86952C950B2}">
      <text>
        <r>
          <rPr>
            <b/>
            <sz val="9"/>
            <color indexed="81"/>
            <rFont val="Tahoma"/>
            <family val="2"/>
          </rPr>
          <t xml:space="preserve">3.55555555555556E-02:byte/s_x000D_
0.284444444444444:bit/s_x000D_
AR158:Rate_Cell_x000D_
R20:caller_x000D_
</t>
        </r>
      </text>
    </comment>
    <comment ref="T20" authorId="0" shapeId="0" xr:uid="{040F97EF-A025-421D-AD42-432F30A86B14}">
      <text>
        <r>
          <rPr>
            <sz val="9"/>
            <color indexed="81"/>
            <rFont val="Tahoma"/>
            <family val="2"/>
          </rPr>
          <t xml:space="preserve">3.55555555555556E-02:byte/s_x000D_
0.284444444444444:bit/s_x000D_
AR158:Rate_Cell_x000D_
T20:caller_x000D_
</t>
        </r>
      </text>
    </comment>
    <comment ref="R21" authorId="0" shapeId="0" xr:uid="{B968AC7A-AE7E-4096-81D3-D9817AEBA622}">
      <text>
        <r>
          <rPr>
            <b/>
            <sz val="9"/>
            <color indexed="81"/>
            <rFont val="Tahoma"/>
            <family val="2"/>
          </rPr>
          <t xml:space="preserve">0.690277777777778:byte/s_x000D_
5.52222222222222:bit/s_x000D_
AC158:Rate_Cell_x000D_
R21:caller_x000D_
</t>
        </r>
      </text>
    </comment>
    <comment ref="T21" authorId="0" shapeId="0" xr:uid="{56C15E13-CEE8-4D8B-8762-4200752D27DE}">
      <text>
        <r>
          <rPr>
            <sz val="9"/>
            <color indexed="81"/>
            <rFont val="Tahoma"/>
            <family val="2"/>
          </rPr>
          <t xml:space="preserve">0.690277777777778:byte/s_x000D_
5.52222222222222:bit/s_x000D_
AC158:Rate_Cell_x000D_
T21:caller_x000D_
</t>
        </r>
      </text>
    </comment>
    <comment ref="R22" authorId="0" shapeId="0" xr:uid="{659FEFE6-DD63-4BFE-9F6A-2A689B402C0C}">
      <text>
        <r>
          <rPr>
            <b/>
            <sz val="9"/>
            <color indexed="81"/>
            <rFont val="Tahoma"/>
            <family val="2"/>
          </rPr>
          <t xml:space="preserve">5.05015625:byte/s_x000D_
40.40125:bit/s_x000D_
AD158:Rate_Cell_x000D_
R22:caller_x000D_
</t>
        </r>
      </text>
    </comment>
    <comment ref="T22" authorId="0" shapeId="0" xr:uid="{D11BE980-3BE7-40FE-9AD6-C25B08C1F812}">
      <text>
        <r>
          <rPr>
            <b/>
            <sz val="9"/>
            <color indexed="81"/>
            <rFont val="Tahoma"/>
            <family val="2"/>
          </rPr>
          <t xml:space="preserve">5.05015625:byte/s_x000D_
40.40125:bit/s_x000D_
AD158:Rate_Cell_x000D_
T22:caller_x000D_
</t>
        </r>
      </text>
    </comment>
    <comment ref="R23" authorId="0" shapeId="0" xr:uid="{B2A2ED7B-54CB-4D07-B4F4-A1957580DF7D}">
      <text>
        <r>
          <rPr>
            <b/>
            <sz val="9"/>
            <color indexed="81"/>
            <rFont val="Tahoma"/>
            <family val="2"/>
          </rPr>
          <t xml:space="preserve">6.90402777777778:byte/s_x000D_
55.2322222222222:bit/s_x000D_
BG158:Rate_Cell_x000D_
R23:caller_x000D_
</t>
        </r>
      </text>
    </comment>
    <comment ref="T23" authorId="0" shapeId="0" xr:uid="{936F7B88-3910-4CD1-BD75-543F3C5286E2}">
      <text>
        <r>
          <rPr>
            <b/>
            <sz val="9"/>
            <color indexed="81"/>
            <rFont val="Tahoma"/>
            <family val="2"/>
          </rPr>
          <t xml:space="preserve">6.90402777777778:byte/s_x000D_
55.2322222222222:bit/s_x000D_
BG158:Rate_Cell_x000D_
T23:caller_x000D_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<sst xmlns="http://schemas.openxmlformats.org/spreadsheetml/2006/main" count="9618" uniqueCount="5833">
  <si>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</si>
  <si>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</si>
  <si>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</si>
  <si>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</si>
  <si>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</si>
  <si>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</si>
  <si>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</si>
  <si>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</si>
  <si>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</si>
  <si>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</si>
  <si>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</si>
  <si>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</si>
  <si>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</si>
  <si>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</si>
  <si>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</si>
  <si>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</si>
  <si>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</si>
  <si>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</si>
  <si>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</si>
  <si>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</si>
  <si>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</si>
  <si>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</si>
  <si>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</si>
  <si>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</si>
  <si>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</si>
  <si>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</si>
  <si>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</si>
  <si>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</si>
  <si>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</si>
  <si>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</si>
  <si>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</si>
  <si>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</si>
  <si>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</si>
  <si>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</si>
  <si>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</si>
  <si>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</si>
  <si>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</si>
  <si>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</si>
  <si>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</si>
  <si>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</si>
  <si>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</si>
  <si>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</si>
  <si>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</si>
  <si>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</si>
  <si>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</si>
  <si>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</si>
  <si>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</si>
  <si>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</si>
  <si>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</si>
  <si>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</si>
  <si>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</si>
  <si>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</si>
  <si>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</si>
  <si>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</si>
  <si>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</si>
  <si>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</si>
  <si>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</si>
  <si>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</si>
  <si>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</si>
  <si>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</si>
  <si>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</si>
  <si>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</si>
  <si>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</si>
  <si>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</si>
  <si>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</si>
  <si>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</si>
  <si>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</si>
  <si>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</si>
  <si>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</si>
  <si>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</si>
  <si>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</si>
  <si>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</si>
  <si>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</si>
  <si>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</si>
  <si>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</si>
  <si>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</si>
  <si>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</si>
  <si>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</si>
  <si>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</si>
  <si>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</si>
  <si>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</si>
  <si>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</si>
  <si>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</si>
  <si>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</si>
  <si>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</si>
  <si>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</si>
  <si>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</si>
  <si>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</si>
  <si>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</si>
  <si>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</si>
  <si>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</si>
  <si>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</si>
  <si>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</si>
  <si>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</si>
  <si>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</si>
  <si>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</si>
  <si>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</si>
  <si>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</si>
  <si>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</si>
  <si>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</si>
  <si>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</si>
  <si>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</si>
  <si>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</si>
  <si>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</si>
  <si>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</si>
  <si>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</si>
  <si>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</si>
  <si>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</si>
  <si>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</si>
  <si>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</si>
  <si>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</si>
  <si>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</si>
  <si>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</si>
  <si>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</si>
  <si>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</si>
  <si>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</si>
  <si>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</si>
  <si>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</si>
  <si>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</si>
  <si>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</si>
  <si>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</si>
  <si>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</si>
  <si>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</si>
  <si>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</si>
  <si>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</si>
  <si>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</si>
  <si>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</si>
  <si>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</si>
  <si>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</si>
  <si>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</si>
  <si>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</si>
  <si>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</si>
  <si>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</si>
  <si>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</si>
  <si>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</si>
  <si>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</si>
  <si>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</si>
  <si>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</si>
  <si>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</si>
  <si>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</si>
  <si>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</si>
  <si>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</si>
  <si>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</si>
  <si>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</si>
  <si>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</si>
  <si>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</si>
  <si>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</si>
  <si>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</si>
  <si>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</si>
  <si>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</si>
  <si>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</si>
  <si>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</si>
  <si>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</si>
  <si>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</si>
  <si>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</si>
  <si>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</si>
  <si>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</si>
  <si>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</si>
  <si>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</si>
  <si>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</si>
  <si>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</si>
  <si>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</si>
  <si>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</si>
  <si>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</si>
  <si>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</si>
  <si>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</si>
  <si>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</si>
  <si>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</si>
  <si>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</si>
  <si>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</si>
  <si>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</si>
  <si>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</si>
  <si>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</si>
  <si>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</si>
  <si>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</si>
  <si>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</si>
  <si>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</si>
  <si>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</si>
  <si>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</si>
  <si>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</si>
  <si>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</si>
  <si>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</si>
  <si>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</si>
  <si>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</si>
  <si>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</si>
  <si>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</si>
  <si>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</si>
  <si>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</si>
  <si>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</si>
  <si>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</si>
  <si>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</si>
  <si>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</si>
  <si>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</si>
  <si>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</si>
  <si>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</si>
  <si>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</si>
  <si>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</si>
  <si>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</si>
  <si>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</si>
  <si>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</si>
  <si>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</si>
  <si>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</si>
  <si>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</si>
  <si>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</si>
  <si>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</si>
  <si>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</si>
  <si>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</si>
  <si>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</si>
  <si>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</si>
  <si>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</si>
  <si>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</si>
  <si>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</si>
  <si>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</si>
  <si>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</si>
  <si>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</si>
  <si>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</si>
  <si>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</si>
  <si>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</si>
  <si>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</si>
  <si>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</si>
  <si>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</si>
  <si>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</si>
  <si>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</si>
  <si>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</si>
  <si>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</si>
  <si>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</si>
  <si>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</si>
  <si>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</si>
  <si>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</si>
  <si>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</si>
  <si>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</si>
  <si>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</si>
  <si>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</si>
  <si>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</si>
  <si>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</si>
  <si>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</si>
  <si>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</si>
  <si>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</si>
  <si>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</si>
  <si>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</si>
  <si>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</si>
  <si>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</si>
  <si>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</si>
  <si>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</si>
  <si>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</si>
  <si>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</si>
  <si>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</si>
  <si>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</si>
  <si>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</si>
  <si>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</si>
  <si>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</si>
  <si>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</si>
  <si>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</si>
  <si>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</si>
  <si>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</si>
  <si>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</si>
  <si>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</si>
  <si>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</si>
  <si>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</si>
  <si>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</si>
  <si>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</si>
  <si>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</si>
  <si>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</si>
  <si>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</si>
  <si>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</si>
  <si>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</si>
  <si>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</si>
  <si>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</si>
  <si>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</si>
  <si>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</si>
  <si>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</si>
  <si>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</si>
  <si>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</si>
  <si>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</si>
  <si>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</si>
  <si>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</si>
  <si>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</si>
  <si>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</si>
  <si>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</si>
  <si>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</si>
  <si>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</si>
  <si>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</si>
  <si>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</si>
  <si>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</si>
  <si>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</si>
  <si>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</si>
  <si>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</si>
  <si>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</si>
  <si>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</si>
  <si>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</si>
  <si>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</si>
  <si>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</si>
  <si>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</si>
  <si>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</si>
  <si>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</si>
  <si>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</si>
  <si>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</si>
  <si>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</si>
  <si>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</si>
  <si>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</si>
  <si>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</si>
  <si>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</si>
  <si>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</si>
  <si>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</si>
  <si>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</si>
  <si>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</si>
  <si>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</si>
  <si>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</si>
  <si>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</si>
  <si>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</si>
  <si>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</si>
  <si>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</si>
  <si>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</si>
  <si>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</si>
  <si>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</si>
  <si>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</si>
  <si>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</si>
  <si>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</si>
  <si>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</si>
  <si>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</si>
  <si>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</si>
  <si>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</si>
  <si>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</si>
  <si>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</si>
  <si>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</si>
  <si>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</si>
  <si>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</si>
  <si>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</si>
  <si>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</si>
  <si>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</si>
  <si>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</si>
  <si>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</si>
  <si>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</si>
  <si>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</si>
  <si>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</si>
  <si>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</si>
  <si>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</si>
  <si>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</si>
  <si>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</si>
  <si>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</si>
  <si>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</si>
  <si>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</si>
  <si>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</si>
  <si>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</si>
  <si>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</si>
  <si>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</si>
  <si>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</si>
  <si>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</si>
  <si>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</si>
  <si>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</si>
  <si>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</si>
  <si>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</si>
  <si>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</si>
  <si>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</si>
  <si>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</si>
  <si>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</si>
  <si>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</si>
  <si>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</si>
  <si>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</si>
  <si>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</si>
  <si>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</si>
  <si>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</si>
  <si>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</si>
  <si>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</si>
  <si>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</si>
  <si>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</si>
  <si>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</si>
  <si>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</si>
  <si>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</si>
  <si>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</si>
  <si>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</si>
  <si>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</si>
  <si>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</si>
  <si>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</si>
  <si>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</si>
  <si>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</si>
  <si>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</si>
  <si>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</si>
  <si>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</si>
  <si>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</si>
  <si>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</si>
  <si>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</si>
  <si>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</si>
  <si>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</si>
  <si>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</si>
  <si>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</si>
  <si>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</si>
  <si>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</si>
  <si>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</si>
  <si>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</si>
  <si>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</si>
  <si>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</si>
  <si>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</si>
  <si>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</si>
  <si>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</si>
  <si>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</si>
  <si>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</si>
  <si>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</si>
  <si>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</si>
  <si>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</si>
  <si>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</si>
  <si>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</si>
  <si>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</si>
  <si>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</si>
  <si>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</si>
  <si>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</si>
  <si>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</si>
  <si>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</si>
  <si>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</si>
  <si>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</si>
  <si>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</si>
  <si>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</si>
  <si>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</si>
  <si>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</si>
  <si>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</si>
  <si>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</si>
  <si>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</si>
  <si>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</si>
  <si>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</si>
  <si>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</si>
  <si>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</si>
  <si>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</si>
  <si>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</si>
  <si>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</si>
  <si>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</si>
  <si>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</si>
  <si>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</si>
  <si>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</si>
  <si>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</si>
  <si>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</si>
  <si>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</si>
  <si>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</si>
  <si>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</si>
  <si>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</si>
  <si>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</si>
  <si>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</si>
  <si>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</si>
  <si>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</si>
  <si>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</si>
  <si>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</si>
  <si>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</si>
  <si>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</si>
  <si>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</si>
  <si>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</si>
  <si>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</si>
  <si>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</si>
  <si>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</si>
  <si>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</si>
  <si>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</si>
  <si>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</si>
  <si>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</si>
  <si>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</si>
  <si>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</si>
  <si>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</si>
  <si>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</si>
  <si>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</si>
  <si>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</si>
  <si>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</si>
  <si>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</si>
  <si>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</si>
  <si>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</si>
  <si>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</si>
  <si>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</si>
  <si>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</si>
  <si>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</si>
  <si>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</si>
  <si>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</si>
  <si>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</si>
  <si>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</si>
  <si>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</si>
  <si>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</si>
  <si>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</si>
  <si>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</si>
  <si>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</si>
  <si>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</si>
  <si>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</si>
  <si>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</si>
  <si>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</si>
  <si>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</si>
  <si>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</si>
  <si>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</si>
  <si>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</si>
  <si>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</si>
  <si>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</si>
  <si>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</si>
  <si>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</si>
  <si>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</si>
  <si>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</si>
  <si>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</si>
  <si>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</si>
  <si>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</si>
  <si>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</si>
  <si>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</si>
  <si>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</si>
  <si>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</si>
  <si>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</si>
  <si>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</si>
  <si>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</si>
  <si>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</si>
  <si>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</si>
  <si>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</si>
  <si>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</si>
  <si>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</si>
  <si>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</si>
  <si>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</si>
  <si>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</si>
  <si>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</si>
  <si>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</si>
  <si>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</si>
  <si>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</si>
  <si>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</si>
  <si>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</si>
  <si>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</si>
  <si>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</si>
  <si>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</si>
  <si>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</si>
  <si>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</si>
  <si>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</si>
  <si>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</si>
  <si>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</si>
  <si>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</si>
  <si>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</si>
  <si>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</si>
  <si>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</si>
  <si>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</si>
  <si>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</si>
  <si>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</si>
  <si>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</si>
  <si>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</si>
  <si>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</si>
  <si>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</si>
  <si>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</si>
  <si>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</si>
  <si>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</si>
  <si>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</si>
  <si>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</si>
  <si>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</si>
  <si>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</si>
  <si>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</si>
  <si>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</si>
  <si>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</si>
  <si>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</si>
  <si>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</si>
  <si>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</si>
  <si>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</si>
  <si>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</si>
  <si>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</si>
  <si>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</si>
  <si>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</si>
  <si>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</si>
  <si>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</si>
  <si>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</si>
  <si>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</si>
  <si>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</si>
  <si>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</si>
  <si>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</si>
  <si>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</si>
  <si>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</si>
  <si>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</si>
  <si>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</si>
  <si>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</si>
  <si>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</si>
  <si>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</si>
  <si>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</si>
  <si>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</si>
  <si>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</si>
  <si>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</si>
  <si>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</si>
  <si>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</si>
  <si>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</si>
  <si>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</si>
  <si>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</si>
  <si>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</si>
  <si>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</si>
  <si>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</si>
  <si>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</si>
  <si>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</si>
  <si>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</si>
  <si>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</si>
  <si>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</si>
  <si>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</si>
  <si>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</si>
  <si>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</si>
  <si>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</si>
  <si>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</si>
  <si>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</si>
  <si>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</si>
  <si>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</si>
  <si>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</si>
  <si>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</si>
  <si>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</si>
  <si>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</si>
  <si>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</si>
  <si>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</si>
  <si>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</si>
  <si>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</si>
  <si>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</si>
  <si>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</si>
  <si>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</si>
  <si>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</si>
  <si>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</si>
  <si>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</si>
  <si>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</si>
  <si>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</si>
  <si>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</si>
  <si>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</si>
  <si>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</si>
  <si>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</si>
  <si>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</si>
  <si>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</si>
  <si>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</si>
  <si>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</si>
  <si>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</si>
  <si>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</si>
  <si>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</si>
  <si>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</si>
  <si>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</si>
  <si>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</si>
  <si>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</si>
  <si>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</si>
  <si>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</si>
  <si>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</si>
  <si>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</si>
  <si>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</si>
  <si>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</si>
  <si>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</si>
  <si>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</si>
  <si>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</si>
  <si>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</si>
  <si>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</si>
  <si>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</si>
  <si>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</si>
  <si>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</si>
  <si>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</si>
  <si>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</si>
  <si>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</si>
  <si>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</si>
  <si>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</si>
  <si>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</si>
  <si>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</si>
  <si>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</si>
  <si>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</si>
  <si>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</si>
  <si>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</si>
  <si>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</si>
  <si>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</si>
  <si>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</si>
  <si>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</si>
  <si>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</si>
  <si>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</si>
  <si>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</si>
  <si>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</si>
  <si>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</si>
  <si>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</si>
  <si>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</si>
  <si>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</si>
  <si>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</si>
  <si>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</si>
  <si>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</si>
  <si>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</si>
  <si>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</si>
  <si>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</si>
  <si>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</si>
  <si>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</si>
  <si>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</si>
  <si>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</si>
  <si>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</si>
  <si>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</si>
  <si>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</si>
  <si>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</si>
  <si>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</si>
  <si>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</si>
  <si>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</si>
  <si>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</si>
  <si>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</si>
  <si>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</si>
  <si>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</si>
  <si>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</si>
  <si>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</si>
  <si>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</si>
  <si>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</si>
  <si>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</si>
  <si>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</si>
  <si>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</si>
  <si>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</si>
  <si>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</si>
  <si>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</si>
  <si>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</si>
  <si>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</si>
  <si>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</si>
  <si>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</si>
  <si>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</si>
  <si>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</si>
  <si>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</si>
  <si>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</si>
  <si>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</si>
  <si>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</si>
  <si>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</si>
  <si>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</si>
  <si>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</si>
  <si>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</si>
  <si>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</si>
  <si>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</si>
  <si>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</si>
  <si>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</si>
  <si>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</si>
  <si>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</si>
  <si>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</si>
  <si>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</si>
  <si>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</si>
  <si>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</si>
  <si>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</si>
  <si>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</si>
  <si>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</si>
  <si>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</si>
  <si>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</si>
  <si>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</si>
  <si>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</si>
  <si>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</si>
  <si>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</si>
  <si>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</si>
  <si>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</si>
  <si>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</si>
  <si>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</si>
  <si>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</si>
  <si>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</si>
  <si>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</si>
  <si>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</si>
  <si>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</si>
  <si>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</si>
  <si>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</si>
  <si>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</si>
  <si>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</si>
  <si>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</si>
  <si>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</si>
  <si>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</si>
  <si>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</si>
  <si>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</si>
  <si>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</si>
  <si>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</si>
  <si>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</si>
  <si>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</si>
  <si>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</si>
  <si>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</si>
  <si>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</si>
  <si>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</si>
  <si>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</si>
  <si>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</si>
  <si>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</si>
  <si>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</si>
  <si>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</si>
  <si>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</si>
  <si>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</si>
  <si>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</si>
  <si>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</si>
  <si>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</si>
  <si>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</si>
  <si>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</si>
  <si>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</si>
  <si>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</si>
  <si>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</si>
  <si>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</si>
  <si>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</si>
  <si>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</si>
  <si>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</si>
  <si>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</si>
  <si>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</si>
  <si>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</si>
  <si>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</si>
  <si>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</si>
  <si>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</si>
  <si>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</si>
  <si>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</si>
  <si>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</si>
  <si>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</si>
  <si>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</si>
  <si>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</si>
  <si>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</si>
  <si>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</si>
  <si>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</si>
  <si>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</si>
  <si>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</si>
  <si>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</si>
  <si>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</si>
  <si>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</si>
  <si>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</si>
  <si>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</si>
  <si>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</si>
  <si>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</si>
  <si>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</si>
  <si>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</si>
  <si>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</si>
  <si>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</si>
  <si>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</si>
  <si>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</si>
  <si>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</si>
  <si>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</si>
  <si>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</si>
  <si>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</si>
  <si>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</si>
  <si>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</si>
  <si>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</si>
  <si>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</si>
  <si>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</si>
  <si>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</si>
  <si>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</si>
  <si>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</si>
  <si>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</si>
  <si>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</si>
  <si>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</si>
  <si>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</si>
  <si>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</si>
  <si>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</si>
  <si>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</si>
  <si>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</si>
  <si>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</si>
  <si>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</si>
  <si>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</si>
  <si>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</si>
  <si>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</si>
  <si>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</si>
  <si>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</si>
  <si>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</si>
  <si>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</si>
  <si>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</si>
  <si>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</si>
  <si>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</si>
  <si>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</si>
  <si>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</si>
  <si>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</si>
  <si>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</si>
  <si>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</si>
  <si>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</si>
  <si>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</si>
  <si>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</si>
  <si>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</si>
  <si>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</si>
  <si>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</si>
  <si>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</si>
  <si>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</si>
  <si>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</si>
  <si>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</si>
  <si>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</si>
  <si>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</si>
  <si>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</si>
  <si>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</si>
  <si>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</si>
  <si>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</si>
  <si>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</si>
  <si>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</si>
  <si>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</si>
  <si>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</si>
  <si>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</si>
  <si>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</si>
  <si>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</si>
  <si>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</si>
  <si>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</si>
  <si>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</si>
  <si>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</si>
  <si>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</si>
  <si>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</si>
  <si>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</si>
  <si>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</si>
  <si>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</si>
  <si>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</si>
  <si>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</si>
  <si>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</si>
  <si>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</si>
  <si>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</si>
  <si>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</si>
  <si>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</si>
  <si>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</si>
  <si>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</si>
  <si>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</si>
  <si>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</si>
  <si>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</si>
  <si>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</si>
  <si>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</si>
  <si>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</si>
  <si>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</si>
  <si>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</si>
  <si>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</si>
  <si>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</si>
  <si>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</si>
  <si>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</si>
  <si>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</si>
  <si>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</si>
  <si>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</si>
  <si>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</si>
  <si>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</si>
  <si>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</si>
  <si>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</si>
  <si>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</si>
  <si>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</si>
  <si>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</si>
  <si>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</si>
  <si>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</si>
  <si>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</si>
  <si>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</si>
  <si>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</si>
  <si>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</si>
  <si>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</si>
  <si>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</si>
  <si>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</si>
  <si>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</si>
  <si>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</si>
  <si>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</si>
  <si>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</si>
  <si>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</si>
  <si>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</si>
  <si>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</si>
  <si>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</si>
  <si>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</si>
  <si>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</si>
  <si>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</si>
  <si>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</si>
  <si>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</si>
  <si>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</si>
  <si>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</si>
  <si>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</si>
  <si>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</si>
  <si>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</si>
  <si>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</si>
  <si>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</si>
  <si>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</si>
  <si>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</si>
  <si>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</si>
  <si>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</si>
  <si>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</si>
  <si>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</si>
  <si>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</si>
  <si>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</si>
  <si>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</si>
  <si>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</si>
  <si>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</si>
  <si>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</si>
  <si>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</si>
  <si>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</si>
  <si>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</si>
  <si>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</si>
  <si>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</si>
  <si>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</si>
  <si>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</si>
  <si>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</si>
  <si>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</si>
  <si>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</si>
  <si>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</si>
  <si>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</si>
  <si>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</si>
  <si>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</si>
  <si>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</si>
  <si>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</si>
  <si>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</si>
  <si>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</si>
  <si>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</si>
  <si>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</si>
  <si>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</si>
  <si>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</si>
  <si>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</si>
  <si>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</si>
  <si>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</si>
  <si>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</si>
  <si>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</si>
  <si>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</si>
  <si>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</si>
  <si>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</si>
  <si>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</si>
  <si>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</si>
  <si>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</si>
  <si>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</si>
  <si>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</si>
  <si>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</si>
  <si>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</si>
  <si>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</si>
  <si>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</si>
  <si>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</si>
  <si>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</si>
  <si>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</si>
  <si>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</si>
  <si>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</si>
  <si>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</si>
  <si>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</si>
  <si>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</si>
  <si>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</si>
  <si>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</si>
  <si>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</si>
  <si>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</si>
  <si>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</si>
  <si>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</si>
  <si>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</si>
  <si>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</si>
  <si>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</si>
  <si>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</si>
  <si>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</si>
  <si>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</si>
  <si>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</si>
  <si>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</si>
  <si>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</si>
  <si>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</si>
  <si>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</si>
  <si>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</si>
  <si>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</si>
  <si>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</si>
  <si>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</si>
  <si>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</si>
  <si>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</si>
  <si>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</si>
  <si>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</si>
  <si>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</si>
  <si>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</si>
  <si>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</si>
  <si>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</si>
  <si>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</si>
  <si>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</si>
  <si>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</si>
  <si>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</si>
  <si>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</si>
  <si>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</si>
  <si>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</si>
  <si>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</si>
  <si>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</si>
  <si>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</si>
  <si>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</si>
  <si>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</si>
  <si>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</si>
  <si>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</si>
  <si>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</si>
  <si>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</si>
  <si>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</si>
  <si>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</si>
  <si>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</si>
  <si>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</si>
  <si>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</si>
  <si>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</si>
  <si>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</si>
  <si>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</si>
  <si>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</si>
  <si>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</si>
  <si>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</si>
  <si>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</si>
  <si>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</si>
  <si>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</si>
  <si>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</si>
  <si>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</si>
  <si>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</si>
  <si>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</si>
  <si>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</si>
  <si>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</si>
  <si>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</si>
  <si>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</si>
  <si>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</si>
  <si>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</si>
  <si>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</si>
  <si>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</si>
  <si>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</si>
  <si>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</si>
  <si>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</si>
  <si>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</si>
  <si>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</si>
  <si>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</si>
  <si>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</si>
  <si>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</si>
  <si>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</si>
  <si>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</si>
  <si>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</si>
  <si>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</si>
  <si>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</si>
  <si>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</si>
  <si>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</si>
  <si>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</si>
  <si>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</si>
  <si>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</si>
  <si>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</si>
  <si>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</si>
  <si>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</si>
  <si>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</si>
  <si>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</si>
  <si>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</si>
  <si>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</si>
  <si>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</si>
  <si>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</si>
  <si>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</si>
  <si>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</si>
  <si>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</si>
  <si>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</si>
  <si>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</si>
  <si>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</si>
  <si>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</si>
  <si>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</si>
  <si>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</si>
  <si>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</si>
  <si>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</si>
  <si>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</si>
  <si>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</si>
  <si>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</si>
  <si>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</si>
  <si>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</si>
  <si>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</si>
  <si>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</si>
  <si>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</si>
  <si>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</si>
  <si>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</si>
  <si>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</si>
  <si>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</si>
  <si>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</si>
  <si>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</si>
  <si>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</si>
  <si>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</si>
  <si>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</si>
  <si>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</si>
  <si>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</si>
  <si>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</si>
  <si>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</si>
  <si>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</si>
  <si>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</si>
  <si>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</si>
  <si>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</si>
  <si>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</si>
  <si>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</si>
  <si>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</si>
  <si>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</si>
  <si>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</si>
  <si>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</si>
  <si>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</si>
  <si>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</si>
  <si>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</si>
  <si>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</si>
  <si>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</si>
  <si>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</si>
  <si>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</si>
  <si>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</si>
  <si>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</si>
  <si>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</si>
  <si>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</si>
  <si>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</si>
  <si>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</si>
  <si>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</si>
  <si>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</si>
  <si>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</si>
  <si>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</si>
  <si>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</si>
  <si>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</si>
  <si>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</si>
  <si>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</si>
  <si>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</si>
  <si>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</si>
  <si>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</si>
  <si>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</si>
  <si>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</si>
  <si>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</si>
  <si>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</si>
  <si>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</si>
  <si>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</si>
  <si>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</si>
  <si>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</si>
  <si>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</si>
  <si>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</si>
  <si>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</si>
  <si>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</si>
  <si>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</si>
  <si>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</si>
  <si>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</si>
  <si>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</si>
  <si>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</si>
  <si>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</si>
  <si>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</si>
  <si>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</si>
  <si>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</si>
  <si>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</si>
  <si>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</si>
  <si>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</si>
  <si>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</si>
  <si>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</si>
  <si>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</si>
  <si>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</si>
  <si>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</si>
  <si>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</si>
  <si>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</si>
  <si>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</si>
  <si>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</si>
  <si>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</si>
  <si>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</si>
  <si>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</si>
  <si>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</si>
  <si>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</si>
  <si>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</si>
  <si>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</si>
  <si>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</si>
  <si>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</si>
  <si>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</si>
  <si>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</si>
  <si>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</si>
  <si>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</si>
  <si>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</si>
  <si>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</si>
  <si>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</si>
  <si>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</si>
  <si>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</si>
  <si>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</si>
  <si>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</si>
  <si>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</si>
  <si>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</si>
  <si>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</si>
  <si>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</si>
  <si>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</si>
  <si>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</si>
  <si>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</si>
  <si>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</si>
  <si>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</si>
  <si>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</si>
  <si>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</si>
  <si>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</si>
  <si>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</si>
  <si>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</si>
  <si>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</si>
  <si>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</si>
  <si>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</si>
  <si>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</si>
  <si>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</si>
  <si>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</si>
  <si>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</si>
  <si>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</si>
  <si>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</si>
  <si>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</si>
  <si>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</si>
  <si>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</si>
  <si>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</si>
  <si>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</si>
  <si>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</si>
  <si>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</si>
  <si>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</si>
  <si>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</si>
  <si>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</si>
  <si>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</si>
  <si>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</si>
  <si>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</si>
  <si>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</si>
  <si>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</si>
  <si>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</si>
  <si>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</si>
  <si>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</si>
  <si>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</si>
  <si>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</si>
  <si>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</si>
  <si>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</si>
  <si>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</si>
  <si>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</si>
  <si>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</si>
  <si>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</si>
  <si>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</si>
  <si>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</si>
  <si>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</si>
  <si>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</si>
  <si>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</si>
  <si>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</si>
  <si>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</si>
  <si>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</si>
  <si>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</si>
  <si>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</si>
  <si>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</si>
  <si>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</si>
  <si>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</si>
  <si>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</si>
  <si>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</si>
  <si>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</si>
  <si>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</si>
  <si>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</si>
  <si>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</si>
  <si>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</si>
  <si>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</si>
  <si>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</si>
  <si>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</si>
  <si>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</si>
  <si>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</si>
  <si>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</si>
  <si>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</si>
  <si>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</si>
  <si>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</si>
  <si>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</si>
  <si>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</si>
  <si>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</si>
  <si>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</si>
  <si>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</si>
  <si>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</si>
  <si>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</si>
  <si>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</si>
  <si>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</si>
  <si>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</si>
  <si>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</si>
  <si>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</si>
  <si>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</si>
  <si>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</si>
  <si>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</si>
  <si>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</si>
  <si>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</si>
  <si>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</si>
  <si>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</si>
  <si>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</si>
  <si>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</si>
  <si>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</si>
  <si>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</si>
  <si>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</si>
  <si>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</si>
  <si>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</si>
  <si>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</si>
  <si>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</si>
  <si>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</si>
  <si>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</si>
  <si>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</si>
  <si>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</si>
  <si>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</si>
  <si>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</si>
  <si>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</si>
  <si>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</si>
  <si>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</si>
  <si>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</si>
  <si>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</si>
  <si>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</si>
  <si>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</si>
  <si>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</si>
  <si>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</si>
  <si>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</si>
  <si>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</si>
  <si>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</si>
  <si>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</si>
  <si>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</si>
  <si>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</si>
  <si>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</si>
  <si>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</si>
  <si>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</si>
  <si>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</si>
  <si>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</si>
  <si>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</si>
  <si>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</si>
  <si>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</si>
  <si>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</si>
  <si>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</si>
  <si>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</si>
  <si>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</si>
  <si>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</si>
  <si>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</si>
  <si>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</si>
  <si>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</si>
  <si>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</si>
  <si>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</si>
  <si>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</si>
  <si>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</si>
  <si>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</si>
  <si>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</si>
  <si>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</si>
  <si>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</si>
  <si>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</si>
  <si>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</si>
  <si>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</si>
  <si>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</si>
  <si>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</si>
  <si>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</si>
  <si>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</si>
  <si>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</si>
  <si>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</si>
  <si>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</si>
  <si>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</si>
  <si>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</si>
  <si>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</si>
  <si>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</si>
  <si>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</si>
  <si>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</si>
  <si>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</si>
  <si>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</si>
  <si>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</si>
  <si>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</si>
  <si>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</si>
  <si>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</si>
  <si>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</si>
  <si>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</si>
  <si>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</si>
  <si>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</si>
  <si>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</si>
  <si>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</si>
  <si>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</si>
  <si>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</si>
  <si>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</si>
  <si>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</si>
  <si>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</si>
  <si>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</si>
  <si>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</si>
  <si>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</si>
  <si>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</si>
  <si>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</si>
  <si>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</si>
  <si>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</si>
  <si>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</si>
  <si>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</si>
  <si>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</si>
  <si>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</si>
  <si>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</si>
  <si>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</si>
  <si>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</si>
  <si>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</si>
  <si>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</si>
  <si>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</si>
  <si>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</si>
  <si>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</si>
  <si>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</si>
  <si>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</si>
  <si>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</si>
  <si>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</si>
  <si>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</si>
  <si>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</si>
  <si>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</si>
  <si>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</si>
  <si>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</si>
  <si>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</si>
  <si>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</si>
  <si>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</si>
  <si>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</si>
  <si>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</si>
  <si>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</si>
  <si>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</si>
  <si>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</si>
  <si>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</si>
  <si>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</si>
  <si>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</si>
  <si>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</si>
  <si>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</si>
  <si>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</si>
  <si>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</si>
  <si>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</si>
  <si>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</si>
  <si>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</si>
  <si>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</si>
  <si>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</si>
  <si>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</si>
  <si>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</si>
  <si>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</si>
  <si>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</si>
  <si>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</si>
  <si>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</si>
  <si>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</si>
  <si>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</si>
  <si>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</si>
  <si>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</si>
  <si>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</si>
  <si>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</si>
  <si>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</si>
  <si>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</si>
  <si>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</si>
  <si>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</si>
  <si>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</si>
  <si>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</si>
  <si>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</si>
  <si>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</si>
  <si>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</si>
  <si>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</si>
  <si>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</si>
  <si>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</si>
  <si>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</si>
  <si>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</si>
  <si>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</si>
  <si>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</si>
  <si>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</si>
  <si>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</si>
  <si>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</si>
  <si>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</si>
  <si>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</si>
  <si>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</si>
  <si>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</si>
  <si>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</si>
  <si>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</si>
  <si>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</si>
  <si>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</si>
  <si>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</si>
  <si>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</si>
  <si>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</si>
  <si>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</si>
  <si>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</si>
  <si>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</si>
  <si>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</si>
  <si>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</si>
  <si>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</si>
  <si>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</si>
  <si>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</si>
  <si>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</si>
  <si>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</si>
  <si>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</si>
  <si>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</si>
  <si>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</si>
  <si>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</si>
  <si>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</si>
  <si>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</si>
  <si>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</si>
  <si>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</si>
  <si>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</si>
  <si>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</si>
  <si>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</si>
  <si>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</si>
  <si>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</si>
  <si>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</si>
  <si>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</si>
  <si>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</si>
  <si>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</si>
  <si>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</si>
  <si>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</si>
  <si>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</si>
  <si>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</si>
  <si>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</si>
  <si>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</si>
  <si>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</si>
  <si>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</si>
  <si>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</si>
  <si>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</si>
  <si>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</si>
  <si>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</si>
  <si>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</si>
  <si>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</si>
  <si>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</si>
  <si>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</si>
  <si>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</si>
  <si>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</si>
  <si>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</si>
  <si>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</si>
  <si>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</si>
  <si>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</si>
  <si>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</si>
  <si>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</si>
  <si>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</si>
  <si>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</si>
  <si>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</si>
  <si>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</si>
  <si>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</si>
  <si>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</si>
  <si>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</si>
  <si>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</si>
  <si>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</si>
  <si>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</si>
  <si>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</si>
  <si>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</si>
  <si>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</si>
  <si>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</si>
  <si>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</si>
  <si>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</si>
  <si>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</si>
  <si>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</si>
  <si>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</si>
  <si>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</si>
  <si>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</si>
  <si>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</si>
  <si>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</si>
  <si>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</si>
  <si>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</si>
  <si>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</si>
  <si>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</si>
  <si>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</si>
  <si>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</si>
  <si>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</si>
  <si>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</si>
  <si>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</si>
  <si>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</si>
  <si>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</si>
  <si>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</si>
  <si>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</si>
  <si>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</si>
  <si>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</si>
  <si>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</si>
  <si>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</si>
  <si>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</si>
  <si>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</si>
  <si>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</si>
  <si>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</si>
  <si>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</si>
  <si>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</si>
  <si>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</si>
  <si>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</si>
  <si>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</si>
  <si>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</si>
  <si>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</si>
  <si>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</si>
  <si>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</si>
  <si>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</si>
  <si>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</si>
  <si>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</si>
  <si>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</si>
  <si>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</si>
  <si>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</si>
  <si>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</si>
  <si>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</si>
  <si>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</si>
  <si>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</si>
  <si>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</si>
  <si>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</si>
  <si>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</si>
  <si>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</si>
  <si>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</si>
  <si>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</si>
  <si>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</si>
  <si>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</si>
  <si>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</si>
  <si>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</si>
  <si>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</si>
  <si>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</si>
  <si>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</si>
  <si>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</si>
  <si>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</si>
  <si>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</si>
  <si>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</si>
  <si>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</si>
  <si>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</si>
  <si>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</si>
  <si>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</si>
  <si>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</si>
  <si>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</si>
  <si>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</si>
  <si>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</si>
  <si>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</si>
  <si>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</si>
  <si>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</si>
  <si>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</si>
  <si>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</si>
  <si>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</si>
  <si>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</si>
  <si>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</si>
  <si>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</si>
  <si>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</si>
  <si>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</si>
  <si>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</si>
  <si>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</si>
  <si>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</si>
  <si>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</si>
  <si>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</si>
  <si>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</si>
  <si>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</si>
  <si>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</si>
  <si>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</si>
  <si>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</si>
  <si>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</si>
  <si>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</si>
  <si>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</si>
  <si>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</si>
  <si>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</si>
  <si>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</si>
  <si>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</si>
  <si>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</si>
  <si>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</si>
  <si>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</si>
  <si>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</si>
  <si>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</si>
  <si>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</si>
  <si>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</si>
  <si>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</si>
  <si>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</si>
  <si>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</si>
  <si>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</si>
  <si>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</si>
  <si>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</si>
  <si>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</si>
  <si>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</si>
  <si>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</si>
  <si>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</si>
  <si>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</si>
  <si>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</si>
  <si>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</si>
  <si>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</si>
  <si>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</si>
  <si>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</si>
  <si>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</si>
  <si>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</si>
  <si>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</si>
  <si>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</si>
  <si>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</si>
  <si>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</si>
  <si>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</si>
  <si>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</si>
  <si>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</si>
  <si>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</si>
  <si>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</si>
  <si>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</si>
  <si>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</si>
  <si>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</si>
  <si>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</si>
  <si>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</si>
  <si>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</si>
  <si>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</si>
  <si>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</si>
  <si>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</si>
  <si>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</si>
  <si>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</si>
  <si>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</si>
  <si>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</si>
  <si>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</si>
  <si>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</si>
  <si>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</si>
  <si>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</si>
  <si>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</si>
  <si>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</si>
  <si>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</si>
  <si>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</si>
  <si>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</si>
  <si>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</si>
  <si>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</si>
  <si>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</si>
  <si>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</si>
  <si>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</si>
  <si>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</si>
  <si>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</si>
  <si>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</si>
  <si>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</si>
  <si>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</si>
  <si>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</si>
  <si>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</si>
  <si>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</si>
  <si>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</si>
  <si>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</si>
  <si>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</si>
  <si>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</si>
  <si>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</si>
  <si>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</si>
  <si>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</si>
  <si>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</si>
  <si>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</si>
  <si>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</si>
  <si>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</si>
  <si>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</si>
  <si>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</si>
  <si>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</si>
  <si>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</si>
  <si>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</si>
  <si>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</si>
  <si>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</si>
  <si>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</si>
  <si>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</si>
  <si>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</si>
  <si>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</si>
  <si>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</si>
  <si>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</si>
  <si>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</si>
  <si>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</si>
  <si>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</si>
  <si>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</si>
  <si>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</si>
  <si>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</si>
  <si>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</si>
  <si>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</si>
  <si>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</si>
  <si>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</si>
  <si>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</si>
  <si>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</si>
  <si>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</si>
  <si>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</si>
  <si>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</si>
  <si>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</si>
  <si>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</si>
  <si>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</si>
  <si>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</si>
  <si>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</si>
  <si>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</si>
  <si>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</si>
  <si>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</si>
  <si>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</si>
  <si>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</si>
  <si>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</si>
  <si>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</si>
  <si>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</si>
  <si>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</si>
  <si>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</si>
  <si>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</si>
  <si>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</si>
  <si>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</si>
  <si>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</si>
  <si>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</si>
  <si>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</si>
  <si>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</si>
  <si>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</si>
  <si>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</si>
  <si>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</si>
  <si>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</si>
  <si>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</si>
  <si>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</si>
  <si>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</si>
  <si>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</si>
  <si>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</si>
  <si>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</si>
  <si>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</si>
  <si>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</si>
  <si>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</si>
  <si>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</si>
  <si>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</si>
  <si>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</si>
  <si>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</si>
  <si>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</si>
  <si>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</si>
  <si>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</si>
  <si>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</si>
  <si>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</si>
  <si>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</si>
  <si>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</si>
  <si>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</si>
  <si>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</si>
  <si>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</si>
  <si>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</si>
  <si>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</si>
  <si>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</si>
  <si>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</si>
  <si>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</si>
  <si>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</si>
  <si>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</si>
  <si>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</si>
  <si>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</si>
  <si>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</si>
  <si>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</si>
  <si>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</si>
  <si>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</si>
  <si>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</si>
  <si>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</si>
  <si>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</si>
  <si>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</si>
  <si>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</si>
  <si>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</si>
  <si>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</si>
  <si>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</si>
  <si>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</si>
  <si>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</si>
  <si>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</si>
  <si>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</si>
  <si>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</si>
  <si>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</si>
  <si>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</si>
  <si>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</si>
  <si>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</si>
  <si>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</si>
  <si>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</si>
  <si>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</si>
  <si>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</si>
  <si>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</si>
  <si>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</si>
  <si>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</si>
  <si>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</si>
  <si>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</si>
  <si>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</si>
  <si>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</si>
  <si>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</si>
  <si>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</si>
  <si>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</si>
  <si>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</si>
  <si>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</si>
  <si>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</si>
  <si>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</si>
  <si>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</si>
  <si>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</si>
  <si>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</si>
  <si>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</si>
  <si>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</si>
  <si>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</si>
  <si>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</si>
  <si>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</si>
  <si>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</si>
  <si>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</si>
  <si>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</si>
  <si>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</si>
  <si>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</si>
  <si>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</si>
  <si>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</si>
  <si>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</si>
  <si>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</si>
  <si>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</si>
  <si>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</si>
  <si>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</si>
  <si>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</si>
  <si>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</si>
  <si>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</si>
  <si>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</si>
  <si>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</si>
  <si>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</si>
  <si>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</si>
  <si>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</si>
  <si>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</si>
  <si>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</si>
  <si>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</si>
  <si>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</si>
  <si>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</si>
  <si>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</si>
  <si>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</si>
  <si>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</si>
  <si>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</si>
  <si>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</si>
  <si>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</si>
  <si>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</si>
  <si>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</si>
  <si>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</si>
  <si>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</si>
  <si>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</si>
  <si>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</si>
  <si>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</si>
  <si>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</si>
  <si>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</si>
  <si>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</si>
  <si>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</si>
  <si>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</si>
  <si>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</si>
  <si>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</si>
  <si>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</si>
  <si>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</si>
  <si>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</si>
  <si>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</si>
  <si>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</si>
  <si>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</si>
  <si>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</si>
  <si>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</si>
  <si>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</si>
  <si>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</si>
  <si>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</si>
  <si>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</si>
  <si>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</si>
  <si>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</si>
  <si>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</si>
  <si>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</si>
  <si>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</si>
  <si>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</si>
  <si>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</si>
  <si>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</si>
  <si>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</si>
  <si>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</si>
  <si>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</si>
  <si>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</si>
  <si>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</si>
  <si>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</si>
  <si>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</si>
  <si>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</si>
  <si>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</si>
  <si>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</si>
  <si>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</si>
  <si>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</si>
  <si>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</si>
  <si>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</si>
  <si>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</si>
  <si>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</si>
  <si>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</si>
  <si>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</si>
  <si>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</si>
  <si>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</si>
  <si>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</si>
  <si>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</si>
  <si>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</si>
  <si>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</si>
  <si>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</si>
  <si>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</si>
  <si>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</si>
  <si>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</si>
  <si>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</si>
  <si>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</si>
  <si>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</si>
  <si>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</si>
  <si>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</si>
  <si>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</si>
  <si>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</si>
  <si>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</si>
  <si>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</si>
  <si>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</si>
  <si>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</si>
  <si>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</si>
  <si>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</si>
  <si>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</si>
  <si>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</si>
  <si>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</si>
  <si>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</si>
  <si>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</si>
  <si>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</si>
  <si>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</si>
  <si>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</si>
  <si>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</si>
  <si>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</si>
  <si>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</si>
  <si>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</si>
  <si>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</si>
  <si>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</si>
  <si>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</si>
  <si>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</si>
  <si>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</si>
  <si>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</si>
  <si>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</si>
  <si>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</si>
  <si>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</si>
  <si>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</si>
  <si>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</si>
  <si>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</si>
  <si>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</si>
  <si>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</si>
  <si>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</si>
  <si>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</si>
  <si>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</si>
  <si>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</si>
  <si>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</si>
  <si>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</si>
  <si>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</si>
  <si>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</si>
  <si>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</si>
  <si>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</si>
  <si>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</si>
  <si>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</si>
  <si>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</si>
  <si>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</si>
  <si>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</si>
  <si>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</si>
  <si>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</si>
  <si>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</si>
  <si>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</si>
  <si>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</si>
  <si>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</si>
  <si>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</si>
  <si>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</si>
  <si>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</si>
  <si>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</si>
  <si>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</si>
  <si>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</si>
  <si>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</si>
  <si>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</si>
  <si>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</si>
  <si>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</si>
  <si>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</si>
  <si>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</si>
  <si>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</si>
  <si>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</si>
  <si>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</si>
  <si>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</si>
  <si>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</si>
  <si>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</si>
  <si>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</si>
  <si>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</si>
  <si>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</si>
  <si>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</si>
  <si>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</si>
  <si>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</si>
  <si>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</si>
  <si>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</si>
  <si>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</si>
  <si>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</si>
  <si>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</si>
  <si>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</si>
  <si>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</si>
  <si>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</si>
  <si>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</si>
  <si>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</si>
  <si>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</si>
  <si>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</si>
  <si>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</si>
  <si>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</si>
  <si>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</si>
  <si>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</si>
  <si>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</si>
  <si>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</si>
  <si>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</si>
  <si>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</si>
  <si>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</si>
  <si>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</si>
  <si>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</si>
  <si>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</si>
  <si>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</si>
  <si>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</si>
  <si>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</si>
  <si>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</si>
  <si>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</si>
  <si>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</si>
  <si>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</si>
  <si>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</si>
  <si>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</si>
  <si>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</si>
  <si>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</si>
  <si>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</si>
  <si>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</si>
  <si>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</si>
  <si>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</si>
  <si>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</si>
  <si>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</si>
  <si>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</si>
  <si>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</si>
  <si>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</si>
  <si>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</si>
  <si>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</si>
  <si>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</si>
  <si>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</si>
  <si>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</si>
  <si>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</si>
  <si>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</si>
  <si>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</si>
  <si>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</si>
  <si>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</si>
  <si>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</si>
  <si>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</si>
  <si>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</si>
  <si>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</si>
  <si>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</si>
  <si>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</si>
  <si>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</si>
  <si>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</si>
  <si>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</si>
  <si>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</si>
  <si>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</si>
  <si>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</si>
  <si>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</si>
  <si>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</si>
  <si>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</si>
  <si>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</si>
  <si>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</si>
  <si>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</si>
  <si>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</si>
  <si>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</si>
  <si>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</si>
  <si>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</si>
  <si>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</si>
  <si>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</si>
  <si>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</si>
  <si>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</si>
  <si>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</si>
  <si>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</si>
  <si>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</si>
  <si>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</si>
  <si>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</si>
  <si>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</si>
  <si>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</si>
  <si>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</si>
  <si>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</si>
  <si>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</si>
  <si>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</si>
  <si>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</si>
  <si>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</si>
  <si>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</si>
  <si>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</si>
  <si>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</si>
  <si>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</si>
  <si>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</si>
  <si>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</si>
  <si>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</si>
  <si>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</si>
  <si>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</si>
  <si>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</si>
  <si>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</si>
  <si>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</si>
  <si>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</si>
  <si>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</si>
  <si>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</si>
  <si>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</si>
  <si>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</si>
  <si>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</si>
  <si>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</si>
  <si>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</si>
  <si>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</si>
  <si>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</si>
  <si>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</si>
  <si>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</si>
  <si>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</si>
  <si>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</si>
  <si>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</si>
  <si>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</si>
  <si>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</si>
  <si>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</si>
  <si>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</si>
  <si>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</si>
  <si>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</si>
  <si>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</si>
  <si>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</si>
  <si>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</si>
  <si>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</si>
  <si>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</si>
  <si>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</si>
  <si>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</si>
  <si>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</si>
  <si>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</si>
  <si>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</si>
  <si>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</si>
  <si>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</si>
  <si>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</si>
  <si>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</si>
  <si>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</si>
  <si>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</si>
  <si>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</si>
  <si>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</si>
  <si>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</si>
  <si>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</si>
  <si>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</si>
  <si>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</si>
  <si>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</si>
  <si>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</si>
  <si>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</si>
  <si>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</si>
  <si>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</si>
  <si>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</si>
  <si>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</si>
  <si>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</si>
  <si>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</si>
  <si>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</si>
  <si>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</si>
  <si>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</si>
  <si>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</si>
  <si>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</si>
  <si>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</si>
  <si>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</si>
  <si>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</si>
  <si>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</si>
  <si>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</si>
  <si>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</si>
  <si>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</si>
  <si>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</si>
  <si>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</si>
  <si>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</si>
  <si>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</si>
  <si>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</si>
  <si>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</si>
  <si>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</si>
  <si>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</si>
  <si>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</si>
  <si>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</si>
  <si>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</si>
  <si>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</si>
  <si>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</si>
  <si>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</si>
  <si>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</si>
  <si>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</si>
  <si>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</si>
  <si>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</si>
  <si>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</si>
  <si>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</si>
  <si>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</si>
  <si>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</si>
  <si>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</si>
  <si>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</si>
  <si>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</si>
  <si>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</si>
  <si>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</si>
  <si>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</si>
  <si>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</si>
  <si>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</si>
  <si>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</si>
  <si>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</si>
  <si>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</si>
  <si>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</si>
  <si>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</si>
  <si>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</si>
  <si>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</si>
  <si>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</si>
  <si>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</si>
  <si>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</si>
  <si>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</si>
  <si>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</si>
  <si>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</si>
  <si>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</si>
  <si>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</si>
  <si>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</si>
  <si>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</si>
  <si>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</si>
  <si>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</si>
  <si>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</si>
  <si>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</si>
  <si>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</si>
  <si>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</si>
  <si>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</si>
  <si>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</si>
  <si>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</si>
  <si>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</si>
  <si>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</si>
  <si>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</si>
  <si>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</si>
  <si>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</si>
  <si>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</si>
  <si>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</si>
  <si>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</si>
  <si>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</si>
  <si>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</si>
  <si>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</si>
  <si>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</si>
  <si>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</si>
  <si>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</si>
  <si>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</si>
  <si>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</si>
  <si>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</si>
  <si>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</si>
  <si>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</si>
  <si>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</si>
  <si>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</si>
  <si>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</si>
  <si>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</si>
  <si>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</si>
  <si>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</si>
  <si>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</si>
  <si>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</si>
  <si>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</si>
  <si>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</si>
  <si>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</si>
  <si>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</si>
  <si>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</si>
  <si>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</si>
  <si>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</si>
  <si>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</si>
  <si>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</si>
  <si>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</si>
  <si>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</si>
  <si>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</si>
  <si>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</si>
  <si>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</si>
  <si>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</si>
  <si>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</si>
  <si>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</si>
  <si>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</si>
  <si>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</si>
  <si>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</si>
  <si>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</si>
  <si>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</si>
  <si>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</si>
  <si>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</si>
  <si>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</si>
  <si>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</si>
  <si>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</si>
  <si>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</si>
  <si>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</si>
  <si>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</si>
  <si>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</si>
  <si>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</si>
  <si>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</si>
  <si>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</si>
  <si>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</si>
  <si>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</si>
  <si>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</si>
  <si>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</si>
  <si>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</si>
  <si>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</si>
  <si>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</si>
  <si>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</si>
  <si>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</si>
  <si>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</si>
  <si>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</si>
  <si>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</si>
  <si>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</si>
  <si>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</si>
  <si>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</si>
  <si>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</si>
  <si>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</si>
  <si>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</si>
  <si>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</si>
  <si>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</si>
  <si>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</si>
  <si>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</si>
  <si>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</si>
  <si>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</si>
  <si>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</si>
  <si>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</si>
  <si>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</si>
  <si>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</si>
  <si>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</si>
  <si>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</si>
  <si>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</si>
  <si>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</si>
  <si>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</si>
  <si>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</si>
  <si>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</si>
  <si>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</si>
  <si>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</si>
  <si>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</si>
  <si>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</si>
  <si>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</si>
  <si>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</si>
  <si>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</si>
  <si>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</si>
  <si>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</si>
  <si>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</si>
  <si>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</si>
  <si>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</si>
  <si>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</si>
  <si>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</si>
  <si>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</si>
  <si>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</si>
  <si>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</si>
  <si>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</si>
  <si>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</si>
  <si>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</si>
  <si>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</si>
  <si>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</si>
  <si>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</si>
  <si>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</si>
  <si>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</si>
  <si>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</si>
  <si>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</si>
  <si>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</si>
  <si>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</si>
  <si>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</si>
  <si>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</si>
  <si>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</si>
  <si>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</si>
  <si>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</si>
  <si>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</si>
  <si>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</si>
  <si>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</si>
  <si>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</si>
  <si>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</si>
  <si>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</si>
  <si>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</si>
  <si>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</si>
  <si>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</si>
  <si>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</si>
  <si>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</si>
  <si>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</si>
  <si>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</si>
  <si>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</si>
  <si>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</si>
  <si>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</si>
  <si>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</si>
  <si>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</si>
  <si>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</si>
  <si>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</si>
  <si>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</si>
  <si>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</si>
  <si>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</si>
  <si>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</si>
  <si>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</si>
  <si>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</si>
  <si>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</si>
  <si>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</si>
  <si>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</si>
  <si>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</si>
  <si>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</si>
  <si>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</si>
  <si>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</si>
  <si>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</si>
  <si>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</si>
  <si>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</si>
  <si>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</si>
  <si>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</si>
  <si>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</si>
  <si>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</si>
  <si>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</si>
  <si>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</si>
  <si>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</si>
  <si>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</si>
  <si>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</si>
  <si>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</si>
  <si>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</si>
  <si>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</si>
  <si>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</si>
  <si>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</si>
  <si>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</si>
  <si>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</si>
  <si>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</si>
  <si>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</si>
  <si>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</si>
  <si>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</si>
  <si>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</si>
  <si>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</si>
  <si>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</si>
  <si>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</si>
  <si>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</si>
  <si>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</si>
  <si>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</si>
  <si>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</si>
  <si>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</si>
  <si>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</si>
  <si>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</si>
  <si>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</si>
  <si>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</si>
  <si>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</si>
  <si>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</si>
  <si>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</si>
  <si>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</si>
  <si>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</si>
  <si>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</si>
  <si>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</si>
  <si>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</si>
  <si>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</si>
  <si>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</si>
  <si>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</si>
  <si>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</si>
  <si>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</si>
  <si>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</si>
  <si>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</si>
  <si>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</si>
  <si>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</si>
  <si>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</si>
  <si>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</si>
  <si>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</si>
  <si>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</si>
  <si>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</si>
  <si>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</si>
  <si>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</si>
  <si>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</si>
  <si>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</si>
  <si>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</si>
  <si>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</si>
  <si>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</si>
  <si>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</si>
  <si>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</si>
  <si>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</si>
  <si>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</si>
  <si>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</si>
  <si>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</si>
  <si>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</si>
  <si>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</si>
  <si>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</si>
  <si>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</si>
  <si>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</si>
  <si>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</si>
  <si>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</si>
  <si>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</si>
  <si>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</si>
  <si>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</si>
  <si>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</si>
  <si>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</si>
  <si>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</si>
  <si>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</si>
  <si>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</si>
  <si>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</si>
  <si>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</si>
  <si>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</si>
  <si>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</si>
  <si>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</si>
  <si>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</si>
  <si>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</si>
  <si>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</si>
  <si>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</si>
  <si>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</si>
  <si>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</si>
  <si>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</si>
  <si>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</si>
  <si>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</si>
  <si>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</si>
  <si>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</si>
  <si>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</si>
  <si>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</si>
  <si>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</si>
  <si>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</si>
  <si>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</si>
  <si>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</si>
  <si>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</si>
  <si>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</si>
  <si>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</si>
  <si>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</si>
  <si>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</si>
  <si>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</si>
  <si>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</si>
  <si>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</si>
  <si>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</si>
  <si>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</si>
  <si>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</si>
  <si>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</si>
  <si>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</si>
  <si>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</si>
  <si>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</si>
  <si>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</si>
  <si>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</si>
  <si>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</si>
  <si>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</si>
  <si>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</si>
  <si>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</si>
  <si>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</si>
  <si>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</si>
  <si>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</si>
  <si>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</si>
  <si>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</si>
  <si>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</si>
  <si>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</si>
  <si>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</si>
  <si>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</si>
  <si>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</si>
  <si>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</si>
  <si>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</si>
  <si>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</si>
  <si>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</si>
  <si>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</si>
  <si>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</si>
  <si>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</si>
  <si>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</si>
  <si>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</si>
  <si>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</si>
  <si>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</si>
  <si>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</si>
  <si>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</si>
  <si>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</si>
  <si>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</si>
  <si>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</si>
  <si>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</si>
  <si>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</si>
  <si>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</si>
  <si>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</si>
  <si>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</si>
  <si>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</si>
  <si>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</si>
  <si>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</si>
  <si>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</si>
  <si>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</si>
  <si>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</si>
  <si>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</si>
  <si>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</si>
  <si>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</si>
  <si>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</si>
  <si>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</si>
  <si>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</si>
  <si>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</si>
  <si>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</si>
  <si>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</si>
  <si>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</si>
  <si>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</si>
  <si>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</si>
  <si>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</si>
  <si>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</si>
  <si>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</si>
  <si>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</si>
  <si>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</si>
  <si>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</si>
  <si>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</si>
  <si>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</si>
  <si>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</si>
  <si>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</si>
  <si>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</si>
  <si>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</si>
  <si>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</si>
  <si>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</si>
  <si>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</si>
  <si>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</si>
  <si>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</si>
  <si>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</si>
  <si>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</si>
  <si>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</si>
  <si>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</si>
  <si>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</si>
  <si>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</si>
  <si>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</si>
  <si>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</si>
  <si>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</si>
  <si>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</si>
  <si>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</si>
  <si>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</si>
  <si>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</si>
  <si>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</si>
  <si>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</si>
  <si>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</si>
  <si>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</si>
  <si>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</si>
  <si>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</si>
  <si>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</si>
  <si>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</si>
  <si>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</si>
  <si>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</si>
  <si>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</si>
  <si>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</si>
  <si>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</si>
  <si>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</si>
  <si>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</si>
  <si>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</si>
  <si>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</si>
  <si>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</si>
  <si>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</si>
  <si>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</si>
  <si>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</si>
  <si>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</si>
  <si>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</si>
  <si>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</si>
  <si>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</si>
  <si>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</si>
  <si>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</si>
  <si>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</si>
  <si>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</si>
  <si>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</si>
  <si>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</si>
  <si>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</si>
  <si>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</si>
  <si>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</si>
  <si>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</si>
  <si>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</si>
  <si>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</si>
  <si>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</si>
  <si>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</si>
  <si>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</si>
  <si>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</si>
  <si>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</si>
  <si>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</si>
  <si>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</si>
  <si>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</si>
  <si>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</si>
  <si>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</si>
  <si>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</si>
  <si>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</si>
  <si>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</si>
  <si>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</si>
  <si>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</si>
  <si>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</si>
  <si>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</si>
  <si>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</si>
  <si>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</si>
  <si>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</si>
  <si>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</si>
  <si>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</si>
  <si>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</si>
  <si>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</si>
  <si>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</si>
  <si>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</si>
  <si>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</si>
  <si>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</si>
  <si>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</si>
  <si>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</si>
  <si>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</si>
  <si>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</si>
  <si>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</si>
  <si>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</si>
  <si>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</si>
  <si>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</si>
  <si>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</si>
  <si>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</si>
  <si>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</si>
  <si>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</si>
  <si>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</si>
  <si>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</si>
  <si>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</si>
  <si>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</si>
  <si>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</si>
  <si>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</si>
  <si>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</si>
  <si>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</si>
  <si>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</si>
  <si>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</si>
  <si>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</si>
  <si>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</si>
  <si>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</si>
  <si>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</si>
  <si>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</si>
  <si>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</si>
  <si>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</si>
  <si>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</si>
  <si>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</si>
  <si>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</si>
  <si>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</si>
  <si>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</si>
  <si>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</si>
  <si>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</si>
  <si>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</si>
  <si>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</si>
  <si>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</si>
  <si>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</si>
  <si>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</si>
  <si>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</si>
  <si>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</si>
  <si>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</si>
  <si>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</si>
  <si>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</si>
  <si>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</si>
  <si>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</si>
  <si>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</si>
  <si>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</si>
  <si>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</si>
  <si>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</si>
  <si>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</si>
  <si>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</si>
  <si>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</si>
  <si>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</si>
  <si>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</si>
  <si>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</si>
  <si>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</si>
  <si>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</si>
  <si>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</si>
  <si>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</si>
  <si>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</si>
  <si>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</si>
  <si>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</si>
  <si>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</si>
  <si>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</si>
  <si>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</si>
  <si>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</si>
  <si>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</si>
  <si>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</si>
  <si>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</si>
  <si>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</si>
  <si>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</si>
  <si>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</si>
  <si>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</si>
  <si>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</si>
  <si>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</si>
  <si>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</si>
  <si>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</si>
  <si>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</si>
  <si>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</si>
  <si>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</si>
  <si>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</si>
  <si>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</si>
  <si>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</si>
  <si>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</si>
  <si>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</si>
  <si>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</si>
  <si>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</si>
  <si>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</si>
  <si>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</si>
  <si>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</si>
  <si>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</si>
  <si>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</si>
  <si>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</si>
  <si>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</si>
  <si>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</si>
  <si>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</si>
  <si>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</si>
  <si>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</si>
  <si>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</si>
  <si>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</si>
  <si>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</si>
  <si>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</si>
  <si>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</si>
  <si>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</si>
  <si>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</si>
  <si>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</si>
  <si>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</si>
  <si>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</si>
  <si>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</si>
  <si>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</si>
  <si>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</si>
  <si>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</si>
  <si>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</si>
  <si>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</si>
  <si>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</si>
  <si>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</si>
  <si>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</si>
  <si>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</si>
  <si>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</si>
  <si>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</si>
  <si>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</si>
  <si>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</si>
  <si>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</si>
  <si>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</si>
  <si>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</si>
  <si>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</si>
  <si>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</si>
  <si>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</si>
  <si>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</si>
  <si>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</si>
  <si>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</si>
  <si>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</si>
  <si>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</si>
  <si>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</si>
  <si>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</si>
  <si>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</si>
  <si>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</si>
  <si>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</si>
  <si>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</si>
  <si>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</si>
  <si>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</si>
  <si>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</si>
  <si>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</si>
  <si>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</si>
  <si>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</si>
  <si>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</si>
  <si>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</si>
  <si>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</si>
  <si>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</si>
  <si>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</si>
  <si>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</si>
  <si>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</si>
  <si>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</si>
  <si>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</si>
  <si>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</si>
  <si>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</si>
  <si>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</si>
  <si>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</si>
  <si>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</si>
  <si>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</si>
  <si>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</si>
  <si>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</si>
  <si>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</si>
  <si>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</si>
  <si>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</si>
  <si>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</si>
  <si>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</si>
  <si>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</si>
  <si>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</si>
  <si>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</si>
  <si>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</si>
  <si>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</si>
  <si>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</si>
  <si>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</si>
  <si>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</si>
  <si>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</si>
  <si>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</si>
  <si>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</si>
  <si>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</si>
  <si>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</si>
  <si>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</si>
  <si>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</si>
  <si>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</si>
  <si>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</si>
  <si>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</si>
  <si>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</si>
  <si>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</si>
  <si>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</si>
  <si>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</si>
  <si>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</si>
  <si>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</si>
  <si>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</si>
  <si>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</si>
  <si>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</si>
  <si>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</si>
  <si>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</si>
  <si>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</si>
  <si>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</si>
  <si>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</si>
  <si>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</si>
  <si>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</si>
  <si>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</si>
  <si>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</si>
  <si>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</si>
  <si>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</si>
  <si>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</si>
  <si>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</si>
  <si>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</si>
  <si>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</si>
  <si>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</si>
  <si>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</si>
  <si>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</si>
  <si>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</si>
  <si>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</si>
  <si>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</si>
  <si>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</si>
  <si>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</si>
  <si>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</si>
  <si>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</si>
  <si>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</si>
  <si>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</si>
  <si>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</si>
  <si>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</si>
  <si>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</si>
  <si>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</si>
  <si>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</si>
  <si>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</si>
  <si>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</si>
  <si>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</si>
  <si>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</si>
  <si>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</si>
  <si>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</si>
  <si>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</si>
  <si>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</si>
  <si>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</si>
  <si>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</si>
  <si>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</si>
  <si>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</si>
  <si>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</si>
  <si>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</si>
  <si>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</si>
  <si>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</si>
  <si>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</si>
  <si>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</si>
  <si>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</si>
  <si>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</si>
  <si>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</si>
  <si>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</si>
  <si>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</si>
  <si>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</si>
  <si>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</si>
  <si>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</si>
  <si>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</si>
  <si>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</si>
  <si>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</si>
  <si>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</si>
  <si>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</si>
  <si>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</si>
  <si>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</si>
  <si>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</si>
  <si>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</si>
  <si>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</si>
  <si>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</si>
  <si>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</si>
  <si>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</si>
  <si>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</si>
  <si>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</si>
  <si>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</si>
  <si>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</si>
  <si>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</si>
  <si>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</si>
  <si>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</si>
  <si>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</si>
  <si>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</si>
  <si>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</si>
  <si>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</si>
  <si>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</si>
  <si>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</si>
  <si>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</si>
  <si>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</si>
  <si>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</si>
  <si>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</si>
  <si>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</si>
  <si>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</si>
  <si>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</si>
  <si>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</si>
  <si>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</si>
  <si>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</si>
  <si>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</si>
  <si>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</si>
  <si>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</si>
  <si>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</si>
  <si>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</si>
  <si>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</si>
  <si>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</si>
  <si>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</si>
  <si>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</si>
  <si>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</si>
  <si>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</si>
  <si>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</si>
  <si>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</si>
  <si>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</si>
  <si>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</si>
  <si>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</si>
  <si>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</si>
  <si>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</si>
  <si>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</si>
  <si>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</si>
  <si>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</si>
  <si>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</si>
  <si>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</si>
  <si>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</si>
  <si>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</si>
  <si>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</si>
  <si>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</si>
  <si>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</si>
  <si>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</si>
  <si>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</si>
  <si>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</si>
  <si>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</si>
  <si>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</si>
  <si>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</si>
  <si>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</si>
  <si>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</si>
  <si>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</si>
  <si>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</si>
  <si>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</si>
  <si>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</si>
  <si>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</si>
  <si>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</si>
  <si>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</si>
  <si>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</si>
  <si>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</si>
  <si>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</si>
  <si>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</si>
  <si>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</si>
  <si>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</si>
  <si>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</si>
  <si>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</si>
  <si>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</si>
  <si>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</si>
  <si>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</si>
  <si>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</si>
  <si>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</si>
  <si>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</si>
  <si>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</si>
  <si>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</si>
  <si>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</si>
  <si>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</si>
  <si>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</si>
  <si>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</si>
  <si>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</si>
  <si>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</si>
  <si>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</si>
  <si>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</si>
  <si>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</si>
  <si>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</si>
  <si>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</si>
  <si>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</si>
  <si>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</si>
  <si>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</si>
  <si>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</si>
  <si>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</si>
  <si>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</si>
  <si>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</si>
  <si>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</si>
  <si>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</si>
  <si>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</si>
  <si>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</si>
  <si>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</si>
  <si>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</si>
  <si>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</si>
  <si>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</si>
  <si>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</si>
  <si>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</si>
  <si>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</si>
  <si>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</si>
  <si>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</si>
  <si>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</si>
  <si>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</si>
  <si>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</si>
  <si>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</si>
  <si>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</si>
  <si>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</si>
  <si>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</si>
  <si>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</si>
  <si>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</si>
  <si>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</si>
  <si>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</si>
  <si>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</si>
  <si>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</si>
  <si>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</si>
  <si>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</si>
  <si>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</si>
  <si>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</si>
  <si>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</si>
  <si>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</si>
  <si>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</si>
  <si>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</si>
  <si>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</si>
  <si>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</si>
  <si>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</si>
  <si>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</si>
  <si>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</si>
  <si>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</si>
  <si>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</si>
  <si>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</si>
  <si>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</si>
  <si>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</si>
  <si>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</si>
  <si>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</si>
  <si>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</si>
  <si>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</si>
  <si>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</si>
  <si>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</si>
  <si>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</si>
  <si>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</si>
  <si>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</si>
  <si>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</si>
  <si>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</si>
  <si>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</si>
  <si>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</si>
  <si>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</si>
  <si>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</si>
  <si>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</si>
  <si>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</si>
  <si>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</si>
  <si>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</si>
  <si>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</si>
  <si>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</si>
  <si>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</si>
  <si>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</si>
  <si>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</si>
  <si>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</si>
  <si>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</si>
  <si>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</si>
  <si>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</si>
  <si>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</si>
  <si>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</si>
  <si>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</si>
  <si>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</si>
  <si>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</si>
  <si>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</si>
  <si>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</si>
  <si>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</si>
  <si>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</si>
  <si>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</si>
  <si>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</si>
  <si>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</si>
  <si>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</si>
  <si>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</si>
  <si>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</si>
  <si>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</si>
  <si>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</si>
  <si>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</si>
  <si>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</si>
  <si>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</si>
  <si>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</si>
  <si>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</si>
  <si>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</si>
  <si>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</si>
  <si>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</si>
  <si>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</si>
  <si>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</si>
  <si>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</si>
  <si>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</si>
  <si>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</si>
  <si>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</si>
  <si>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</si>
  <si>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</si>
  <si>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</si>
  <si>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</si>
  <si>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</si>
  <si>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</si>
  <si>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</si>
  <si>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</si>
  <si>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</si>
  <si>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</si>
  <si>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</si>
  <si>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</si>
  <si>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</si>
  <si>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</si>
  <si>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</si>
  <si>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</si>
  <si>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</si>
  <si>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</si>
  <si>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</si>
  <si>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</si>
  <si>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</si>
  <si>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</si>
  <si>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</si>
  <si>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</si>
  <si>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</si>
  <si>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</si>
  <si>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</si>
  <si>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</si>
  <si>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</si>
  <si>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</si>
  <si>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</si>
  <si>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</si>
  <si>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</si>
  <si>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</si>
  <si>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</si>
  <si>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</si>
  <si>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</si>
  <si>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</si>
  <si>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</si>
  <si>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</si>
  <si>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</si>
  <si>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</si>
  <si>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</si>
  <si>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</si>
  <si>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</si>
  <si>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</si>
  <si>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</si>
  <si>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</si>
  <si>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</si>
  <si>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</si>
  <si>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</si>
  <si>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</si>
  <si>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</si>
  <si>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</si>
  <si>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</si>
  <si>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</si>
  <si>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</si>
  <si>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</si>
  <si>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</si>
  <si>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</si>
  <si>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</si>
  <si>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</si>
  <si>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</si>
  <si>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</si>
  <si>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</si>
  <si>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</si>
  <si>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</si>
  <si>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</si>
  <si>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</si>
  <si>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</si>
  <si>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</si>
  <si>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</si>
  <si>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</si>
  <si>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</si>
  <si>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</si>
  <si>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</si>
  <si>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</si>
  <si>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</si>
  <si>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</si>
  <si>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</si>
  <si>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</si>
  <si>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</si>
  <si>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</si>
  <si>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</si>
  <si>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</si>
  <si>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</si>
  <si>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</si>
  <si>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</si>
  <si>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</si>
  <si>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</si>
  <si>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</si>
  <si>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</si>
  <si>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</si>
  <si>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</si>
  <si>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</si>
  <si>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</si>
  <si>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</si>
  <si>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</si>
  <si>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</si>
  <si>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</si>
  <si>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</si>
  <si>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</si>
  <si>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</si>
  <si>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</si>
  <si>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</si>
  <si>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</si>
  <si>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</si>
  <si>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</si>
  <si>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</si>
  <si>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</si>
  <si>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</si>
  <si>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</si>
  <si>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</si>
  <si>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</si>
  <si>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</si>
  <si>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</si>
  <si>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</si>
  <si>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</si>
  <si>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</si>
  <si>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</si>
  <si>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</si>
  <si>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</si>
  <si>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</si>
  <si>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</si>
  <si>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</si>
  <si>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</si>
  <si>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</si>
  <si>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</si>
  <si>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</si>
  <si>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</si>
  <si>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</si>
  <si>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</si>
  <si>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</si>
  <si>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</si>
  <si>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</si>
  <si>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</si>
  <si>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</si>
  <si>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</si>
  <si>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</si>
  <si>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</si>
  <si>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</si>
  <si>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</si>
  <si>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</si>
  <si>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</si>
  <si>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</si>
  <si>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</si>
  <si>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</si>
  <si>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</si>
  <si>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</si>
  <si>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</si>
  <si>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</si>
  <si>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</si>
  <si>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</si>
  <si>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</si>
  <si>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</si>
  <si>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</si>
  <si>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</si>
  <si>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</si>
  <si>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</si>
  <si>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</si>
  <si>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</si>
  <si>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</si>
  <si>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</si>
  <si>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</si>
  <si>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</si>
  <si>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</si>
  <si>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</si>
  <si>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</si>
  <si>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</si>
  <si>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</si>
  <si>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</si>
  <si>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</si>
  <si>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</si>
  <si>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</si>
  <si>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</si>
  <si>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</si>
  <si>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</si>
  <si>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</si>
  <si>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</si>
  <si>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</si>
  <si>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</si>
  <si>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</si>
  <si>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</si>
  <si>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</si>
  <si>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</si>
  <si>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</si>
  <si>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</si>
  <si>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</si>
  <si>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</si>
  <si>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</si>
  <si>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</si>
  <si>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</si>
  <si>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</si>
  <si>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</si>
  <si>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</si>
  <si>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</si>
  <si>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</si>
  <si>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</si>
  <si>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</si>
  <si>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</si>
  <si>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</si>
  <si>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</si>
  <si>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</si>
  <si>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</si>
  <si>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</si>
  <si>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</si>
  <si>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</si>
  <si>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</si>
  <si>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</si>
  <si>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</si>
  <si>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</si>
  <si>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</si>
  <si>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</si>
  <si>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</si>
  <si>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</si>
  <si>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</si>
  <si>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</si>
  <si>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</si>
  <si>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</si>
  <si>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</si>
  <si>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</si>
  <si>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</si>
  <si>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</si>
  <si>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</si>
  <si>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</si>
  <si>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</si>
  <si>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</si>
  <si>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</si>
  <si>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</si>
  <si>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</si>
  <si>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</si>
  <si>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</si>
  <si>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</si>
  <si>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</si>
  <si>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</si>
  <si>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</si>
  <si>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</si>
  <si>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</si>
  <si>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</si>
  <si>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</si>
  <si>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</si>
  <si>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</si>
  <si>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</si>
  <si>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</si>
  <si>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</si>
  <si>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</si>
  <si>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</si>
  <si>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</si>
  <si>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</si>
  <si>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</si>
  <si>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</si>
  <si>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</si>
  <si>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</si>
  <si>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</si>
  <si>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</si>
  <si>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</si>
  <si>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</si>
  <si>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</si>
  <si>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</si>
  <si>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</si>
  <si>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</si>
  <si>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</si>
  <si>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</si>
  <si>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</si>
  <si>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</si>
  <si>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</si>
  <si>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</si>
  <si>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</si>
  <si>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</si>
  <si>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</si>
  <si>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</si>
  <si>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</si>
  <si>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</si>
  <si>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</si>
  <si>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</si>
  <si>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</si>
  <si>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</si>
  <si>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</si>
  <si>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</si>
  <si>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</si>
  <si>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</si>
  <si>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</si>
  <si>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</si>
  <si>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</si>
  <si>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</si>
  <si>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</si>
  <si>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</si>
  <si>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</si>
  <si>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</si>
  <si>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</si>
  <si>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</si>
  <si>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</si>
  <si>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</si>
  <si>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</si>
  <si>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</si>
  <si>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</si>
  <si>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</si>
  <si>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</si>
  <si>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</si>
  <si>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</si>
  <si>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</si>
  <si>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</si>
  <si>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</si>
  <si>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</si>
  <si>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</si>
  <si>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</si>
  <si>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</si>
  <si>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</si>
  <si>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</si>
  <si>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</si>
  <si>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</si>
  <si>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</si>
  <si>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</si>
  <si>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</si>
  <si>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</si>
  <si>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</si>
  <si>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</si>
  <si>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</si>
  <si>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</si>
  <si>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</si>
  <si>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</si>
  <si>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</si>
  <si>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</si>
  <si>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</si>
  <si>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</si>
  <si>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</si>
  <si>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</si>
  <si>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</si>
  <si>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</si>
  <si>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</si>
  <si>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</si>
  <si>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</si>
  <si>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</si>
  <si>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</si>
  <si>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</si>
  <si>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</si>
  <si>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</si>
  <si>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</si>
  <si>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</si>
  <si>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</si>
  <si>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</si>
  <si>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</si>
  <si>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</si>
  <si>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</si>
  <si>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</si>
  <si>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</si>
  <si>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</si>
  <si>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</si>
  <si>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</si>
  <si>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</si>
  <si>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</si>
  <si>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</si>
  <si>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</si>
  <si>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</si>
  <si>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</si>
  <si>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</si>
  <si>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</si>
  <si>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</si>
  <si>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</si>
  <si>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</si>
  <si>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</si>
  <si>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</si>
  <si>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</si>
  <si>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</si>
  <si>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</si>
  <si>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</si>
  <si>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</si>
  <si>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</si>
  <si>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</si>
  <si>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</si>
  <si>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</si>
  <si>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</si>
  <si>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</si>
  <si>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</si>
  <si>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</si>
  <si>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</si>
  <si>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</si>
  <si>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</si>
  <si>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</si>
  <si>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</si>
  <si>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</si>
  <si>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</si>
  <si>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</si>
  <si>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</si>
  <si>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</si>
  <si>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</si>
  <si>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</si>
  <si>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</si>
  <si>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</si>
  <si>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</si>
  <si>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</si>
  <si>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</si>
  <si>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</si>
  <si>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</si>
  <si>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</si>
  <si>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</si>
  <si>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</si>
  <si>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</si>
  <si>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</si>
  <si>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</si>
  <si>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</si>
  <si>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</si>
  <si>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</si>
  <si>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</si>
  <si>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</si>
  <si>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</si>
  <si>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</si>
  <si>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</si>
  <si>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</si>
  <si>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</si>
  <si>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</si>
  <si>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</si>
  <si>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</si>
  <si>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</si>
  <si>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</si>
  <si>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</si>
  <si>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</si>
  <si>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</si>
  <si>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</si>
  <si>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</si>
  <si>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</si>
  <si>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</si>
  <si>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</si>
  <si>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</si>
  <si>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</si>
  <si>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</si>
  <si>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</si>
  <si>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</si>
  <si>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</si>
  <si>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</si>
  <si>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</si>
  <si>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</si>
  <si>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</si>
  <si>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</si>
  <si>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</si>
  <si>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</si>
  <si>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</si>
  <si>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</si>
  <si>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</si>
  <si>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</si>
  <si>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</si>
  <si>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</si>
  <si>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</si>
  <si>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</si>
  <si>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</si>
  <si>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</si>
  <si>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</si>
  <si>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</si>
  <si>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</si>
  <si>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</si>
  <si>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</si>
  <si>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</si>
  <si>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</si>
  <si>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</si>
  <si>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</si>
  <si>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</si>
  <si>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</si>
  <si>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</si>
  <si>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</si>
  <si>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</si>
  <si>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</si>
  <si>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</si>
  <si>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</si>
  <si>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</si>
  <si>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</si>
  <si>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</si>
  <si>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</si>
  <si>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</si>
  <si>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</si>
  <si>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</si>
  <si>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</si>
  <si>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</si>
  <si>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</si>
  <si>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</si>
  <si>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</si>
  <si>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</si>
  <si>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</si>
  <si>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</si>
  <si>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</si>
  <si>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</si>
  <si>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</si>
  <si>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</si>
  <si>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</si>
  <si>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</si>
  <si>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</si>
  <si>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</si>
  <si>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</si>
  <si>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</si>
  <si>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</si>
  <si>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</si>
  <si>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</si>
  <si>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</si>
  <si>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</si>
  <si>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</si>
  <si>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</si>
  <si>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</si>
  <si>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</si>
  <si>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</si>
  <si>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</si>
  <si>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</si>
  <si>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</si>
  <si>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</si>
  <si>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</si>
  <si>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</si>
  <si>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</si>
  <si>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</si>
  <si>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</si>
  <si>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</si>
  <si>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</si>
  <si>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</si>
  <si>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</si>
  <si>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</si>
  <si>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</si>
  <si>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</si>
  <si>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</si>
  <si>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</si>
  <si>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</si>
  <si>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</si>
  <si>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</si>
  <si>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</si>
  <si>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</si>
  <si>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</si>
  <si>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</si>
  <si>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</si>
  <si>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</si>
  <si>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</si>
  <si>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</si>
  <si>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</si>
  <si>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</si>
  <si>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</si>
  <si>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</si>
  <si>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</si>
  <si>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</si>
  <si>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</si>
  <si>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</si>
  <si>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</si>
  <si>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</si>
  <si>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</si>
  <si>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</si>
  <si>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</si>
  <si>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</si>
  <si>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</si>
  <si>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</si>
  <si>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</si>
  <si>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</si>
  <si>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</si>
  <si>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</si>
  <si>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</si>
  <si>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</si>
  <si>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</si>
  <si>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</si>
  <si>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</si>
  <si>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</si>
  <si>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</si>
  <si>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</si>
  <si>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</si>
  <si>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</si>
  <si>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</si>
  <si>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</si>
  <si>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</si>
  <si>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</si>
  <si>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</si>
  <si>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</si>
  <si>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</si>
  <si>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</si>
  <si>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</si>
  <si>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</si>
  <si>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</si>
  <si>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</si>
  <si>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</si>
  <si>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</si>
  <si>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</si>
  <si>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</si>
  <si>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</si>
  <si>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</si>
  <si>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</si>
  <si>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</si>
  <si>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</si>
  <si>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</si>
  <si>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</si>
  <si>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</si>
  <si>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</si>
  <si>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</si>
  <si>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</si>
  <si>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</si>
  <si>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</si>
  <si>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</si>
  <si>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</si>
  <si>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</si>
  <si>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</si>
  <si>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</si>
  <si>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</si>
  <si>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</si>
  <si>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</si>
  <si>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</si>
  <si>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</si>
  <si>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</si>
  <si>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</si>
  <si>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</si>
  <si>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</si>
  <si>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</si>
  <si>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</si>
  <si>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</si>
  <si>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</si>
  <si>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</si>
  <si>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</si>
  <si>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</si>
  <si>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</si>
  <si>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</si>
  <si>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</si>
  <si>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</si>
  <si>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</si>
  <si>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</si>
  <si>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</si>
  <si>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</si>
  <si>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</si>
  <si>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</si>
  <si>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</si>
  <si>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</si>
  <si>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</si>
  <si>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</si>
  <si>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</si>
  <si>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</si>
  <si>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</si>
  <si>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</si>
  <si>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</si>
  <si>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</si>
  <si>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</si>
  <si>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</si>
  <si>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</si>
  <si>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</si>
  <si>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</si>
  <si>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</si>
  <si>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</si>
  <si>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</si>
  <si>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</si>
  <si>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</si>
  <si>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</si>
  <si>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</si>
  <si>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</si>
  <si>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</si>
  <si>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</si>
  <si>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</si>
  <si>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</si>
  <si>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</si>
  <si>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</si>
  <si>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</si>
  <si>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</si>
  <si>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</si>
  <si>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</si>
  <si>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</si>
  <si>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</si>
  <si>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</si>
  <si>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</si>
  <si>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</si>
  <si>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</si>
  <si>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</si>
  <si>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</si>
  <si>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</si>
  <si>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</si>
  <si>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</si>
  <si>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</si>
  <si>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</si>
  <si>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</si>
  <si>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</si>
  <si>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</si>
  <si>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</si>
  <si>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</si>
  <si>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</si>
  <si>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</si>
  <si>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</si>
  <si>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</si>
  <si>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</si>
  <si>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</si>
  <si>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</si>
  <si>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</si>
  <si>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</si>
  <si>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</si>
  <si>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</si>
  <si>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</si>
  <si>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</si>
  <si>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</si>
  <si>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</si>
  <si>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</si>
  <si>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</si>
  <si>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</si>
  <si>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</si>
  <si>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</si>
  <si>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</si>
  <si>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</si>
  <si>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</si>
  <si>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</si>
  <si>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</si>
  <si>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</si>
  <si>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</si>
  <si>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</si>
  <si>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</si>
  <si>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</si>
  <si>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</si>
  <si>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</si>
  <si>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</si>
  <si>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</si>
  <si>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</si>
  <si>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</si>
  <si>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</si>
  <si>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</si>
  <si>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</si>
  <si>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</si>
  <si>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</si>
  <si>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</si>
  <si>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</si>
  <si>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</si>
  <si>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</si>
  <si>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</si>
  <si>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</si>
  <si>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</si>
  <si>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</si>
  <si>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</si>
  <si>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</si>
  <si>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</si>
  <si>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</si>
  <si>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</si>
  <si>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</si>
  <si>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</si>
  <si>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</si>
  <si>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</si>
  <si>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</si>
  <si>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</si>
  <si>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</si>
  <si>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</si>
  <si>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</si>
  <si>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</si>
  <si>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</si>
  <si>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</si>
  <si>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</si>
  <si>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</si>
  <si>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</si>
  <si>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</si>
  <si>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</si>
  <si>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</si>
  <si>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</si>
  <si>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</si>
  <si>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</si>
  <si>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</si>
  <si>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</si>
  <si>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</si>
  <si>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</si>
  <si>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</si>
  <si>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</si>
  <si>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</si>
  <si>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</si>
  <si>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</si>
  <si>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</si>
  <si>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</si>
  <si>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</si>
  <si>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</si>
  <si>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</si>
  <si>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</si>
  <si>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</si>
  <si>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</si>
  <si>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</si>
  <si>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</si>
  <si>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</si>
  <si>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</si>
  <si>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</si>
  <si>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</si>
  <si>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</si>
  <si>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</si>
  <si>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</si>
  <si>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</si>
  <si>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</si>
  <si>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</si>
  <si>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</si>
  <si>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</si>
  <si>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</si>
  <si>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</si>
  <si>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</si>
  <si>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</si>
  <si>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</si>
  <si>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</si>
  <si>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</si>
  <si>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</si>
  <si>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</si>
  <si>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</si>
  <si>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</si>
  <si>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</si>
  <si>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</si>
  <si>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</si>
  <si>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</si>
  <si>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</si>
  <si>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</si>
  <si>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</si>
  <si>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</si>
  <si>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</si>
  <si>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</si>
  <si>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</si>
  <si>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</si>
  <si>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</si>
  <si>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</si>
  <si>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</si>
  <si>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</si>
  <si>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</si>
  <si>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</si>
  <si>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</si>
  <si>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</si>
  <si>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</si>
  <si>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</si>
  <si>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</si>
  <si>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</si>
  <si>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</si>
  <si>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</si>
  <si>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</si>
  <si>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</si>
  <si>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</si>
  <si>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</si>
  <si>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</si>
  <si>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</si>
  <si>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</si>
  <si>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</si>
  <si>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</si>
  <si>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</si>
  <si>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</si>
  <si>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</si>
  <si>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</si>
  <si>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</si>
  <si>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</si>
  <si>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</si>
  <si>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</si>
  <si>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</si>
  <si>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</si>
  <si>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</si>
  <si>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</si>
  <si>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</si>
  <si>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</si>
  <si>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</si>
  <si>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</si>
  <si>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</si>
  <si>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</si>
  <si>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</si>
  <si>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</si>
  <si>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</si>
  <si>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</si>
  <si>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</si>
  <si>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</si>
  <si>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</si>
  <si>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</si>
  <si>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</si>
  <si>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</si>
  <si>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</si>
  <si>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</si>
  <si>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</si>
  <si>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</si>
  <si>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</si>
  <si>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</si>
  <si>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</si>
  <si>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</si>
  <si>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</si>
  <si>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</si>
  <si>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</si>
  <si>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</si>
  <si>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</si>
  <si>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</si>
  <si>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</si>
  <si>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</si>
  <si>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</si>
  <si>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</si>
  <si>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</si>
  <si>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</si>
  <si>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</si>
  <si>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</si>
  <si>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</si>
  <si>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</si>
  <si>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</si>
  <si>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</si>
  <si>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</si>
  <si>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</si>
  <si>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</si>
  <si>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</si>
  <si>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</si>
  <si>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</si>
  <si>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</si>
  <si>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</si>
  <si>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</si>
  <si>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</si>
  <si>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</si>
  <si>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</si>
  <si>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</si>
  <si>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</si>
  <si>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</si>
  <si>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</si>
  <si>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</si>
  <si>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</si>
  <si>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</si>
  <si>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</si>
  <si>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</si>
  <si>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</si>
  <si>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</si>
  <si>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</si>
  <si>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</si>
  <si>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</si>
  <si>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</si>
  <si>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</si>
  <si>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</si>
  <si>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</si>
  <si>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</si>
  <si>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</si>
  <si>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</si>
  <si>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</si>
  <si>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</si>
  <si>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</si>
  <si>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</si>
  <si>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</si>
  <si>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</si>
  <si>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</si>
  <si>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</si>
  <si>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</si>
  <si>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</si>
  <si>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</si>
  <si>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</si>
  <si>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</si>
  <si>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</si>
  <si>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</si>
  <si>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</si>
  <si>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</si>
  <si>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</si>
  <si>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</si>
  <si>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</si>
  <si>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</si>
  <si>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</si>
  <si>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</si>
  <si>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</si>
  <si>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</si>
  <si>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</si>
  <si>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</si>
  <si>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</si>
  <si>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</si>
  <si>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</si>
  <si>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</si>
  <si>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</si>
  <si>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</si>
  <si>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</si>
  <si>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</si>
  <si>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</si>
  <si>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</si>
  <si>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</si>
  <si>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</si>
  <si>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</si>
  <si>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</si>
  <si>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</si>
  <si>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</si>
  <si>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</si>
  <si>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</si>
  <si>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</si>
  <si>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</si>
  <si>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</si>
  <si>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</si>
  <si>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</si>
  <si>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</si>
  <si>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</si>
  <si>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</si>
  <si>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</si>
  <si>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</si>
  <si>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</si>
  <si>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</si>
  <si>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</si>
  <si>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</si>
  <si>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</si>
  <si>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</si>
  <si>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</si>
  <si>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</si>
  <si>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</si>
  <si>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</si>
  <si>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</si>
  <si>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</si>
  <si>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</si>
  <si>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</si>
  <si>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</si>
  <si>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</si>
  <si>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</si>
  <si>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</si>
  <si>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</si>
  <si>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</si>
  <si>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</si>
  <si>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</si>
  <si>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</si>
  <si>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</si>
  <si>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</si>
  <si>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</si>
  <si>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</si>
  <si>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</si>
  <si>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</si>
  <si>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</si>
  <si>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</si>
  <si>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</si>
  <si>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</si>
  <si>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</si>
  <si>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</si>
  <si>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</si>
  <si>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</si>
  <si>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</si>
  <si>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</si>
  <si>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</si>
  <si>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</si>
  <si>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</si>
  <si>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</si>
  <si>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</si>
  <si>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</si>
  <si>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</si>
  <si>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</si>
  <si>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</si>
  <si>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</si>
  <si>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</si>
  <si>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</si>
  <si>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</si>
  <si>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</si>
  <si>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</si>
  <si>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</si>
  <si>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</si>
  <si>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</si>
  <si>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</si>
  <si>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</si>
  <si>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</si>
  <si>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</si>
  <si>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</si>
  <si>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</si>
  <si>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</si>
  <si>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</si>
  <si>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</si>
  <si>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</si>
  <si>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</si>
  <si>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</si>
  <si>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</si>
  <si>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</si>
  <si>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</si>
  <si>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</si>
  <si>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</si>
  <si>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</si>
  <si>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</si>
  <si>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</si>
  <si>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</si>
  <si>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</si>
  <si>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</si>
  <si>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</si>
  <si>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</si>
  <si>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</si>
  <si>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</si>
  <si>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</si>
  <si>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</si>
  <si>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</si>
  <si>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</si>
  <si>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</si>
  <si>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</si>
  <si>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</si>
  <si>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</si>
  <si>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</si>
  <si>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</si>
  <si>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</si>
  <si>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</si>
  <si>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</si>
  <si>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</si>
  <si>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</si>
  <si>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</si>
  <si>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</si>
  <si>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</si>
  <si>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</si>
  <si>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</si>
  <si>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</si>
  <si>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</si>
  <si>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</si>
  <si>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</si>
  <si>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</si>
  <si>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</si>
  <si>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</si>
  <si>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</si>
  <si>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</si>
  <si>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</si>
  <si>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</si>
  <si>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</si>
  <si>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</si>
  <si>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</si>
  <si>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</si>
  <si>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</si>
  <si>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</si>
  <si>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</si>
  <si>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</si>
  <si>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</si>
  <si>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</si>
  <si>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</si>
  <si>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</si>
  <si>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</si>
  <si>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</si>
  <si>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</si>
  <si>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</si>
  <si>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</si>
  <si>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</si>
  <si>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</si>
  <si>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</si>
  <si>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</si>
  <si>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</si>
  <si>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</si>
  <si>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</si>
  <si>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</si>
  <si>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</si>
  <si>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</si>
  <si>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</si>
  <si>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</si>
  <si>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</si>
  <si>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</si>
  <si>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</si>
  <si>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</si>
  <si>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</si>
  <si>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</si>
  <si>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</si>
  <si>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</si>
  <si>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</si>
  <si>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</si>
  <si>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</si>
  <si>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</si>
  <si>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</si>
  <si>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</si>
  <si>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</si>
  <si>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</si>
  <si>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</si>
  <si>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</si>
  <si>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</si>
  <si>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</si>
  <si>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</si>
  <si>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</si>
  <si>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</si>
  <si>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</si>
  <si>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</si>
  <si>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</si>
  <si>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</si>
  <si>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</si>
  <si>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</si>
  <si>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</si>
  <si>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</si>
  <si>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</si>
  <si>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</si>
  <si>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</si>
  <si>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</si>
  <si>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</si>
  <si>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</si>
  <si>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</si>
  <si>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</si>
  <si>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</si>
  <si>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</si>
  <si>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</si>
  <si>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</si>
  <si>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</si>
  <si>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</si>
  <si>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</si>
  <si>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</si>
  <si>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</si>
  <si>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</si>
  <si>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</si>
  <si>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</si>
  <si>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</si>
  <si>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</si>
  <si>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</si>
  <si>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</si>
  <si>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</si>
  <si>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</si>
  <si>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</si>
  <si>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</si>
  <si>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</si>
  <si>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</si>
  <si>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</si>
  <si>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</si>
  <si>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</si>
  <si>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</si>
  <si>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</si>
  <si>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</si>
  <si>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</si>
  <si>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</si>
  <si>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</si>
  <si>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</si>
  <si>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</si>
  <si>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</si>
  <si>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</si>
  <si>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</si>
  <si>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</si>
  <si>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</si>
  <si>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</si>
  <si>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</si>
  <si>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</si>
  <si>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</si>
  <si>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</si>
  <si>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</si>
  <si>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</si>
  <si>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</si>
  <si>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</si>
  <si>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</si>
  <si>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</si>
  <si>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</si>
  <si>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</si>
  <si>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</si>
  <si>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</si>
  <si>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</si>
  <si>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</si>
  <si>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</si>
  <si>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</si>
  <si>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</si>
  <si>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</si>
  <si>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</si>
  <si>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</si>
  <si>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</si>
  <si>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</si>
  <si>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</si>
  <si>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</si>
  <si>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</si>
  <si>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</si>
  <si>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</si>
  <si>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</si>
  <si>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</si>
  <si>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</si>
  <si>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</si>
  <si>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</si>
  <si>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</si>
  <si>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</si>
  <si>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</si>
  <si>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</si>
  <si>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</si>
  <si>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</si>
  <si>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</si>
  <si>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</si>
  <si>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</si>
  <si>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</si>
  <si>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</si>
  <si>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</si>
  <si>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</si>
  <si>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</si>
  <si>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</si>
  <si>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</si>
  <si>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</si>
  <si>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</si>
  <si>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</si>
  <si>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</si>
  <si>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</si>
  <si>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</si>
  <si>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</si>
  <si>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</si>
  <si>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</si>
  <si>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</si>
  <si>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</si>
  <si>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</si>
  <si>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</si>
  <si>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</si>
  <si>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</si>
  <si>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</si>
  <si>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</si>
  <si>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</si>
  <si>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</si>
  <si>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</si>
  <si>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</si>
  <si>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</si>
  <si>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</si>
  <si>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</si>
  <si>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</si>
  <si>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</si>
  <si>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</si>
  <si>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</si>
  <si>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</si>
  <si>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</si>
  <si>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</si>
  <si>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</si>
  <si>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</si>
  <si>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</si>
  <si>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</si>
  <si>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</si>
  <si>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</si>
  <si>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</si>
  <si>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</si>
  <si>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</si>
  <si>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</si>
  <si>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</si>
  <si>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</si>
  <si>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</si>
  <si>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</si>
  <si>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</si>
  <si>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</si>
  <si>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</si>
  <si>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</si>
  <si>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</si>
  <si>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</si>
  <si>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</si>
  <si>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</si>
  <si>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</si>
  <si>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</si>
  <si>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</si>
  <si>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</si>
  <si>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</si>
  <si>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</si>
  <si>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</si>
  <si>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</si>
  <si>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</si>
  <si>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</si>
  <si>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</si>
  <si>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</si>
  <si>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</si>
  <si>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</si>
  <si>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</si>
  <si>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</si>
  <si>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</si>
  <si>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</si>
  <si>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</si>
  <si>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</si>
  <si>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</si>
  <si>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</si>
  <si>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</si>
  <si>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</si>
  <si>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</si>
  <si>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</si>
  <si>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</si>
  <si>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</si>
  <si>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</si>
  <si>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</si>
  <si>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</si>
  <si>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</si>
  <si>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</si>
  <si>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</si>
  <si>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</si>
  <si>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</si>
  <si>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</si>
  <si>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</si>
  <si>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</si>
  <si>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</si>
  <si>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</si>
  <si>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</si>
  <si>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</si>
  <si>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</si>
  <si>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</si>
  <si>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</si>
  <si>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</si>
  <si>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</si>
  <si>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</si>
  <si>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</si>
  <si>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</si>
  <si>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</si>
  <si>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</si>
  <si>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</si>
  <si>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</si>
  <si>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</si>
  <si>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</si>
  <si>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</si>
  <si>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</si>
  <si>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</si>
  <si>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</si>
  <si>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</si>
  <si>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</si>
  <si>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</si>
  <si>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</si>
  <si>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</si>
  <si>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</si>
  <si>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</si>
  <si>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</si>
  <si>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</si>
  <si>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</si>
  <si>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</si>
  <si>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</si>
  <si>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</si>
  <si>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</si>
  <si>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</si>
  <si>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</si>
  <si>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</si>
  <si>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</si>
  <si>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</si>
  <si>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</si>
  <si>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</si>
  <si>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</si>
  <si>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</si>
  <si>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</si>
  <si>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</si>
  <si>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</si>
  <si>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</si>
  <si>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</si>
  <si>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</si>
  <si>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</si>
  <si>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</si>
  <si>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</si>
  <si>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</si>
  <si>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</si>
  <si>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</si>
  <si>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</si>
  <si>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</si>
  <si>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</si>
  <si>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</si>
  <si>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</si>
  <si>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</si>
  <si>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</si>
  <si>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</si>
  <si>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</si>
  <si>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</si>
  <si>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</si>
  <si>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</si>
  <si>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</si>
  <si>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</si>
  <si>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</si>
  <si>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</si>
  <si>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</si>
  <si>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</si>
  <si>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</si>
  <si>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</si>
  <si>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</si>
  <si>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</si>
  <si>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</si>
  <si>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</si>
  <si>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</si>
  <si>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</si>
  <si>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</si>
  <si>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</si>
  <si>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</si>
  <si>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</si>
  <si>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</si>
  <si>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</si>
  <si>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</si>
  <si>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</si>
  <si>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</si>
  <si>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</si>
  <si>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</si>
  <si>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</si>
  <si>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</si>
  <si>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</si>
  <si>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</si>
  <si>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</si>
  <si>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</si>
  <si>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</si>
  <si>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</si>
  <si>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</si>
  <si>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</si>
  <si>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</si>
  <si>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</si>
  <si>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</si>
  <si>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</si>
  <si>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</si>
  <si>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</si>
  <si>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</si>
  <si>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</si>
  <si>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</si>
  <si>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</si>
  <si>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</si>
  <si>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</si>
  <si>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</si>
  <si>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</si>
  <si>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</si>
  <si>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</si>
  <si>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</si>
  <si>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</si>
  <si>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</si>
  <si>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</si>
  <si>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</si>
  <si>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</si>
  <si>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</si>
  <si>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</si>
  <si>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</si>
  <si>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</si>
  <si>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</si>
  <si>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</si>
  <si>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</si>
  <si>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</si>
  <si>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</si>
  <si>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</si>
  <si>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</si>
  <si>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</si>
  <si>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</si>
  <si>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</si>
  <si>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</si>
  <si>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</si>
  <si>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</si>
  <si>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</si>
  <si>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</si>
  <si>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</si>
  <si>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</si>
  <si>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</si>
  <si>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</si>
  <si>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</si>
  <si>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</si>
  <si>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</si>
  <si>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</si>
  <si>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</si>
  <si>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</si>
  <si>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</si>
  <si>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</si>
  <si>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</si>
  <si>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</si>
  <si>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</si>
  <si>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</si>
  <si>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</si>
  <si>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</si>
  <si>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</si>
  <si>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</si>
  <si>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</si>
  <si>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</si>
  <si>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</si>
  <si>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</si>
  <si>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</si>
  <si>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</si>
  <si>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</si>
  <si>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</si>
  <si>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</si>
  <si>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</si>
  <si>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</si>
  <si>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</si>
  <si>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</si>
  <si>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</si>
  <si>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</si>
  <si>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</si>
  <si>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</si>
  <si>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</si>
  <si>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</si>
  <si>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</si>
  <si>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</si>
  <si>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</si>
  <si>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</si>
  <si>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</si>
  <si>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</si>
  <si>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</si>
  <si>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</si>
  <si>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</si>
  <si>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</si>
  <si>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</si>
  <si>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</si>
  <si>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</si>
  <si>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</si>
  <si>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</si>
  <si>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</si>
  <si>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</si>
  <si>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</si>
  <si>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</si>
  <si>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</si>
  <si>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</si>
  <si>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</si>
  <si>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</si>
  <si>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</si>
  <si>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</si>
  <si>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</si>
  <si>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</si>
  <si>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</si>
  <si>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</si>
  <si>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</si>
  <si>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</si>
  <si>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</si>
  <si>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</si>
  <si>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</si>
  <si>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</si>
  <si>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</si>
  <si>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</si>
  <si>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</si>
  <si>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</si>
  <si>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</si>
  <si>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</si>
  <si>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</si>
  <si>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</si>
  <si>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</si>
  <si>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</si>
  <si>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</si>
  <si>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</si>
  <si>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</si>
  <si>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</si>
  <si>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</si>
  <si>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</si>
  <si>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</si>
  <si>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</si>
  <si>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</si>
  <si>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</si>
  <si>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</si>
  <si>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</si>
  <si>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</si>
  <si>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</si>
  <si>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</si>
  <si>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</si>
  <si>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</si>
  <si>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</si>
  <si>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</si>
  <si>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</si>
  <si>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</si>
  <si>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</si>
  <si>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</si>
  <si>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</si>
  <si>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</si>
  <si>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</si>
  <si>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</si>
  <si>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</si>
  <si>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</si>
  <si>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</si>
  <si>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</si>
  <si>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</si>
  <si>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</si>
  <si>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</si>
  <si>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</si>
  <si>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</si>
  <si>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</si>
  <si>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</si>
  <si>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</si>
  <si>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</si>
  <si>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</si>
  <si>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</si>
  <si>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</si>
  <si>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</si>
  <si>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</si>
  <si>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</si>
  <si>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</si>
  <si>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</si>
  <si>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</si>
  <si>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</si>
  <si>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</si>
  <si>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</si>
  <si>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</si>
  <si>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</si>
  <si>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</si>
  <si>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</si>
  <si>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</si>
  <si>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</si>
  <si>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</si>
  <si>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</si>
  <si>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</si>
  <si>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</si>
  <si>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</si>
  <si>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</si>
  <si>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</si>
  <si>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</si>
  <si>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</si>
  <si>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</si>
  <si>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</si>
  <si>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</si>
  <si>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</si>
  <si>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</si>
  <si>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</si>
  <si>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</si>
  <si>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</si>
  <si>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</si>
  <si>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</si>
  <si>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</si>
  <si>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</si>
  <si>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</si>
  <si>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</si>
  <si>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</si>
  <si>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</si>
  <si>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</si>
  <si>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</si>
  <si>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</si>
  <si>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</si>
  <si>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</si>
  <si>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</si>
  <si>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</si>
  <si>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</si>
  <si>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</si>
  <si>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</si>
  <si>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</si>
  <si>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</si>
  <si>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</si>
  <si>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</si>
  <si>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</si>
  <si>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</si>
  <si>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</si>
  <si>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</si>
  <si>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</si>
  <si>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</si>
  <si>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</si>
  <si>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</si>
  <si>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</si>
  <si>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</si>
  <si>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</si>
  <si>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</si>
  <si>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</si>
  <si>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</si>
  <si>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</si>
  <si>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</si>
  <si>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</si>
  <si>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</si>
  <si>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</si>
  <si>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</si>
  <si>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</si>
  <si>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</si>
  <si>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</si>
  <si>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</si>
  <si>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</si>
  <si>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</si>
  <si>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</si>
  <si>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</si>
  <si>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</si>
  <si>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</si>
  <si>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</si>
  <si>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</si>
  <si>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</si>
  <si>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</si>
  <si>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</si>
  <si>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</si>
  <si>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</si>
  <si>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</si>
  <si>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</si>
  <si>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</si>
  <si>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</si>
  <si>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</si>
  <si>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</si>
  <si>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</si>
  <si>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</si>
  <si>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</si>
  <si>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</si>
  <si>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</si>
  <si>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</si>
  <si>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</si>
  <si>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</si>
  <si>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</si>
  <si>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</si>
  <si>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</si>
  <si>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</si>
  <si>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</si>
  <si>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</si>
  <si>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</si>
  <si>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</si>
  <si>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</si>
  <si>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</si>
  <si>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</si>
  <si>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</si>
  <si>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</si>
  <si>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</si>
  <si>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</si>
  <si>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</si>
  <si>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</si>
  <si>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</si>
  <si>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</si>
  <si>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</si>
  <si>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</si>
  <si>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</si>
  <si>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</si>
  <si>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</si>
  <si>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</si>
  <si>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</si>
  <si>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</si>
  <si>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</si>
  <si>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</si>
  <si>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</si>
  <si>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</si>
  <si>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</si>
  <si>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</si>
  <si>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</si>
  <si>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</si>
  <si>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</si>
  <si>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</si>
  <si>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</si>
  <si>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</si>
  <si>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</si>
  <si>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</si>
  <si>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</si>
  <si>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</si>
  <si>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</si>
  <si>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</si>
  <si>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</si>
  <si>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</si>
  <si>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</si>
  <si>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</si>
  <si>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</si>
  <si>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</si>
  <si>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</si>
  <si>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</si>
  <si>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</si>
  <si>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</si>
  <si>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</si>
  <si>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</si>
  <si>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</si>
  <si>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</si>
  <si>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</si>
  <si>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</si>
  <si>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</si>
  <si>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</si>
  <si>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</si>
  <si>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</si>
  <si>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</si>
  <si>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</si>
  <si>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</si>
  <si>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</si>
  <si>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</si>
  <si>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</si>
  <si>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</si>
  <si>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</si>
  <si>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</si>
  <si>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</si>
  <si>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</si>
  <si>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</si>
  <si>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</si>
  <si>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</si>
  <si>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</si>
  <si>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</si>
  <si>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</si>
  <si>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</si>
  <si>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</si>
  <si>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</si>
  <si>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</si>
  <si>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</si>
  <si>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</si>
  <si>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</si>
  <si>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</si>
  <si>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</si>
  <si>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</si>
  <si>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</si>
  <si>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</si>
  <si>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</si>
  <si>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</si>
  <si>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</si>
  <si>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</si>
  <si>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</si>
  <si>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</si>
  <si>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</si>
  <si>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</si>
  <si>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</si>
  <si>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</si>
  <si>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</si>
  <si>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</si>
  <si>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</si>
  <si>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</si>
  <si>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</si>
  <si>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</si>
  <si>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</si>
  <si>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</si>
  <si>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</si>
  <si>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</si>
  <si>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</si>
  <si>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</si>
  <si>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</si>
  <si>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</si>
  <si>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</si>
  <si>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</si>
  <si>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</si>
  <si>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</si>
  <si>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</si>
  <si>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</si>
  <si>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</si>
  <si>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</si>
  <si>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</si>
  <si>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</si>
  <si>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</si>
  <si>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</si>
  <si>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</si>
  <si>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</si>
  <si>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</si>
  <si>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</si>
  <si>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</si>
  <si>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</si>
  <si>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</si>
  <si>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</si>
  <si>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</si>
  <si>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</si>
  <si>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</si>
  <si>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</si>
  <si>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</si>
  <si>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</si>
  <si>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</si>
  <si>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</si>
  <si>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</si>
  <si>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</si>
  <si>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</si>
  <si>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</si>
  <si>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</si>
  <si>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</si>
  <si>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</si>
  <si>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</si>
  <si>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</si>
  <si>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</si>
  <si>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</si>
  <si>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</si>
  <si>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</si>
  <si>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</si>
  <si>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</si>
  <si>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</si>
  <si>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</si>
  <si>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</si>
  <si>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</si>
  <si>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</si>
  <si>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</si>
  <si>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</si>
  <si>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</si>
  <si>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</si>
  <si>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</si>
  <si>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</si>
  <si>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</si>
  <si>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</si>
  <si>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</si>
  <si>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</si>
  <si>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</si>
  <si>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</si>
  <si>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</si>
  <si>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</si>
  <si>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</si>
  <si>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</si>
  <si>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</si>
  <si>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</si>
  <si>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</si>
  <si>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</si>
  <si>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</si>
  <si>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</si>
  <si>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</si>
  <si>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</si>
  <si>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</si>
  <si>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</si>
  <si>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</si>
  <si>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</si>
  <si>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</si>
  <si>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</si>
  <si>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</si>
  <si>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</si>
  <si>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</si>
  <si>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</si>
  <si>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</si>
  <si>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</si>
  <si>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</si>
  <si>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</si>
  <si>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</si>
  <si>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</si>
  <si>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</si>
  <si>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</si>
  <si>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</si>
  <si>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</si>
  <si>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</si>
  <si>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</si>
  <si>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</si>
  <si>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</si>
  <si>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</si>
  <si>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</si>
  <si>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</si>
  <si>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</si>
  <si>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</si>
  <si>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</si>
  <si>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</si>
  <si>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</si>
  <si>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</si>
  <si>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</si>
  <si>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</si>
  <si>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</si>
  <si>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</si>
  <si>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</si>
  <si>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</si>
  <si>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</si>
  <si>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</si>
  <si>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</si>
  <si>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</si>
  <si>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</si>
  <si>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</si>
  <si>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</si>
  <si>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</si>
  <si>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</si>
  <si>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</si>
  <si>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</si>
  <si>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</si>
  <si>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</si>
  <si>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</si>
  <si>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</si>
  <si>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</si>
  <si>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</si>
  <si>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</si>
  <si>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</si>
  <si>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</si>
  <si>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</si>
  <si>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</si>
  <si>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</si>
  <si>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</si>
  <si>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</si>
  <si>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</si>
  <si>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</si>
  <si>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</si>
  <si>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</si>
  <si>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</si>
  <si>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</si>
  <si>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</si>
  <si>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</si>
  <si>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</si>
  <si>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</si>
  <si>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</si>
  <si>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</si>
  <si>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</si>
  <si>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</si>
  <si>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</si>
  <si>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</si>
  <si>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</si>
  <si>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</si>
  <si>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</si>
  <si>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</si>
  <si>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</si>
  <si>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</si>
  <si>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</si>
  <si>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</si>
  <si>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</si>
  <si>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</si>
  <si>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</si>
  <si>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</si>
  <si>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</si>
  <si>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</si>
  <si>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</si>
  <si>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</si>
  <si>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</si>
  <si>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</si>
  <si>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</si>
  <si>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</si>
  <si>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</si>
  <si>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</si>
  <si>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</si>
  <si>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</si>
  <si>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</si>
  <si>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</si>
  <si>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</si>
  <si>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</si>
  <si>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</si>
  <si>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</si>
  <si>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</si>
  <si>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</si>
  <si>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</si>
  <si>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</si>
  <si>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</si>
  <si>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</si>
  <si>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</si>
  <si>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</si>
  <si>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</si>
  <si>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</si>
  <si>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</si>
  <si>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</si>
  <si>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</si>
  <si>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</si>
  <si>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</si>
  <si>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</si>
  <si>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</si>
  <si>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</si>
  <si>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</si>
  <si>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</si>
  <si>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</si>
  <si>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</si>
  <si>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</si>
  <si>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</si>
  <si>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</si>
  <si>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</si>
  <si>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</si>
  <si>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</si>
  <si>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</si>
  <si>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</si>
  <si>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</si>
  <si>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</si>
  <si>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</si>
  <si>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</si>
  <si>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</si>
  <si>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</si>
  <si>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</si>
  <si>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</si>
  <si>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</si>
  <si>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</si>
  <si>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</si>
  <si>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</si>
  <si>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</si>
  <si>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</si>
  <si>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</si>
  <si>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</si>
  <si>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</si>
  <si>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</si>
  <si>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</si>
  <si>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</si>
  <si>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</si>
  <si>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</si>
  <si>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</si>
  <si>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</si>
  <si>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</si>
  <si>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</si>
  <si>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</si>
  <si>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</si>
  <si>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</si>
  <si>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</si>
  <si>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</si>
  <si>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</si>
  <si>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</si>
  <si>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</si>
  <si>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</si>
  <si>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</si>
  <si>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</si>
  <si>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</si>
  <si>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</si>
  <si>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</si>
  <si>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</si>
  <si>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</si>
  <si>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</si>
  <si>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</si>
  <si>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</si>
  <si>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</si>
  <si>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</si>
  <si>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</si>
  <si>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</si>
  <si>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</si>
  <si>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</si>
  <si>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</si>
  <si>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</si>
  <si>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</si>
  <si>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</si>
  <si>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</si>
  <si>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</si>
  <si>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</si>
  <si>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</si>
  <si>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</si>
  <si>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</si>
  <si>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</si>
  <si>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</si>
  <si>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</si>
  <si>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</si>
  <si>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</si>
  <si>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</si>
  <si>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</si>
  <si>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</si>
  <si>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</si>
  <si>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</si>
  <si>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</si>
  <si>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</si>
  <si>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</si>
  <si>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</si>
  <si>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</si>
  <si>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</si>
  <si>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</si>
  <si>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</si>
  <si>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</si>
  <si>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</si>
  <si>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</si>
  <si>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</si>
  <si>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</si>
  <si>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</si>
  <si>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</si>
  <si>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</si>
  <si>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</si>
  <si>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</si>
  <si>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</si>
  <si>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</si>
  <si>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</si>
  <si>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</si>
  <si>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</si>
  <si>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</si>
  <si>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</si>
  <si>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</si>
  <si>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</si>
  <si>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</si>
  <si>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</si>
  <si>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</si>
  <si>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</si>
  <si>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</si>
  <si>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</si>
  <si>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</si>
  <si>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</si>
  <si>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</si>
  <si>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</si>
  <si>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</si>
  <si>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</si>
  <si>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</si>
  <si>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</si>
  <si>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</si>
  <si>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</si>
  <si>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</si>
  <si>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</si>
  <si>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</si>
  <si>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</si>
  <si>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</si>
  <si>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</si>
  <si>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</si>
  <si>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</si>
  <si>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</si>
  <si>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</si>
  <si>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</si>
  <si>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</si>
  <si>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</si>
  <si>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</si>
  <si>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</si>
  <si>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</si>
  <si>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</si>
  <si>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</si>
  <si>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</si>
  <si>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</si>
  <si>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</si>
  <si>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</si>
  <si>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</si>
  <si>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</si>
  <si>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</si>
  <si>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</si>
  <si>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</si>
  <si>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</si>
  <si>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</si>
  <si>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</si>
  <si>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</si>
  <si>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</si>
  <si>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</si>
  <si>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</si>
  <si>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</si>
  <si>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</si>
  <si>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</si>
  <si>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</si>
  <si>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</si>
  <si>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</si>
  <si>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</si>
  <si>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</si>
  <si>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</si>
  <si>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</si>
  <si>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</si>
  <si>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</si>
  <si>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</si>
  <si>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</si>
  <si>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</si>
  <si>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</si>
  <si>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</si>
  <si>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</si>
  <si>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</si>
  <si>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</si>
  <si>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</si>
  <si>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</si>
  <si>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</si>
  <si>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</si>
  <si>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</si>
  <si>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</si>
  <si>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</si>
  <si>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</si>
  <si>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</si>
  <si>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</si>
  <si>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</si>
  <si>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</si>
  <si>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</si>
  <si>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</si>
  <si>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</si>
  <si>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</si>
  <si>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</si>
  <si>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</si>
  <si>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</si>
  <si>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</si>
  <si>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</si>
  <si>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</si>
  <si>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</si>
  <si>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</si>
  <si>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</si>
  <si>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</si>
  <si>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</si>
  <si>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</si>
  <si>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</si>
  <si>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</si>
  <si>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</si>
  <si>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</si>
  <si>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</si>
  <si>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</si>
  <si>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</si>
  <si>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</si>
  <si>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</si>
  <si>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</si>
  <si>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</si>
  <si>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</si>
  <si>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</si>
  <si>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</si>
  <si>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</si>
  <si>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</si>
  <si>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</si>
  <si>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</si>
  <si>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</si>
  <si>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</si>
  <si>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</si>
  <si>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</si>
  <si>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</si>
  <si>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</si>
  <si>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</si>
  <si>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</si>
  <si>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</si>
  <si>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</si>
  <si>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</si>
  <si>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</si>
  <si>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</si>
  <si>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</si>
  <si>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</si>
  <si>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</si>
  <si>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</si>
  <si>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</si>
  <si>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</si>
  <si>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</si>
  <si>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</si>
  <si>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</si>
  <si>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</si>
  <si>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</si>
  <si>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</si>
  <si>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</si>
  <si>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</si>
  <si>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</si>
  <si>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</si>
  <si>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</si>
  <si>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</si>
  <si>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</si>
  <si>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</si>
  <si>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</si>
  <si>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</si>
  <si>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</si>
  <si>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</si>
  <si>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</si>
  <si>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</si>
  <si>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</si>
  <si>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</si>
  <si>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</si>
  <si>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</si>
  <si>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</si>
  <si>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</si>
  <si>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</si>
  <si>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</si>
  <si>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</si>
  <si>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</si>
  <si>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</si>
  <si>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</si>
  <si>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</si>
  <si>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</si>
  <si>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</si>
  <si>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</si>
  <si>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</si>
  <si>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</si>
  <si>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</si>
  <si>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</si>
  <si>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</si>
  <si>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</si>
  <si>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</si>
  <si>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</si>
  <si>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</si>
  <si>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</si>
  <si>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</si>
  <si>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</si>
  <si>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</si>
  <si>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</si>
  <si>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</si>
  <si>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</si>
  <si>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</si>
  <si>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</si>
  <si>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</si>
  <si>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</si>
  <si>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</si>
  <si>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</si>
  <si>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</si>
  <si>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</si>
  <si>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</si>
  <si>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</si>
  <si>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</si>
  <si>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</si>
  <si>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</si>
  <si>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</si>
  <si>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</si>
  <si>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</si>
  <si>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</si>
  <si>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</si>
  <si>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</si>
  <si>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</si>
  <si>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</si>
  <si>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</si>
  <si>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</si>
  <si>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</si>
  <si>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</si>
  <si>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</si>
  <si>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</si>
  <si>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</si>
  <si>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</si>
  <si>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</si>
  <si>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</si>
  <si>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</si>
  <si>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</si>
  <si>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</si>
  <si>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</si>
  <si>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</si>
  <si>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</si>
  <si>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</si>
  <si>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</si>
  <si>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</si>
  <si>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</si>
  <si>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</si>
  <si>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</si>
  <si>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</si>
  <si>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</si>
  <si>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</si>
  <si>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</si>
  <si>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</si>
  <si>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</si>
  <si>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</si>
  <si>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</si>
  <si>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</si>
  <si>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</si>
  <si>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</si>
  <si>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</si>
  <si>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</si>
  <si>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</si>
  <si>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</si>
  <si>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</si>
  <si>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</si>
  <si>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</si>
  <si>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</si>
  <si>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</si>
  <si>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</si>
  <si>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</si>
  <si>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</si>
  <si>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</si>
  <si>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</si>
  <si>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</si>
  <si>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</si>
  <si>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</si>
  <si>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</si>
  <si>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</si>
  <si>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</si>
  <si>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</si>
  <si>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</si>
  <si>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</si>
  <si>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</si>
  <si>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</si>
  <si>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</si>
  <si>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</si>
  <si>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</si>
  <si>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</si>
  <si>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</si>
  <si>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</si>
  <si>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</si>
  <si>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</si>
  <si>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</si>
  <si>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</si>
  <si>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</si>
  <si>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</si>
  <si>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</si>
  <si>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</si>
  <si>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</si>
  <si>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</si>
  <si>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</si>
  <si>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</si>
  <si>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</si>
  <si>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</si>
  <si>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</si>
  <si>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</si>
  <si>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</si>
  <si>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</si>
  <si>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</si>
  <si>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</si>
  <si>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</si>
  <si>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</si>
  <si>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</si>
  <si>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</si>
  <si>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</si>
  <si>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</si>
  <si>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</si>
  <si>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</si>
  <si>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</si>
  <si>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</si>
  <si>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</si>
  <si>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</si>
  <si>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</si>
  <si>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</si>
  <si>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</si>
  <si>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</si>
  <si>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</si>
  <si>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</si>
  <si>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</si>
  <si>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</si>
  <si>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</si>
  <si>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</si>
  <si>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</si>
  <si>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</si>
  <si>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</si>
  <si>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</si>
  <si>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</si>
  <si>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</si>
  <si>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</si>
  <si>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</si>
  <si>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</si>
  <si>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</si>
  <si>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</si>
  <si>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</si>
  <si>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</si>
  <si>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</si>
  <si>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</si>
  <si>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</si>
  <si>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</si>
  <si>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</si>
  <si>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</si>
  <si>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</si>
  <si>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</si>
  <si>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</si>
  <si>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</si>
  <si>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</si>
  <si>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</si>
  <si>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</si>
  <si>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</si>
  <si>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</si>
  <si>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</si>
  <si>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</si>
  <si>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</si>
  <si>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</si>
  <si>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</si>
  <si>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</si>
  <si>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</si>
  <si>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</si>
  <si>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</si>
  <si>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</si>
  <si>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</si>
  <si>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</si>
  <si>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</si>
  <si>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</si>
  <si>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</si>
  <si>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</si>
  <si>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</si>
  <si>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</si>
  <si>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</si>
  <si>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</si>
  <si>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</si>
  <si>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</si>
  <si>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</si>
  <si>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</si>
  <si>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</si>
  <si>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</si>
  <si>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</si>
  <si>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</si>
  <si>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</si>
  <si>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</si>
  <si>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</si>
  <si>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</si>
  <si>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</si>
  <si>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</si>
  <si>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</si>
  <si>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</si>
  <si>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</si>
  <si>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</si>
  <si>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</si>
  <si>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</si>
  <si>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</si>
  <si>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</si>
  <si>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</si>
  <si>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</si>
  <si>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</si>
  <si>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</si>
  <si>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</si>
  <si>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</si>
  <si>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</si>
  <si>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</si>
  <si>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</si>
  <si>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</si>
  <si>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</si>
  <si>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</si>
  <si>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</si>
  <si>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</si>
  <si>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</si>
  <si>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</si>
  <si>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</si>
  <si>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</si>
  <si>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</si>
  <si>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</si>
  <si>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</si>
  <si>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</si>
  <si>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</si>
  <si>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</si>
  <si>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</si>
  <si>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</si>
  <si>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</si>
  <si>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</si>
  <si>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</si>
  <si>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</si>
  <si>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</si>
  <si>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</si>
  <si>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</si>
  <si>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</si>
  <si>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</si>
  <si>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</si>
  <si>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</si>
  <si>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</si>
  <si>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</si>
  <si>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</si>
  <si>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</si>
  <si>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</si>
  <si>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</si>
  <si>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</si>
  <si>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</si>
  <si>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</si>
  <si>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</si>
  <si>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</si>
  <si>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</si>
  <si>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</si>
  <si>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</si>
  <si>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</si>
  <si>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</si>
  <si>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</si>
  <si>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</si>
  <si>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</si>
  <si>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</si>
  <si>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</si>
  <si>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</si>
  <si>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</si>
  <si>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</si>
  <si>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</si>
  <si>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</si>
  <si>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</si>
  <si>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</si>
  <si>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</si>
  <si>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</si>
  <si>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</si>
  <si>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</si>
  <si>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</si>
  <si>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Remove external link dependencies (='C:\...\oldWorsheet]|SWAP Data Volumns'!...)</t>
  </si>
  <si>
    <t xml:space="preserve"> HSK3 →</t>
  </si>
  <si>
    <t>B14:B183</t>
  </si>
  <si>
    <t>250_3 full, forward calc</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</si>
  <si>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</si>
  <si>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</si>
  <si>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</si>
  <si>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</si>
  <si>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</si>
  <si>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</si>
  <si>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</si>
  <si>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</si>
  <si>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</si>
  <si>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</si>
  <si>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</si>
  <si>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</si>
  <si>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</si>
  <si>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</si>
  <si>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</si>
  <si>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</si>
  <si>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</si>
  <si>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</si>
  <si>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</si>
  <si>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</si>
  <si>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</si>
  <si>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</si>
  <si>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</si>
  <si>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</si>
  <si>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</si>
  <si>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</si>
  <si>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</si>
  <si>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</si>
  <si>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</si>
  <si>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</si>
  <si>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</si>
  <si>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</si>
  <si>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</si>
  <si>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</si>
  <si>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</si>
  <si>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</si>
  <si>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</si>
  <si>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</si>
  <si>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</si>
  <si>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</si>
  <si>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</si>
  <si>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</si>
  <si>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</si>
  <si>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</si>
  <si>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</si>
  <si>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</si>
  <si>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</si>
  <si>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</si>
  <si>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</si>
  <si>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</si>
  <si>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</si>
  <si>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</si>
  <si>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</si>
  <si>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</si>
  <si>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</si>
  <si>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</si>
  <si>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</si>
  <si>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</si>
  <si>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</si>
  <si>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</si>
  <si>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</si>
  <si>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</si>
  <si>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 xml:space="preserve">TRK_267_1         2026-267T11:06:00     0.602227        0.532060      0.000000       0.000000 </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</si>
  <si>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</si>
  <si>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</si>
  <si>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</si>
  <si>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</si>
  <si>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</si>
  <si>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</si>
  <si>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</si>
  <si>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</si>
  <si>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</si>
  <si>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</si>
  <si>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</si>
  <si>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</si>
  <si>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</si>
  <si>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</si>
  <si>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</si>
  <si>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S</t>
  </si>
  <si>
    <t>SE</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</si>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</sst>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5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5">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5" fillId="0" borderId="0" xfId="4" applyFont="1"/>
    <xf numFmtId="0" fontId="6" fillId="0" borderId="0" xfId="4" applyFont="1"/>
    <xf numFmtId="164" fontId="5" fillId="0" borderId="0" xfId="4" applyNumberFormat="1" applyFont="1" applyAlignment="1">
      <alignment horizontal="right"/>
    </xf>
    <xf numFmtId="0" fontId="66" fillId="0" borderId="0" xfId="4" applyFont="1" applyAlignment="1">
      <alignment horizontal="center"/>
    </xf>
    <xf numFmtId="0" fontId="52" fillId="0" borderId="0" xfId="4" applyFont="1" applyAlignment="1">
      <alignment horizontal="center"/>
    </xf>
    <xf numFmtId="0" fontId="11" fillId="0" borderId="27" xfId="0" applyFont="1" applyBorder="1" applyAlignment="1">
      <alignment horizontal="right"/>
    </xf>
    <xf numFmtId="0" fontId="11"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0" fontId="19" fillId="0" borderId="0" xfId="0" applyFont="1"/>
    <xf numFmtId="0" fontId="0" fillId="56"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24" fillId="0" borderId="0" xfId="0" applyFont="1" applyAlignment="1">
      <alignment horizontal="center"/>
    </xf>
    <xf numFmtId="0" fontId="0" fillId="58" borderId="30" xfId="0" applyFill="1" applyBorder="1" applyAlignment="1">
      <alignment horizontal="center"/>
    </xf>
    <xf numFmtId="168" fontId="0" fillId="58" borderId="30"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0"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3" fontId="58" fillId="0" borderId="0" xfId="3" applyNumberFormat="1"/>
    <xf numFmtId="174"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1" xfId="0" applyFont="1" applyBorder="1" applyAlignment="1">
      <alignment horizontal="center"/>
    </xf>
    <xf numFmtId="0" fontId="18" fillId="0" borderId="8" xfId="0" applyFont="1" applyBorder="1" applyAlignment="1">
      <alignment horizontal="center"/>
    </xf>
    <xf numFmtId="0" fontId="18" fillId="0" borderId="32"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9"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1"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2" borderId="8" xfId="0" applyNumberFormat="1" applyFont="1" applyFill="1" applyBorder="1" applyAlignment="1">
      <alignment horizontal="center"/>
    </xf>
    <xf numFmtId="2" fontId="17" fillId="63" borderId="0" xfId="1" applyNumberFormat="1" applyFont="1" applyFill="1" applyAlignment="1">
      <alignment horizontal="center"/>
    </xf>
    <xf numFmtId="0" fontId="11" fillId="35" borderId="19" xfId="0" applyFont="1" applyFill="1" applyBorder="1"/>
    <xf numFmtId="1" fontId="21" fillId="42" borderId="35" xfId="0" applyNumberFormat="1" applyFont="1" applyFill="1" applyBorder="1" applyAlignment="1">
      <alignment horizontal="center"/>
    </xf>
    <xf numFmtId="1" fontId="0" fillId="35" borderId="1" xfId="0" applyNumberFormat="1" applyFill="1" applyBorder="1" applyAlignment="1">
      <alignment horizontal="center"/>
    </xf>
    <xf numFmtId="0" fontId="11" fillId="63" borderId="0" xfId="0" applyFont="1" applyFill="1" applyAlignment="1">
      <alignment horizontal="center"/>
    </xf>
    <xf numFmtId="0" fontId="0" fillId="35" borderId="36"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4" borderId="0" xfId="0" applyFill="1"/>
    <xf numFmtId="0" fontId="46" fillId="64" borderId="22" xfId="0" applyFont="1" applyFill="1" applyBorder="1"/>
    <xf numFmtId="0" fontId="70" fillId="61" borderId="22" xfId="0" applyFont="1" applyFill="1" applyBorder="1"/>
    <xf numFmtId="0" fontId="47" fillId="61"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7" xfId="0" applyNumberFormat="1" applyBorder="1"/>
    <xf numFmtId="0" fontId="0" fillId="0" borderId="38" xfId="0" applyBorder="1"/>
    <xf numFmtId="0" fontId="17" fillId="16" borderId="38" xfId="1" applyFont="1" applyFill="1" applyBorder="1"/>
    <xf numFmtId="169" fontId="21" fillId="21" borderId="38" xfId="0" applyNumberFormat="1" applyFont="1" applyFill="1" applyBorder="1" applyAlignment="1">
      <alignment horizontal="center"/>
    </xf>
    <xf numFmtId="1" fontId="21" fillId="21" borderId="38" xfId="0" applyNumberFormat="1" applyFont="1" applyFill="1" applyBorder="1" applyAlignment="1">
      <alignment horizontal="center"/>
    </xf>
    <xf numFmtId="1" fontId="21" fillId="4" borderId="38" xfId="0" applyNumberFormat="1" applyFont="1" applyFill="1" applyBorder="1" applyAlignment="1">
      <alignment horizontal="center"/>
    </xf>
    <xf numFmtId="1" fontId="50" fillId="0" borderId="38" xfId="0" applyNumberFormat="1" applyFont="1" applyBorder="1" applyAlignment="1">
      <alignment horizontal="center"/>
    </xf>
    <xf numFmtId="1" fontId="0" fillId="0" borderId="38" xfId="0" applyNumberFormat="1" applyBorder="1" applyAlignment="1">
      <alignment horizontal="center"/>
    </xf>
    <xf numFmtId="0" fontId="0" fillId="0" borderId="38" xfId="0" applyBorder="1" applyAlignment="1">
      <alignment horizontal="center"/>
    </xf>
    <xf numFmtId="1" fontId="0" fillId="4" borderId="38" xfId="0" applyNumberFormat="1" applyFill="1" applyBorder="1" applyAlignment="1">
      <alignment horizontal="center"/>
    </xf>
    <xf numFmtId="0" fontId="11" fillId="4" borderId="38" xfId="0" applyFont="1" applyFill="1" applyBorder="1" applyAlignment="1">
      <alignment horizontal="center"/>
    </xf>
    <xf numFmtId="0" fontId="17" fillId="2" borderId="38" xfId="1" applyFont="1" applyFill="1" applyBorder="1" applyAlignment="1">
      <alignment vertical="center" wrapText="1"/>
    </xf>
    <xf numFmtId="0" fontId="0" fillId="0" borderId="39" xfId="0" applyBorder="1"/>
    <xf numFmtId="0" fontId="0" fillId="0" borderId="40"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4"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5"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6" borderId="5" xfId="0" applyNumberFormat="1" applyFill="1" applyBorder="1" applyAlignment="1">
      <alignment horizontal="center"/>
    </xf>
    <xf numFmtId="0" fontId="11" fillId="66"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11" fillId="10" borderId="0" xfId="0" applyFont="1" applyFill="1" applyAlignment="1">
      <alignment horizontal="center"/>
    </xf>
    <xf numFmtId="0" fontId="0" fillId="49" borderId="30" xfId="0" applyFill="1" applyBorder="1" applyAlignment="1">
      <alignment horizontal="center"/>
    </xf>
    <xf numFmtId="0" fontId="0" fillId="67" borderId="10" xfId="0" applyFill="1" applyBorder="1"/>
    <xf numFmtId="0" fontId="0" fillId="67" borderId="10" xfId="0" applyFill="1" applyBorder="1" applyAlignment="1">
      <alignment horizontal="center"/>
    </xf>
    <xf numFmtId="171" fontId="0" fillId="67" borderId="0" xfId="0" applyNumberFormat="1" applyFill="1"/>
    <xf numFmtId="0" fontId="0" fillId="54" borderId="12" xfId="0" applyFill="1" applyBorder="1" applyAlignment="1">
      <alignment horizontal="center"/>
    </xf>
    <xf numFmtId="0" fontId="0" fillId="0" borderId="12" xfId="0" applyBorder="1" applyAlignment="1">
      <alignment horizontal="right"/>
    </xf>
    <xf numFmtId="0" fontId="18" fillId="0" borderId="0" xfId="0" applyFont="1" applyAlignment="1">
      <alignment horizontal="center"/>
    </xf>
    <xf numFmtId="0" fontId="0" fillId="0" borderId="33"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3"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2" xfId="0" applyFont="1" applyFill="1" applyBorder="1" applyAlignment="1">
      <alignment horizontal="center"/>
    </xf>
    <xf numFmtId="0" fontId="18" fillId="68" borderId="33" xfId="0" applyFont="1" applyFill="1" applyBorder="1" applyAlignment="1">
      <alignment horizontal="center"/>
    </xf>
    <xf numFmtId="0" fontId="18" fillId="68" borderId="4" xfId="0" applyFont="1" applyFill="1" applyBorder="1" applyAlignment="1">
      <alignment horizontal="center"/>
    </xf>
    <xf numFmtId="0" fontId="18" fillId="68" borderId="42" xfId="0" applyFont="1" applyFill="1" applyBorder="1"/>
    <xf numFmtId="0" fontId="18" fillId="68" borderId="4" xfId="0" applyFont="1" applyFill="1" applyBorder="1"/>
    <xf numFmtId="0" fontId="71" fillId="69" borderId="4" xfId="0" applyFont="1" applyFill="1" applyBorder="1"/>
    <xf numFmtId="0" fontId="71" fillId="69" borderId="24" xfId="0" applyFont="1" applyFill="1" applyBorder="1" applyAlignment="1">
      <alignment horizontal="center"/>
    </xf>
    <xf numFmtId="0" fontId="71" fillId="69" borderId="0" xfId="0" applyFont="1" applyFill="1" applyAlignment="1">
      <alignment horizontal="center"/>
    </xf>
    <xf numFmtId="0" fontId="71" fillId="69" borderId="12" xfId="0" applyFont="1" applyFill="1" applyBorder="1" applyAlignment="1">
      <alignment horizontal="center"/>
    </xf>
    <xf numFmtId="0" fontId="71" fillId="70" borderId="6" xfId="0" applyFont="1" applyFill="1" applyBorder="1" applyAlignment="1">
      <alignment horizontal="center"/>
    </xf>
    <xf numFmtId="0" fontId="71" fillId="70" borderId="20" xfId="0" applyFont="1" applyFill="1" applyBorder="1" applyAlignment="1">
      <alignment horizontal="center"/>
    </xf>
    <xf numFmtId="0" fontId="71" fillId="70" borderId="0" xfId="0" applyFont="1" applyFill="1" applyAlignment="1">
      <alignment horizontal="center"/>
    </xf>
    <xf numFmtId="0" fontId="71" fillId="71" borderId="0" xfId="0" applyFont="1" applyFill="1" applyAlignment="1">
      <alignment horizontal="center"/>
    </xf>
    <xf numFmtId="0" fontId="0" fillId="0" borderId="0" xfId="0" applyAlignment="1">
      <alignment wrapText="1"/>
    </xf>
    <xf numFmtId="0" fontId="18" fillId="72" borderId="5" xfId="0" applyFont="1" applyFill="1" applyBorder="1"/>
    <xf numFmtId="0" fontId="0" fillId="73" borderId="21" xfId="0" applyFill="1" applyBorder="1"/>
    <xf numFmtId="0" fontId="0" fillId="73" borderId="23" xfId="0" applyFill="1" applyBorder="1"/>
    <xf numFmtId="0" fontId="0" fillId="73" borderId="1" xfId="0" applyFill="1" applyBorder="1"/>
    <xf numFmtId="0" fontId="0" fillId="73" borderId="1" xfId="0" applyFill="1" applyBorder="1" applyAlignment="1">
      <alignment horizontal="right"/>
    </xf>
    <xf numFmtId="0" fontId="0" fillId="73" borderId="19" xfId="0" applyFill="1" applyBorder="1"/>
    <xf numFmtId="0" fontId="18" fillId="73" borderId="41" xfId="0" applyFont="1" applyFill="1" applyBorder="1" applyAlignment="1">
      <alignment horizontal="center"/>
    </xf>
    <xf numFmtId="0" fontId="0" fillId="73" borderId="44" xfId="0" applyFill="1" applyBorder="1"/>
    <xf numFmtId="0" fontId="0" fillId="72" borderId="45" xfId="0" applyFill="1" applyBorder="1"/>
    <xf numFmtId="0" fontId="0" fillId="74"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6" xfId="0" applyFont="1" applyBorder="1" applyAlignment="1">
      <alignment horizontal="center" vertical="top"/>
    </xf>
    <xf numFmtId="0" fontId="61" fillId="0" borderId="54" xfId="0" applyFont="1" applyBorder="1" applyAlignment="1">
      <alignment horizontal="center" vertical="top"/>
    </xf>
    <xf numFmtId="0" fontId="61" fillId="0" borderId="53" xfId="0" applyFont="1" applyBorder="1" applyAlignment="1">
      <alignment horizontal="center" vertical="top"/>
    </xf>
    <xf numFmtId="0" fontId="59" fillId="0" borderId="11" xfId="0" applyFont="1" applyBorder="1" applyAlignment="1">
      <alignment horizontal="right" vertical="top"/>
    </xf>
    <xf numFmtId="0" fontId="61" fillId="0" borderId="47" xfId="0" applyFont="1" applyBorder="1" applyAlignment="1">
      <alignment horizontal="center" vertical="top"/>
    </xf>
    <xf numFmtId="0" fontId="61" fillId="0" borderId="10" xfId="0" applyFont="1" applyBorder="1" applyAlignment="1">
      <alignment horizontal="center" vertical="top"/>
    </xf>
    <xf numFmtId="0" fontId="61" fillId="0" borderId="52" xfId="0" applyFont="1" applyBorder="1" applyAlignment="1">
      <alignment horizontal="center" vertical="top"/>
    </xf>
    <xf numFmtId="0" fontId="61" fillId="0" borderId="51" xfId="0" applyFont="1" applyBorder="1" applyAlignment="1">
      <alignment horizontal="right" vertical="center" wrapText="1"/>
    </xf>
    <xf numFmtId="0" fontId="59" fillId="0" borderId="34" xfId="0" applyFont="1" applyBorder="1" applyAlignment="1">
      <alignment horizontal="center" vertical="center" wrapText="1"/>
    </xf>
    <xf numFmtId="0" fontId="59" fillId="0" borderId="25" xfId="0" applyFont="1" applyBorder="1" applyAlignment="1">
      <alignment horizontal="center" vertical="center" wrapText="1"/>
    </xf>
    <xf numFmtId="0" fontId="73" fillId="0" borderId="26" xfId="0" applyFont="1" applyBorder="1" applyAlignment="1">
      <alignment horizontal="center" vertical="center" wrapText="1"/>
    </xf>
    <xf numFmtId="0" fontId="61" fillId="0" borderId="49" xfId="0" applyFont="1" applyBorder="1" applyAlignment="1">
      <alignment vertical="center"/>
    </xf>
    <xf numFmtId="0" fontId="59" fillId="0" borderId="48" xfId="0" applyFont="1" applyBorder="1" applyAlignment="1">
      <alignment horizontal="center" vertical="top" wrapText="1"/>
    </xf>
    <xf numFmtId="0" fontId="59" fillId="0" borderId="2" xfId="0" applyFont="1" applyBorder="1" applyAlignment="1">
      <alignment horizontal="center" vertical="top" wrapText="1"/>
    </xf>
    <xf numFmtId="0" fontId="73" fillId="0" borderId="40" xfId="0" applyFont="1" applyBorder="1" applyAlignment="1">
      <alignment horizontal="center" vertical="top" wrapText="1"/>
    </xf>
    <xf numFmtId="0" fontId="61" fillId="0" borderId="49" xfId="0" applyFont="1" applyBorder="1" applyAlignment="1">
      <alignment horizontal="right" vertical="center"/>
    </xf>
    <xf numFmtId="0" fontId="59" fillId="0" borderId="40"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50" xfId="0" applyFont="1" applyBorder="1" applyAlignment="1">
      <alignment horizontal="right" vertical="center"/>
    </xf>
    <xf numFmtId="0" fontId="59" fillId="0" borderId="39" xfId="0" applyFont="1" applyBorder="1" applyAlignment="1">
      <alignment horizontal="center" vertical="top" wrapText="1"/>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5" xfId="0" applyFont="1" applyBorder="1" applyAlignment="1">
      <alignment horizontal="center" vertical="top" wrapText="1"/>
    </xf>
    <xf numFmtId="0" fontId="59" fillId="0" borderId="48" xfId="0" applyFont="1" applyBorder="1" applyAlignment="1">
      <alignment horizontal="center" vertical="center" wrapText="1"/>
    </xf>
    <xf numFmtId="0" fontId="74"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0" fontId="0" fillId="0" borderId="28" xfId="0" applyBorder="1" applyAlignment="1">
      <alignment horizontal="center"/>
    </xf>
    <xf numFmtId="172" fontId="0" fillId="55" borderId="0" xfId="0" applyNumberFormat="1" applyFill="1" applyAlignment="1">
      <alignment horizontal="right"/>
    </xf>
    <xf numFmtId="172" fontId="0" fillId="55" borderId="12" xfId="0" applyNumberFormat="1" applyFill="1" applyBorder="1" applyAlignment="1">
      <alignment horizontal="right"/>
    </xf>
    <xf numFmtId="0" fontId="0" fillId="0" borderId="27"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24" borderId="0" xfId="0" applyNumberFormat="1" applyFill="1" applyAlignment="1">
      <alignment horizontal="right"/>
    </xf>
    <xf numFmtId="1" fontId="14" fillId="0" borderId="25" xfId="0" applyNumberFormat="1" applyFont="1" applyBorder="1" applyAlignment="1">
      <alignment horizontal="right"/>
    </xf>
    <xf numFmtId="1" fontId="0" fillId="0" borderId="25" xfId="0" applyNumberFormat="1" applyBorder="1" applyAlignment="1">
      <alignment horizontal="right"/>
    </xf>
    <xf numFmtId="1" fontId="0" fillId="0" borderId="26" xfId="0" applyNumberFormat="1" applyBorder="1" applyAlignment="1">
      <alignment horizontal="right"/>
    </xf>
    <xf numFmtId="1" fontId="12" fillId="54" borderId="0" xfId="0" applyNumberFormat="1" applyFont="1" applyFill="1" applyAlignment="1">
      <alignment horizontal="right"/>
    </xf>
    <xf numFmtId="1" fontId="0" fillId="55" borderId="0" xfId="0" applyNumberFormat="1" applyFill="1" applyAlignment="1">
      <alignment horizontal="right"/>
    </xf>
    <xf numFmtId="1" fontId="0" fillId="24" borderId="8" xfId="0" applyNumberFormat="1" applyFill="1" applyBorder="1" applyAlignment="1">
      <alignment horizontal="right"/>
    </xf>
    <xf numFmtId="1" fontId="12" fillId="54" borderId="12" xfId="0" applyNumberFormat="1" applyFont="1" applyFill="1" applyBorder="1" applyAlignment="1">
      <alignment horizontal="right"/>
    </xf>
    <xf numFmtId="1" fontId="0" fillId="55" borderId="12" xfId="0" quotePrefix="1" applyNumberFormat="1" applyFill="1" applyBorder="1" applyAlignment="1">
      <alignment horizontal="right"/>
    </xf>
    <xf numFmtId="1" fontId="0" fillId="24" borderId="12" xfId="0" applyNumberFormat="1" applyFill="1" applyBorder="1" applyAlignment="1">
      <alignment horizontal="right"/>
    </xf>
    <xf numFmtId="1" fontId="0" fillId="24" borderId="13" xfId="0" applyNumberFormat="1" applyFill="1" applyBorder="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xf numFmtId="0" fontId="59" fillId="0" borderId="4" xfId="0" applyFont="1" applyBorder="1" applyAlignment="1">
      <alignment horizontal="center"/>
    </xf>
    <xf numFmtId="0" fontId="0" fillId="72" borderId="24" xfId="0" applyFill="1" applyBorder="1" applyAlignment="1">
      <alignment wrapText="1"/>
    </xf>
    <xf numFmtId="0" fontId="0" fillId="72" borderId="17" xfId="0" applyFill="1" applyBorder="1" applyAlignment="1">
      <alignment wrapText="1"/>
    </xf>
    <xf numFmtId="0" fontId="0" fillId="72" borderId="1" xfId="0" applyFill="1" applyBorder="1" applyAlignment="1">
      <alignment wrapText="1"/>
    </xf>
    <xf numFmtId="0" fontId="0" fillId="72"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6"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1" fontId="59" fillId="0" borderId="0" xfId="0" applyNumberFormat="1" applyFont="1" applyAlignment="1">
      <alignment horizontal="right"/>
    </xf>
    <xf numFmtId="0" fontId="0" fillId="0" borderId="0" xfId="0" applyNumberFormat="1" applyAlignment="1">
      <alignment horizontal="center"/>
    </xf>
    <xf numFmtId="0" fontId="11" fillId="0" borderId="28" xfId="0" applyNumberFormat="1" applyFont="1" applyBorder="1" applyAlignment="1">
      <alignment horizontal="center"/>
    </xf>
    <xf numFmtId="0" fontId="0" fillId="55" borderId="0" xfId="0" applyNumberFormat="1" applyFill="1" applyAlignment="1">
      <alignment horizontal="right"/>
    </xf>
    <xf numFmtId="0" fontId="0" fillId="55" borderId="12" xfId="0" applyNumberFormat="1" applyFill="1" applyBorder="1" applyAlignment="1">
      <alignment horizontal="right"/>
    </xf>
    <xf numFmtId="0" fontId="0" fillId="0" borderId="0" xfId="0" applyNumberFormat="1"/>
    <xf numFmtId="0" fontId="0" fillId="0" borderId="0" xfId="0" applyNumberFormat="1" applyAlignment="1">
      <alignment wrapText="1"/>
    </xf>
    <xf numFmtId="0" fontId="0" fillId="0" borderId="0" xfId="0" applyAlignment="1"/>
    <xf numFmtId="0" fontId="0" fillId="0" borderId="0" xfId="0" applyNumberFormat="1" applyAlignment="1"/>
    <xf numFmtId="1" fontId="59" fillId="0" borderId="0" xfId="0" applyNumberFormat="1" applyFont="1" applyFill="1" applyAlignment="1">
      <alignment horizontal="right"/>
    </xf>
    <xf numFmtId="1" fontId="12" fillId="0" borderId="0" xfId="0" applyNumberFormat="1" applyFont="1" applyFill="1" applyAlignment="1">
      <alignment horizontal="right"/>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88">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28575</xdr:rowOff>
        </xdr:from>
        <xdr:to>
          <xdr:col>0</xdr:col>
          <xdr:colOff>1704975</xdr:colOff>
          <xdr:row>4</xdr:row>
          <xdr:rowOff>9525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2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2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153</xdr:row>
      <xdr:rowOff>113850</xdr:rowOff>
    </xdr:from>
    <xdr:to>
      <xdr:col>19</xdr:col>
      <xdr:colOff>381135</xdr:colOff>
      <xdr:row>158</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153</xdr:row>
      <xdr:rowOff>133290</xdr:rowOff>
    </xdr:from>
    <xdr:to>
      <xdr:col>17</xdr:col>
      <xdr:colOff>133410</xdr:colOff>
      <xdr:row>153</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153</xdr:row>
      <xdr:rowOff>133290</xdr:rowOff>
    </xdr:from>
    <xdr:to>
      <xdr:col>17</xdr:col>
      <xdr:colOff>274890</xdr:colOff>
      <xdr:row>153</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153</xdr:row>
      <xdr:rowOff>87210</xdr:rowOff>
    </xdr:from>
    <xdr:to>
      <xdr:col>17</xdr:col>
      <xdr:colOff>286770</xdr:colOff>
      <xdr:row>153</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153</xdr:row>
      <xdr:rowOff>120690</xdr:rowOff>
    </xdr:from>
    <xdr:to>
      <xdr:col>17</xdr:col>
      <xdr:colOff>286410</xdr:colOff>
      <xdr:row>153</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156</xdr:row>
      <xdr:rowOff>85425</xdr:rowOff>
    </xdr:from>
    <xdr:to>
      <xdr:col>18</xdr:col>
      <xdr:colOff>183615</xdr:colOff>
      <xdr:row>158</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156</xdr:row>
      <xdr:rowOff>42818</xdr:rowOff>
    </xdr:from>
    <xdr:to>
      <xdr:col>14</xdr:col>
      <xdr:colOff>386213</xdr:colOff>
      <xdr:row>156</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156</xdr:row>
      <xdr:rowOff>33098</xdr:rowOff>
    </xdr:from>
    <xdr:to>
      <xdr:col>14</xdr:col>
      <xdr:colOff>438053</xdr:colOff>
      <xdr:row>156</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0</xdr:col>
          <xdr:colOff>1257300</xdr:colOff>
          <xdr:row>3</xdr:row>
          <xdr:rowOff>180975</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7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xdr:colOff>
          <xdr:row>4</xdr:row>
          <xdr:rowOff>0</xdr:rowOff>
        </xdr:from>
        <xdr:to>
          <xdr:col>0</xdr:col>
          <xdr:colOff>1257300</xdr:colOff>
          <xdr:row>5</xdr:row>
          <xdr:rowOff>161925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1A1E8E87-DFC6-6136-8FB7-4E9FB21E36B7}"/>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rows, then click</a:t>
              </a:r>
            </a:p>
            <a:p>
              <a:pPr algn="ctr" rtl="0">
                <a:defRPr sz="1000"/>
              </a:pPr>
              <a:r>
                <a:rPr lang="en-US" sz="10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Data-Volume-calculation_V36_btc024_demo.xlsm" TargetMode="External"/><Relationship Id="rId1" Type="http://schemas.openxmlformats.org/officeDocument/2006/relationships/externalLinkPath" Target="PEPSSI-Data-Volume-calculation_V36_btc024_dem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pep_ssf"/>
      <sheetName val="sclk_data"/>
      <sheetName val="_tl_template"/>
      <sheetName val="PEPSSI-Data-Volume-calculation_"/>
    </sheetNames>
    <definedNames>
      <definedName name="S_TriggerFormMacro.TriggerFormMacro"/>
    </definedNames>
    <sheetDataSet>
      <sheetData sheetId="0"/>
      <sheetData sheetId="1"/>
      <sheetData sheetId="2"/>
      <sheetData sheetId="3"/>
      <sheetData sheetId="4"/>
      <sheetData sheetId="5"/>
      <sheetData sheetId="6"/>
      <sheetData sheetId="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74" dataCellStyle="Normal 5"/>
    <tableColumn id="4" xr3:uid="{E3799C3A-4B31-4D4E-8397-EE7909C117C2}" uniqueName="4" name="MET" queryTableFieldId="4" dataDxfId="73" dataCellStyle="Normal 5"/>
    <tableColumn id="5" xr3:uid="{DE120A99-B5F2-4B1A-A22E-A9BEEE9C55B0}" uniqueName="5" name="cmd" queryTableFieldId="5" dataDxfId="72" dataCellStyle="Normal 5"/>
    <tableColumn id="6" xr3:uid="{19AF7F27-0D9D-4BCE-A533-94878B619783}" uniqueName="6" name="arg" queryTableFieldId="6" dataDxfId="71" dataCellStyle="Normal 5"/>
    <tableColumn id="14" xr3:uid="{662EB3B0-32F5-402D-80A6-61D3564CADAD}" uniqueName="14" name="a" queryTableFieldId="14" dataDxfId="70" dataCellStyle="Normal 5"/>
    <tableColumn id="1" xr3:uid="{7CF75EA0-B63F-443B-B61A-2AE13C55F8DA}" uniqueName="1" name="MET→UTC" queryTableFieldId="68" dataDxfId="69" dataCellStyle="Normal 5">
      <calculatedColumnFormula array="1">MID(met2utc(PEPSSI_Commanding[[#This Row],[MET]]),3,15)</calculatedColumnFormula>
    </tableColumn>
    <tableColumn id="15" xr3:uid="{9C5328F3-FA02-47D1-83DC-B1DBCA9D89BA}" uniqueName="15" name="cmd+arg" queryTableFieldId="15" dataDxfId="68" dataCellStyle="Normal 5">
      <calculatedColumnFormula>_xlfn.TEXTJOIN("+",TRUE,$C14:$D14)</calculatedColumnFormula>
    </tableColumn>
    <tableColumn id="16" xr3:uid="{F4B97D7B-76B9-472C-BE55-DDF523C91B54}" uniqueName="16" name="Segment_x000a_MET Start" queryTableFieldId="16" dataDxfId="67" dataCellStyle="Normal 5">
      <calculatedColumnFormula>IF($C14="ON",$B14,IF(RIGHT($H13,9)="MET Start","",IF(AND($K14&lt;&gt;0,$K13=1),$B14,$H13)))</calculatedColumnFormula>
    </tableColumn>
    <tableColumn id="17" xr3:uid="{75D7A893-75C0-4A6D-8B25-0B595F60D7D7}" uniqueName="17" name="Segment_x000a_MET End" queryTableFieldId="17" dataDxfId="66" dataCellStyle="Normal 5">
      <calculatedColumnFormula>IF($C14="OFF",$B14,IF($B15="",$B14+31500000,IF($K14=1,$B15,I15)))</calculatedColumnFormula>
    </tableColumn>
    <tableColumn id="18" xr3:uid="{FE7FC58F-1F68-4601-9509-6833A5279466}" uniqueName="18" name="Offset_x000a_fr ON" queryTableFieldId="18" dataDxfId="65" dataCellStyle="Normal 5">
      <calculatedColumnFormula>IF($G14="ON",0,IF(OR(J13="",LEFT(J13,6)="Offset"),"",J13+1))</calculatedColumnFormula>
    </tableColumn>
    <tableColumn id="19" xr3:uid="{2E9987EA-D81C-4D54-957D-0506DB032AC5}" uniqueName="19" name="Offset_x000a_to End" queryTableFieldId="19" dataDxfId="64" dataCellStyle="Normal 5">
      <calculatedColumnFormula>IF($G14="OFF",0,IF(AND($J15&lt;&gt;0,$J14&lt;&gt;9,$G15&lt;&gt;"MAC+111",($B15-$B14)&lt;7200),K15+1,1))</calculatedColumnFormula>
    </tableColumn>
    <tableColumn id="20" xr3:uid="{462F98F8-6248-4D4E-8AD2-6EC7109B2E52}" uniqueName="20" name="b" queryTableFieldId="20" dataDxfId="63" dataCellStyle="Normal 5"/>
    <tableColumn id="21" xr3:uid="{0FBD6B38-B1E1-4E9C-81A5-CA14B2F9084A}" uniqueName="21" name="N1" queryTableFieldId="21" dataDxfId="62" dataCellStyle="Normal 5">
      <calculatedColumnFormula>IF($C14="ON","",IF($C14="N1",$D14,IF(M13="N1","",M13)))</calculatedColumnFormula>
    </tableColumn>
    <tableColumn id="22" xr3:uid="{A5045F8C-7AE0-4763-BBC4-A4CC8954069F}" uniqueName="22" name="N2" queryTableFieldId="22" dataDxfId="61" dataCellStyle="Normal 5">
      <calculatedColumnFormula>IF($C14="ON","",IF($C14="N2",$D14,IF($G14="MAC+103",3,IF($G14="MAC+104",2,IF(N13="N2","",N13)))))</calculatedColumnFormula>
    </tableColumn>
    <tableColumn id="23" xr3:uid="{9B014DB1-4E67-4325-A7FF-B51BB73C144C}" uniqueName="23" name="N3" queryTableFieldId="23" dataDxfId="60" dataCellStyle="Normal 5">
      <calculatedColumnFormula>IF($C14="ON","",IF($C14="N3",$D14,IF(O13="N3","",O13)))</calculatedColumnFormula>
    </tableColumn>
    <tableColumn id="24" xr3:uid="{5660ED6E-B39C-41E9-9202-1674D6671C41}" uniqueName="24" name="STAT" queryTableFieldId="24" dataDxfId="59" dataCellStyle="Normal 5">
      <calculatedColumnFormula>IF($C14="ON","",IF($C14="STAT",$D14,IF(P13="STAT","",P13)))</calculatedColumnFormula>
    </tableColumn>
    <tableColumn id="25" xr3:uid="{12FF0207-469E-4F94-A1F8-EBA478DE17D3}" uniqueName="25" name="N2 disabled" queryTableFieldId="25" dataDxfId="58"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57"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56" dataCellStyle="Normal 5">
      <calculatedColumnFormula>IF($C14="ON","",IF($G14="MAC+102","102",IF(RIGHT(S13,1)="?","",S13)))</calculatedColumnFormula>
    </tableColumn>
    <tableColumn id="28" xr3:uid="{EBBF58EA-A53F-4BBA-A5D0-7897A48C89F7}" uniqueName="28" name="c" queryTableFieldId="28" dataDxfId="55" dataCellStyle="Normal 5"/>
    <tableColumn id="29" xr3:uid="{3369BB1D-534B-4412-A3BF-FEC6F2C8BBA1}" uniqueName="29" name="TrgAssess_x000a_bit/s" queryTableFieldId="29" dataDxfId="54" dataCellStyle="Normal 5">
      <calculatedColumnFormula>IF(OR($N14="",$R14=""),0,U$1/64/$N14)</calculatedColumnFormula>
    </tableColumn>
    <tableColumn id="30" xr3:uid="{55B18AA0-1F9B-467A-B1E9-BA2EE8619FDC}" uniqueName="30" name="BRD_x000a_bit/s" queryTableFieldId="30" dataDxfId="53" dataCellStyle="Normal 5">
      <calculatedColumnFormula>IF(OR($N14="",$R14=""),0,V$1/64/$N14)</calculatedColumnFormula>
    </tableColumn>
    <tableColumn id="31" xr3:uid="{090EFE20-88EA-4674-BD37-BEF6B463F4DB}" uniqueName="31" name="STAT_x000a_bit/s" queryTableFieldId="31" dataDxfId="52" dataCellStyle="Normal 5">
      <calculatedColumnFormula>IF($P14="",0,W$1/$P14)</calculatedColumnFormula>
    </tableColumn>
    <tableColumn id="32" xr3:uid="{B18EAE2A-70E1-4898-A71B-5A3C36BF4EE0}" uniqueName="32" name="N1_x000a_bit/s" queryTableFieldId="32" dataDxfId="51" dataCellStyle="Normal 5">
      <calculatedColumnFormula>IF($M14="",0,X$1/$M14)</calculatedColumnFormula>
    </tableColumn>
    <tableColumn id="33" xr3:uid="{E4838A52-964A-4DE1-B5E0-0AE42E730F68}" uniqueName="33" name="N2_x000a_bit/s" queryTableFieldId="33" dataDxfId="50" dataCellStyle="Normal 5">
      <calculatedColumnFormula>IF(OR($N14="",$Q14&lt;&gt;""),0,Y$1/$N14)</calculatedColumnFormula>
    </tableColumn>
    <tableColumn id="34" xr3:uid="{FB6527D2-6F60-4531-AE7F-873F0C6AB8D6}" uniqueName="34" name="N2_x000a_bit/s2" queryTableFieldId="34" dataDxfId="49" dataCellStyle="Normal 5">
      <calculatedColumnFormula>IF($N14="",0,IF($R14="",1,R14/43200)*Y14)</calculatedColumnFormula>
    </tableColumn>
    <tableColumn id="35" xr3:uid="{9E653D53-4500-4832-A022-C911049DBBA5}" uniqueName="35" name="N3_x000a_bit/s" queryTableFieldId="35" dataDxfId="48" dataCellStyle="Normal 5">
      <calculatedColumnFormula>IF($O14="",0,AA$1/$O14)</calculatedColumnFormula>
    </tableColumn>
    <tableColumn id="36" xr3:uid="{8ED16EFB-45C9-4EDA-AF99-AA59788EFFC4}" uniqueName="36" name="d" queryTableFieldId="36" dataDxfId="47" dataCellStyle="Normal 5"/>
    <tableColumn id="37" xr3:uid="{84B53164-2455-4095-84F3-40F1C7BB6A8F}" uniqueName="37" name="DT1" queryTableFieldId="37" dataDxfId="46"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5"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4"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3"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2"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1"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0"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39"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38"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7"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6"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5"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4"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3"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2"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1"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0"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29"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28"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7"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6"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5"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4"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3"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2"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1"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0"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19"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18"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7"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6"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67" t="s">
        <v>891</v>
      </c>
      <c r="C25" s="567"/>
      <c r="D25" s="567"/>
      <c r="E25" s="567"/>
      <c r="F25" s="567"/>
      <c r="G25" s="567"/>
      <c r="H25" s="567"/>
      <c r="I25" s="567"/>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72" t="s">
        <v>901</v>
      </c>
      <c r="K30" s="572"/>
      <c r="L30" s="572"/>
      <c r="M30" s="572"/>
      <c r="N30" s="572"/>
    </row>
    <row r="31" spans="2:22">
      <c r="B31" s="143" t="s">
        <v>875</v>
      </c>
      <c r="C31" s="143" t="s">
        <v>876</v>
      </c>
      <c r="D31" s="143">
        <f>$E$8</f>
        <v>1632</v>
      </c>
      <c r="E31" s="143" t="s">
        <v>900</v>
      </c>
      <c r="F31" s="143">
        <v>0</v>
      </c>
      <c r="G31" s="143">
        <f>D31*F31</f>
        <v>0</v>
      </c>
      <c r="H31" s="143">
        <v>0</v>
      </c>
      <c r="I31" s="143">
        <f>G31*H31/1000000</f>
        <v>0</v>
      </c>
      <c r="J31" s="572"/>
      <c r="K31" s="572"/>
      <c r="L31" s="572"/>
      <c r="M31" s="572"/>
      <c r="N31" s="572"/>
    </row>
    <row r="32" spans="2:22" ht="15.75">
      <c r="B32" s="571"/>
      <c r="C32" s="571"/>
      <c r="D32" s="571"/>
      <c r="E32" s="571"/>
      <c r="F32" s="571"/>
      <c r="G32" s="571"/>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67" t="s">
        <v>903</v>
      </c>
      <c r="C38" s="567"/>
      <c r="D38" s="567"/>
      <c r="E38" s="567"/>
      <c r="F38" s="567"/>
      <c r="G38" s="567"/>
      <c r="H38" s="567"/>
      <c r="I38" s="567"/>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73" t="s">
        <v>904</v>
      </c>
      <c r="K43" s="573"/>
      <c r="L43" s="573"/>
      <c r="M43" s="573"/>
      <c r="N43" s="573"/>
      <c r="O43" s="98"/>
    </row>
    <row r="44" spans="2:16">
      <c r="B44" s="143" t="s">
        <v>875</v>
      </c>
      <c r="C44" s="143" t="s">
        <v>876</v>
      </c>
      <c r="D44" s="143">
        <f>$E$8</f>
        <v>1632</v>
      </c>
      <c r="E44" s="143" t="s">
        <v>865</v>
      </c>
      <c r="F44" s="143">
        <f>$M$4*$F$8</f>
        <v>7.2916666666666659E-4</v>
      </c>
      <c r="G44" s="143">
        <f>D44*F44</f>
        <v>1.19</v>
      </c>
      <c r="H44" s="143">
        <v>86400</v>
      </c>
      <c r="I44" s="143">
        <f>G44*H44/1000000</f>
        <v>0.102816</v>
      </c>
      <c r="J44" s="573"/>
      <c r="K44" s="573"/>
      <c r="L44" s="573"/>
      <c r="M44" s="573"/>
      <c r="N44" s="573"/>
      <c r="O44" s="98"/>
    </row>
    <row r="45" spans="2:16">
      <c r="B45" s="571"/>
      <c r="C45" s="571"/>
      <c r="D45" s="571"/>
      <c r="E45" s="571"/>
      <c r="F45" s="571"/>
      <c r="G45" s="571"/>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67" t="s">
        <v>905</v>
      </c>
      <c r="C47" s="567"/>
      <c r="D47" s="567"/>
      <c r="E47" s="567"/>
      <c r="F47" s="567"/>
      <c r="G47" s="567"/>
      <c r="H47" s="567"/>
      <c r="I47" s="567"/>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71"/>
      <c r="C54" s="571"/>
      <c r="D54" s="571"/>
      <c r="E54" s="571"/>
      <c r="F54" s="571"/>
      <c r="G54" s="571"/>
      <c r="H54" s="147" t="s">
        <v>902</v>
      </c>
      <c r="I54" s="147">
        <f>SUM(I49:I53)</f>
        <v>12.231428210526317</v>
      </c>
      <c r="J54" s="17">
        <f>I54*1000000/86400</f>
        <v>141.56745614035088</v>
      </c>
      <c r="K54">
        <f>J54/8</f>
        <v>17.695932017543861</v>
      </c>
    </row>
    <row r="55" spans="2:11">
      <c r="I55" s="17"/>
      <c r="J55" s="3" t="s">
        <v>0</v>
      </c>
      <c r="K55" s="3" t="s">
        <v>1017</v>
      </c>
    </row>
    <row r="56" spans="2:11" ht="18.75">
      <c r="B56" s="567" t="s">
        <v>906</v>
      </c>
      <c r="C56" s="567"/>
      <c r="D56" s="567"/>
      <c r="E56" s="567"/>
      <c r="F56" s="567"/>
      <c r="G56" s="567"/>
      <c r="H56" s="567"/>
      <c r="I56" s="567"/>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71"/>
      <c r="C63" s="571"/>
      <c r="D63" s="571"/>
      <c r="E63" s="571"/>
      <c r="F63" s="571"/>
      <c r="G63" s="571"/>
      <c r="H63" s="147" t="s">
        <v>902</v>
      </c>
      <c r="I63" s="147">
        <f>SUM(I58:I62)</f>
        <v>4.9738282105263156</v>
      </c>
      <c r="J63" s="17">
        <f>I63*1000000/86400</f>
        <v>57.56745614035087</v>
      </c>
      <c r="K63">
        <f>J63/8</f>
        <v>7.1959320175438588</v>
      </c>
    </row>
    <row r="64" spans="2:11">
      <c r="I64" s="17"/>
      <c r="J64" s="3" t="s">
        <v>0</v>
      </c>
      <c r="K64" s="3" t="s">
        <v>1017</v>
      </c>
    </row>
    <row r="65" spans="2:11" ht="18.75">
      <c r="B65" s="567" t="s">
        <v>907</v>
      </c>
      <c r="C65" s="567"/>
      <c r="D65" s="567"/>
      <c r="E65" s="567"/>
      <c r="F65" s="567"/>
      <c r="G65" s="567"/>
      <c r="H65" s="567"/>
      <c r="I65" s="567"/>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71"/>
      <c r="C72" s="571"/>
      <c r="D72" s="571"/>
      <c r="E72" s="571"/>
      <c r="F72" s="571"/>
      <c r="G72" s="571"/>
      <c r="H72" s="147" t="s">
        <v>902</v>
      </c>
      <c r="I72" s="147">
        <f>SUM(I67:I71)</f>
        <v>2.5546282105263156</v>
      </c>
      <c r="J72" s="17">
        <f>I72*1000000/86400</f>
        <v>29.567456140350874</v>
      </c>
      <c r="K72" s="176">
        <f>J72/8</f>
        <v>3.6959320175438592</v>
      </c>
    </row>
    <row r="73" spans="2:11">
      <c r="J73" s="3" t="s">
        <v>0</v>
      </c>
      <c r="K73" s="3" t="s">
        <v>1017</v>
      </c>
    </row>
    <row r="74" spans="2:11" ht="18.75">
      <c r="B74" s="567" t="s">
        <v>908</v>
      </c>
      <c r="C74" s="567"/>
      <c r="D74" s="567"/>
      <c r="E74" s="567"/>
      <c r="F74" s="567"/>
      <c r="G74" s="567"/>
      <c r="H74" s="567"/>
      <c r="I74" s="567"/>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71"/>
      <c r="C81" s="571"/>
      <c r="D81" s="571"/>
      <c r="E81" s="571"/>
      <c r="F81" s="571"/>
      <c r="G81" s="571"/>
      <c r="H81" s="147" t="s">
        <v>902</v>
      </c>
      <c r="I81" s="147">
        <f>SUM(I76:I80)</f>
        <v>1.3450282105263158</v>
      </c>
      <c r="J81" s="17">
        <f>I81*1000000/86400</f>
        <v>15.567456140350876</v>
      </c>
      <c r="K81">
        <f>J81/8</f>
        <v>1.9459320175438595</v>
      </c>
    </row>
    <row r="82" spans="2:11">
      <c r="I82" s="17"/>
      <c r="J82" s="3" t="s">
        <v>0</v>
      </c>
      <c r="K82" s="3" t="s">
        <v>1017</v>
      </c>
    </row>
    <row r="83" spans="2:11" ht="18.75">
      <c r="B83" s="567" t="s">
        <v>909</v>
      </c>
      <c r="C83" s="567"/>
      <c r="D83" s="567"/>
      <c r="E83" s="567"/>
      <c r="F83" s="567"/>
      <c r="G83" s="567"/>
      <c r="H83" s="567"/>
      <c r="I83" s="567"/>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67" t="s">
        <v>910</v>
      </c>
      <c r="C92" s="567"/>
      <c r="D92" s="567"/>
      <c r="E92" s="567"/>
      <c r="F92" s="567"/>
      <c r="G92" s="567"/>
      <c r="H92" s="567"/>
      <c r="I92" s="567"/>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71"/>
      <c r="C99" s="571"/>
      <c r="D99" s="571"/>
      <c r="E99" s="571"/>
      <c r="F99" s="571"/>
      <c r="G99" s="571"/>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67" t="s">
        <v>911</v>
      </c>
      <c r="C101" s="567"/>
      <c r="D101" s="567"/>
      <c r="E101" s="567"/>
      <c r="F101" s="567"/>
      <c r="G101" s="567"/>
      <c r="H101" s="567"/>
      <c r="I101" s="567"/>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71"/>
      <c r="C108" s="571"/>
      <c r="D108" s="571"/>
      <c r="E108" s="571"/>
      <c r="F108" s="571"/>
      <c r="G108" s="571"/>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67" t="s">
        <v>912</v>
      </c>
      <c r="C110" s="567"/>
      <c r="D110" s="567"/>
      <c r="E110" s="567"/>
      <c r="F110" s="567"/>
      <c r="G110" s="567"/>
      <c r="H110" s="567"/>
      <c r="I110" s="567"/>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71"/>
      <c r="C117" s="571"/>
      <c r="D117" s="571"/>
      <c r="E117" s="571"/>
      <c r="F117" s="571"/>
      <c r="G117" s="571"/>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67" t="s">
        <v>913</v>
      </c>
      <c r="C119" s="567"/>
      <c r="D119" s="567"/>
      <c r="E119" s="567"/>
      <c r="F119" s="567"/>
      <c r="G119" s="567"/>
      <c r="H119" s="567"/>
      <c r="I119" s="567"/>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71"/>
      <c r="C126" s="571"/>
      <c r="D126" s="571"/>
      <c r="E126" s="571"/>
      <c r="F126" s="571"/>
      <c r="G126" s="571"/>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67" t="s">
        <v>914</v>
      </c>
      <c r="C128" s="567"/>
      <c r="D128" s="567"/>
      <c r="E128" s="567"/>
      <c r="F128" s="567"/>
      <c r="G128" s="567"/>
      <c r="H128" s="567"/>
      <c r="I128" s="567"/>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71"/>
      <c r="C135" s="571"/>
      <c r="D135" s="571"/>
      <c r="E135" s="571"/>
      <c r="F135" s="571"/>
      <c r="G135" s="571"/>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67" t="s">
        <v>915</v>
      </c>
      <c r="C137" s="567"/>
      <c r="D137" s="567"/>
      <c r="E137" s="567"/>
      <c r="F137" s="567"/>
      <c r="G137" s="567"/>
      <c r="H137" s="567"/>
      <c r="I137" s="567"/>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68"/>
      <c r="C144" s="568"/>
      <c r="D144" s="568"/>
      <c r="E144" s="568"/>
      <c r="F144" s="568"/>
      <c r="G144" s="568"/>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69" t="s">
        <v>916</v>
      </c>
      <c r="C149" s="569"/>
      <c r="D149" s="569"/>
      <c r="E149" s="569"/>
      <c r="F149" s="569"/>
      <c r="G149" s="569"/>
      <c r="H149" s="569"/>
      <c r="I149" s="569"/>
      <c r="J149" s="570" t="s">
        <v>917</v>
      </c>
      <c r="K149" s="570"/>
      <c r="L149" s="570"/>
      <c r="M149" s="570"/>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71"/>
      <c r="C156" s="571"/>
      <c r="D156" s="571"/>
      <c r="E156" s="571"/>
      <c r="F156" s="571"/>
      <c r="G156" s="571"/>
      <c r="H156" s="147" t="s">
        <v>902</v>
      </c>
      <c r="I156" s="147">
        <f>SUM(I151:I155)+(15000/1000000)</f>
        <v>6.351</v>
      </c>
      <c r="J156" s="17"/>
    </row>
    <row r="162" spans="2:7" ht="72" customHeight="1">
      <c r="B162" s="564" t="s">
        <v>918</v>
      </c>
      <c r="C162" s="153" t="s">
        <v>919</v>
      </c>
      <c r="D162" s="154" t="s">
        <v>920</v>
      </c>
      <c r="E162" s="565" t="s">
        <v>921</v>
      </c>
      <c r="F162" s="565"/>
      <c r="G162" s="565"/>
    </row>
    <row r="163" spans="2:7" ht="78.75" customHeight="1">
      <c r="B163" s="564"/>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64" t="s">
        <v>918</v>
      </c>
      <c r="C179" s="153" t="s">
        <v>919</v>
      </c>
      <c r="D179" s="154" t="s">
        <v>920</v>
      </c>
    </row>
    <row r="180" spans="2:11" ht="36">
      <c r="B180" s="564"/>
      <c r="C180" s="1" t="s">
        <v>924</v>
      </c>
      <c r="D180" s="154" t="s">
        <v>925</v>
      </c>
    </row>
    <row r="181" spans="2:11" ht="36">
      <c r="B181" s="155" t="s">
        <v>926</v>
      </c>
      <c r="C181" s="160">
        <f>$I$32</f>
        <v>24.222884210526313</v>
      </c>
      <c r="D181" s="160">
        <f>C181*365.25/1000</f>
        <v>8.847408457894737</v>
      </c>
    </row>
    <row r="189" spans="2:11" ht="21" customHeight="1">
      <c r="B189" s="566" t="s">
        <v>927</v>
      </c>
      <c r="C189" s="566"/>
      <c r="D189" s="566"/>
      <c r="E189" s="566"/>
      <c r="F189" s="566"/>
      <c r="G189" s="566"/>
      <c r="H189" s="566"/>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63" t="s">
        <v>929</v>
      </c>
      <c r="C197" s="563"/>
      <c r="D197" s="563"/>
      <c r="F197" s="563" t="s">
        <v>929</v>
      </c>
      <c r="G197" s="563"/>
      <c r="H197" s="563"/>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63" t="s">
        <v>936</v>
      </c>
      <c r="C204" s="563"/>
      <c r="D204" s="563"/>
      <c r="F204" s="563" t="s">
        <v>936</v>
      </c>
      <c r="G204" s="563"/>
      <c r="H204" s="563"/>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87" priority="1">
      <formula>M3=I3</formula>
    </cfRule>
    <cfRule type="expression" dxfId="86"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zoomScaleNormal="100" workbookViewId="0">
      <pane ySplit="2955" topLeftCell="A461" activePane="bottomLeft"/>
      <selection activeCell="V32" sqref="V32"/>
      <selection pane="bottomLeft" activeCell="Q469" sqref="Q46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76"/>
      <c r="AG1" s="276"/>
      <c r="AH1" s="6" t="s">
        <v>5411</v>
      </c>
      <c r="AI1" s="3">
        <v>1988</v>
      </c>
      <c r="AJ1" s="3">
        <v>18176</v>
      </c>
      <c r="AK1" s="3">
        <v>512</v>
      </c>
      <c r="AL1" s="3">
        <v>2087</v>
      </c>
      <c r="AM1" s="3">
        <v>1266</v>
      </c>
      <c r="AN1" s="3">
        <v>526</v>
      </c>
    </row>
    <row r="2" spans="2:47" ht="15">
      <c r="M2" t="s">
        <v>43</v>
      </c>
      <c r="N2">
        <v>126</v>
      </c>
      <c r="O2">
        <v>159</v>
      </c>
      <c r="P2">
        <f>O2-N2</f>
        <v>33</v>
      </c>
      <c r="Q2">
        <f>P2*S6</f>
        <v>31.728378000000003</v>
      </c>
      <c r="R2" s="6" t="s">
        <v>1166</v>
      </c>
      <c r="S2" s="277">
        <f>'SWAP Data Volumns'!K108</f>
        <v>0.5056665308181959</v>
      </c>
      <c r="T2">
        <f>S2*86400*8/1000000</f>
        <v>0.34951670610153701</v>
      </c>
      <c r="AF2" s="276"/>
      <c r="AG2" s="276"/>
      <c r="AH2" s="6" t="s">
        <v>5410</v>
      </c>
      <c r="AI2" s="3">
        <v>1</v>
      </c>
      <c r="AJ2" s="3">
        <v>1</v>
      </c>
      <c r="AK2" s="3">
        <v>1</v>
      </c>
      <c r="AL2" s="3">
        <v>64</v>
      </c>
      <c r="AM2" s="3">
        <v>1</v>
      </c>
      <c r="AN2" s="3">
        <v>64</v>
      </c>
    </row>
    <row r="3" spans="2:47" ht="15">
      <c r="N3">
        <v>159</v>
      </c>
      <c r="O3">
        <v>181</v>
      </c>
      <c r="P3">
        <f>O3-N3</f>
        <v>22</v>
      </c>
      <c r="Q3">
        <f>P3*X6</f>
        <v>56.201820631579039</v>
      </c>
      <c r="R3" s="6" t="s">
        <v>1196</v>
      </c>
      <c r="S3" s="277">
        <f>'SWAP Data Volumns'!K99</f>
        <v>0.80996710526315774</v>
      </c>
      <c r="V3">
        <f>4.513307/V10</f>
        <v>0.92947580888228509</v>
      </c>
      <c r="X3">
        <f>25/X6</f>
        <v>9.7861598400063663</v>
      </c>
      <c r="AF3" s="276"/>
      <c r="AG3" s="276"/>
      <c r="AI3" s="3" t="s">
        <v>1</v>
      </c>
      <c r="AJ3" s="3" t="s">
        <v>58</v>
      </c>
      <c r="AK3" s="3" t="s">
        <v>5284</v>
      </c>
      <c r="AL3" s="3" t="s">
        <v>5408</v>
      </c>
      <c r="AM3" s="3" t="s">
        <v>61</v>
      </c>
      <c r="AN3" s="3" t="s">
        <v>5409</v>
      </c>
    </row>
    <row r="4" spans="2:47" ht="15">
      <c r="N4">
        <v>181</v>
      </c>
      <c r="O4">
        <v>218</v>
      </c>
      <c r="P4">
        <f>O4-N4</f>
        <v>37</v>
      </c>
      <c r="Q4">
        <f>P4*S6</f>
        <v>35.574241999999998</v>
      </c>
      <c r="R4" s="6" t="s">
        <v>1068</v>
      </c>
      <c r="S4" s="277">
        <f>'SWAP Data Volumns'!K90</f>
        <v>1.4028285692679976</v>
      </c>
      <c r="W4" t="s">
        <v>1014</v>
      </c>
      <c r="X4" s="278">
        <f>'SWAP Data Volumns'!K108</f>
        <v>0.5056665308181959</v>
      </c>
      <c r="AF4" s="276"/>
      <c r="AG4" s="276"/>
      <c r="AH4" s="6" t="s">
        <v>5412</v>
      </c>
      <c r="AI4" s="3">
        <v>1988</v>
      </c>
      <c r="AJ4" s="3">
        <v>18176</v>
      </c>
      <c r="AK4" s="3">
        <v>512</v>
      </c>
      <c r="AL4" s="3">
        <v>2087</v>
      </c>
      <c r="AM4" s="3">
        <v>1266</v>
      </c>
      <c r="AN4" s="3">
        <v>526</v>
      </c>
    </row>
    <row r="5" spans="2:47" ht="15">
      <c r="L5">
        <f>66+90+23+164+28+5</f>
        <v>376</v>
      </c>
      <c r="Q5">
        <f>Q4+Q3+Q2</f>
        <v>123.50444063157904</v>
      </c>
      <c r="R5" s="6" t="s">
        <v>1165</v>
      </c>
      <c r="S5" s="277">
        <f>'SWAP Data Volumns'!K72</f>
        <v>3.6959320175438592</v>
      </c>
      <c r="AF5" s="276"/>
      <c r="AG5" s="276"/>
      <c r="AH5" s="6" t="s">
        <v>5413</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76"/>
      <c r="AG6" s="276"/>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8"/>
      <c r="AG7" s="276"/>
      <c r="AI7" s="3" t="s">
        <v>49</v>
      </c>
      <c r="AJ7" s="3" t="s">
        <v>50</v>
      </c>
      <c r="AK7" s="3" t="s">
        <v>51</v>
      </c>
      <c r="AL7" s="3" t="s">
        <v>52</v>
      </c>
      <c r="AM7" s="3" t="s">
        <v>53</v>
      </c>
      <c r="AN7" s="3" t="s">
        <v>54</v>
      </c>
      <c r="AT7" s="262" t="s">
        <v>5405</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8" t="s">
        <v>63</v>
      </c>
      <c r="AG8" s="268"/>
      <c r="AI8" s="3" t="s">
        <v>1</v>
      </c>
      <c r="AJ8" s="3" t="s">
        <v>58</v>
      </c>
      <c r="AK8" s="3" t="s">
        <v>59</v>
      </c>
      <c r="AL8" s="3" t="s">
        <v>60</v>
      </c>
      <c r="AM8" s="3" t="s">
        <v>61</v>
      </c>
      <c r="AN8" s="3" t="s">
        <v>62</v>
      </c>
      <c r="AO8" s="272" t="s">
        <v>5402</v>
      </c>
      <c r="AP8" s="272" t="s">
        <v>5402</v>
      </c>
      <c r="AQ8" s="272" t="s">
        <v>5402</v>
      </c>
      <c r="AR8" s="272" t="s">
        <v>5402</v>
      </c>
      <c r="AS8" s="273" t="s">
        <v>5405</v>
      </c>
      <c r="AT8" s="266" t="s">
        <v>5406</v>
      </c>
      <c r="AU8" s="262" t="s">
        <v>5417</v>
      </c>
    </row>
    <row r="9" spans="2:47" ht="15.7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434">
        <f>X6*1000000/(8*86400)</f>
        <v>3.6959320175438659</v>
      </c>
      <c r="Y9" s="39" t="s">
        <v>66</v>
      </c>
      <c r="Z9" s="3" t="s">
        <v>0</v>
      </c>
      <c r="AA9" s="3" t="s">
        <v>0</v>
      </c>
      <c r="AB9" s="3" t="s">
        <v>0</v>
      </c>
      <c r="AC9" s="3" t="s">
        <v>0</v>
      </c>
      <c r="AD9" s="3" t="s">
        <v>0</v>
      </c>
      <c r="AE9" s="3" t="s">
        <v>0</v>
      </c>
      <c r="AF9" s="268"/>
      <c r="AG9" s="270" t="s">
        <v>5414</v>
      </c>
      <c r="AH9" s="264" t="s">
        <v>66</v>
      </c>
      <c r="AI9" s="3" t="s">
        <v>0</v>
      </c>
      <c r="AJ9" s="3" t="s">
        <v>0</v>
      </c>
      <c r="AK9" s="3" t="s">
        <v>0</v>
      </c>
      <c r="AL9" s="3" t="s">
        <v>0</v>
      </c>
      <c r="AM9" s="3" t="s">
        <v>0</v>
      </c>
      <c r="AN9" s="3" t="s">
        <v>0</v>
      </c>
      <c r="AO9" s="274" t="s">
        <v>1</v>
      </c>
      <c r="AP9" s="274" t="s">
        <v>58</v>
      </c>
      <c r="AQ9" s="274" t="s">
        <v>5284</v>
      </c>
      <c r="AR9" s="274" t="s">
        <v>5403</v>
      </c>
      <c r="AS9" s="275" t="s">
        <v>5404</v>
      </c>
      <c r="AT9" s="267" t="s">
        <v>5407</v>
      </c>
      <c r="AU9" s="267" t="s">
        <v>5416</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8"/>
      <c r="AG10" s="271">
        <f>AH10-Y10</f>
        <v>0</v>
      </c>
      <c r="AH10" s="265">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9">
        <v>120</v>
      </c>
      <c r="AP10" s="279">
        <v>7200</v>
      </c>
      <c r="AQ10" s="279">
        <v>1800</v>
      </c>
      <c r="AR10" s="279">
        <v>103</v>
      </c>
      <c r="AS10" s="279">
        <v>106</v>
      </c>
      <c r="AT10" s="280">
        <f t="shared" ref="AT10:AT11" si="3">IF(OR(AS10="",AS10&lt;105,AS10&gt;109),720,(336+(AS10-107)*(110+(AS10-107)*(25+(AS10-107)*(10+(AS10-107)*(-1)))))/24)</f>
        <v>10</v>
      </c>
      <c r="AU10" s="262"/>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8">
        <f t="shared" ref="AF11:AF22" si="4">Y11*86400/1000000</f>
        <v>3.1195980000000052</v>
      </c>
      <c r="AG11" s="271">
        <f t="shared" ref="AG11:AG31" si="5">AH11-Y11</f>
        <v>-5.6843418860808015E-14</v>
      </c>
      <c r="AH11" s="265">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81">
        <v>120</v>
      </c>
      <c r="AP11" s="281">
        <v>7200</v>
      </c>
      <c r="AQ11" s="281">
        <v>1800</v>
      </c>
      <c r="AR11" s="281">
        <v>103</v>
      </c>
      <c r="AS11" s="281">
        <v>106</v>
      </c>
      <c r="AT11" s="282">
        <f t="shared" si="3"/>
        <v>10</v>
      </c>
      <c r="AU11" s="266"/>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8">
        <f t="shared" si="4"/>
        <v>2.1360779999999986</v>
      </c>
      <c r="AG12" s="271">
        <f t="shared" si="5"/>
        <v>0</v>
      </c>
      <c r="AH12" s="265">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81">
        <v>180</v>
      </c>
      <c r="AP12" s="281">
        <v>7200</v>
      </c>
      <c r="AQ12" s="281">
        <v>1800</v>
      </c>
      <c r="AR12" s="281">
        <v>103</v>
      </c>
      <c r="AS12" s="281">
        <v>110</v>
      </c>
      <c r="AT12" s="282">
        <f>IF(OR(AS12="",AS12&lt;105,AS12&gt;109),720,(336+(AS12-107)*(110+(AS12-107)*(25+(AS12-107)*(10+(AS12-107)*(-1)))))/24)</f>
        <v>720</v>
      </c>
      <c r="AU12" s="266"/>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8">
        <f t="shared" si="4"/>
        <v>2.613198000000005</v>
      </c>
      <c r="AG13" s="271">
        <f t="shared" si="5"/>
        <v>-6.0396132539608516E-14</v>
      </c>
      <c r="AH13" s="265">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81">
        <v>120</v>
      </c>
      <c r="AP13" s="281">
        <v>7200</v>
      </c>
      <c r="AQ13" s="281">
        <v>1800</v>
      </c>
      <c r="AR13" s="281">
        <v>103</v>
      </c>
      <c r="AS13" s="281"/>
      <c r="AT13" s="282">
        <f t="shared" ref="AT13:AT31" si="10">IF(OR(AS13="",AS13&lt;105,AS13&gt;109),720,(336+(AS13-107)*(110+(AS13-107)*(25+(AS13-107)*(10+(AS13-107)*(-1)))))/24)</f>
        <v>720</v>
      </c>
      <c r="AU13" s="266"/>
    </row>
    <row r="14" spans="2:47" ht="15.75" thickBot="1">
      <c r="S14">
        <v>25159</v>
      </c>
      <c r="T14" t="s">
        <v>77</v>
      </c>
      <c r="U14" s="23" t="s">
        <v>70</v>
      </c>
      <c r="V14" s="40">
        <f t="shared" si="0"/>
        <v>0.34244791666666624</v>
      </c>
      <c r="W14" t="s">
        <v>81</v>
      </c>
      <c r="X14" s="3" t="s">
        <v>79</v>
      </c>
      <c r="Y14" s="39">
        <f t="shared" si="1"/>
        <v>2.7395833333333299</v>
      </c>
      <c r="AD14" s="3"/>
      <c r="AE14">
        <v>2.7395833333333299</v>
      </c>
      <c r="AF14" s="268">
        <f t="shared" si="4"/>
        <v>0.23669999999999972</v>
      </c>
      <c r="AG14" s="271">
        <f t="shared" si="5"/>
        <v>3.5527136788005009E-15</v>
      </c>
      <c r="AH14" s="265">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81"/>
      <c r="AP14" s="281"/>
      <c r="AQ14" s="281"/>
      <c r="AR14" s="281">
        <v>103</v>
      </c>
      <c r="AS14" s="281"/>
      <c r="AT14" s="282">
        <f t="shared" si="10"/>
        <v>720</v>
      </c>
      <c r="AU14" s="266"/>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8">
        <f t="shared" si="4"/>
        <v>1.1969279999999958</v>
      </c>
      <c r="AG15" s="271">
        <f t="shared" si="5"/>
        <v>4.9737991503207013E-14</v>
      </c>
      <c r="AH15" s="265">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81">
        <v>180</v>
      </c>
      <c r="AP15" s="281">
        <v>7200</v>
      </c>
      <c r="AQ15" s="281">
        <v>1800</v>
      </c>
      <c r="AR15" s="281"/>
      <c r="AS15" s="281"/>
      <c r="AT15" s="282">
        <f t="shared" si="10"/>
        <v>720</v>
      </c>
      <c r="AU15" s="266"/>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8">
        <f t="shared" si="4"/>
        <v>1.6740480000000024</v>
      </c>
      <c r="AG16" s="271">
        <f t="shared" si="5"/>
        <v>-2.8421709430404007E-14</v>
      </c>
      <c r="AH16" s="265">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81">
        <v>120</v>
      </c>
      <c r="AP16" s="281">
        <v>7200</v>
      </c>
      <c r="AQ16" s="281">
        <v>1800</v>
      </c>
      <c r="AR16" s="281"/>
      <c r="AS16" s="281"/>
      <c r="AT16" s="282">
        <f t="shared" si="10"/>
        <v>720</v>
      </c>
      <c r="AU16" s="266"/>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8">
        <f t="shared" si="4"/>
        <v>1.4687159999999964</v>
      </c>
      <c r="AG17" s="271">
        <f t="shared" si="5"/>
        <v>4.2632564145606011E-14</v>
      </c>
      <c r="AH17" s="265">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81">
        <v>180</v>
      </c>
      <c r="AP17" s="281"/>
      <c r="AQ17" s="281">
        <v>1800</v>
      </c>
      <c r="AR17" s="281">
        <v>103</v>
      </c>
      <c r="AS17" s="281">
        <v>105</v>
      </c>
      <c r="AT17" s="282">
        <f t="shared" si="10"/>
        <v>5</v>
      </c>
      <c r="AU17" s="266"/>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8">
        <f t="shared" si="4"/>
        <v>1.1572620000000022</v>
      </c>
      <c r="AG18" s="271">
        <f t="shared" si="5"/>
        <v>-2.8421709430404007E-14</v>
      </c>
      <c r="AH18" s="265">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81"/>
      <c r="AP18" s="281">
        <v>7200</v>
      </c>
      <c r="AQ18" s="281"/>
      <c r="AR18" s="281">
        <v>103</v>
      </c>
      <c r="AS18" s="281"/>
      <c r="AT18" s="282">
        <f t="shared" si="10"/>
        <v>720</v>
      </c>
      <c r="AU18" s="266"/>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8">
        <f t="shared" si="4"/>
        <v>2.6259779999999986</v>
      </c>
      <c r="AG19" s="271">
        <f t="shared" si="5"/>
        <v>0</v>
      </c>
      <c r="AH19" s="265">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81">
        <v>180</v>
      </c>
      <c r="AP19" s="281">
        <v>7200</v>
      </c>
      <c r="AQ19" s="281">
        <v>1800</v>
      </c>
      <c r="AR19" s="281">
        <v>103</v>
      </c>
      <c r="AS19" s="281">
        <v>105</v>
      </c>
      <c r="AT19" s="282">
        <f t="shared" si="10"/>
        <v>5</v>
      </c>
      <c r="AU19" s="266"/>
    </row>
    <row r="20" spans="13:47" ht="15.75" thickBot="1">
      <c r="S20">
        <v>25159</v>
      </c>
      <c r="T20" t="s">
        <v>77</v>
      </c>
      <c r="U20" s="23" t="s">
        <v>70</v>
      </c>
      <c r="V20" s="40">
        <f t="shared" si="0"/>
        <v>52.75</v>
      </c>
      <c r="W20" t="s">
        <v>93</v>
      </c>
      <c r="X20" s="3" t="s">
        <v>79</v>
      </c>
      <c r="Y20" s="39">
        <f t="shared" si="1"/>
        <v>422</v>
      </c>
      <c r="AD20">
        <v>422</v>
      </c>
      <c r="AF20" s="268">
        <f t="shared" si="4"/>
        <v>36.460799999999999</v>
      </c>
      <c r="AG20" s="271">
        <f t="shared" si="5"/>
        <v>0</v>
      </c>
      <c r="AH20" s="265">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81"/>
      <c r="AP20" s="281"/>
      <c r="AQ20" s="281"/>
      <c r="AR20" s="281">
        <v>103</v>
      </c>
      <c r="AS20" s="281">
        <v>110</v>
      </c>
      <c r="AT20" s="282">
        <f t="shared" si="10"/>
        <v>720</v>
      </c>
      <c r="AU20" s="266"/>
    </row>
    <row r="21" spans="13:47" ht="15.75" thickBot="1">
      <c r="Q21" t="s">
        <v>987</v>
      </c>
      <c r="R21" t="s">
        <v>5717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8">
        <f t="shared" si="4"/>
        <v>1.2365459999999995</v>
      </c>
      <c r="AG21" s="271">
        <f t="shared" si="5"/>
        <v>0</v>
      </c>
      <c r="AH21" s="265">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81">
        <v>360</v>
      </c>
      <c r="AP21" s="281"/>
      <c r="AQ21" s="281">
        <v>1800</v>
      </c>
      <c r="AR21" s="281">
        <v>104</v>
      </c>
      <c r="AS21" s="281">
        <v>105</v>
      </c>
      <c r="AT21" s="282">
        <f t="shared" si="10"/>
        <v>5</v>
      </c>
      <c r="AU21" s="266"/>
    </row>
    <row r="22" spans="13:47" ht="15.75" thickBot="1">
      <c r="M22">
        <f>20.2/22.12</f>
        <v>0.91320072332730551</v>
      </c>
      <c r="N22" s="433" t="s">
        <v>5716</v>
      </c>
      <c r="Q22" s="17" t="s">
        <v>90</v>
      </c>
      <c r="R22" s="433" t="s">
        <v>5715</v>
      </c>
      <c r="S22" s="17"/>
      <c r="T22" s="30" t="s">
        <v>988</v>
      </c>
      <c r="U22" s="23" t="s">
        <v>70</v>
      </c>
      <c r="V22" s="40">
        <f t="shared" si="0"/>
        <v>4.5625303819444447</v>
      </c>
      <c r="W22" t="s">
        <v>90</v>
      </c>
      <c r="X22" s="3" t="s">
        <v>5709</v>
      </c>
      <c r="Y22" s="39">
        <f t="shared" si="1"/>
        <v>36.500243055555558</v>
      </c>
      <c r="AA22" s="351">
        <v>20.195555555555554</v>
      </c>
      <c r="AB22" s="351"/>
      <c r="AC22" s="351">
        <v>16.3046875</v>
      </c>
      <c r="AF22" s="268">
        <f t="shared" si="4"/>
        <v>3.1536209999999998</v>
      </c>
      <c r="AG22" s="271">
        <f t="shared" si="5"/>
        <v>0</v>
      </c>
      <c r="AH22" s="265">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81"/>
      <c r="AP22" s="281">
        <v>900</v>
      </c>
      <c r="AQ22" s="281"/>
      <c r="AR22" s="281">
        <v>104</v>
      </c>
      <c r="AS22" s="281"/>
      <c r="AT22" s="282">
        <f t="shared" si="10"/>
        <v>720</v>
      </c>
      <c r="AU22" s="266"/>
    </row>
    <row r="23" spans="13:47" ht="15.75" thickBot="1">
      <c r="Q23" s="17" t="s">
        <v>1253</v>
      </c>
      <c r="R23" s="17"/>
      <c r="S23" s="17"/>
      <c r="T23" s="30" t="s">
        <v>988</v>
      </c>
      <c r="U23" s="23" t="s">
        <v>70</v>
      </c>
      <c r="V23" s="40">
        <f t="shared" si="0"/>
        <v>0.55078125</v>
      </c>
      <c r="W23" t="s">
        <v>5705</v>
      </c>
      <c r="X23" s="3" t="s">
        <v>5709</v>
      </c>
      <c r="Y23" s="39">
        <f t="shared" si="1"/>
        <v>4.40625</v>
      </c>
      <c r="AE23">
        <v>4.40625</v>
      </c>
      <c r="AF23" s="268"/>
      <c r="AG23" s="271">
        <f t="shared" si="5"/>
        <v>0</v>
      </c>
      <c r="AH23" s="265">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81">
        <v>360</v>
      </c>
      <c r="AP23" s="281">
        <v>900</v>
      </c>
      <c r="AQ23" s="281">
        <v>1800</v>
      </c>
      <c r="AR23" s="281">
        <v>104</v>
      </c>
      <c r="AS23" s="281">
        <v>105</v>
      </c>
      <c r="AT23" s="282">
        <f t="shared" si="10"/>
        <v>5</v>
      </c>
      <c r="AU23" s="266" t="s">
        <v>5415</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8">
        <f t="shared" ref="AF24:AF32" si="19">Y24*86400/1000000</f>
        <v>2.2707119999999961</v>
      </c>
      <c r="AG24" s="271">
        <f t="shared" si="5"/>
        <v>4.6185277824406512E-14</v>
      </c>
      <c r="AH24" s="265">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81">
        <v>180</v>
      </c>
      <c r="AP24" s="281">
        <v>7200</v>
      </c>
      <c r="AQ24" s="281">
        <v>1800</v>
      </c>
      <c r="AR24" s="281">
        <v>103</v>
      </c>
      <c r="AS24" s="281">
        <v>110</v>
      </c>
      <c r="AT24" s="282">
        <f t="shared" si="10"/>
        <v>720</v>
      </c>
      <c r="AU24" s="266" t="s">
        <v>5415</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8">
        <f t="shared" si="19"/>
        <v>1.2177119999999964</v>
      </c>
      <c r="AG25" s="271">
        <f t="shared" si="5"/>
        <v>4.4408920985006262E-14</v>
      </c>
      <c r="AH25" s="265">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81">
        <v>180</v>
      </c>
      <c r="AP25" s="281">
        <v>7200</v>
      </c>
      <c r="AQ25" s="281">
        <v>1800</v>
      </c>
      <c r="AR25" s="281"/>
      <c r="AS25" s="281"/>
      <c r="AT25" s="282">
        <f t="shared" si="10"/>
        <v>720</v>
      </c>
      <c r="AU25" s="266" t="s">
        <v>5415</v>
      </c>
    </row>
    <row r="26" spans="13:47" ht="15.75" thickBot="1">
      <c r="Q26" t="s">
        <v>821</v>
      </c>
      <c r="S26">
        <v>25159</v>
      </c>
      <c r="T26" t="s">
        <v>77</v>
      </c>
      <c r="U26" s="23" t="s">
        <v>70</v>
      </c>
      <c r="V26" s="40">
        <f t="shared" si="0"/>
        <v>0.3671875</v>
      </c>
      <c r="W26" t="s">
        <v>81</v>
      </c>
      <c r="X26" s="3" t="s">
        <v>79</v>
      </c>
      <c r="Y26" s="39">
        <f t="shared" si="1"/>
        <v>2.9375</v>
      </c>
      <c r="AD26" s="3"/>
      <c r="AE26">
        <v>2.9375</v>
      </c>
      <c r="AF26" s="268">
        <f t="shared" si="19"/>
        <v>0.25380000000000003</v>
      </c>
      <c r="AG26" s="271">
        <f t="shared" si="5"/>
        <v>0</v>
      </c>
      <c r="AH26" s="265">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81"/>
      <c r="AP26" s="281"/>
      <c r="AQ26" s="281"/>
      <c r="AR26" s="281">
        <v>103</v>
      </c>
      <c r="AS26" s="281"/>
      <c r="AT26" s="282">
        <f t="shared" si="10"/>
        <v>720</v>
      </c>
      <c r="AU26" s="266" t="s">
        <v>5415</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8">
        <f t="shared" si="19"/>
        <v>1.4986159999999957</v>
      </c>
      <c r="AG27" s="271">
        <f t="shared" si="5"/>
        <v>4.9737991503207013E-14</v>
      </c>
      <c r="AH27" s="265">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81">
        <v>180</v>
      </c>
      <c r="AP27" s="281"/>
      <c r="AQ27" s="281">
        <v>1800</v>
      </c>
      <c r="AR27" s="281">
        <v>103</v>
      </c>
      <c r="AS27" s="281">
        <v>105</v>
      </c>
      <c r="AT27" s="282">
        <f t="shared" si="10"/>
        <v>5</v>
      </c>
      <c r="AU27" s="266" t="s">
        <v>5415</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8">
        <f t="shared" si="19"/>
        <v>38.303999999999974</v>
      </c>
      <c r="AG28" s="271">
        <f t="shared" si="5"/>
        <v>0</v>
      </c>
      <c r="AH28" s="265">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81"/>
      <c r="AP28" s="281"/>
      <c r="AQ28" s="281"/>
      <c r="AR28" s="281">
        <v>103</v>
      </c>
      <c r="AS28" s="281">
        <v>110</v>
      </c>
      <c r="AT28" s="282">
        <f t="shared" si="10"/>
        <v>720</v>
      </c>
      <c r="AU28" s="266" t="s">
        <v>5415</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8">
        <f t="shared" si="19"/>
        <v>1.2918959999999999</v>
      </c>
      <c r="AG29" s="271">
        <f t="shared" si="5"/>
        <v>0</v>
      </c>
      <c r="AH29" s="265">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81"/>
      <c r="AP29" s="281">
        <v>7200</v>
      </c>
      <c r="AQ29" s="281"/>
      <c r="AR29" s="281">
        <v>103</v>
      </c>
      <c r="AS29" s="281"/>
      <c r="AT29" s="282">
        <f t="shared" si="10"/>
        <v>720</v>
      </c>
      <c r="AU29" s="266" t="s">
        <v>5415</v>
      </c>
    </row>
    <row r="30" spans="13:47" s="202" customFormat="1" ht="15.75" thickBot="1">
      <c r="N30" s="202">
        <f>O30/1000000</f>
        <v>9.1461812499999996E-3</v>
      </c>
      <c r="O30" s="202">
        <f>Y30*180</f>
        <v>9146.1812499999996</v>
      </c>
      <c r="P30" s="428" t="s">
        <v>5708</v>
      </c>
      <c r="Q30" s="201" t="s">
        <v>1048</v>
      </c>
      <c r="R30" s="201"/>
      <c r="S30" s="201"/>
      <c r="T30" s="432" t="s">
        <v>5714</v>
      </c>
      <c r="U30" s="431" t="s">
        <v>70</v>
      </c>
      <c r="V30" s="430">
        <f t="shared" si="0"/>
        <v>6.3515147569444439</v>
      </c>
      <c r="W30" s="202" t="s">
        <v>1048</v>
      </c>
      <c r="X30" s="427" t="s">
        <v>5709</v>
      </c>
      <c r="Y30" s="429">
        <f t="shared" si="1"/>
        <v>50.812118055555551</v>
      </c>
      <c r="Z30" s="202">
        <v>5.5222222222222221</v>
      </c>
      <c r="AA30" s="428">
        <v>20.195555555555554</v>
      </c>
      <c r="AB30" s="202">
        <v>0.28444444444444444</v>
      </c>
      <c r="AC30" s="428">
        <v>16.3046875</v>
      </c>
      <c r="AD30" s="428">
        <v>4.395833333333333</v>
      </c>
      <c r="AE30" s="428">
        <v>4.109375</v>
      </c>
      <c r="AF30" s="435">
        <f t="shared" si="19"/>
        <v>4.3901669999999999</v>
      </c>
      <c r="AG30" s="271">
        <f t="shared" si="5"/>
        <v>0</v>
      </c>
      <c r="AH30" s="265">
        <f t="shared" si="6"/>
        <v>50.812118055555551</v>
      </c>
      <c r="AI30" s="438">
        <f>1*(IF(TRIM($AU30)="13_3",AI$5,AI$1)/AI$2)/IF(OR(TRIM(AO30)="",AO30&lt;=0),1E+38,AO30)</f>
        <v>5.5222222222222221</v>
      </c>
      <c r="AJ30" s="438">
        <f t="shared" si="24"/>
        <v>20.195555555555554</v>
      </c>
      <c r="AK30" s="438">
        <f t="shared" si="24"/>
        <v>0.28444444444444444</v>
      </c>
      <c r="AL30" s="438">
        <f t="shared" si="25"/>
        <v>16.3046875</v>
      </c>
      <c r="AM30" s="438">
        <f t="shared" ref="AM30" si="26">1*(IF(TRIM($AU30)="13_3",AM$5,AM$1)/AM$2)*(AT30/720)/IF(OR(TRIM($AR30)="",$AR30&lt;=0),1E+38,IF($AR30=103,3,IF($AR30=104,2,$AR30)))</f>
        <v>4.395833333333333</v>
      </c>
      <c r="AN30" s="438">
        <f t="shared" ref="AN30:AN36" si="27">1*(IF(TRIM($AU30)="13_3",AN$5,AN$1)/AN$2)/IF(OR(TRIM($AR30)="",$AR30&lt;=0),1E+38,IF($AR30=103,3,IF($AR30=104,2,$AR30)))</f>
        <v>4.109375</v>
      </c>
      <c r="AO30" s="281">
        <v>360</v>
      </c>
      <c r="AP30" s="281">
        <v>900</v>
      </c>
      <c r="AQ30" s="281">
        <v>1800</v>
      </c>
      <c r="AR30" s="281">
        <v>104</v>
      </c>
      <c r="AS30" s="281">
        <v>105</v>
      </c>
      <c r="AT30" s="436">
        <f t="shared" si="10"/>
        <v>5</v>
      </c>
      <c r="AU30" s="437"/>
    </row>
    <row r="31" spans="13:47" ht="15.75" thickBot="1">
      <c r="P31" s="351" t="s">
        <v>5707</v>
      </c>
      <c r="Q31" s="17" t="s">
        <v>1048</v>
      </c>
      <c r="R31" s="17"/>
      <c r="S31" s="17"/>
      <c r="T31" s="30" t="s">
        <v>5714</v>
      </c>
      <c r="U31" s="23" t="s">
        <v>70</v>
      </c>
      <c r="V31" s="40">
        <f t="shared" si="0"/>
        <v>6.9040277777777774</v>
      </c>
      <c r="W31" t="s">
        <v>1048</v>
      </c>
      <c r="X31" s="3" t="s">
        <v>5709</v>
      </c>
      <c r="Y31" s="39">
        <f t="shared" si="1"/>
        <v>55.232222222222219</v>
      </c>
      <c r="Z31">
        <v>5.5222222222222221</v>
      </c>
      <c r="AA31">
        <v>22.12</v>
      </c>
      <c r="AB31">
        <v>0.28444444444444444</v>
      </c>
      <c r="AC31">
        <v>18.28125</v>
      </c>
      <c r="AD31">
        <v>4.6180555555555554</v>
      </c>
      <c r="AE31">
        <v>4.40625</v>
      </c>
      <c r="AF31" s="268">
        <f t="shared" si="19"/>
        <v>4.7720640000000003</v>
      </c>
      <c r="AG31" s="271">
        <f t="shared" si="5"/>
        <v>0</v>
      </c>
      <c r="AH31" s="265">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81">
        <v>360</v>
      </c>
      <c r="AP31" s="281">
        <v>900</v>
      </c>
      <c r="AQ31" s="281">
        <v>1800</v>
      </c>
      <c r="AR31" s="281">
        <v>104</v>
      </c>
      <c r="AS31" s="281">
        <v>105</v>
      </c>
      <c r="AT31" s="282">
        <f t="shared" si="10"/>
        <v>5</v>
      </c>
      <c r="AU31" s="266" t="s">
        <v>5415</v>
      </c>
    </row>
    <row r="32" spans="13:47" ht="15.75" thickBot="1">
      <c r="Q32" s="17" t="s">
        <v>1253</v>
      </c>
      <c r="R32" s="17"/>
      <c r="S32" s="17" t="s">
        <v>5712</v>
      </c>
      <c r="T32" s="30" t="s">
        <v>5711</v>
      </c>
      <c r="U32" s="23" t="s">
        <v>70</v>
      </c>
      <c r="V32" s="40">
        <f t="shared" si="0"/>
        <v>0.55078125</v>
      </c>
      <c r="W32" t="s">
        <v>5705</v>
      </c>
      <c r="X32" s="3" t="s">
        <v>5709</v>
      </c>
      <c r="Y32" s="39">
        <f t="shared" si="1"/>
        <v>4.40625</v>
      </c>
      <c r="AE32">
        <v>4.40625</v>
      </c>
      <c r="AF32" s="268">
        <f t="shared" si="19"/>
        <v>0.38069999999999998</v>
      </c>
      <c r="AG32" s="271">
        <f t="shared" ref="AG32:AG36" si="28">AH32-Y32</f>
        <v>0</v>
      </c>
      <c r="AH32" s="265">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81"/>
      <c r="AP32" s="281"/>
      <c r="AQ32" s="281"/>
      <c r="AR32" s="281">
        <v>104</v>
      </c>
      <c r="AS32" s="281"/>
      <c r="AT32" s="282">
        <f t="shared" ref="AT32:AT36" si="35">IF(OR(AS32="",AS32&lt;105,AS32&gt;109),720,(336+(AS32-107)*(110+(AS32-107)*(25+(AS32-107)*(10+(AS32-107)*(-1)))))/24)</f>
        <v>720</v>
      </c>
      <c r="AU32" s="266" t="s">
        <v>5415</v>
      </c>
    </row>
    <row r="33" spans="11:47" ht="15.75" thickBot="1">
      <c r="Q33" s="17" t="s">
        <v>5713</v>
      </c>
      <c r="R33" s="17"/>
      <c r="S33" s="17" t="s">
        <v>5712</v>
      </c>
      <c r="T33" s="30" t="s">
        <v>5711</v>
      </c>
      <c r="U33" s="23" t="s">
        <v>70</v>
      </c>
      <c r="V33" s="40">
        <f t="shared" si="0"/>
        <v>5.0501562500000006</v>
      </c>
      <c r="W33" t="s">
        <v>5710</v>
      </c>
      <c r="X33" s="3" t="s">
        <v>5709</v>
      </c>
      <c r="Y33" s="39">
        <f t="shared" si="1"/>
        <v>40.401250000000005</v>
      </c>
      <c r="AA33">
        <v>22.12</v>
      </c>
      <c r="AC33">
        <v>18.28125</v>
      </c>
      <c r="AF33" s="268"/>
      <c r="AG33" s="271">
        <f t="shared" si="28"/>
        <v>0</v>
      </c>
      <c r="AH33" s="265">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81"/>
      <c r="AP33" s="281">
        <v>900</v>
      </c>
      <c r="AQ33" s="281"/>
      <c r="AR33" s="281">
        <v>104</v>
      </c>
      <c r="AS33" s="281"/>
      <c r="AT33" s="282">
        <f t="shared" si="35"/>
        <v>720</v>
      </c>
      <c r="AU33" s="266" t="s">
        <v>5415</v>
      </c>
    </row>
    <row r="34" spans="11:47" s="202" customFormat="1" ht="15.75" thickBot="1">
      <c r="P34" s="428" t="s">
        <v>5708</v>
      </c>
      <c r="Q34" s="201" t="s">
        <v>1048</v>
      </c>
      <c r="R34" s="201"/>
      <c r="S34" s="201" t="s">
        <v>5706</v>
      </c>
      <c r="T34" s="432" t="s">
        <v>1156</v>
      </c>
      <c r="U34" s="431" t="s">
        <v>70</v>
      </c>
      <c r="V34" s="430">
        <f t="shared" si="0"/>
        <v>4.9404774305555561</v>
      </c>
      <c r="W34" s="202" t="s">
        <v>1048</v>
      </c>
      <c r="X34" s="427" t="s">
        <v>1157</v>
      </c>
      <c r="Y34" s="429">
        <f t="shared" si="1"/>
        <v>39.523819444444449</v>
      </c>
      <c r="Z34" s="202">
        <v>5.5222222222222221</v>
      </c>
      <c r="AA34" s="428">
        <v>2.5244444444444443</v>
      </c>
      <c r="AB34" s="202">
        <v>0.28444444444444444</v>
      </c>
      <c r="AC34" s="428">
        <v>10.869791666666666</v>
      </c>
      <c r="AD34" s="428">
        <v>17.583333333333332</v>
      </c>
      <c r="AE34" s="428">
        <v>2.7395833333333335</v>
      </c>
      <c r="AF34" s="435">
        <f>Y34*86400/1000000</f>
        <v>3.4148580000000006</v>
      </c>
      <c r="AG34" s="271">
        <f t="shared" si="28"/>
        <v>0</v>
      </c>
      <c r="AH34" s="265">
        <f t="shared" si="29"/>
        <v>39.523819444444449</v>
      </c>
      <c r="AI34" s="438">
        <f>1*(IF(TRIM($AU34)="13_3",AI$5,AI$1)/AI$2)/IF(OR(TRIM(AO34)="",AO34&lt;=0),1E+38,AO34)</f>
        <v>5.5222222222222221</v>
      </c>
      <c r="AJ34" s="438">
        <f>1*(IF(TRIM($AU34)="13_3",AJ$5,AJ$1)/AJ$2)/IF(OR(TRIM(AP34)="",AP34&lt;=0),1E+38,AP34)</f>
        <v>2.5244444444444443</v>
      </c>
      <c r="AK34" s="438">
        <f>1*(IF(TRIM($AU34)="13_3",AK$5,AK$1)/AK$2)/IF(OR(TRIM(AQ34)="",AQ34&lt;=0),1E+38,AQ34)</f>
        <v>0.28444444444444444</v>
      </c>
      <c r="AL34" s="438">
        <f>1*(IF(TRIM($AU34)="13_3",AL$5,AL$1)/AL$2)/IF(OR(TRIM($AR34)="",$AR34&lt;=0),1E+38,IF($AR34=103,3,IF($AR34=104,2,$AR34)))</f>
        <v>10.869791666666666</v>
      </c>
      <c r="AM34" s="438">
        <f>1*(IF(TRIM($AU34)="13_3",AM$5,AM$1)/AM$2)*(AT34/720)/IF(OR(TRIM($AR34)="",$AR34&lt;=0),1E+38,IF($AR34=103,3,IF($AR34=104,2,$AR34)))</f>
        <v>17.583333333333332</v>
      </c>
      <c r="AN34" s="438">
        <f t="shared" si="27"/>
        <v>2.7395833333333335</v>
      </c>
      <c r="AO34" s="281">
        <v>360</v>
      </c>
      <c r="AP34" s="281">
        <v>7200</v>
      </c>
      <c r="AQ34" s="281">
        <v>1800</v>
      </c>
      <c r="AR34" s="281">
        <v>103</v>
      </c>
      <c r="AS34" s="281">
        <v>109</v>
      </c>
      <c r="AT34" s="436">
        <f t="shared" si="35"/>
        <v>30</v>
      </c>
      <c r="AU34" s="437"/>
    </row>
    <row r="35" spans="11:47" ht="15.75" thickBot="1">
      <c r="P35" s="351" t="s">
        <v>5707</v>
      </c>
      <c r="Q35" s="17" t="s">
        <v>1048</v>
      </c>
      <c r="R35" s="17"/>
      <c r="S35" s="17" t="s">
        <v>5706</v>
      </c>
      <c r="T35" s="30" t="s">
        <v>1156</v>
      </c>
      <c r="U35" s="23" t="s">
        <v>70</v>
      </c>
      <c r="V35" s="40">
        <f t="shared" si="0"/>
        <v>5.2711111111111109</v>
      </c>
      <c r="W35" t="s">
        <v>1048</v>
      </c>
      <c r="X35" s="3" t="s">
        <v>1157</v>
      </c>
      <c r="Y35" s="39">
        <f t="shared" si="1"/>
        <v>42.168888888888887</v>
      </c>
      <c r="Z35">
        <v>5.5222222222222221</v>
      </c>
      <c r="AA35" s="351">
        <v>2.7650000000000001</v>
      </c>
      <c r="AB35">
        <v>0.28444444444444444</v>
      </c>
      <c r="AC35" s="351">
        <v>12.1875</v>
      </c>
      <c r="AD35" s="351">
        <v>18.472222222222221</v>
      </c>
      <c r="AE35" s="351">
        <v>2.9375000000000004</v>
      </c>
      <c r="AF35" s="268">
        <f>Y35*86400/1000000</f>
        <v>3.643392</v>
      </c>
      <c r="AG35" s="271">
        <f t="shared" si="28"/>
        <v>0</v>
      </c>
      <c r="AH35" s="265">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81">
        <v>360</v>
      </c>
      <c r="AP35" s="281">
        <v>7200</v>
      </c>
      <c r="AQ35" s="281">
        <v>1800</v>
      </c>
      <c r="AR35" s="281">
        <v>103</v>
      </c>
      <c r="AS35" s="281">
        <v>109</v>
      </c>
      <c r="AT35" s="282">
        <f t="shared" si="35"/>
        <v>30</v>
      </c>
      <c r="AU35" s="266" t="s">
        <v>5415</v>
      </c>
    </row>
    <row r="36" spans="11:47" ht="15">
      <c r="Q36" s="17" t="s">
        <v>1253</v>
      </c>
      <c r="R36" s="17"/>
      <c r="S36" s="17">
        <v>26179</v>
      </c>
      <c r="T36" s="30" t="s">
        <v>1156</v>
      </c>
      <c r="U36" s="23" t="s">
        <v>70</v>
      </c>
      <c r="V36" s="40">
        <f t="shared" si="0"/>
        <v>0.36718750000000006</v>
      </c>
      <c r="W36" t="s">
        <v>5705</v>
      </c>
      <c r="X36" s="3" t="s">
        <v>1157</v>
      </c>
      <c r="Y36" s="39">
        <f t="shared" si="1"/>
        <v>2.9375000000000004</v>
      </c>
      <c r="AE36">
        <v>2.9375000000000004</v>
      </c>
      <c r="AF36" s="268">
        <f>Y36*86400/1000000</f>
        <v>0.25380000000000003</v>
      </c>
      <c r="AG36" s="271">
        <f t="shared" si="28"/>
        <v>0</v>
      </c>
      <c r="AH36" s="265">
        <f t="shared" si="29"/>
        <v>2.9375</v>
      </c>
      <c r="AI36" s="209">
        <f t="shared" si="30"/>
        <v>0</v>
      </c>
      <c r="AJ36" s="209">
        <f t="shared" si="31"/>
        <v>0</v>
      </c>
      <c r="AK36" s="209">
        <f t="shared" si="32"/>
        <v>0</v>
      </c>
      <c r="AL36" s="209">
        <f t="shared" si="33"/>
        <v>0</v>
      </c>
      <c r="AM36" s="209">
        <f t="shared" si="34"/>
        <v>0</v>
      </c>
      <c r="AN36" s="209">
        <f t="shared" si="27"/>
        <v>2.9375</v>
      </c>
      <c r="AO36" s="283"/>
      <c r="AP36" s="283"/>
      <c r="AQ36" s="283"/>
      <c r="AR36" s="283">
        <v>103</v>
      </c>
      <c r="AS36" s="283"/>
      <c r="AT36" s="284">
        <f t="shared" si="35"/>
        <v>720</v>
      </c>
      <c r="AU36" s="267" t="s">
        <v>5415</v>
      </c>
    </row>
    <row r="37" spans="11:47" ht="15.75" thickBot="1">
      <c r="Z37" s="3" t="s">
        <v>49</v>
      </c>
      <c r="AA37" s="3" t="s">
        <v>50</v>
      </c>
      <c r="AB37" s="3" t="s">
        <v>51</v>
      </c>
      <c r="AC37" s="3" t="s">
        <v>52</v>
      </c>
      <c r="AD37" s="3" t="s">
        <v>53</v>
      </c>
      <c r="AE37" s="3" t="s">
        <v>54</v>
      </c>
      <c r="AF37" s="268"/>
      <c r="AG37" s="276"/>
      <c r="AI37" s="3" t="s">
        <v>49</v>
      </c>
      <c r="AJ37" s="3" t="s">
        <v>50</v>
      </c>
      <c r="AK37" s="3" t="s">
        <v>51</v>
      </c>
      <c r="AL37" s="3" t="s">
        <v>52</v>
      </c>
      <c r="AM37" s="3" t="s">
        <v>53</v>
      </c>
      <c r="AN37" s="3" t="s">
        <v>54</v>
      </c>
      <c r="AO37" s="272" t="s">
        <v>5402</v>
      </c>
      <c r="AP37" s="272" t="s">
        <v>5402</v>
      </c>
      <c r="AQ37" s="272" t="s">
        <v>5402</v>
      </c>
      <c r="AR37" s="272" t="s">
        <v>5402</v>
      </c>
      <c r="AS37" s="272" t="s">
        <v>5405</v>
      </c>
      <c r="AT37" s="262" t="s">
        <v>5406</v>
      </c>
      <c r="AU37" s="262" t="s">
        <v>5417</v>
      </c>
    </row>
    <row r="38" spans="11:47" ht="15">
      <c r="U38" s="37" t="s">
        <v>97</v>
      </c>
      <c r="V38" s="24">
        <v>197375</v>
      </c>
      <c r="Z38" s="3" t="s">
        <v>1</v>
      </c>
      <c r="AA38" s="3" t="s">
        <v>58</v>
      </c>
      <c r="AB38" s="4" t="s">
        <v>59</v>
      </c>
      <c r="AC38" s="3" t="s">
        <v>60</v>
      </c>
      <c r="AD38" s="3" t="s">
        <v>61</v>
      </c>
      <c r="AE38" s="3" t="s">
        <v>62</v>
      </c>
      <c r="AF38" s="268" t="s">
        <v>63</v>
      </c>
      <c r="AG38" s="276"/>
      <c r="AI38" s="3" t="s">
        <v>1</v>
      </c>
      <c r="AJ38" s="3" t="s">
        <v>58</v>
      </c>
      <c r="AK38" s="3" t="s">
        <v>59</v>
      </c>
      <c r="AL38" s="3" t="s">
        <v>60</v>
      </c>
      <c r="AM38" s="3" t="s">
        <v>61</v>
      </c>
      <c r="AN38" s="3" t="s">
        <v>62</v>
      </c>
      <c r="AO38" s="274" t="s">
        <v>1</v>
      </c>
      <c r="AP38" s="274" t="s">
        <v>58</v>
      </c>
      <c r="AQ38" s="274" t="s">
        <v>5284</v>
      </c>
      <c r="AR38" s="274" t="s">
        <v>5403</v>
      </c>
      <c r="AS38" s="274" t="s">
        <v>5404</v>
      </c>
      <c r="AT38" s="267" t="s">
        <v>5407</v>
      </c>
      <c r="AU38" s="267" t="s">
        <v>5416</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9" t="s">
        <v>5419</v>
      </c>
      <c r="AJ40" s="269" t="s">
        <v>5419</v>
      </c>
      <c r="AK40" s="269" t="s">
        <v>5419</v>
      </c>
      <c r="AL40" s="269" t="s">
        <v>5419</v>
      </c>
      <c r="AM40" s="269" t="s">
        <v>5419</v>
      </c>
      <c r="AN40" s="269" t="s">
        <v>5419</v>
      </c>
      <c r="AR40" s="269" t="s">
        <v>5419</v>
      </c>
      <c r="AS40" s="269" t="s">
        <v>5419</v>
      </c>
    </row>
    <row r="41" spans="11:47" ht="15">
      <c r="P41" s="46" t="s">
        <v>109</v>
      </c>
      <c r="Q41" s="46" t="s">
        <v>110</v>
      </c>
      <c r="R41" s="46">
        <v>606480128</v>
      </c>
      <c r="S41" s="46">
        <v>0</v>
      </c>
      <c r="T41" s="46" t="s">
        <v>111</v>
      </c>
      <c r="U41" s="46" t="s">
        <v>112</v>
      </c>
      <c r="V41" s="46" t="s">
        <v>113</v>
      </c>
      <c r="W41" s="46"/>
      <c r="X41" s="46" t="s">
        <v>114</v>
      </c>
      <c r="Y41" s="49"/>
      <c r="AI41" s="3" t="s">
        <v>5418</v>
      </c>
      <c r="AJ41" s="3" t="s">
        <v>5418</v>
      </c>
      <c r="AK41" s="3" t="s">
        <v>5418</v>
      </c>
      <c r="AL41" s="3" t="s">
        <v>5418</v>
      </c>
      <c r="AM41" s="3" t="s">
        <v>5418</v>
      </c>
      <c r="AN41" s="3" t="s">
        <v>5418</v>
      </c>
      <c r="AR41" s="3" t="s">
        <v>5418</v>
      </c>
      <c r="AS41" s="3" t="s">
        <v>5418</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40">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40">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40">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40">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40">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40">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40">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40">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40">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40">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40">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40">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40">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40">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40">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26">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40">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40">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40">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40">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40">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40">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40">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40">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40">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40">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5704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40">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40">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40">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40">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40">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40">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40">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40">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40">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40">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40">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40">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40">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22" t="s">
        <v>826</v>
      </c>
      <c r="Z167" s="422"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25">
        <f>R167</f>
        <v>613555366</v>
      </c>
      <c r="S168" s="21">
        <f>R168-Q168</f>
        <v>196858.73855447769</v>
      </c>
      <c r="T168" s="21">
        <f>S168*$V$12</f>
        <v>608370.4000780835</v>
      </c>
      <c r="U168" s="3">
        <v>0</v>
      </c>
      <c r="V168" s="27">
        <f>T168+U168*$V$38</f>
        <v>608370.4000780835</v>
      </c>
      <c r="W168" s="20">
        <f>AA168*1000000/8</f>
        <v>1001000.0000000001</v>
      </c>
      <c r="X168" s="340">
        <f>W168-V168</f>
        <v>392629.59992191661</v>
      </c>
      <c r="Y168" s="339">
        <f>S168*$V$24+U168*$V$38</f>
        <v>646715.13301579049</v>
      </c>
      <c r="Z168" s="338">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24">
        <f>R170</f>
        <v>613559216</v>
      </c>
      <c r="S169" s="21">
        <f>R169-Q169</f>
        <v>3851</v>
      </c>
      <c r="T169" s="21">
        <f>S169*$V$15</f>
        <v>6668.6483333333099</v>
      </c>
      <c r="U169" s="3">
        <v>0</v>
      </c>
      <c r="V169" s="27">
        <f>T169+U169*$V$38</f>
        <v>6668.6483333333099</v>
      </c>
      <c r="W169" s="27">
        <f>X168</f>
        <v>392629.59992191661</v>
      </c>
      <c r="X169" s="340">
        <f>W169-V169</f>
        <v>385960.9515885833</v>
      </c>
      <c r="Y169" s="339">
        <f>S169*$V$25+U169*$V$38</f>
        <v>6784.445763888868</v>
      </c>
      <c r="Z169" s="338">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40">
        <f t="shared" ref="X171:X197" si="85">W171-V171</f>
        <v>1.257285475730896E-8</v>
      </c>
      <c r="Y171" s="339">
        <f>S171*$V$26+U171*$V$38</f>
        <v>399585.03174135741</v>
      </c>
      <c r="Z171" s="338">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24">
        <f>R170</f>
        <v>613559216</v>
      </c>
      <c r="S172" s="21">
        <f t="shared" si="83"/>
        <v>1263961.3390873671</v>
      </c>
      <c r="T172" s="21">
        <f>S172*$V$14</f>
        <v>432840.92731767852</v>
      </c>
      <c r="U172" s="3">
        <v>0</v>
      </c>
      <c r="V172" s="27">
        <f t="shared" si="84"/>
        <v>432840.92731767852</v>
      </c>
      <c r="W172" s="20">
        <f>AA172*1000000/8</f>
        <v>1197625.0000000002</v>
      </c>
      <c r="X172" s="340">
        <f t="shared" si="85"/>
        <v>764784.07268232177</v>
      </c>
      <c r="Y172" s="339">
        <f>S172*$V$26+U172*$V$38</f>
        <v>464110.80419614259</v>
      </c>
      <c r="Z172" s="338">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23">
        <f>R172-1</f>
        <v>613559215</v>
      </c>
      <c r="R173" s="129">
        <v>613766276</v>
      </c>
      <c r="S173" s="21">
        <f t="shared" si="83"/>
        <v>207061</v>
      </c>
      <c r="T173" s="21">
        <f>S173*$V$17</f>
        <v>439979.46133680444</v>
      </c>
      <c r="U173" s="3">
        <v>0</v>
      </c>
      <c r="V173" s="27">
        <f t="shared" si="84"/>
        <v>439979.46133680444</v>
      </c>
      <c r="W173" s="136">
        <f>X172</f>
        <v>764784.07268232177</v>
      </c>
      <c r="X173" s="340">
        <f t="shared" si="85"/>
        <v>324804.61134551733</v>
      </c>
      <c r="Y173" s="339">
        <f>S173*$V$27+U173*$V$38</f>
        <v>448936.52716435055</v>
      </c>
      <c r="Z173" s="338">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40">
        <f t="shared" si="85"/>
        <v>-5.9546437114477158E-8</v>
      </c>
      <c r="Y174" s="340"/>
      <c r="Z174" s="340"/>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40">
        <f t="shared" si="85"/>
        <v>-6.5658241510391235E-8</v>
      </c>
      <c r="Y175" s="340"/>
      <c r="Z175" s="340"/>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40">
        <f t="shared" si="85"/>
        <v>1.3574026525020599E-7</v>
      </c>
      <c r="Y176" s="340"/>
      <c r="Z176" s="340"/>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40">
        <f t="shared" si="85"/>
        <v>-1.280568540096283E-7</v>
      </c>
      <c r="Y177" s="340"/>
      <c r="Z177" s="340"/>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40">
        <f t="shared" si="85"/>
        <v>2.1158484742045403E-7</v>
      </c>
      <c r="Y178" s="340"/>
      <c r="Z178" s="340"/>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40">
        <f t="shared" si="85"/>
        <v>1.0221265256404877E-7</v>
      </c>
      <c r="Y179" s="340"/>
      <c r="Z179" s="340"/>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40">
        <f t="shared" si="85"/>
        <v>-1.5646219253540039E-7</v>
      </c>
      <c r="Y180" s="340"/>
      <c r="Z180" s="340"/>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40">
        <f t="shared" si="85"/>
        <v>-2.0302832126617432E-7</v>
      </c>
      <c r="Y181" s="340"/>
      <c r="Z181" s="340"/>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40">
        <f t="shared" si="85"/>
        <v>2.3050233721733093E-8</v>
      </c>
      <c r="Y182" s="340"/>
      <c r="Z182" s="340"/>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40">
        <f t="shared" si="85"/>
        <v>-1.4482066035270691E-7</v>
      </c>
      <c r="Y183" s="340"/>
      <c r="Z183" s="340"/>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40">
        <f t="shared" si="85"/>
        <v>8.2654878497123718E-8</v>
      </c>
      <c r="Y184" s="340"/>
      <c r="Z184" s="340"/>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40">
        <f t="shared" si="85"/>
        <v>1.9511207938194275E-7</v>
      </c>
      <c r="Y185" s="340"/>
      <c r="Z185" s="340"/>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40">
        <f t="shared" si="85"/>
        <v>-1.2977398000657558E-7</v>
      </c>
      <c r="Y186" s="340"/>
      <c r="Z186" s="340"/>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40">
        <f t="shared" si="85"/>
        <v>-2.4330802261829376E-8</v>
      </c>
      <c r="Y187" s="340"/>
      <c r="Z187" s="340"/>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40">
        <f t="shared" si="85"/>
        <v>-1.9709113985300064E-7</v>
      </c>
      <c r="Y188" s="340"/>
      <c r="Z188" s="340"/>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40">
        <f t="shared" si="85"/>
        <v>-2.1548476070165634E-7</v>
      </c>
      <c r="Y189" s="340"/>
      <c r="Z189" s="340"/>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40">
        <f t="shared" si="85"/>
        <v>-4.7992216423153877E-8</v>
      </c>
      <c r="Y190" s="340"/>
      <c r="Z190" s="340"/>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40">
        <f t="shared" si="85"/>
        <v>-1.1362135410308838E-7</v>
      </c>
      <c r="Y191" s="340"/>
      <c r="Z191" s="340"/>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40">
        <f t="shared" si="85"/>
        <v>-7.4494164437055588E-7</v>
      </c>
      <c r="Y192" s="339">
        <f>S192*$V$28+U192*$V$38</f>
        <v>1009712.6777259004</v>
      </c>
      <c r="Z192" s="338">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40">
        <f t="shared" si="85"/>
        <v>-2.4138716980814934E-6</v>
      </c>
      <c r="Y193" s="339">
        <f>S193*$V$28+U193*$V$38</f>
        <v>1089160.7424985857</v>
      </c>
      <c r="Z193" s="338">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40">
        <f t="shared" si="85"/>
        <v>-6.0652382671833038E-8</v>
      </c>
      <c r="Y194" s="339">
        <f>S194*$V$27+U194*$V$38</f>
        <v>879676.07011845079</v>
      </c>
      <c r="Z194" s="338">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40">
        <f t="shared" si="85"/>
        <v>-7.4505805969238281E-8</v>
      </c>
      <c r="Y195" s="339">
        <f>S195*$V$27+U195*$V$38</f>
        <v>1801441.9043573509</v>
      </c>
      <c r="Z195" s="338">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40">
        <f t="shared" si="85"/>
        <v>1255305.7062501439</v>
      </c>
      <c r="Y196" s="339">
        <f>S196*$V$27+U196*$V$38</f>
        <v>721208.66302418872</v>
      </c>
      <c r="Z196" s="338">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40">
        <f t="shared" si="85"/>
        <v>1.6996636986732483E-8</v>
      </c>
      <c r="Y197" s="339">
        <f>S197*$V$29+U197*$V$38</f>
        <v>1401345.9533638111</v>
      </c>
      <c r="Z197" s="338">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22">
        <f>SUM(Y168:Y197)-SUM(V168:V173)-SUM(V192:V197)</f>
        <v>407232.56431206875</v>
      </c>
      <c r="AA198" s="422">
        <f>Y198*8/1000000</f>
        <v>3.2578605144965498</v>
      </c>
      <c r="AB198" s="421"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40">
        <f>W201-V201</f>
        <v>-2.0721927285194397E-8</v>
      </c>
      <c r="Y201" s="340"/>
      <c r="Z201" s="340"/>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40">
        <f>W202-V202</f>
        <v>-7.7532604336738586E-8</v>
      </c>
      <c r="Y202" s="340"/>
      <c r="Z202" s="340"/>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40">
        <f>W203-V203</f>
        <v>-5.8964360505342484E-8</v>
      </c>
      <c r="Y203" s="340"/>
      <c r="Z203" s="340"/>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40">
        <f t="shared" ref="X218:X225" si="100">W218-V218</f>
        <v>8.5390638560056686E-8</v>
      </c>
      <c r="Y218" s="340"/>
      <c r="Z218" s="340"/>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40">
        <f t="shared" si="100"/>
        <v>0</v>
      </c>
      <c r="Y219" s="340"/>
      <c r="Z219" s="340"/>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40">
        <f t="shared" si="100"/>
        <v>7.6135620474815369E-8</v>
      </c>
      <c r="Y220" s="340"/>
      <c r="Z220" s="340"/>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40">
        <f t="shared" si="100"/>
        <v>-1.9150320440530777E-7</v>
      </c>
      <c r="Y221" s="340"/>
      <c r="Z221" s="340"/>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40">
        <f t="shared" si="100"/>
        <v>1088144.6668402778</v>
      </c>
      <c r="Y222" s="339">
        <f>S222*$V$29+U222*$V$38</f>
        <v>6410.8843750000005</v>
      </c>
      <c r="Z222" s="338">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7"/>
      <c r="L223" s="79" t="s">
        <v>787</v>
      </c>
      <c r="M223" s="79" t="s">
        <v>788</v>
      </c>
      <c r="O223" s="85"/>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40">
        <f t="shared" si="100"/>
        <v>757846.93350694492</v>
      </c>
      <c r="Y223" s="339">
        <f>S223*$V$29+U223*$V$38</f>
        <v>340844.23750000005</v>
      </c>
      <c r="Z223" s="338">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40">
        <f t="shared" si="100"/>
        <v>-8.1374309957027435E-8</v>
      </c>
      <c r="Y224" s="339">
        <f>S224*$V$29+U224*$V$38</f>
        <v>791769.51121106185</v>
      </c>
      <c r="Z224" s="338">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40">
        <f t="shared" si="100"/>
        <v>-1.8789432942867279E-7</v>
      </c>
      <c r="Y225" s="340"/>
      <c r="Z225" s="340"/>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20"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40">
        <f t="shared" ref="X234:X245" si="108">W234-V234</f>
        <v>-3.9581209421157837E-8</v>
      </c>
      <c r="Y234" s="340"/>
      <c r="Z234" s="340"/>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40">
        <f t="shared" si="108"/>
        <v>-3.9581209421157837E-8</v>
      </c>
      <c r="Y235" s="340"/>
      <c r="Z235" s="340"/>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40">
        <f t="shared" si="108"/>
        <v>-3.9581209421157837E-8</v>
      </c>
      <c r="Y236" s="340"/>
      <c r="Z236" s="340"/>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40">
        <f t="shared" si="108"/>
        <v>-3.9581209421157837E-8</v>
      </c>
      <c r="Y237" s="340"/>
      <c r="Z237" s="340"/>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40">
        <f t="shared" si="108"/>
        <v>-3.9581209421157837E-8</v>
      </c>
      <c r="Y238" s="340"/>
      <c r="Z238" s="340"/>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40">
        <f t="shared" si="108"/>
        <v>-3.9581209421157837E-8</v>
      </c>
      <c r="Y239" s="340"/>
      <c r="Z239" s="340"/>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40">
        <f t="shared" si="108"/>
        <v>-3.9581209421157837E-8</v>
      </c>
      <c r="Y240" s="340"/>
      <c r="Z240" s="340"/>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40">
        <f t="shared" si="108"/>
        <v>-3.9581209421157837E-8</v>
      </c>
      <c r="Y241" s="340"/>
      <c r="Z241" s="340"/>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40">
        <f t="shared" si="108"/>
        <v>-3.9581209421157837E-8</v>
      </c>
      <c r="Y242" s="340"/>
      <c r="Z242" s="340"/>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40">
        <f t="shared" si="108"/>
        <v>-3.9581209421157837E-8</v>
      </c>
      <c r="Y243" s="340"/>
      <c r="Z243" s="340"/>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40">
        <f t="shared" si="108"/>
        <v>-3.9581209421157837E-8</v>
      </c>
      <c r="Y244" s="340"/>
      <c r="Z244" s="340"/>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40">
        <f t="shared" si="108"/>
        <v>-3.9581209421157837E-8</v>
      </c>
      <c r="Y245" s="340"/>
      <c r="Z245" s="340"/>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40">
        <f>W249-V249</f>
        <v>0</v>
      </c>
      <c r="Y249" s="339">
        <f>S249*$V$27+U249*$V$38</f>
        <v>510178.95903632819</v>
      </c>
      <c r="Z249" s="338">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8" t="s">
        <v>947</v>
      </c>
      <c r="Q270" s="419" t="s">
        <v>948</v>
      </c>
      <c r="R270" s="419">
        <v>644923315</v>
      </c>
      <c r="S270" s="418">
        <v>7</v>
      </c>
      <c r="T270" s="418" t="s">
        <v>27</v>
      </c>
      <c r="U270" s="418" t="s">
        <v>298</v>
      </c>
      <c r="V270" s="419" t="s">
        <v>151</v>
      </c>
      <c r="W270" s="418" t="s">
        <v>152</v>
      </c>
      <c r="X270" s="418" t="s">
        <v>949</v>
      </c>
    </row>
    <row r="271" spans="16:25" ht="13.5" customHeight="1">
      <c r="P271" s="418" t="s">
        <v>950</v>
      </c>
      <c r="Q271" s="418" t="s">
        <v>951</v>
      </c>
      <c r="R271" s="419">
        <v>644924995</v>
      </c>
      <c r="S271" s="418">
        <v>0</v>
      </c>
      <c r="T271" s="418" t="s">
        <v>409</v>
      </c>
      <c r="U271" s="418" t="s">
        <v>952</v>
      </c>
      <c r="V271" s="418" t="s">
        <v>802</v>
      </c>
      <c r="W271" s="418"/>
      <c r="X271" s="418" t="s">
        <v>949</v>
      </c>
    </row>
    <row r="272" spans="16:25" ht="13.5" customHeight="1">
      <c r="P272" s="418" t="s">
        <v>953</v>
      </c>
      <c r="Q272" s="418" t="s">
        <v>954</v>
      </c>
      <c r="R272" s="418">
        <v>644924998</v>
      </c>
      <c r="S272" s="418">
        <v>0</v>
      </c>
      <c r="T272" s="418" t="s">
        <v>409</v>
      </c>
      <c r="U272" s="418" t="s">
        <v>952</v>
      </c>
      <c r="V272" s="418" t="s">
        <v>808</v>
      </c>
      <c r="W272" s="418"/>
      <c r="X272" s="418" t="s">
        <v>949</v>
      </c>
    </row>
    <row r="273" spans="1:43" ht="13.5" customHeight="1">
      <c r="P273" s="418" t="s">
        <v>955</v>
      </c>
      <c r="Q273" s="418" t="s">
        <v>956</v>
      </c>
      <c r="R273" s="418">
        <v>644925001</v>
      </c>
      <c r="S273" s="418">
        <v>0</v>
      </c>
      <c r="T273" s="418" t="s">
        <v>409</v>
      </c>
      <c r="U273" s="418" t="s">
        <v>952</v>
      </c>
      <c r="V273" s="418" t="s">
        <v>813</v>
      </c>
      <c r="W273" s="418"/>
      <c r="X273" s="418" t="s">
        <v>949</v>
      </c>
    </row>
    <row r="274" spans="1:43" ht="13.5" customHeight="1">
      <c r="P274" s="418" t="s">
        <v>957</v>
      </c>
      <c r="Q274" s="418" t="s">
        <v>958</v>
      </c>
      <c r="R274" s="418">
        <v>644925004</v>
      </c>
      <c r="S274" s="418">
        <v>0</v>
      </c>
      <c r="T274" s="418" t="s">
        <v>409</v>
      </c>
      <c r="U274" s="418" t="s">
        <v>952</v>
      </c>
      <c r="V274" s="418" t="s">
        <v>449</v>
      </c>
      <c r="W274" s="418"/>
      <c r="X274" s="418" t="s">
        <v>949</v>
      </c>
    </row>
    <row r="275" spans="1:43" ht="13.5" customHeight="1">
      <c r="L275">
        <f>265057</f>
        <v>265057</v>
      </c>
      <c r="M275">
        <v>21845</v>
      </c>
      <c r="P275" s="418" t="s">
        <v>959</v>
      </c>
      <c r="Q275" s="418" t="s">
        <v>960</v>
      </c>
      <c r="R275" s="418">
        <v>644925055</v>
      </c>
      <c r="S275" s="418">
        <v>0</v>
      </c>
      <c r="T275" s="418" t="s">
        <v>409</v>
      </c>
      <c r="U275" s="418" t="s">
        <v>952</v>
      </c>
      <c r="V275" s="419" t="s">
        <v>940</v>
      </c>
      <c r="W275" s="418"/>
      <c r="X275" s="418" t="s">
        <v>949</v>
      </c>
    </row>
    <row r="276" spans="1:43" ht="13.5" customHeight="1">
      <c r="L276">
        <f>L275*8/1000000</f>
        <v>2.1204559999999999</v>
      </c>
      <c r="M276">
        <f>M275*8/1000000</f>
        <v>0.17476</v>
      </c>
      <c r="P276" s="418" t="s">
        <v>961</v>
      </c>
      <c r="Q276" s="418" t="s">
        <v>962</v>
      </c>
      <c r="R276" s="418">
        <v>644925655</v>
      </c>
      <c r="S276" s="418">
        <v>0</v>
      </c>
      <c r="T276" s="418" t="s">
        <v>409</v>
      </c>
      <c r="U276" s="418" t="s">
        <v>952</v>
      </c>
      <c r="V276" s="418" t="s">
        <v>818</v>
      </c>
      <c r="W276" s="418"/>
      <c r="X276" s="418" t="s">
        <v>949</v>
      </c>
    </row>
    <row r="277" spans="1:43" ht="13.5" customHeight="1">
      <c r="P277" s="418" t="s">
        <v>963</v>
      </c>
      <c r="Q277" s="418" t="s">
        <v>964</v>
      </c>
      <c r="R277" s="418">
        <v>644926255</v>
      </c>
      <c r="S277" s="418">
        <v>0</v>
      </c>
      <c r="T277" s="418" t="s">
        <v>409</v>
      </c>
      <c r="U277" s="418" t="s">
        <v>952</v>
      </c>
      <c r="V277" s="418" t="s">
        <v>965</v>
      </c>
      <c r="W277" s="418"/>
      <c r="X277" s="418" t="s">
        <v>949</v>
      </c>
    </row>
    <row r="278" spans="1:43" ht="13.5" customHeight="1">
      <c r="P278" s="417"/>
      <c r="Q278" s="417"/>
      <c r="R278" s="417"/>
      <c r="S278" s="417"/>
      <c r="T278" s="417"/>
      <c r="U278" s="417"/>
      <c r="V278" s="417"/>
      <c r="W278" s="417"/>
      <c r="X278" s="417"/>
    </row>
    <row r="279" spans="1:43" ht="13.5" customHeight="1">
      <c r="O279" t="s">
        <v>1053</v>
      </c>
      <c r="P279" s="285" t="s">
        <v>1049</v>
      </c>
      <c r="Q279" s="285" t="s">
        <v>1050</v>
      </c>
      <c r="R279" s="285">
        <v>644288021</v>
      </c>
      <c r="S279" s="285">
        <v>1</v>
      </c>
      <c r="T279" s="285" t="s">
        <v>27</v>
      </c>
      <c r="U279" s="285" t="s">
        <v>1051</v>
      </c>
      <c r="V279" s="285" t="s">
        <v>28</v>
      </c>
      <c r="W279" s="285"/>
      <c r="X279" s="285"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5565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40">
        <f>W281-V281</f>
        <v>516166.25</v>
      </c>
      <c r="Y281" s="339"/>
      <c r="Z281" s="338"/>
      <c r="AA281" s="78">
        <f>AQ281+0.1</f>
        <v>9.2293299999999991</v>
      </c>
      <c r="AD281" s="180">
        <f>AK281</f>
        <v>5.0999999999999996</v>
      </c>
      <c r="AE281" s="100"/>
      <c r="AH281" s="286" t="str">
        <f>AL281</f>
        <v>TRK_194_1</v>
      </c>
      <c r="AI281" s="416" t="s">
        <v>999</v>
      </c>
      <c r="AJ281" s="41">
        <f>X281*8/1000000</f>
        <v>4.1293300000000004</v>
      </c>
      <c r="AK281" s="41">
        <f>V281*8/1000000</f>
        <v>5.0999999999999996</v>
      </c>
      <c r="AL281" s="287" t="s">
        <v>966</v>
      </c>
      <c r="AM281" s="287" t="s">
        <v>967</v>
      </c>
      <c r="AN281">
        <v>0.27261099999999999</v>
      </c>
      <c r="AO281">
        <v>1.3100350000000001</v>
      </c>
      <c r="AP281">
        <v>1.0374239999999999</v>
      </c>
      <c r="AQ281" s="277">
        <v>9.1293299999999995</v>
      </c>
    </row>
    <row r="282" spans="1:43" ht="13.5" customHeight="1">
      <c r="A282" t="s">
        <v>5703</v>
      </c>
      <c r="C282" s="3">
        <v>104</v>
      </c>
      <c r="D282" s="3">
        <v>105</v>
      </c>
      <c r="E282" s="3"/>
      <c r="F282" s="3"/>
      <c r="G282" s="3" t="s">
        <v>50</v>
      </c>
      <c r="H282" s="3"/>
      <c r="I282" s="3"/>
      <c r="L282" s="79" t="s">
        <v>1000</v>
      </c>
      <c r="M282" s="79" t="s">
        <v>1036</v>
      </c>
      <c r="N282" t="s">
        <v>1035</v>
      </c>
      <c r="O282" s="85"/>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40">
        <f>W282-V282</f>
        <v>-6.8452209234237671E-8</v>
      </c>
      <c r="Y282" s="339"/>
      <c r="Z282" s="338"/>
      <c r="AA282" s="78"/>
      <c r="AD282" s="119">
        <f>AK282</f>
        <v>4.1293300000005475</v>
      </c>
      <c r="AE282" s="100"/>
      <c r="AH282" s="286"/>
      <c r="AI282" s="416"/>
      <c r="AJ282" s="41">
        <f>X282*8/1000000</f>
        <v>-5.4761767387390135E-13</v>
      </c>
      <c r="AK282" s="41">
        <f>V282*8/1000000</f>
        <v>4.1293300000005475</v>
      </c>
      <c r="AL282" s="287"/>
      <c r="AM282" s="287"/>
      <c r="AQ282" s="277"/>
    </row>
    <row r="283" spans="1:43" ht="13.5" customHeight="1">
      <c r="A283" t="s">
        <v>5703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40">
        <f>W283-V283</f>
        <v>-6.4726918935775757E-8</v>
      </c>
      <c r="Y283" s="339"/>
      <c r="Z283" s="338"/>
      <c r="AA283" s="78">
        <f>AQ283</f>
        <v>15.029629999999999</v>
      </c>
      <c r="AD283" s="119">
        <f>AD282+AK283</f>
        <v>19.158960000001066</v>
      </c>
      <c r="AE283" s="100"/>
      <c r="AH283" s="287" t="s">
        <v>968</v>
      </c>
      <c r="AI283" s="287" t="s">
        <v>998</v>
      </c>
      <c r="AJ283" s="41">
        <f>X283*8/1000000</f>
        <v>-5.1781535148620602E-13</v>
      </c>
      <c r="AK283" s="41">
        <f>V283*8/1000000</f>
        <v>15.029630000000518</v>
      </c>
      <c r="AL283" s="287" t="s">
        <v>968</v>
      </c>
      <c r="AM283" s="287" t="s">
        <v>969</v>
      </c>
      <c r="AN283">
        <v>0.20042599999999999</v>
      </c>
      <c r="AO283">
        <v>1.9083380000000001</v>
      </c>
      <c r="AP283">
        <v>1.7079120000000001</v>
      </c>
      <c r="AQ283" s="277">
        <v>15.029629999999999</v>
      </c>
    </row>
    <row r="284" spans="1:43" ht="13.5" customHeight="1">
      <c r="A284" t="s">
        <v>5703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40">
        <f>W284-V284</f>
        <v>6.6822394728660583E-8</v>
      </c>
      <c r="Y284" s="339"/>
      <c r="Z284" s="338"/>
      <c r="AA284" s="78">
        <f>AQ284</f>
        <v>9.0957380000000008</v>
      </c>
      <c r="AD284" s="119">
        <f>AD283+AK284</f>
        <v>28.254698000000531</v>
      </c>
      <c r="AE284" s="100"/>
      <c r="AH284" s="287" t="s">
        <v>970</v>
      </c>
      <c r="AI284" s="287" t="s">
        <v>997</v>
      </c>
      <c r="AJ284" s="41">
        <f>X284*8/1000000</f>
        <v>5.3457915782928464E-13</v>
      </c>
      <c r="AK284" s="41">
        <f>V284*8/1000000</f>
        <v>9.0957379999994661</v>
      </c>
      <c r="AL284" s="287" t="s">
        <v>970</v>
      </c>
      <c r="AM284" s="287" t="s">
        <v>971</v>
      </c>
      <c r="AN284">
        <v>0.37072500000000003</v>
      </c>
      <c r="AO284">
        <v>1.4043319999999999</v>
      </c>
      <c r="AP284">
        <v>1.0336069999999999</v>
      </c>
      <c r="AQ284" s="277">
        <v>9.0957380000000008</v>
      </c>
    </row>
    <row r="285" spans="1:43" ht="13.5" customHeight="1">
      <c r="A285" t="s">
        <v>5703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40">
        <f>W285-V285</f>
        <v>-1.4319084584712982E-7</v>
      </c>
      <c r="Y285" s="339"/>
      <c r="Z285" s="338"/>
      <c r="AA285" s="78">
        <f>AQ285</f>
        <v>15.695212</v>
      </c>
      <c r="AD285" s="119">
        <f>AD284+AK285</f>
        <v>43.94991000000168</v>
      </c>
      <c r="AE285" s="100"/>
      <c r="AH285" s="287" t="s">
        <v>972</v>
      </c>
      <c r="AI285" s="287" t="s">
        <v>996</v>
      </c>
      <c r="AJ285" s="41">
        <f>X285*8/1000000</f>
        <v>-1.1455267667770385E-12</v>
      </c>
      <c r="AK285" s="41">
        <f>V285*8/1000000</f>
        <v>15.695212000001145</v>
      </c>
      <c r="AL285" s="287" t="s">
        <v>972</v>
      </c>
      <c r="AM285" s="287" t="s">
        <v>973</v>
      </c>
      <c r="AN285">
        <v>0.210508</v>
      </c>
      <c r="AO285">
        <v>1.9940549999999999</v>
      </c>
      <c r="AP285">
        <v>1.783547</v>
      </c>
      <c r="AQ285" s="277">
        <v>15.695212</v>
      </c>
    </row>
    <row r="286" spans="1:43" ht="13.5" customHeight="1">
      <c r="O286" t="s">
        <v>1251</v>
      </c>
      <c r="P286" s="288" t="s">
        <v>1004</v>
      </c>
      <c r="Q286" s="288" t="s">
        <v>1005</v>
      </c>
      <c r="R286" s="288">
        <v>645155515</v>
      </c>
      <c r="S286" s="288">
        <v>8</v>
      </c>
      <c r="T286" s="288" t="s">
        <v>27</v>
      </c>
      <c r="U286" s="288" t="s">
        <v>1006</v>
      </c>
      <c r="V286" s="288" t="s">
        <v>101</v>
      </c>
      <c r="W286" s="288" t="s">
        <v>102</v>
      </c>
      <c r="X286" s="288" t="s">
        <v>1007</v>
      </c>
      <c r="AD286" s="119"/>
      <c r="AE286" s="100"/>
      <c r="AH286" s="287"/>
      <c r="AI286" s="287"/>
      <c r="AJ286" s="41"/>
      <c r="AK286" s="41"/>
      <c r="AL286" s="287"/>
      <c r="AM286" s="287"/>
      <c r="AQ286" s="277"/>
    </row>
    <row r="287" spans="1:43" ht="13.5" customHeight="1">
      <c r="O287" t="s">
        <v>1013</v>
      </c>
      <c r="P287" s="288" t="s">
        <v>1009</v>
      </c>
      <c r="Q287" s="288" t="s">
        <v>1010</v>
      </c>
      <c r="R287" s="288">
        <v>645161815</v>
      </c>
      <c r="S287" s="288">
        <v>7</v>
      </c>
      <c r="T287" s="288" t="s">
        <v>27</v>
      </c>
      <c r="U287" s="288" t="s">
        <v>1006</v>
      </c>
      <c r="V287" s="288" t="s">
        <v>101</v>
      </c>
      <c r="W287" s="288" t="s">
        <v>102</v>
      </c>
      <c r="X287" s="288" t="s">
        <v>1011</v>
      </c>
      <c r="AD287" s="119"/>
      <c r="AE287" s="100"/>
      <c r="AH287" s="287"/>
      <c r="AI287" s="287"/>
      <c r="AJ287" s="41"/>
      <c r="AK287" s="41"/>
      <c r="AL287" s="287"/>
      <c r="AM287" s="287"/>
      <c r="AQ287" s="277"/>
    </row>
    <row r="288" spans="1:43" ht="13.5" customHeight="1">
      <c r="O288" t="s">
        <v>21</v>
      </c>
      <c r="P288" s="289" t="s">
        <v>1059</v>
      </c>
      <c r="Q288" s="289" t="s">
        <v>1060</v>
      </c>
      <c r="R288" s="289">
        <v>645161840</v>
      </c>
      <c r="S288" s="289">
        <v>1</v>
      </c>
      <c r="T288" s="289" t="s">
        <v>27</v>
      </c>
      <c r="U288" s="289" t="s">
        <v>1006</v>
      </c>
      <c r="V288" s="289" t="s">
        <v>118</v>
      </c>
      <c r="W288" s="289"/>
      <c r="X288" s="289" t="s">
        <v>1011</v>
      </c>
      <c r="AD288" s="119"/>
      <c r="AE288" s="100"/>
      <c r="AH288" s="287"/>
      <c r="AI288" s="287"/>
      <c r="AJ288" s="41"/>
      <c r="AK288" s="41"/>
      <c r="AL288" s="287"/>
      <c r="AM288" s="287"/>
      <c r="AN288">
        <f t="shared" ref="AN288:AO288" si="114">$AQ289/AN289</f>
        <v>40.914089817982493</v>
      </c>
      <c r="AO288">
        <f t="shared" si="114"/>
        <v>7.2422931255415888</v>
      </c>
      <c r="AP288">
        <f>$AQ289/AP289</f>
        <v>8.8000006098007173</v>
      </c>
      <c r="AQ288" s="277"/>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9">
        <f>R286-5</f>
        <v>645155510</v>
      </c>
      <c r="R289" s="177">
        <f>R288+20</f>
        <v>645161860</v>
      </c>
      <c r="S289" s="21">
        <f>R289-Q289</f>
        <v>6350</v>
      </c>
      <c r="T289" s="177">
        <f>5.4*1000000/8</f>
        <v>675000</v>
      </c>
      <c r="U289" s="3"/>
      <c r="V289" s="20">
        <f>T289+U289*$V$38</f>
        <v>675000</v>
      </c>
      <c r="W289" s="20">
        <f>AA289*1000000/8</f>
        <v>1082320.875</v>
      </c>
      <c r="X289" s="340">
        <f>W289-V289</f>
        <v>407320.875</v>
      </c>
      <c r="Y289" s="339"/>
      <c r="Z289" s="338"/>
      <c r="AA289" s="78">
        <f>AQ289</f>
        <v>8.6585669999999997</v>
      </c>
      <c r="AC289" s="130">
        <f>AK289</f>
        <v>5.4</v>
      </c>
      <c r="AD289" t="s">
        <v>829</v>
      </c>
      <c r="AH289" s="287" t="s">
        <v>974</v>
      </c>
      <c r="AI289" s="287" t="s">
        <v>995</v>
      </c>
      <c r="AJ289" s="41">
        <f>X289*8/1000000</f>
        <v>3.2585670000000002</v>
      </c>
      <c r="AK289" s="41">
        <f>V289*8/1000000</f>
        <v>5.4</v>
      </c>
      <c r="AL289" s="287" t="s">
        <v>974</v>
      </c>
      <c r="AM289" s="287" t="s">
        <v>975</v>
      </c>
      <c r="AN289">
        <v>0.21162800000000001</v>
      </c>
      <c r="AO289">
        <v>1.1955560000000001</v>
      </c>
      <c r="AP289">
        <v>0.98392800000000002</v>
      </c>
      <c r="AQ289" s="277">
        <v>8.6585669999999997</v>
      </c>
    </row>
    <row r="290" spans="1:43" ht="13.5" customHeight="1">
      <c r="A290" t="s">
        <v>5703</v>
      </c>
      <c r="C290" s="3">
        <v>104</v>
      </c>
      <c r="D290" s="3">
        <v>105</v>
      </c>
      <c r="G290" s="3" t="s">
        <v>50</v>
      </c>
      <c r="H290" s="3"/>
      <c r="I290" s="3"/>
      <c r="J290" s="3"/>
      <c r="K290" s="3"/>
      <c r="L290" s="79" t="str">
        <f>M285</f>
        <v>192/13:57</v>
      </c>
      <c r="M290" s="79" t="s">
        <v>1061</v>
      </c>
      <c r="N290" t="s">
        <v>1035</v>
      </c>
      <c r="O290" s="85"/>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40">
        <f>W290-V290</f>
        <v>2.1775485947728157E-7</v>
      </c>
      <c r="Y290" s="339"/>
      <c r="Z290" s="338"/>
      <c r="AA290" s="78"/>
      <c r="AD290" s="178">
        <f>AD285+AK290</f>
        <v>47.208476999999938</v>
      </c>
      <c r="AH290" s="287"/>
      <c r="AI290" s="287"/>
      <c r="AJ290" s="41">
        <f>X290*8/1000000</f>
        <v>1.7420388758182525E-12</v>
      </c>
      <c r="AK290" s="41">
        <f>V290*8/1000000</f>
        <v>3.2585669999982581</v>
      </c>
      <c r="AL290" s="287"/>
      <c r="AM290" s="287"/>
      <c r="AQ290" s="277"/>
    </row>
    <row r="291" spans="1:43" ht="13.5" customHeight="1">
      <c r="C291" s="3"/>
      <c r="D291" s="3"/>
      <c r="G291" s="3"/>
      <c r="H291" s="3"/>
      <c r="I291" s="3"/>
      <c r="J291" s="3"/>
      <c r="K291" s="3"/>
      <c r="L291" s="79"/>
      <c r="M291" s="79"/>
      <c r="O291" t="s">
        <v>1029</v>
      </c>
      <c r="P291" s="288" t="s">
        <v>1030</v>
      </c>
      <c r="Q291" s="289" t="s">
        <v>1031</v>
      </c>
      <c r="R291" s="289">
        <v>616842836</v>
      </c>
      <c r="S291" s="288">
        <v>7</v>
      </c>
      <c r="T291" s="288" t="s">
        <v>27</v>
      </c>
      <c r="U291" s="288" t="s">
        <v>1032</v>
      </c>
      <c r="V291" s="288" t="s">
        <v>101</v>
      </c>
      <c r="W291" s="288" t="s">
        <v>102</v>
      </c>
      <c r="X291" s="288" t="s">
        <v>1033</v>
      </c>
      <c r="Y291" s="339"/>
      <c r="Z291" s="338"/>
      <c r="AA291" s="78"/>
      <c r="AD291" s="119"/>
      <c r="AE291" t="s">
        <v>5702</v>
      </c>
      <c r="AF291" t="s">
        <v>5701</v>
      </c>
      <c r="AH291" s="287"/>
      <c r="AI291" s="287"/>
      <c r="AJ291" s="41"/>
      <c r="AK291" s="41"/>
      <c r="AL291" s="287"/>
      <c r="AM291" s="287"/>
      <c r="AQ291" s="277"/>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40">
        <f>W292-V292</f>
        <v>6.4261257648468018E-8</v>
      </c>
      <c r="Y292" s="339"/>
      <c r="Z292" s="338"/>
      <c r="AA292" s="78">
        <f>AQ292</f>
        <v>17.701824999999999</v>
      </c>
      <c r="AC292" s="130">
        <f>AK292</f>
        <v>17.701824999999484</v>
      </c>
      <c r="AD292" s="119"/>
      <c r="AE292" t="s">
        <v>5700</v>
      </c>
      <c r="AH292" s="287" t="str">
        <f>AL292</f>
        <v>TRK_197_1</v>
      </c>
      <c r="AI292" s="287" t="s">
        <v>1066</v>
      </c>
      <c r="AJ292" s="41">
        <f>X292*8/1000000</f>
        <v>5.1409006118774412E-13</v>
      </c>
      <c r="AK292" s="41">
        <f>V292*8/1000000</f>
        <v>17.701824999999484</v>
      </c>
      <c r="AL292" s="287" t="s">
        <v>1064</v>
      </c>
      <c r="AM292" s="287" t="s">
        <v>1065</v>
      </c>
      <c r="AN292">
        <v>0.21068500000000001</v>
      </c>
      <c r="AO292">
        <v>2.2222559999999998</v>
      </c>
      <c r="AP292">
        <v>2.011571</v>
      </c>
      <c r="AQ292" s="277">
        <v>17.701824999999999</v>
      </c>
    </row>
    <row r="293" spans="1:43" ht="13.5" customHeight="1">
      <c r="N293" s="294"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40">
        <f>W293-V293</f>
        <v>77372.375</v>
      </c>
      <c r="Y293" s="339"/>
      <c r="Z293" s="338"/>
      <c r="AA293" s="78">
        <f>AQ293</f>
        <v>5.0346510000000002</v>
      </c>
      <c r="AB293">
        <f>X293*8/1000000</f>
        <v>0.61897899999999995</v>
      </c>
      <c r="AC293" t="s">
        <v>1027</v>
      </c>
      <c r="AE293">
        <v>265057</v>
      </c>
      <c r="AF293">
        <v>21845</v>
      </c>
      <c r="AH293" s="287" t="str">
        <f>AL293</f>
        <v>TRK_197_2</v>
      </c>
      <c r="AI293" s="287" t="s">
        <v>989</v>
      </c>
      <c r="AJ293" s="41">
        <f>X293*8/1000000</f>
        <v>0.61897899999999995</v>
      </c>
      <c r="AK293" s="41">
        <f>V293*8/1000000</f>
        <v>4.4156719999999998</v>
      </c>
      <c r="AL293" s="287" t="s">
        <v>34</v>
      </c>
      <c r="AM293" s="287" t="s">
        <v>976</v>
      </c>
      <c r="AN293">
        <v>0.201819</v>
      </c>
      <c r="AO293">
        <v>0.77393800000000001</v>
      </c>
      <c r="AP293">
        <v>0.57211900000000004</v>
      </c>
      <c r="AQ293" s="277">
        <v>5.0346510000000002</v>
      </c>
    </row>
    <row r="294" spans="1:43" ht="13.5" customHeight="1">
      <c r="O294" t="s">
        <v>1044</v>
      </c>
      <c r="P294" s="290" t="s">
        <v>1041</v>
      </c>
      <c r="Q294" s="290" t="s">
        <v>1042</v>
      </c>
      <c r="R294" s="290">
        <v>629506577</v>
      </c>
      <c r="S294" s="290">
        <v>0</v>
      </c>
      <c r="T294" s="290" t="s">
        <v>409</v>
      </c>
      <c r="U294" s="290" t="s">
        <v>1043</v>
      </c>
      <c r="V294" s="290" t="s">
        <v>416</v>
      </c>
      <c r="W294" s="290" t="s">
        <v>417</v>
      </c>
      <c r="X294" s="415"/>
      <c r="Y294" s="339"/>
      <c r="Z294" s="338"/>
      <c r="AA294" s="78"/>
      <c r="AE294">
        <f>AE293*8/1000000</f>
        <v>2.1204559999999999</v>
      </c>
      <c r="AF294">
        <f>AF293*8/1000000</f>
        <v>0.17476</v>
      </c>
      <c r="AG294">
        <f>AF294+AE294</f>
        <v>2.2952159999999999</v>
      </c>
      <c r="AH294" s="287"/>
      <c r="AI294" s="287"/>
      <c r="AJ294" s="41"/>
      <c r="AK294" s="41"/>
      <c r="AL294" s="287"/>
      <c r="AM294" s="287"/>
      <c r="AQ294" s="277"/>
    </row>
    <row r="295" spans="1:43" ht="13.5" customHeight="1">
      <c r="C295" s="3">
        <v>104</v>
      </c>
      <c r="D295" s="3">
        <v>105</v>
      </c>
      <c r="G295" s="3" t="s">
        <v>50</v>
      </c>
      <c r="L295" s="79" t="s">
        <v>1040</v>
      </c>
      <c r="M295" s="79" t="s">
        <v>1045</v>
      </c>
      <c r="N295" t="s">
        <v>1044</v>
      </c>
      <c r="P295" s="32" t="str">
        <f>MID(AL295,5,5)</f>
        <v/>
      </c>
      <c r="Q295" s="349">
        <f>R294-5</f>
        <v>629506572</v>
      </c>
      <c r="R295" s="21">
        <f>((W295-U295*$V$38)/$V$22)+Q295</f>
        <v>629523530.21584141</v>
      </c>
      <c r="S295" s="21">
        <f>R295-Q295</f>
        <v>16958.215841412544</v>
      </c>
      <c r="T295" s="21">
        <f>S295*$V$22</f>
        <v>77372.375000016313</v>
      </c>
      <c r="U295" s="3">
        <v>0</v>
      </c>
      <c r="V295" s="20">
        <f>T295+U295*$V$38</f>
        <v>77372.375000016313</v>
      </c>
      <c r="W295" s="179">
        <f>X293</f>
        <v>77372.375</v>
      </c>
      <c r="X295" s="340">
        <f>W295-V295</f>
        <v>-1.6312696970999241E-8</v>
      </c>
      <c r="Y295" s="339"/>
      <c r="Z295" s="338"/>
      <c r="AA295" s="78"/>
      <c r="AD295" s="119">
        <f>AK295</f>
        <v>0.61897900000013051</v>
      </c>
      <c r="AH295" s="287"/>
      <c r="AI295" s="287"/>
      <c r="AJ295" s="41">
        <f>X295*8/1000000</f>
        <v>-1.3050157576799393E-13</v>
      </c>
      <c r="AK295" s="41">
        <f>V295*8/1000000</f>
        <v>0.61897900000013051</v>
      </c>
      <c r="AL295" s="287"/>
      <c r="AM295" s="287"/>
      <c r="AQ295" s="277"/>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40">
        <f>W296-V296</f>
        <v>3.6787241697311401E-8</v>
      </c>
      <c r="Y296" s="339"/>
      <c r="Z296" s="338"/>
      <c r="AA296" s="78">
        <f>AQ296</f>
        <v>25.983319000000002</v>
      </c>
      <c r="AD296" s="119">
        <f>AD295+AK296</f>
        <v>26.602297999999838</v>
      </c>
      <c r="AH296" s="287" t="s">
        <v>977</v>
      </c>
      <c r="AI296" s="287" t="s">
        <v>990</v>
      </c>
      <c r="AJ296" s="41">
        <f>X296*8/1000000</f>
        <v>2.942979335784912E-13</v>
      </c>
      <c r="AK296" s="41">
        <f>V296*8/1000000</f>
        <v>25.983318999999707</v>
      </c>
      <c r="AL296" s="287" t="s">
        <v>977</v>
      </c>
      <c r="AM296" s="287" t="s">
        <v>978</v>
      </c>
      <c r="AN296">
        <v>0.22420200000000001</v>
      </c>
      <c r="AO296">
        <v>3.1768519999999998</v>
      </c>
      <c r="AP296">
        <v>2.9526500000000002</v>
      </c>
      <c r="AQ296" s="277">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40">
        <f>W297-V297</f>
        <v>-5.8673322200775146E-8</v>
      </c>
      <c r="Y297" s="339"/>
      <c r="Z297" s="338"/>
      <c r="AA297" s="78">
        <f>AQ297</f>
        <v>16.793787999999999</v>
      </c>
      <c r="AD297" s="119">
        <f>AD296+AK297</f>
        <v>43.396086000000309</v>
      </c>
      <c r="AH297" s="287" t="s">
        <v>979</v>
      </c>
      <c r="AI297" s="287" t="s">
        <v>991</v>
      </c>
      <c r="AJ297" s="41">
        <f>X297*8/1000000</f>
        <v>-4.6938657760620117E-13</v>
      </c>
      <c r="AK297" s="41">
        <f>V297*8/1000000</f>
        <v>16.793788000000468</v>
      </c>
      <c r="AL297" s="287" t="s">
        <v>979</v>
      </c>
      <c r="AM297" s="287" t="s">
        <v>980</v>
      </c>
      <c r="AN297">
        <v>0.25603500000000001</v>
      </c>
      <c r="AO297">
        <v>2.1644199999999998</v>
      </c>
      <c r="AP297">
        <v>1.908385</v>
      </c>
      <c r="AQ297" s="277">
        <v>16.793787999999999</v>
      </c>
    </row>
    <row r="298" spans="1:43" ht="13.5" customHeight="1">
      <c r="N298" s="6"/>
      <c r="Y298" s="339"/>
      <c r="Z298" s="338"/>
      <c r="AA298" s="78"/>
      <c r="AH298" s="287"/>
      <c r="AI298" s="287"/>
      <c r="AJ298" s="41"/>
      <c r="AK298" s="41"/>
      <c r="AL298" s="287"/>
      <c r="AM298" s="287"/>
      <c r="AQ298" s="277"/>
    </row>
    <row r="299" spans="1:43" ht="13.5" customHeight="1">
      <c r="N299" s="6"/>
      <c r="Y299" s="339"/>
      <c r="Z299" s="338"/>
      <c r="AA299" s="78"/>
      <c r="AH299" s="287"/>
      <c r="AI299" s="287"/>
      <c r="AJ299" s="41"/>
      <c r="AK299" s="41"/>
      <c r="AL299" s="287"/>
      <c r="AM299" s="287"/>
      <c r="AQ299" s="277"/>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40">
        <f>W300-V300</f>
        <v>1.4528632164001465E-7</v>
      </c>
      <c r="Y300" s="339"/>
      <c r="Z300" s="338"/>
      <c r="AA300" s="78">
        <f>AQ300</f>
        <v>11.421339</v>
      </c>
      <c r="AC300" s="130">
        <f>AK300+AC292</f>
        <v>29.123163999998322</v>
      </c>
      <c r="AH300" s="287" t="s">
        <v>981</v>
      </c>
      <c r="AI300" s="287" t="s">
        <v>992</v>
      </c>
      <c r="AJ300" s="41">
        <f>X300*8/1000000</f>
        <v>1.1622905731201172E-12</v>
      </c>
      <c r="AK300" s="41">
        <f>V300*8/1000000</f>
        <v>11.421338999998838</v>
      </c>
      <c r="AL300" s="287" t="s">
        <v>981</v>
      </c>
      <c r="AM300" s="287" t="s">
        <v>982</v>
      </c>
      <c r="AN300">
        <v>0.18662899999999999</v>
      </c>
      <c r="AO300">
        <v>1.4845079999999999</v>
      </c>
      <c r="AP300">
        <v>1.297879</v>
      </c>
      <c r="AQ300" s="277">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40">
        <f>W301-V301</f>
        <v>-2.2043241187930107E-7</v>
      </c>
      <c r="Y301" s="339"/>
      <c r="Z301" s="338"/>
      <c r="AA301" s="78">
        <f>AQ301</f>
        <v>3.936509</v>
      </c>
      <c r="AD301" s="178">
        <f>AD297+AK301</f>
        <v>47.332595000002073</v>
      </c>
      <c r="AH301" s="287" t="s">
        <v>983</v>
      </c>
      <c r="AI301" s="287" t="s">
        <v>993</v>
      </c>
      <c r="AJ301" s="41">
        <f>X301*8/1000000</f>
        <v>-1.7634592950344086E-12</v>
      </c>
      <c r="AK301" s="41">
        <f>V301*8/1000000</f>
        <v>3.9365090000017635</v>
      </c>
      <c r="AL301" s="287" t="s">
        <v>983</v>
      </c>
      <c r="AM301" s="287" t="s">
        <v>984</v>
      </c>
      <c r="AN301">
        <v>0.54563799999999996</v>
      </c>
      <c r="AO301">
        <v>0.99296899999999999</v>
      </c>
      <c r="AP301">
        <v>0.44733099999999998</v>
      </c>
      <c r="AQ301" s="277">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9">
        <f>R304</f>
        <v>605079001</v>
      </c>
      <c r="S302" s="21">
        <f>R302-Q302</f>
        <v>104628.37163615227</v>
      </c>
      <c r="T302" s="21">
        <f>S302*$X$9</f>
        <v>386699.34867353365</v>
      </c>
      <c r="U302" s="3">
        <v>0</v>
      </c>
      <c r="V302" s="20">
        <f>T302+U302*$V$38</f>
        <v>386699.34867353365</v>
      </c>
      <c r="W302" s="20">
        <f>AA302*1000000/8</f>
        <v>632848.5</v>
      </c>
      <c r="X302" s="196">
        <f>W302-V302</f>
        <v>246149.15132646635</v>
      </c>
      <c r="Y302" s="339"/>
      <c r="Z302" s="338"/>
      <c r="AA302" s="78">
        <f>AQ302</f>
        <v>5.0627880000000003</v>
      </c>
      <c r="AC302" s="130">
        <f>AC300+AK302</f>
        <v>32.216758789386589</v>
      </c>
      <c r="AH302" s="287" t="s">
        <v>985</v>
      </c>
      <c r="AI302" s="287" t="s">
        <v>994</v>
      </c>
      <c r="AJ302" s="41">
        <f>X302*8/1000000</f>
        <v>1.9691932106117309</v>
      </c>
      <c r="AK302" s="41">
        <f>V302*8/1000000</f>
        <v>3.0935947893882694</v>
      </c>
      <c r="AL302" s="287" t="s">
        <v>985</v>
      </c>
      <c r="AM302" s="287" t="s">
        <v>986</v>
      </c>
      <c r="AN302">
        <v>0.24905099999999999</v>
      </c>
      <c r="AO302">
        <v>0.82436799999999999</v>
      </c>
      <c r="AP302">
        <v>0.57531699999999997</v>
      </c>
      <c r="AQ302" s="277">
        <v>5.0627880000000003</v>
      </c>
    </row>
    <row r="303" spans="1:43" ht="13.5" customHeight="1">
      <c r="J303" s="3" t="s">
        <v>228</v>
      </c>
      <c r="K303" s="3" t="s">
        <v>825</v>
      </c>
      <c r="L303" s="48" t="s">
        <v>1071</v>
      </c>
      <c r="M303" s="48" t="s">
        <v>1070</v>
      </c>
      <c r="N303" t="s">
        <v>1069</v>
      </c>
      <c r="O303" s="85"/>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40">
        <f>W303-V303</f>
        <v>1.021544449031353E-8</v>
      </c>
      <c r="Y303" s="339"/>
      <c r="Z303" s="338"/>
      <c r="AA303" s="78"/>
      <c r="AC303" s="130">
        <f>AK303</f>
        <v>1.969193210611649</v>
      </c>
      <c r="AJ303" s="41">
        <f>X303*8/1000000</f>
        <v>8.1723555922508245E-14</v>
      </c>
      <c r="AK303" s="41">
        <f>V303*8/1000000</f>
        <v>1.969193210611649</v>
      </c>
      <c r="AQ303">
        <f>SUM(AQ281:AQ302)</f>
        <v>143.54269600000001</v>
      </c>
    </row>
    <row r="304" spans="1:43" ht="13.5" customHeight="1">
      <c r="O304" t="s">
        <v>1025</v>
      </c>
      <c r="P304" s="291" t="s">
        <v>1020</v>
      </c>
      <c r="Q304" s="292" t="s">
        <v>1021</v>
      </c>
      <c r="R304" s="292">
        <v>605079001</v>
      </c>
      <c r="S304" s="293">
        <v>1</v>
      </c>
      <c r="T304" s="293" t="s">
        <v>27</v>
      </c>
      <c r="U304" s="293" t="s">
        <v>1022</v>
      </c>
      <c r="V304" s="293" t="s">
        <v>118</v>
      </c>
      <c r="W304" s="293"/>
      <c r="X304" s="293"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5699</v>
      </c>
      <c r="M312" s="294"/>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40">
        <f>W312-V312</f>
        <v>-3123312.6</v>
      </c>
      <c r="Y312" s="339">
        <f>X312*8/1000000</f>
        <v>-24.986500800000002</v>
      </c>
      <c r="Z312" s="338"/>
      <c r="AA312" s="78">
        <f>AR312</f>
        <v>3.6394991999999999</v>
      </c>
      <c r="AC312" s="185">
        <f>AC310+AK312</f>
        <v>28.626000000000001</v>
      </c>
      <c r="AD312">
        <f>AC312*0.6</f>
        <v>17.175599999999999</v>
      </c>
      <c r="AE312" s="100">
        <f>AC312-AD312</f>
        <v>11.450400000000002</v>
      </c>
      <c r="AH312" s="287" t="str">
        <f>AL312</f>
        <v>TRK_205_1</v>
      </c>
      <c r="AI312" s="287" t="s">
        <v>1109</v>
      </c>
      <c r="AJ312" s="41">
        <f>X312*8/1000000</f>
        <v>-24.986500800000002</v>
      </c>
      <c r="AK312" s="41">
        <f>V312*8/1000000</f>
        <v>28.626000000000001</v>
      </c>
      <c r="AL312" s="294" t="s">
        <v>38</v>
      </c>
      <c r="AM312" s="294" t="s">
        <v>1073</v>
      </c>
      <c r="AN312">
        <v>1.348517</v>
      </c>
      <c r="AO312">
        <v>1.8080499999999999</v>
      </c>
      <c r="AP312">
        <v>0.45953300000000002</v>
      </c>
      <c r="AQ312" s="295">
        <v>4.0438879999999999</v>
      </c>
      <c r="AR312">
        <f>AQ312*0.9</f>
        <v>3.6394991999999999</v>
      </c>
      <c r="AS312" s="294">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40">
        <f>W313-V313</f>
        <v>-242405.06250000047</v>
      </c>
      <c r="Y313" s="339">
        <f>X313*8/1000000</f>
        <v>-1.9392405000000037</v>
      </c>
      <c r="Z313" s="338"/>
      <c r="AA313" s="78">
        <f>AR313</f>
        <v>23.047260299999998</v>
      </c>
      <c r="AH313" s="287" t="str">
        <f>AL313</f>
        <v>TRK_205_2</v>
      </c>
      <c r="AI313" t="s">
        <v>1110</v>
      </c>
      <c r="AJ313" s="41">
        <f>X313*8/1000000</f>
        <v>-1.9392405000000037</v>
      </c>
      <c r="AK313" s="41">
        <f>V313*8/1000000</f>
        <v>0</v>
      </c>
      <c r="AL313" t="s">
        <v>1074</v>
      </c>
      <c r="AM313" t="s">
        <v>1075</v>
      </c>
      <c r="AN313">
        <v>0.26355099999999998</v>
      </c>
      <c r="AO313">
        <v>3.173559</v>
      </c>
      <c r="AP313">
        <v>2.9100079999999999</v>
      </c>
      <c r="AQ313" s="295">
        <v>25.608066999999998</v>
      </c>
      <c r="AR313">
        <f>AQ313*0.9</f>
        <v>23.047260299999998</v>
      </c>
      <c r="AS313" s="294">
        <f>AS312+AR313</f>
        <v>26.686759499999997</v>
      </c>
      <c r="AT313">
        <f>28.626</f>
        <v>28.626000000000001</v>
      </c>
    </row>
    <row r="314" spans="1:46" ht="13.5" customHeight="1">
      <c r="M314" s="414"/>
      <c r="N314" s="413" t="s">
        <v>1133</v>
      </c>
      <c r="O314" s="412" t="str">
        <f>AI314</f>
        <v>207/04:26</v>
      </c>
      <c r="P314" s="411" t="str">
        <f>MID(AL314,5,5)</f>
        <v>207_1</v>
      </c>
      <c r="Q314" s="254">
        <v>645951790</v>
      </c>
      <c r="R314" s="254">
        <v>645952358</v>
      </c>
      <c r="S314" s="410">
        <f>R314-Q314</f>
        <v>568</v>
      </c>
      <c r="T314" s="410">
        <v>3759250</v>
      </c>
      <c r="U314" s="254"/>
      <c r="V314" s="409">
        <f>T314+U314*$V$38</f>
        <v>3759250</v>
      </c>
      <c r="W314" s="408">
        <f>AA314*1000000/8+X313</f>
        <v>845500.87499999953</v>
      </c>
      <c r="X314" s="407">
        <f>W314-V314</f>
        <v>-2913749.1250000005</v>
      </c>
      <c r="Y314" s="406">
        <f>X314*8/1000000</f>
        <v>-23.309993000000002</v>
      </c>
      <c r="Z314" s="405"/>
      <c r="AA314" s="404">
        <f>AR314</f>
        <v>8.7032474999999998</v>
      </c>
      <c r="AB314" s="403"/>
      <c r="AC314" s="402">
        <f>AC312+AK314</f>
        <v>58.7</v>
      </c>
      <c r="AD314" s="100">
        <f>AC314+AC312</f>
        <v>87.326000000000008</v>
      </c>
      <c r="AE314" t="s">
        <v>5698</v>
      </c>
      <c r="AF314" s="100"/>
      <c r="AH314" s="287" t="str">
        <f>AL314</f>
        <v>TRK_207_1</v>
      </c>
      <c r="AI314" t="s">
        <v>1111</v>
      </c>
      <c r="AJ314" s="41">
        <f>X314*8/1000000</f>
        <v>-23.309993000000002</v>
      </c>
      <c r="AK314" s="41">
        <f>V314*8/1000000</f>
        <v>30.074000000000002</v>
      </c>
      <c r="AL314" s="294" t="s">
        <v>1072</v>
      </c>
      <c r="AM314" s="294" t="s">
        <v>1076</v>
      </c>
      <c r="AN314">
        <v>0.34161599999999998</v>
      </c>
      <c r="AO314">
        <v>1.4405110000000001</v>
      </c>
      <c r="AP314">
        <v>1.098895</v>
      </c>
      <c r="AQ314" s="295">
        <v>9.6702750000000002</v>
      </c>
      <c r="AR314">
        <f>AQ314*0.9</f>
        <v>8.7032474999999998</v>
      </c>
      <c r="AS314" s="294">
        <f>AS313+AR314</f>
        <v>35.390006999999997</v>
      </c>
    </row>
    <row r="315" spans="1:46" ht="13.5" customHeight="1">
      <c r="M315">
        <f>16+18+66+90+23+164+33</f>
        <v>410</v>
      </c>
      <c r="N315" s="143" t="s">
        <v>1135</v>
      </c>
      <c r="O315" s="401" t="str">
        <f>AI315</f>
        <v>207/22:05</v>
      </c>
      <c r="P315" s="400" t="str">
        <f>MID(AL315,5,5)</f>
        <v>207_2</v>
      </c>
      <c r="Q315" s="2"/>
      <c r="R315" s="2"/>
      <c r="S315" s="399"/>
      <c r="T315" s="399"/>
      <c r="U315" s="2"/>
      <c r="V315" s="320">
        <f>T315+U315*$V$38</f>
        <v>0</v>
      </c>
      <c r="W315" s="398">
        <f>AA315*1000000/8+X314</f>
        <v>-2606388.4375000005</v>
      </c>
      <c r="X315" s="397">
        <f>W315-V315</f>
        <v>-2606388.4375000005</v>
      </c>
      <c r="Y315" s="396">
        <f>X315*8/1000000</f>
        <v>-20.851107500000005</v>
      </c>
      <c r="Z315" s="395"/>
      <c r="AA315" s="394">
        <f>AR315</f>
        <v>2.4588855000000001</v>
      </c>
      <c r="AB315" s="143"/>
      <c r="AC315" s="393"/>
      <c r="AD315" s="100">
        <f>AC314-AC312</f>
        <v>30.074000000000002</v>
      </c>
      <c r="AH315" s="287"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95">
        <v>2.7320950000000002</v>
      </c>
      <c r="AR315">
        <f>AQ315*0.9</f>
        <v>2.4588855000000001</v>
      </c>
      <c r="AS315" s="294">
        <f>AS314+AR315</f>
        <v>37.848892499999998</v>
      </c>
    </row>
    <row r="316" spans="1:46" ht="13.5" customHeight="1" thickBot="1">
      <c r="M316" s="392" t="s">
        <v>1233</v>
      </c>
      <c r="N316" s="381"/>
      <c r="O316" s="391" t="str">
        <f>AI316</f>
        <v>208/22:00</v>
      </c>
      <c r="P316" s="390" t="str">
        <f>MID(AL316,5,5)</f>
        <v>208_1</v>
      </c>
      <c r="Q316" s="388"/>
      <c r="R316" s="388"/>
      <c r="S316" s="389"/>
      <c r="T316" s="389"/>
      <c r="U316" s="388"/>
      <c r="V316" s="387">
        <f>T316+U316*$V$38</f>
        <v>0</v>
      </c>
      <c r="W316" s="386">
        <f>AA316*1000000/8+X315</f>
        <v>-4106.9500000006519</v>
      </c>
      <c r="X316" s="385">
        <f>W316-V316</f>
        <v>-4106.9500000006519</v>
      </c>
      <c r="Y316" s="384">
        <f>X316*8/1000000</f>
        <v>-3.2855600000005217E-2</v>
      </c>
      <c r="Z316" s="383">
        <f>AA316+AA315+AA314</f>
        <v>31.980384900000001</v>
      </c>
      <c r="AA316" s="382">
        <f>AR316</f>
        <v>20.8182519</v>
      </c>
      <c r="AB316" s="381">
        <f>SUM(AA312:AA316)</f>
        <v>58.667144399999998</v>
      </c>
      <c r="AC316" s="380"/>
      <c r="AH316" s="287"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95">
        <v>23.131391000000001</v>
      </c>
      <c r="AR316">
        <f>AQ316*0.9</f>
        <v>20.8182519</v>
      </c>
      <c r="AS316" s="294">
        <f>AS315+AR316</f>
        <v>58.667144399999998</v>
      </c>
      <c r="AT316" t="s">
        <v>1080</v>
      </c>
    </row>
    <row r="317" spans="1:46" ht="13.5" customHeight="1">
      <c r="O317" s="35" t="s">
        <v>1250</v>
      </c>
      <c r="P317" s="379" t="s">
        <v>1167</v>
      </c>
      <c r="Q317" s="379" t="s">
        <v>1168</v>
      </c>
      <c r="R317" s="379">
        <v>611968056</v>
      </c>
      <c r="S317" s="379">
        <v>1</v>
      </c>
      <c r="T317" s="379" t="s">
        <v>27</v>
      </c>
      <c r="U317" s="379" t="s">
        <v>937</v>
      </c>
      <c r="V317" s="379" t="s">
        <v>118</v>
      </c>
      <c r="W317" s="379"/>
      <c r="X317" s="379"/>
      <c r="Y317" s="339"/>
      <c r="Z317" s="338"/>
      <c r="AA317" s="78"/>
      <c r="AJ317" s="41"/>
      <c r="AK317" s="41"/>
      <c r="AQ317" s="295"/>
      <c r="AS317" s="294"/>
    </row>
    <row r="318" spans="1:46" ht="13.5" customHeight="1">
      <c r="O318" s="85"/>
      <c r="P318" s="293" t="s">
        <v>1169</v>
      </c>
      <c r="Q318" s="292" t="s">
        <v>1170</v>
      </c>
      <c r="R318" s="296">
        <v>611992316</v>
      </c>
      <c r="S318" s="293">
        <v>8</v>
      </c>
      <c r="T318" s="293" t="s">
        <v>27</v>
      </c>
      <c r="U318" s="293" t="s">
        <v>1171</v>
      </c>
      <c r="V318" s="293" t="s">
        <v>101</v>
      </c>
      <c r="W318" s="293" t="s">
        <v>102</v>
      </c>
      <c r="X318" s="293" t="s">
        <v>1172</v>
      </c>
      <c r="Y318" s="339"/>
      <c r="Z318" s="338"/>
      <c r="AA318" s="78"/>
      <c r="AJ318" s="41"/>
      <c r="AK318" s="41"/>
      <c r="AQ318" s="295"/>
      <c r="AS318" s="294"/>
    </row>
    <row r="319" spans="1:46" ht="13.5" customHeight="1">
      <c r="O319" s="85"/>
      <c r="P319" s="293" t="s">
        <v>1173</v>
      </c>
      <c r="Q319" s="293" t="s">
        <v>1174</v>
      </c>
      <c r="R319" s="293">
        <v>611992336</v>
      </c>
      <c r="S319" s="293">
        <v>1</v>
      </c>
      <c r="T319" s="293" t="s">
        <v>27</v>
      </c>
      <c r="U319" s="293" t="s">
        <v>1171</v>
      </c>
      <c r="V319" s="293" t="s">
        <v>118</v>
      </c>
      <c r="W319" s="293"/>
      <c r="X319" s="293" t="s">
        <v>1172</v>
      </c>
      <c r="Y319" s="339"/>
      <c r="Z319" s="338"/>
      <c r="AA319" s="78"/>
      <c r="AJ319" s="41"/>
      <c r="AK319" s="41"/>
      <c r="AQ319" s="295"/>
      <c r="AS319" s="294"/>
    </row>
    <row r="320" spans="1:46" ht="13.5" customHeight="1">
      <c r="O320" s="85"/>
      <c r="P320" s="293" t="s">
        <v>1175</v>
      </c>
      <c r="Q320" s="293" t="s">
        <v>1176</v>
      </c>
      <c r="R320" s="296">
        <v>611992341</v>
      </c>
      <c r="S320" s="293">
        <v>1</v>
      </c>
      <c r="T320" s="293" t="s">
        <v>27</v>
      </c>
      <c r="U320" s="293" t="s">
        <v>1171</v>
      </c>
      <c r="V320" s="293" t="s">
        <v>118</v>
      </c>
      <c r="W320" s="293"/>
      <c r="X320" s="293" t="s">
        <v>1172</v>
      </c>
      <c r="Y320" s="339"/>
      <c r="Z320" s="338"/>
      <c r="AA320" s="78"/>
      <c r="AJ320" s="41"/>
      <c r="AK320" s="41"/>
      <c r="AQ320" s="295"/>
      <c r="AS320" s="294"/>
    </row>
    <row r="321" spans="3:45" ht="13.5" customHeight="1">
      <c r="O321" s="85"/>
      <c r="P321" s="293" t="s">
        <v>1177</v>
      </c>
      <c r="Q321" s="293" t="s">
        <v>1178</v>
      </c>
      <c r="R321" s="293">
        <v>611992832</v>
      </c>
      <c r="S321" s="293">
        <v>0</v>
      </c>
      <c r="T321" s="293" t="s">
        <v>111</v>
      </c>
      <c r="U321" s="293" t="s">
        <v>1179</v>
      </c>
      <c r="V321" s="293" t="s">
        <v>1180</v>
      </c>
      <c r="W321" s="293"/>
      <c r="X321" s="293" t="s">
        <v>1172</v>
      </c>
      <c r="Y321" s="339"/>
      <c r="Z321" s="338"/>
      <c r="AA321" s="78"/>
      <c r="AJ321" s="41"/>
      <c r="AK321" s="41"/>
      <c r="AQ321" s="295"/>
      <c r="AS321" s="294"/>
    </row>
    <row r="322" spans="3:45" ht="13.5" customHeight="1">
      <c r="O322" s="85"/>
      <c r="P322" s="293" t="s">
        <v>1177</v>
      </c>
      <c r="Q322" s="293" t="s">
        <v>1178</v>
      </c>
      <c r="R322" s="293">
        <v>611992832</v>
      </c>
      <c r="S322" s="293">
        <v>0</v>
      </c>
      <c r="T322" s="293" t="s">
        <v>111</v>
      </c>
      <c r="U322" s="293" t="s">
        <v>1179</v>
      </c>
      <c r="V322" s="293" t="s">
        <v>1181</v>
      </c>
      <c r="W322" s="293"/>
      <c r="X322" s="293" t="s">
        <v>1172</v>
      </c>
      <c r="Y322" s="339"/>
      <c r="Z322" s="338"/>
      <c r="AA322" s="78"/>
      <c r="AJ322" s="41"/>
      <c r="AK322" s="41"/>
      <c r="AQ322" s="295"/>
      <c r="AS322" s="294"/>
    </row>
    <row r="323" spans="3:45" ht="13.5" customHeight="1">
      <c r="O323" s="85"/>
      <c r="P323" s="293" t="s">
        <v>1177</v>
      </c>
      <c r="Q323" s="293" t="s">
        <v>1178</v>
      </c>
      <c r="R323" s="293">
        <v>611992832</v>
      </c>
      <c r="S323" s="293">
        <v>0</v>
      </c>
      <c r="T323" s="293" t="s">
        <v>111</v>
      </c>
      <c r="U323" s="293" t="s">
        <v>1179</v>
      </c>
      <c r="V323" s="293" t="s">
        <v>1182</v>
      </c>
      <c r="W323" s="293"/>
      <c r="X323" s="293" t="s">
        <v>1172</v>
      </c>
      <c r="Y323" s="339"/>
      <c r="Z323" s="338"/>
      <c r="AA323" s="78"/>
      <c r="AJ323" s="41"/>
      <c r="AK323" s="41"/>
      <c r="AQ323" s="295"/>
      <c r="AS323" s="294"/>
    </row>
    <row r="324" spans="3:45" ht="13.5" customHeight="1">
      <c r="O324" s="85"/>
      <c r="P324" s="293" t="s">
        <v>1177</v>
      </c>
      <c r="Q324" s="293" t="s">
        <v>1178</v>
      </c>
      <c r="R324" s="293">
        <v>611992832</v>
      </c>
      <c r="S324" s="293">
        <v>0</v>
      </c>
      <c r="T324" s="293" t="s">
        <v>111</v>
      </c>
      <c r="U324" s="293" t="s">
        <v>1179</v>
      </c>
      <c r="V324" s="293" t="s">
        <v>113</v>
      </c>
      <c r="W324" s="293"/>
      <c r="X324" s="293" t="s">
        <v>1172</v>
      </c>
      <c r="Y324" s="339"/>
      <c r="Z324" s="338"/>
      <c r="AA324" s="78"/>
      <c r="AJ324" s="41"/>
      <c r="AK324" s="41"/>
      <c r="AQ324" s="295"/>
      <c r="AS324" s="294"/>
    </row>
    <row r="325" spans="3:45" ht="13.5" customHeight="1">
      <c r="O325" s="378" t="s">
        <v>1212</v>
      </c>
      <c r="P325" s="293" t="s">
        <v>1177</v>
      </c>
      <c r="Q325" s="293" t="s">
        <v>1178</v>
      </c>
      <c r="R325" s="297">
        <v>611992832</v>
      </c>
      <c r="S325" s="293">
        <v>0</v>
      </c>
      <c r="T325" s="293" t="s">
        <v>111</v>
      </c>
      <c r="U325" s="293" t="s">
        <v>1179</v>
      </c>
      <c r="V325" s="292" t="s">
        <v>1183</v>
      </c>
      <c r="W325" s="293"/>
      <c r="X325" s="293" t="s">
        <v>1172</v>
      </c>
      <c r="Y325" s="339"/>
      <c r="Z325" s="338"/>
      <c r="AA325" s="78"/>
      <c r="AJ325" s="41"/>
      <c r="AK325" s="41"/>
      <c r="AQ325" s="295"/>
      <c r="AS325" s="294"/>
    </row>
    <row r="326" spans="3:45" ht="13.5" customHeight="1">
      <c r="O326" s="85"/>
      <c r="P326" s="293" t="s">
        <v>1177</v>
      </c>
      <c r="Q326" s="293" t="s">
        <v>1178</v>
      </c>
      <c r="R326" s="293">
        <v>611992832</v>
      </c>
      <c r="S326" s="293">
        <v>0</v>
      </c>
      <c r="T326" s="293" t="s">
        <v>111</v>
      </c>
      <c r="U326" s="293" t="s">
        <v>1179</v>
      </c>
      <c r="V326" s="293" t="s">
        <v>1184</v>
      </c>
      <c r="W326" s="293"/>
      <c r="X326" s="293" t="s">
        <v>1172</v>
      </c>
      <c r="Y326" s="339"/>
      <c r="Z326" s="338"/>
      <c r="AA326" s="78"/>
      <c r="AJ326" s="41"/>
      <c r="AK326" s="41"/>
      <c r="AQ326" s="295"/>
      <c r="AS326" s="294"/>
    </row>
    <row r="327" spans="3:45" ht="13.5" customHeight="1">
      <c r="M327" s="205" t="str" cm="1">
        <f t="array" aca="1" ref="M327" ca="1">MID(met2utc(R328),3,12)</f>
        <v>25-133/18:11</v>
      </c>
      <c r="O327" s="85"/>
      <c r="P327" s="293" t="s">
        <v>1177</v>
      </c>
      <c r="Q327" s="293" t="s">
        <v>1178</v>
      </c>
      <c r="R327" s="293">
        <v>611992832</v>
      </c>
      <c r="S327" s="293">
        <v>0</v>
      </c>
      <c r="T327" s="293" t="s">
        <v>111</v>
      </c>
      <c r="U327" s="293" t="s">
        <v>1179</v>
      </c>
      <c r="V327" s="293" t="s">
        <v>756</v>
      </c>
      <c r="W327" s="293"/>
      <c r="X327" s="293" t="s">
        <v>1172</v>
      </c>
      <c r="Y327" s="339"/>
      <c r="Z327" s="338"/>
      <c r="AA327" s="78"/>
      <c r="AJ327" s="41"/>
      <c r="AK327" s="41"/>
      <c r="AQ327" s="295"/>
      <c r="AS327" s="294"/>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40">
        <f t="shared" ref="X328:X335" si="118">W328-V328</f>
        <v>2.7939677238464355E-9</v>
      </c>
      <c r="Y328" s="339"/>
      <c r="Z328" s="338"/>
      <c r="AA328" s="78">
        <f>AR328</f>
        <v>5.4531045000000002</v>
      </c>
      <c r="AC328" s="130">
        <f>AC315+AK328</f>
        <v>5.4202488999999723</v>
      </c>
      <c r="AH328" s="287" t="str">
        <f>AL328</f>
        <v>TRK_211_1</v>
      </c>
      <c r="AI328" t="s">
        <v>1113</v>
      </c>
      <c r="AJ328" s="41">
        <f>X328*8/1000000</f>
        <v>2.2351741790771485E-14</v>
      </c>
      <c r="AK328" s="41">
        <f>V328*8/1000000</f>
        <v>5.4202488999999723</v>
      </c>
      <c r="AL328" t="s">
        <v>39</v>
      </c>
      <c r="AM328" t="s">
        <v>1081</v>
      </c>
      <c r="AN328">
        <v>0.87197400000000003</v>
      </c>
      <c r="AO328">
        <v>1.560497</v>
      </c>
      <c r="AP328">
        <v>0.688523</v>
      </c>
      <c r="AQ328" s="295">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40">
        <f t="shared" si="118"/>
        <v>-3.3993273973464966E-8</v>
      </c>
      <c r="Y329" s="339"/>
      <c r="Z329" s="338"/>
      <c r="AA329" s="78">
        <f>AR329</f>
        <v>10.612962</v>
      </c>
      <c r="AC329" s="130">
        <f>AK329+AC328</f>
        <v>16.033210900000242</v>
      </c>
      <c r="AH329" s="287" t="str">
        <f>AL329</f>
        <v>TRK_212_1</v>
      </c>
      <c r="AI329" t="s">
        <v>1114</v>
      </c>
      <c r="AJ329" s="41">
        <f>X329*8/1000000</f>
        <v>-2.7194619178771972E-13</v>
      </c>
      <c r="AK329" s="41">
        <f>V329*8/1000000</f>
        <v>10.612962000000271</v>
      </c>
      <c r="AL329" t="s">
        <v>779</v>
      </c>
      <c r="AM329" t="s">
        <v>1082</v>
      </c>
      <c r="AN329">
        <v>0.31300499999999998</v>
      </c>
      <c r="AO329">
        <v>1.653025</v>
      </c>
      <c r="AP329">
        <v>1.34002</v>
      </c>
      <c r="AQ329" s="295">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40">
        <f t="shared" si="118"/>
        <v>3.0733644962310791E-8</v>
      </c>
      <c r="Y330" s="339"/>
      <c r="Z330" s="338"/>
      <c r="AA330" s="78">
        <f>AR330</f>
        <v>4.8993723000000005</v>
      </c>
      <c r="AC330" s="130">
        <f>AK330+AC329</f>
        <v>20.932583199999996</v>
      </c>
      <c r="AH330" s="287"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95">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9"/>
      <c r="Z331" s="338"/>
      <c r="AA331" s="78">
        <f>AR331</f>
        <v>14.655141</v>
      </c>
      <c r="AC331" s="130">
        <f>AK331+AC330</f>
        <v>33.779747651170112</v>
      </c>
      <c r="AH331" s="287"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95">
        <v>16.28349</v>
      </c>
      <c r="AR331">
        <f>AQ331*0.9</f>
        <v>14.655141</v>
      </c>
      <c r="AS331">
        <f>AS330+AR331</f>
        <v>94.287724199999985</v>
      </c>
    </row>
    <row r="332" spans="3:45" ht="13.5" customHeight="1">
      <c r="J332" s="3" t="s">
        <v>228</v>
      </c>
      <c r="K332" s="3" t="s">
        <v>825</v>
      </c>
      <c r="L332" s="48" t="str">
        <f t="shared" si="119"/>
        <v>25-163/08:37</v>
      </c>
      <c r="M332" s="48" t="s">
        <v>1245</v>
      </c>
      <c r="N332" t="s">
        <v>1185</v>
      </c>
      <c r="O332" s="85"/>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40">
        <f t="shared" si="118"/>
        <v>-5.6199496611952782E-8</v>
      </c>
      <c r="Y332" s="339"/>
      <c r="Z332" s="338"/>
      <c r="AA332" s="78"/>
      <c r="AC332" s="130"/>
      <c r="AH332" s="287"/>
      <c r="AJ332" s="41"/>
      <c r="AK332" s="41"/>
      <c r="AQ332" s="295"/>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40">
        <f t="shared" si="118"/>
        <v>1.9324943423271179E-7</v>
      </c>
      <c r="Y333" s="339"/>
      <c r="Z333" s="338"/>
      <c r="AA333" s="78">
        <f>AR333</f>
        <v>21.463278299999999</v>
      </c>
      <c r="AC333" s="130">
        <f>AK333+AC331</f>
        <v>55.243025951168562</v>
      </c>
      <c r="AH333" s="287"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95">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40">
        <f t="shared" si="118"/>
        <v>5.5064447224140167E-8</v>
      </c>
      <c r="Y334" s="339"/>
      <c r="Z334" s="338"/>
      <c r="AA334" s="78">
        <f>AR334</f>
        <v>6.7295015999999999</v>
      </c>
      <c r="AC334" s="130">
        <f>AK334+AC333</f>
        <v>61.97252755116812</v>
      </c>
      <c r="AH334" s="287"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95">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9"/>
      <c r="Z335" s="338"/>
      <c r="AA335" s="78">
        <f>AR335</f>
        <v>18.842967000000002</v>
      </c>
      <c r="AC335" s="130">
        <f>AK335+AC334</f>
        <v>78.45181215497135</v>
      </c>
      <c r="AH335" s="287"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95">
        <v>20.936630000000001</v>
      </c>
      <c r="AR335">
        <f>AQ335*0.9</f>
        <v>18.842967000000002</v>
      </c>
      <c r="AS335">
        <f>AS334+AR335</f>
        <v>141.32347110000001</v>
      </c>
    </row>
    <row r="336" spans="3:45" ht="13.5" customHeight="1">
      <c r="J336" s="3"/>
      <c r="K336" s="3"/>
      <c r="L336" s="48"/>
      <c r="M336" s="48"/>
      <c r="O336" s="85"/>
      <c r="P336" s="293" t="s">
        <v>1213</v>
      </c>
      <c r="Q336" s="292" t="s">
        <v>1214</v>
      </c>
      <c r="R336" s="298">
        <v>613564318</v>
      </c>
      <c r="S336" s="293">
        <v>7</v>
      </c>
      <c r="T336" s="293" t="s">
        <v>27</v>
      </c>
      <c r="U336" s="293" t="s">
        <v>1215</v>
      </c>
      <c r="V336" s="293" t="s">
        <v>101</v>
      </c>
      <c r="W336" s="293" t="s">
        <v>102</v>
      </c>
      <c r="X336" s="293" t="s">
        <v>1216</v>
      </c>
      <c r="Y336" s="339"/>
      <c r="Z336" s="338"/>
      <c r="AA336" s="78"/>
      <c r="AC336" s="130"/>
      <c r="AH336" s="287"/>
      <c r="AJ336" s="41"/>
      <c r="AK336" s="41"/>
      <c r="AQ336" s="295"/>
    </row>
    <row r="337" spans="7:45" ht="13.5" customHeight="1">
      <c r="J337" s="3"/>
      <c r="K337" s="3"/>
      <c r="L337" s="48"/>
      <c r="M337" s="48"/>
      <c r="O337" s="85"/>
      <c r="P337" s="293" t="s">
        <v>1217</v>
      </c>
      <c r="Q337" s="293" t="s">
        <v>1218</v>
      </c>
      <c r="R337" s="293">
        <v>613564338</v>
      </c>
      <c r="S337" s="293">
        <v>1</v>
      </c>
      <c r="T337" s="293" t="s">
        <v>27</v>
      </c>
      <c r="U337" s="293" t="s">
        <v>1215</v>
      </c>
      <c r="V337" s="293" t="s">
        <v>118</v>
      </c>
      <c r="W337" s="293"/>
      <c r="X337" s="293" t="s">
        <v>1216</v>
      </c>
      <c r="Y337" s="339"/>
      <c r="Z337" s="338"/>
      <c r="AA337" s="78"/>
      <c r="AC337" s="130"/>
      <c r="AH337" s="287"/>
      <c r="AJ337" s="41"/>
      <c r="AK337" s="41"/>
      <c r="AQ337" s="295"/>
    </row>
    <row r="338" spans="7:45" ht="13.5" customHeight="1">
      <c r="J338" s="3"/>
      <c r="K338" s="3"/>
      <c r="L338" s="48"/>
      <c r="M338" s="48"/>
      <c r="O338" s="85"/>
      <c r="P338" s="293" t="s">
        <v>1219</v>
      </c>
      <c r="Q338" s="293" t="s">
        <v>1220</v>
      </c>
      <c r="R338" s="293">
        <v>613564343</v>
      </c>
      <c r="S338" s="293">
        <v>1</v>
      </c>
      <c r="T338" s="293" t="s">
        <v>27</v>
      </c>
      <c r="U338" s="293" t="s">
        <v>1215</v>
      </c>
      <c r="V338" s="293" t="s">
        <v>118</v>
      </c>
      <c r="W338" s="293"/>
      <c r="X338" s="293" t="s">
        <v>1216</v>
      </c>
      <c r="Y338" s="339"/>
      <c r="Z338" s="338"/>
      <c r="AA338" s="78"/>
      <c r="AC338" s="130"/>
      <c r="AH338" s="287"/>
      <c r="AJ338" s="41"/>
      <c r="AK338" s="41"/>
      <c r="AQ338" s="295"/>
    </row>
    <row r="339" spans="7:45" ht="13.5" customHeight="1">
      <c r="J339" s="3"/>
      <c r="K339" s="3"/>
      <c r="L339" s="48"/>
      <c r="M339" s="48"/>
      <c r="O339" s="85"/>
      <c r="P339" s="293" t="s">
        <v>1221</v>
      </c>
      <c r="Q339" s="293" t="s">
        <v>1222</v>
      </c>
      <c r="R339" s="293">
        <v>613564800</v>
      </c>
      <c r="S339" s="293">
        <v>0</v>
      </c>
      <c r="T339" s="293" t="s">
        <v>111</v>
      </c>
      <c r="U339" s="293" t="s">
        <v>436</v>
      </c>
      <c r="V339" s="293" t="s">
        <v>1180</v>
      </c>
      <c r="W339" s="293"/>
      <c r="X339" s="293" t="s">
        <v>1216</v>
      </c>
      <c r="Y339" s="339"/>
      <c r="Z339" s="338"/>
      <c r="AA339" s="78"/>
      <c r="AC339" s="130"/>
      <c r="AH339" s="287"/>
      <c r="AJ339" s="41"/>
      <c r="AK339" s="41"/>
      <c r="AQ339" s="295"/>
    </row>
    <row r="340" spans="7:45" ht="13.5" customHeight="1">
      <c r="J340" s="3"/>
      <c r="K340" s="3"/>
      <c r="L340" s="48"/>
      <c r="M340" s="48"/>
      <c r="O340" s="85"/>
      <c r="P340" s="293" t="s">
        <v>1221</v>
      </c>
      <c r="Q340" s="293" t="s">
        <v>1222</v>
      </c>
      <c r="R340" s="293">
        <v>613564800</v>
      </c>
      <c r="S340" s="293">
        <v>0</v>
      </c>
      <c r="T340" s="293" t="s">
        <v>111</v>
      </c>
      <c r="U340" s="293" t="s">
        <v>436</v>
      </c>
      <c r="V340" s="293" t="s">
        <v>1181</v>
      </c>
      <c r="W340" s="293"/>
      <c r="X340" s="293" t="s">
        <v>1216</v>
      </c>
      <c r="Y340" s="339"/>
      <c r="Z340" s="338"/>
      <c r="AA340" s="78"/>
      <c r="AC340" s="130"/>
      <c r="AH340" s="287"/>
      <c r="AJ340" s="41"/>
      <c r="AK340" s="41"/>
      <c r="AQ340" s="295"/>
    </row>
    <row r="341" spans="7:45" ht="13.5" customHeight="1">
      <c r="J341" s="3"/>
      <c r="K341" s="3"/>
      <c r="L341" s="48"/>
      <c r="M341" s="48"/>
      <c r="O341" s="85"/>
      <c r="P341" s="293" t="s">
        <v>1221</v>
      </c>
      <c r="Q341" s="293" t="s">
        <v>1222</v>
      </c>
      <c r="R341" s="293">
        <v>613564800</v>
      </c>
      <c r="S341" s="293">
        <v>0</v>
      </c>
      <c r="T341" s="293" t="s">
        <v>111</v>
      </c>
      <c r="U341" s="293" t="s">
        <v>436</v>
      </c>
      <c r="V341" s="293" t="s">
        <v>1182</v>
      </c>
      <c r="W341" s="293"/>
      <c r="X341" s="293" t="s">
        <v>1216</v>
      </c>
      <c r="Y341" s="339"/>
      <c r="Z341" s="338"/>
      <c r="AA341" s="78"/>
      <c r="AC341" s="130"/>
      <c r="AH341" s="287"/>
      <c r="AJ341" s="41"/>
      <c r="AK341" s="41"/>
      <c r="AQ341" s="295"/>
    </row>
    <row r="342" spans="7:45" ht="13.5" customHeight="1">
      <c r="J342" s="3"/>
      <c r="K342" s="3"/>
      <c r="L342" s="48"/>
      <c r="M342" s="48"/>
      <c r="O342" s="85"/>
      <c r="P342" s="293" t="s">
        <v>1221</v>
      </c>
      <c r="Q342" s="293" t="s">
        <v>1222</v>
      </c>
      <c r="R342" s="293">
        <v>613564800</v>
      </c>
      <c r="S342" s="293">
        <v>0</v>
      </c>
      <c r="T342" s="293" t="s">
        <v>111</v>
      </c>
      <c r="U342" s="293" t="s">
        <v>436</v>
      </c>
      <c r="V342" s="293" t="s">
        <v>113</v>
      </c>
      <c r="W342" s="293"/>
      <c r="X342" s="293" t="s">
        <v>1216</v>
      </c>
      <c r="Y342" s="339"/>
      <c r="Z342" s="338"/>
      <c r="AA342" s="78"/>
      <c r="AC342" s="130"/>
      <c r="AH342" s="287"/>
      <c r="AJ342" s="41"/>
      <c r="AK342" s="41"/>
      <c r="AQ342" s="295"/>
    </row>
    <row r="343" spans="7:45" ht="13.5" customHeight="1">
      <c r="J343" s="3"/>
      <c r="K343" s="3"/>
      <c r="L343" s="48"/>
      <c r="M343" s="48"/>
      <c r="O343" s="85" t="s">
        <v>1223</v>
      </c>
      <c r="P343" s="293" t="s">
        <v>1221</v>
      </c>
      <c r="Q343" s="293" t="s">
        <v>1222</v>
      </c>
      <c r="R343" s="299">
        <v>613564800</v>
      </c>
      <c r="S343" s="293">
        <v>0</v>
      </c>
      <c r="T343" s="293" t="s">
        <v>111</v>
      </c>
      <c r="U343" s="293" t="s">
        <v>436</v>
      </c>
      <c r="V343" s="292" t="s">
        <v>1200</v>
      </c>
      <c r="W343" s="293"/>
      <c r="X343" s="293" t="s">
        <v>1216</v>
      </c>
      <c r="Y343" s="339"/>
      <c r="Z343" s="338"/>
      <c r="AA343" s="78"/>
      <c r="AC343" s="130"/>
      <c r="AH343" s="287"/>
      <c r="AJ343" s="41"/>
      <c r="AK343" s="41"/>
      <c r="AQ343" s="295"/>
    </row>
    <row r="344" spans="7:45" ht="13.5" customHeight="1">
      <c r="J344" s="3"/>
      <c r="K344" s="3"/>
      <c r="L344" s="48"/>
      <c r="M344" s="48"/>
      <c r="O344" s="85"/>
      <c r="P344" s="293" t="s">
        <v>1221</v>
      </c>
      <c r="Q344" s="293" t="s">
        <v>1222</v>
      </c>
      <c r="R344" s="293">
        <v>613564800</v>
      </c>
      <c r="S344" s="293">
        <v>0</v>
      </c>
      <c r="T344" s="293" t="s">
        <v>111</v>
      </c>
      <c r="U344" s="293" t="s">
        <v>436</v>
      </c>
      <c r="V344" s="293" t="s">
        <v>1184</v>
      </c>
      <c r="W344" s="293"/>
      <c r="X344" s="293" t="s">
        <v>1216</v>
      </c>
      <c r="Y344" s="339"/>
      <c r="Z344" s="338"/>
      <c r="AA344" s="78"/>
      <c r="AC344" s="130"/>
      <c r="AH344" s="287"/>
      <c r="AJ344" s="41"/>
      <c r="AK344" s="41"/>
      <c r="AQ344" s="295"/>
    </row>
    <row r="345" spans="7:45" ht="13.5" customHeight="1">
      <c r="J345" s="3"/>
      <c r="K345" s="3"/>
      <c r="L345" s="48"/>
      <c r="M345" s="48"/>
      <c r="O345" s="85"/>
      <c r="P345" s="293" t="s">
        <v>1221</v>
      </c>
      <c r="Q345" s="293" t="s">
        <v>1222</v>
      </c>
      <c r="R345" s="293">
        <v>613564800</v>
      </c>
      <c r="S345" s="293">
        <v>0</v>
      </c>
      <c r="T345" s="293" t="s">
        <v>111</v>
      </c>
      <c r="U345" s="293" t="s">
        <v>436</v>
      </c>
      <c r="V345" s="293" t="s">
        <v>756</v>
      </c>
      <c r="W345" s="293"/>
      <c r="X345" s="293" t="s">
        <v>1216</v>
      </c>
      <c r="Y345" s="339"/>
      <c r="Z345" s="338"/>
      <c r="AA345" s="78"/>
      <c r="AC345" s="130"/>
      <c r="AH345" s="287"/>
      <c r="AJ345" s="41"/>
      <c r="AK345" s="41"/>
      <c r="AQ345" s="295"/>
    </row>
    <row r="346" spans="7:45" ht="13.5" customHeight="1">
      <c r="J346" s="3" t="s">
        <v>228</v>
      </c>
      <c r="K346" s="3" t="s">
        <v>825</v>
      </c>
      <c r="L346" s="48" t="str">
        <f>M335</f>
        <v>25-181/04:48</v>
      </c>
      <c r="M346" s="48" t="s">
        <v>1248</v>
      </c>
      <c r="N346" t="s">
        <v>1224</v>
      </c>
      <c r="O346" s="85"/>
      <c r="P346" s="32" t="str">
        <f>MID(AL346,5,5)</f>
        <v/>
      </c>
      <c r="Q346" s="377">
        <f>R343-3</f>
        <v>613564797</v>
      </c>
      <c r="R346" s="21">
        <f>((W346)/$S$2)+Q346</f>
        <v>614149095.70580232</v>
      </c>
      <c r="S346" s="21">
        <f>R346-Q346</f>
        <v>584298.70580232143</v>
      </c>
      <c r="T346" s="21">
        <f>S346*$S$2</f>
        <v>295460.29952462157</v>
      </c>
      <c r="U346" s="3">
        <v>0</v>
      </c>
      <c r="V346" s="20">
        <f>T346+U346*$V$38</f>
        <v>295460.29952462157</v>
      </c>
      <c r="W346" s="184">
        <f>X335</f>
        <v>295460.29952459713</v>
      </c>
      <c r="X346" s="340">
        <f>W346-V346</f>
        <v>-2.4447217583656311E-8</v>
      </c>
      <c r="Y346" s="339"/>
      <c r="Z346" s="338"/>
      <c r="AA346" s="78"/>
      <c r="AB346">
        <f>W346*8/1000000</f>
        <v>2.363682396196777</v>
      </c>
      <c r="AC346" s="130">
        <f>AK346+AC335</f>
        <v>80.815494551168328</v>
      </c>
      <c r="AH346" s="287"/>
      <c r="AJ346" s="41">
        <f>X346*8/1000000</f>
        <v>-1.955777406692505E-13</v>
      </c>
      <c r="AK346" s="41">
        <f>V346*8/1000000</f>
        <v>2.3636823961969724</v>
      </c>
      <c r="AQ346" s="295"/>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40">
        <f>W347-V347</f>
        <v>-2.6251655071973801E-8</v>
      </c>
      <c r="Y347" s="339"/>
      <c r="Z347" s="338"/>
      <c r="AA347" s="78">
        <f>AR347</f>
        <v>2.8357281000000003</v>
      </c>
      <c r="AC347" s="130">
        <f>AK347+AC346</f>
        <v>83.651222651168538</v>
      </c>
      <c r="AE347" s="100"/>
      <c r="AH347" s="287"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95">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9"/>
      <c r="Z348" s="338"/>
      <c r="AA348" s="78">
        <f>AR348</f>
        <v>8.1307665000000018</v>
      </c>
      <c r="AB348">
        <f>V348*8/1000000</f>
        <v>1.844734635377107</v>
      </c>
      <c r="AC348" s="130">
        <f>AK348+AC347</f>
        <v>85.495957286545647</v>
      </c>
      <c r="AE348" s="100"/>
      <c r="AH348" s="287"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95">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76"/>
      <c r="Y349" s="339"/>
      <c r="Z349" s="338"/>
      <c r="AA349" s="78"/>
      <c r="AC349" s="130"/>
      <c r="AE349" s="100"/>
      <c r="AH349" s="287"/>
      <c r="AJ349" s="41"/>
      <c r="AK349" s="41"/>
      <c r="AQ349" s="295"/>
    </row>
    <row r="350" spans="7:45" ht="13.5" customHeight="1">
      <c r="G350" s="176"/>
      <c r="H350" s="176"/>
      <c r="I350" s="176"/>
      <c r="J350" s="3"/>
      <c r="K350" s="3"/>
      <c r="L350" s="48"/>
      <c r="M350" s="48"/>
      <c r="O350" s="85"/>
      <c r="P350" s="194" t="s">
        <v>1187</v>
      </c>
      <c r="Q350" s="195" t="s">
        <v>770</v>
      </c>
      <c r="R350" s="300">
        <v>615306096</v>
      </c>
      <c r="S350" s="301">
        <v>615339021</v>
      </c>
      <c r="T350" s="21"/>
      <c r="U350" s="3"/>
      <c r="V350" s="193" t="s">
        <v>1252</v>
      </c>
      <c r="W350" s="192"/>
      <c r="X350" s="376"/>
      <c r="Y350" s="339"/>
      <c r="Z350" s="338"/>
      <c r="AA350" s="78"/>
      <c r="AC350" s="130"/>
      <c r="AE350" s="100"/>
      <c r="AH350" s="287"/>
      <c r="AJ350" s="41"/>
      <c r="AK350" s="41"/>
      <c r="AQ350" s="295"/>
    </row>
    <row r="351" spans="7:45" ht="13.5" customHeight="1">
      <c r="G351" s="176"/>
      <c r="H351" s="176"/>
      <c r="I351" s="176"/>
      <c r="J351" s="3"/>
      <c r="K351" s="3"/>
      <c r="L351" s="48"/>
      <c r="M351" s="48"/>
      <c r="N351" s="6" t="s">
        <v>1236</v>
      </c>
      <c r="O351" s="85" t="s">
        <v>19</v>
      </c>
      <c r="P351" s="293" t="s">
        <v>1188</v>
      </c>
      <c r="Q351" s="293" t="s">
        <v>1189</v>
      </c>
      <c r="R351" s="302">
        <v>615779216</v>
      </c>
      <c r="S351" s="293">
        <v>7</v>
      </c>
      <c r="T351" s="293" t="s">
        <v>27</v>
      </c>
      <c r="U351" s="293" t="s">
        <v>1190</v>
      </c>
      <c r="V351" s="293" t="s">
        <v>101</v>
      </c>
      <c r="W351" s="293" t="s">
        <v>102</v>
      </c>
      <c r="X351" s="293" t="s">
        <v>1191</v>
      </c>
      <c r="Y351" s="339"/>
      <c r="Z351" s="338"/>
      <c r="AA351" s="78"/>
      <c r="AC351" s="130"/>
      <c r="AE351" s="100"/>
      <c r="AH351" s="287"/>
      <c r="AJ351" s="41"/>
      <c r="AK351" s="41"/>
      <c r="AQ351" s="295"/>
    </row>
    <row r="352" spans="7:45" ht="13.5" customHeight="1">
      <c r="G352" s="176"/>
      <c r="H352" s="176"/>
      <c r="I352" s="176"/>
      <c r="J352" s="3"/>
      <c r="K352" s="3"/>
      <c r="L352" s="48"/>
      <c r="M352" s="48"/>
      <c r="O352" s="85"/>
      <c r="P352" s="293" t="s">
        <v>1192</v>
      </c>
      <c r="Q352" s="293" t="s">
        <v>1193</v>
      </c>
      <c r="R352" s="293">
        <v>615779236</v>
      </c>
      <c r="S352" s="293">
        <v>1</v>
      </c>
      <c r="T352" s="293" t="s">
        <v>27</v>
      </c>
      <c r="U352" s="293" t="s">
        <v>1190</v>
      </c>
      <c r="V352" s="293" t="s">
        <v>118</v>
      </c>
      <c r="W352" s="293"/>
      <c r="X352" s="293" t="s">
        <v>1191</v>
      </c>
      <c r="Y352" s="339"/>
      <c r="Z352" s="338"/>
      <c r="AA352" s="78"/>
      <c r="AC352" s="130"/>
      <c r="AE352" s="100"/>
      <c r="AH352" s="287"/>
      <c r="AJ352" s="41"/>
      <c r="AK352" s="41"/>
      <c r="AQ352" s="295"/>
    </row>
    <row r="353" spans="7:45" ht="13.5" customHeight="1">
      <c r="G353" s="176"/>
      <c r="H353" s="176"/>
      <c r="I353" s="176"/>
      <c r="J353" s="3"/>
      <c r="K353" s="3"/>
      <c r="L353" s="48"/>
      <c r="M353" s="48"/>
      <c r="O353" s="85"/>
      <c r="P353" s="293" t="s">
        <v>1194</v>
      </c>
      <c r="Q353" s="293" t="s">
        <v>1195</v>
      </c>
      <c r="R353" s="293">
        <v>615779241</v>
      </c>
      <c r="S353" s="293">
        <v>1</v>
      </c>
      <c r="T353" s="293" t="s">
        <v>27</v>
      </c>
      <c r="U353" s="293" t="s">
        <v>1190</v>
      </c>
      <c r="V353" s="293" t="s">
        <v>118</v>
      </c>
      <c r="W353" s="293"/>
      <c r="X353" s="293" t="s">
        <v>1191</v>
      </c>
      <c r="Y353" s="339"/>
      <c r="Z353" s="338"/>
      <c r="AA353" s="78"/>
      <c r="AC353" s="130"/>
      <c r="AE353" s="100"/>
      <c r="AH353" s="287"/>
      <c r="AJ353" s="41"/>
      <c r="AK353" s="41"/>
      <c r="AQ353" s="295"/>
    </row>
    <row r="354" spans="7:45" ht="13.5" customHeight="1">
      <c r="G354" s="176"/>
      <c r="H354" s="176"/>
      <c r="I354" s="176"/>
      <c r="J354" s="3"/>
      <c r="K354" s="3"/>
      <c r="L354" s="48"/>
      <c r="M354" s="48"/>
      <c r="O354" s="85"/>
      <c r="P354" s="293" t="s">
        <v>1198</v>
      </c>
      <c r="Q354" s="293" t="s">
        <v>1199</v>
      </c>
      <c r="R354" s="293">
        <v>615779712</v>
      </c>
      <c r="S354" s="293">
        <v>0</v>
      </c>
      <c r="T354" s="293" t="s">
        <v>111</v>
      </c>
      <c r="U354" s="293" t="s">
        <v>1190</v>
      </c>
      <c r="V354" s="293" t="s">
        <v>1180</v>
      </c>
      <c r="W354" s="293"/>
      <c r="X354" s="293" t="s">
        <v>1191</v>
      </c>
      <c r="Y354" s="339"/>
      <c r="Z354" s="338"/>
      <c r="AA354" s="78"/>
      <c r="AC354" s="130"/>
      <c r="AE354" s="100"/>
      <c r="AH354" s="287"/>
      <c r="AJ354" s="41"/>
      <c r="AK354" s="41"/>
      <c r="AQ354" s="295"/>
    </row>
    <row r="355" spans="7:45" ht="13.5" customHeight="1">
      <c r="G355" s="176"/>
      <c r="H355" s="176"/>
      <c r="I355" s="176"/>
      <c r="J355" s="3"/>
      <c r="K355" s="3"/>
      <c r="L355" s="48"/>
      <c r="M355" s="48"/>
      <c r="O355" s="85"/>
      <c r="P355" s="293" t="s">
        <v>1198</v>
      </c>
      <c r="Q355" s="293" t="s">
        <v>1199</v>
      </c>
      <c r="R355" s="293">
        <v>615779712</v>
      </c>
      <c r="S355" s="293">
        <v>0</v>
      </c>
      <c r="T355" s="293" t="s">
        <v>111</v>
      </c>
      <c r="U355" s="293" t="s">
        <v>1190</v>
      </c>
      <c r="V355" s="293" t="s">
        <v>1181</v>
      </c>
      <c r="W355" s="293"/>
      <c r="X355" s="293" t="s">
        <v>1191</v>
      </c>
      <c r="Y355" s="339"/>
      <c r="Z355" s="338"/>
      <c r="AA355" s="78"/>
      <c r="AC355" s="130"/>
      <c r="AE355" s="100"/>
      <c r="AH355" s="287"/>
      <c r="AJ355" s="41"/>
      <c r="AK355" s="41"/>
      <c r="AQ355" s="295"/>
    </row>
    <row r="356" spans="7:45" ht="13.5" customHeight="1">
      <c r="G356" s="176"/>
      <c r="H356" s="176"/>
      <c r="I356" s="176"/>
      <c r="J356" s="3"/>
      <c r="K356" s="3"/>
      <c r="L356" s="48"/>
      <c r="M356" s="48"/>
      <c r="O356" s="85"/>
      <c r="P356" s="293" t="s">
        <v>1198</v>
      </c>
      <c r="Q356" s="293" t="s">
        <v>1199</v>
      </c>
      <c r="R356" s="293">
        <v>615779712</v>
      </c>
      <c r="S356" s="293">
        <v>0</v>
      </c>
      <c r="T356" s="293" t="s">
        <v>111</v>
      </c>
      <c r="U356" s="293" t="s">
        <v>1190</v>
      </c>
      <c r="V356" s="293" t="s">
        <v>1182</v>
      </c>
      <c r="W356" s="293"/>
      <c r="X356" s="293" t="s">
        <v>1191</v>
      </c>
      <c r="Y356" s="339"/>
      <c r="Z356" s="338"/>
      <c r="AA356" s="78"/>
      <c r="AC356" s="130"/>
      <c r="AE356" s="100"/>
      <c r="AH356" s="287"/>
      <c r="AJ356" s="41"/>
      <c r="AK356" s="41"/>
      <c r="AQ356" s="295"/>
    </row>
    <row r="357" spans="7:45" ht="13.5" customHeight="1">
      <c r="G357" s="176"/>
      <c r="H357" s="176"/>
      <c r="I357" s="176"/>
      <c r="J357" s="3"/>
      <c r="K357" s="3"/>
      <c r="L357" s="48"/>
      <c r="M357" s="48"/>
      <c r="O357" s="85"/>
      <c r="P357" s="293" t="s">
        <v>1198</v>
      </c>
      <c r="Q357" s="293" t="s">
        <v>1199</v>
      </c>
      <c r="R357" s="293">
        <v>615779712</v>
      </c>
      <c r="S357" s="293">
        <v>0</v>
      </c>
      <c r="T357" s="293" t="s">
        <v>111</v>
      </c>
      <c r="U357" s="293" t="s">
        <v>1190</v>
      </c>
      <c r="V357" s="293" t="s">
        <v>113</v>
      </c>
      <c r="W357" s="293"/>
      <c r="X357" s="293" t="s">
        <v>1191</v>
      </c>
      <c r="Y357" s="339"/>
      <c r="Z357" s="338"/>
      <c r="AA357" s="78"/>
      <c r="AC357" s="130"/>
      <c r="AE357" s="100"/>
      <c r="AH357" s="287"/>
      <c r="AJ357" s="41"/>
      <c r="AK357" s="41"/>
      <c r="AQ357" s="295"/>
    </row>
    <row r="358" spans="7:45" ht="13.5" customHeight="1">
      <c r="G358" s="176"/>
      <c r="H358" s="176"/>
      <c r="I358" s="176"/>
      <c r="J358" s="3"/>
      <c r="K358" s="3"/>
      <c r="L358" s="48"/>
      <c r="M358" s="48"/>
      <c r="O358" s="85"/>
      <c r="P358" s="293" t="s">
        <v>1198</v>
      </c>
      <c r="Q358" s="293" t="s">
        <v>1199</v>
      </c>
      <c r="R358" s="293">
        <v>615779712</v>
      </c>
      <c r="S358" s="293">
        <v>0</v>
      </c>
      <c r="T358" s="293" t="s">
        <v>111</v>
      </c>
      <c r="U358" s="293" t="s">
        <v>1190</v>
      </c>
      <c r="V358" s="292" t="s">
        <v>1200</v>
      </c>
      <c r="W358" s="293"/>
      <c r="X358" s="293" t="s">
        <v>1191</v>
      </c>
      <c r="Y358" s="339"/>
      <c r="Z358" s="338"/>
      <c r="AA358" s="78"/>
      <c r="AC358" s="130"/>
      <c r="AE358" s="100"/>
      <c r="AH358" s="287"/>
      <c r="AJ358" s="41"/>
      <c r="AK358" s="41"/>
      <c r="AQ358" s="295"/>
    </row>
    <row r="359" spans="7:45" ht="13.5" customHeight="1">
      <c r="G359" s="176"/>
      <c r="H359" s="176"/>
      <c r="I359" s="176"/>
      <c r="J359" s="3"/>
      <c r="K359" s="3"/>
      <c r="L359" s="48"/>
      <c r="M359" s="48"/>
      <c r="O359" s="85"/>
      <c r="P359" s="293" t="s">
        <v>1198</v>
      </c>
      <c r="Q359" s="293" t="s">
        <v>1199</v>
      </c>
      <c r="R359" s="293">
        <v>615779712</v>
      </c>
      <c r="S359" s="293">
        <v>0</v>
      </c>
      <c r="T359" s="293" t="s">
        <v>1232</v>
      </c>
      <c r="U359" s="293" t="s">
        <v>1190</v>
      </c>
      <c r="V359" s="293" t="s">
        <v>1184</v>
      </c>
      <c r="W359" s="293"/>
      <c r="X359" s="293" t="s">
        <v>1191</v>
      </c>
      <c r="Y359" s="339"/>
      <c r="Z359" s="338"/>
      <c r="AA359" s="78"/>
      <c r="AC359" s="130"/>
      <c r="AE359" s="100"/>
      <c r="AH359" s="287"/>
      <c r="AJ359" s="41"/>
      <c r="AK359" s="41"/>
      <c r="AQ359" s="295"/>
    </row>
    <row r="360" spans="7:45" ht="13.5" customHeight="1">
      <c r="G360" s="176"/>
      <c r="H360" s="176"/>
      <c r="I360" s="176"/>
      <c r="J360" s="3"/>
      <c r="K360" s="3"/>
      <c r="L360" s="205" t="str" cm="1">
        <f t="array" aca="1" ref="L360" ca="1">MID(met2utc(Q361),3,12)</f>
        <v>25-206/19:54</v>
      </c>
      <c r="M360" s="48">
        <f>(218-206)*3600/1000000</f>
        <v>4.3200000000000002E-2</v>
      </c>
      <c r="O360" s="85"/>
      <c r="P360" s="293" t="s">
        <v>1198</v>
      </c>
      <c r="Q360" s="293" t="s">
        <v>1199</v>
      </c>
      <c r="R360" s="293">
        <v>615779712</v>
      </c>
      <c r="S360" s="293">
        <v>0</v>
      </c>
      <c r="T360" s="293" t="s">
        <v>111</v>
      </c>
      <c r="U360" s="293" t="s">
        <v>1190</v>
      </c>
      <c r="V360" s="293" t="s">
        <v>756</v>
      </c>
      <c r="W360" s="293"/>
      <c r="X360" s="293" t="s">
        <v>1191</v>
      </c>
      <c r="Y360" s="339"/>
      <c r="Z360" s="338"/>
      <c r="AA360" s="78"/>
      <c r="AC360" s="130"/>
      <c r="AE360" s="100"/>
      <c r="AH360" s="287"/>
      <c r="AJ360" s="41"/>
      <c r="AK360" s="41"/>
      <c r="AQ360" s="295"/>
    </row>
    <row r="361" spans="7:45" ht="13.5" customHeight="1">
      <c r="G361" s="176"/>
      <c r="H361" s="176"/>
      <c r="I361" s="176"/>
      <c r="J361" s="3" t="s">
        <v>228</v>
      </c>
      <c r="K361" s="3" t="s">
        <v>825</v>
      </c>
      <c r="L361" s="48" t="s">
        <v>1201</v>
      </c>
      <c r="M361" s="48" t="s">
        <v>1229</v>
      </c>
      <c r="N361" t="s">
        <v>1224</v>
      </c>
      <c r="O361" s="35" t="s">
        <v>1237</v>
      </c>
      <c r="P361" s="32" t="str">
        <f>MID(AL361,5,5)</f>
        <v/>
      </c>
      <c r="Q361" s="302">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9"/>
      <c r="Z361" s="338"/>
      <c r="AA361" s="78"/>
      <c r="AB361">
        <f>V361*8/1000000</f>
        <v>4.1627682416627847</v>
      </c>
      <c r="AC361" s="130">
        <f>AK361+AC348</f>
        <v>89.658725528208436</v>
      </c>
      <c r="AH361" s="287"/>
      <c r="AJ361" s="41">
        <f>X361*8/1000000</f>
        <v>2.1232636229601098</v>
      </c>
      <c r="AK361" s="41">
        <f>V361*8/1000000</f>
        <v>4.1627682416627847</v>
      </c>
      <c r="AL361" s="303"/>
      <c r="AM361" s="303"/>
      <c r="AN361" s="303"/>
      <c r="AO361" s="303"/>
      <c r="AP361" s="303"/>
      <c r="AQ361" s="304"/>
    </row>
    <row r="362" spans="7:45" ht="13.5" customHeight="1">
      <c r="G362" s="176"/>
      <c r="H362" s="176"/>
      <c r="I362" s="176"/>
      <c r="J362" s="3"/>
      <c r="K362" s="3"/>
      <c r="L362" s="48"/>
      <c r="M362" s="206" t="str" cm="1">
        <f t="array" aca="1" ref="M362" ca="1">MID(met2utc(R361),3,12)</f>
        <v>25-218/17:45</v>
      </c>
      <c r="O362" s="35"/>
      <c r="P362" s="288" t="s">
        <v>1204</v>
      </c>
      <c r="Q362" s="288" t="s">
        <v>1205</v>
      </c>
      <c r="R362" s="305">
        <v>616807877</v>
      </c>
      <c r="S362" s="288">
        <v>0</v>
      </c>
      <c r="T362" s="288" t="s">
        <v>111</v>
      </c>
      <c r="U362" s="288" t="s">
        <v>938</v>
      </c>
      <c r="V362" s="288" t="s">
        <v>1206</v>
      </c>
      <c r="W362" s="288"/>
      <c r="X362" s="288" t="s">
        <v>1207</v>
      </c>
      <c r="Y362" s="339"/>
      <c r="Z362" s="338"/>
      <c r="AA362" s="78"/>
      <c r="AC362" s="130"/>
      <c r="AE362" s="100"/>
      <c r="AH362" s="287"/>
      <c r="AJ362" s="41"/>
      <c r="AK362" s="41"/>
      <c r="AQ362" s="295"/>
    </row>
    <row r="363" spans="7:45" ht="13.5" customHeight="1">
      <c r="G363" s="176"/>
      <c r="H363" s="176"/>
      <c r="I363" s="176"/>
      <c r="J363" s="3"/>
      <c r="K363" s="3"/>
      <c r="L363" s="48"/>
      <c r="M363" s="48"/>
      <c r="O363" s="35" t="s">
        <v>1227</v>
      </c>
      <c r="P363" s="288" t="s">
        <v>1208</v>
      </c>
      <c r="Q363" s="288" t="s">
        <v>1209</v>
      </c>
      <c r="R363" s="306">
        <v>616808221</v>
      </c>
      <c r="S363" s="288">
        <v>1</v>
      </c>
      <c r="T363" s="288" t="s">
        <v>27</v>
      </c>
      <c r="U363" s="288" t="s">
        <v>357</v>
      </c>
      <c r="V363" s="288" t="s">
        <v>118</v>
      </c>
      <c r="W363" s="288"/>
      <c r="X363" s="288" t="s">
        <v>1207</v>
      </c>
      <c r="Y363" s="339"/>
      <c r="Z363" s="338"/>
      <c r="AA363" s="78"/>
      <c r="AC363" s="130"/>
      <c r="AE363" s="100"/>
      <c r="AH363" s="287"/>
      <c r="AJ363" s="41"/>
      <c r="AK363" s="41"/>
      <c r="AQ363" s="295"/>
    </row>
    <row r="364" spans="7:45" ht="13.5" customHeight="1">
      <c r="G364" s="176"/>
      <c r="H364" s="176"/>
      <c r="I364" s="176"/>
      <c r="J364" s="3"/>
      <c r="K364" s="3"/>
      <c r="L364" s="48"/>
      <c r="M364" s="48"/>
      <c r="O364" s="85" t="s">
        <v>1226</v>
      </c>
      <c r="P364" s="288" t="s">
        <v>1030</v>
      </c>
      <c r="Q364" s="288" t="s">
        <v>1031</v>
      </c>
      <c r="R364" s="307">
        <v>616842836</v>
      </c>
      <c r="S364" s="288">
        <v>7</v>
      </c>
      <c r="T364" s="288" t="s">
        <v>27</v>
      </c>
      <c r="U364" s="288" t="s">
        <v>1032</v>
      </c>
      <c r="V364" s="288" t="s">
        <v>101</v>
      </c>
      <c r="W364" s="288" t="s">
        <v>102</v>
      </c>
      <c r="X364" s="288" t="s">
        <v>1033</v>
      </c>
      <c r="Y364" s="339"/>
      <c r="Z364" s="338"/>
      <c r="AA364" s="78"/>
      <c r="AC364" s="130"/>
      <c r="AE364" s="100"/>
      <c r="AH364" s="287"/>
      <c r="AJ364" s="41"/>
      <c r="AK364" s="41"/>
      <c r="AQ364" s="295"/>
    </row>
    <row r="365" spans="7:45" ht="13.5" customHeight="1">
      <c r="G365" s="176"/>
      <c r="H365" s="176"/>
      <c r="I365" s="176"/>
      <c r="J365" s="3"/>
      <c r="K365" s="3"/>
      <c r="L365" s="205" t="str" cm="1">
        <f t="array" aca="1" ref="L365" ca="1">MID(met2utc(Q366),3,12)</f>
        <v>25-219/03:21</v>
      </c>
      <c r="M365" s="48"/>
      <c r="O365" s="85"/>
      <c r="P365" s="289" t="s">
        <v>1210</v>
      </c>
      <c r="Q365" s="289" t="s">
        <v>1211</v>
      </c>
      <c r="R365" s="308">
        <v>616843328</v>
      </c>
      <c r="S365" s="289">
        <v>0</v>
      </c>
      <c r="T365" s="289" t="s">
        <v>111</v>
      </c>
      <c r="U365" s="289" t="s">
        <v>1032</v>
      </c>
      <c r="V365" s="289" t="s">
        <v>1200</v>
      </c>
      <c r="W365" s="289"/>
      <c r="X365" s="289" t="s">
        <v>1033</v>
      </c>
      <c r="Y365" s="339"/>
      <c r="Z365" s="338"/>
      <c r="AA365" s="78"/>
      <c r="AC365" s="130"/>
      <c r="AE365" s="100"/>
      <c r="AH365" s="287"/>
      <c r="AJ365" s="41"/>
      <c r="AK365" s="41"/>
      <c r="AQ365" s="295"/>
    </row>
    <row r="366" spans="7:45" ht="13.5" customHeight="1">
      <c r="J366" s="3" t="s">
        <v>228</v>
      </c>
      <c r="K366" s="3" t="s">
        <v>825</v>
      </c>
      <c r="L366" s="48" t="s">
        <v>1228</v>
      </c>
      <c r="M366" s="48" t="s">
        <v>1238</v>
      </c>
      <c r="N366" t="s">
        <v>1230</v>
      </c>
      <c r="O366" s="35" t="s">
        <v>1226</v>
      </c>
      <c r="P366" s="32" t="str">
        <f>MID(AL366,5,5)</f>
        <v/>
      </c>
      <c r="Q366" s="375">
        <f>R364-5</f>
        <v>616842831</v>
      </c>
      <c r="R366" s="21">
        <f>((W366)/$S$2)+Q366</f>
        <v>617367698.54945111</v>
      </c>
      <c r="S366" s="21">
        <f>R366-Q366</f>
        <v>524867.54945111275</v>
      </c>
      <c r="T366" s="21">
        <f>S366*$S$2</f>
        <v>265407.95286999206</v>
      </c>
      <c r="U366" s="3">
        <v>0</v>
      </c>
      <c r="V366" s="20">
        <f>T366+U366*$V$38</f>
        <v>265407.95286999206</v>
      </c>
      <c r="W366" s="184">
        <f>X361</f>
        <v>265407.95287001372</v>
      </c>
      <c r="X366" s="340">
        <f>W366-V366</f>
        <v>2.1653249859809875E-8</v>
      </c>
      <c r="Y366" s="339"/>
      <c r="Z366" s="338"/>
      <c r="AA366" s="78"/>
      <c r="AB366">
        <f>V366*8/1000000</f>
        <v>2.1232636229599366</v>
      </c>
      <c r="AC366" s="130">
        <f>AK366+AC361</f>
        <v>91.781989151168375</v>
      </c>
      <c r="AH366" s="287"/>
      <c r="AJ366" s="41">
        <f>X366*8/1000000</f>
        <v>1.73225998878479E-13</v>
      </c>
      <c r="AK366" s="41">
        <f>V366*8/1000000</f>
        <v>2.1232636229599366</v>
      </c>
      <c r="AL366" s="303"/>
      <c r="AM366" s="303"/>
      <c r="AN366" s="303"/>
      <c r="AO366" s="303"/>
      <c r="AP366" s="303"/>
      <c r="AQ366" s="304"/>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40">
        <f>W367-V367</f>
        <v>2.3748725652694702E-8</v>
      </c>
      <c r="Y367" s="339"/>
      <c r="Z367" s="338"/>
      <c r="AA367" s="78">
        <f>AR367</f>
        <v>16.904185200000001</v>
      </c>
      <c r="AC367" s="130">
        <f>AK367+AC348</f>
        <v>102.40014248654546</v>
      </c>
      <c r="AH367" s="287" t="str">
        <f>AL367</f>
        <v>TRK_216_2</v>
      </c>
      <c r="AI367" t="s">
        <v>1121</v>
      </c>
      <c r="AJ367" s="41">
        <f>X367*8/1000000</f>
        <v>1.8998980522155762E-13</v>
      </c>
      <c r="AK367" s="41">
        <f>V367*8/1000000</f>
        <v>16.904185199999809</v>
      </c>
      <c r="AL367" s="303" t="s">
        <v>1092</v>
      </c>
      <c r="AM367" s="303" t="s">
        <v>1093</v>
      </c>
      <c r="AN367" s="303">
        <v>0.265287</v>
      </c>
      <c r="AO367" s="303">
        <v>2.399654</v>
      </c>
      <c r="AP367" s="303">
        <v>2.1343670000000001</v>
      </c>
      <c r="AQ367" s="304">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40">
        <f>W368-V368</f>
        <v>2.7706846594810486E-8</v>
      </c>
      <c r="Y368" s="339"/>
      <c r="Z368" s="338"/>
      <c r="AA368" s="78">
        <f>AR368</f>
        <v>2.6176166999999997</v>
      </c>
      <c r="AC368" s="130">
        <f>AK368+AC367</f>
        <v>105.01775918654523</v>
      </c>
      <c r="AH368" s="287"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95">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40">
        <f>W369-V369</f>
        <v>1.9557774066925049E-8</v>
      </c>
      <c r="Y369" s="339"/>
      <c r="Z369" s="338"/>
      <c r="AA369" s="78">
        <f>AR369</f>
        <v>8.8730405999999995</v>
      </c>
      <c r="AC369" s="130">
        <f>AK369+AC368</f>
        <v>113.89079978654507</v>
      </c>
      <c r="AH369" s="287"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95">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40">
        <f>W370-V370</f>
        <v>0</v>
      </c>
      <c r="Y370" s="339"/>
      <c r="Z370" s="338"/>
      <c r="AA370" s="78">
        <f>AR370</f>
        <v>9.1141325999999996</v>
      </c>
      <c r="AC370" s="130">
        <f>AK370+AC369</f>
        <v>123.00493238654508</v>
      </c>
      <c r="AH370" s="287" t="str">
        <f>AL370</f>
        <v>TRK_218_2</v>
      </c>
      <c r="AI370" t="s">
        <v>1124</v>
      </c>
      <c r="AJ370" s="41">
        <f>X370*8/1000000</f>
        <v>0</v>
      </c>
      <c r="AK370" s="41">
        <f>V370*8/1000000</f>
        <v>9.1141326000000031</v>
      </c>
      <c r="AL370" t="s">
        <v>1098</v>
      </c>
      <c r="AM370" t="s">
        <v>1099</v>
      </c>
      <c r="AN370">
        <v>0.186725</v>
      </c>
      <c r="AO370">
        <v>1.337499</v>
      </c>
      <c r="AP370">
        <v>1.150774</v>
      </c>
      <c r="AQ370" s="295">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85" t="s">
        <v>1149</v>
      </c>
      <c r="Q371" s="309" t="s">
        <v>1150</v>
      </c>
      <c r="R371" s="309">
        <v>646883515</v>
      </c>
      <c r="S371" s="285">
        <v>0</v>
      </c>
      <c r="T371" s="285" t="s">
        <v>409</v>
      </c>
      <c r="U371" s="285" t="s">
        <v>1151</v>
      </c>
      <c r="V371" s="285" t="s">
        <v>573</v>
      </c>
      <c r="W371" s="285"/>
      <c r="X371" s="285" t="s">
        <v>1139</v>
      </c>
    </row>
    <row r="372" spans="3:45" ht="13.5" customHeight="1">
      <c r="J372" s="3"/>
      <c r="K372" s="3"/>
      <c r="P372" s="285" t="s">
        <v>1136</v>
      </c>
      <c r="Q372" s="309" t="s">
        <v>1137</v>
      </c>
      <c r="R372" s="309">
        <v>646884115</v>
      </c>
      <c r="S372" s="285">
        <v>0</v>
      </c>
      <c r="T372" s="285" t="s">
        <v>409</v>
      </c>
      <c r="U372" s="285" t="s">
        <v>1138</v>
      </c>
      <c r="V372" s="309" t="s">
        <v>802</v>
      </c>
      <c r="W372" s="285"/>
      <c r="X372" s="285" t="s">
        <v>1139</v>
      </c>
    </row>
    <row r="373" spans="3:45" ht="13.5" customHeight="1">
      <c r="H373" t="s">
        <v>53</v>
      </c>
      <c r="J373" s="3"/>
      <c r="K373" s="3"/>
      <c r="P373" s="285" t="s">
        <v>1140</v>
      </c>
      <c r="Q373" s="285" t="s">
        <v>1141</v>
      </c>
      <c r="R373" s="285">
        <v>646884118</v>
      </c>
      <c r="S373" s="285">
        <v>0</v>
      </c>
      <c r="T373" s="285" t="s">
        <v>409</v>
      </c>
      <c r="U373" s="285" t="s">
        <v>1138</v>
      </c>
      <c r="V373" s="309" t="s">
        <v>808</v>
      </c>
      <c r="W373" s="285"/>
      <c r="X373" s="285" t="s">
        <v>1139</v>
      </c>
    </row>
    <row r="374" spans="3:45" ht="13.5" customHeight="1">
      <c r="J374" s="3"/>
      <c r="K374" s="3"/>
      <c r="L374" s="3"/>
      <c r="M374" s="3"/>
      <c r="N374" s="3"/>
      <c r="O374" s="3"/>
      <c r="P374" s="285" t="s">
        <v>1142</v>
      </c>
      <c r="Q374" s="285" t="s">
        <v>1143</v>
      </c>
      <c r="R374" s="285">
        <v>646884121</v>
      </c>
      <c r="S374" s="285">
        <v>0</v>
      </c>
      <c r="T374" s="285" t="s">
        <v>409</v>
      </c>
      <c r="U374" s="285" t="s">
        <v>1138</v>
      </c>
      <c r="V374" s="309" t="s">
        <v>445</v>
      </c>
      <c r="W374" s="285"/>
      <c r="X374" s="285" t="s">
        <v>1139</v>
      </c>
    </row>
    <row r="375" spans="3:45" ht="13.5" customHeight="1">
      <c r="J375" s="3"/>
      <c r="K375" s="3"/>
      <c r="L375" s="3"/>
      <c r="M375" s="3"/>
      <c r="N375" s="3"/>
      <c r="O375" s="3"/>
      <c r="P375" s="285" t="s">
        <v>1144</v>
      </c>
      <c r="Q375" s="285" t="s">
        <v>1145</v>
      </c>
      <c r="R375" s="285">
        <v>646884124</v>
      </c>
      <c r="S375" s="285">
        <v>0</v>
      </c>
      <c r="T375" s="285" t="s">
        <v>409</v>
      </c>
      <c r="U375" s="285" t="s">
        <v>1138</v>
      </c>
      <c r="V375" s="309" t="s">
        <v>449</v>
      </c>
      <c r="W375" s="285"/>
      <c r="X375" s="285"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85" t="s">
        <v>1146</v>
      </c>
      <c r="Q376" s="285" t="s">
        <v>1147</v>
      </c>
      <c r="R376" s="285">
        <v>646884715</v>
      </c>
      <c r="S376" s="285">
        <v>0</v>
      </c>
      <c r="T376" s="285" t="s">
        <v>409</v>
      </c>
      <c r="U376" s="285" t="s">
        <v>1148</v>
      </c>
      <c r="V376" s="285" t="s">
        <v>411</v>
      </c>
      <c r="W376" s="285"/>
      <c r="X376" s="285" t="s">
        <v>1139</v>
      </c>
    </row>
    <row r="377" spans="3:45" ht="13.5" customHeight="1">
      <c r="J377" s="3"/>
      <c r="K377" s="3"/>
      <c r="L377" s="3" t="s">
        <v>1265</v>
      </c>
      <c r="M377" s="205" t="str" cm="1">
        <f t="array" aca="1" ref="M377" ca="1">MID(met2utc(R378),3,12)</f>
        <v>26-208/16:54</v>
      </c>
      <c r="N377" s="3"/>
      <c r="O377" s="3"/>
      <c r="P377" s="285" t="s">
        <v>1152</v>
      </c>
      <c r="Q377" s="285" t="s">
        <v>1153</v>
      </c>
      <c r="R377" s="285">
        <v>646885315</v>
      </c>
      <c r="S377" s="285">
        <v>0</v>
      </c>
      <c r="T377" s="285" t="s">
        <v>409</v>
      </c>
      <c r="U377" s="285" t="s">
        <v>1154</v>
      </c>
      <c r="V377" s="285" t="s">
        <v>1155</v>
      </c>
      <c r="W377" s="285"/>
      <c r="X377" s="285"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40">
        <f>W378-V378</f>
        <v>2.123415470123291E-7</v>
      </c>
      <c r="Y378" s="339"/>
      <c r="Z378" s="338"/>
      <c r="AA378" s="78">
        <f>AQ378</f>
        <v>23.440767000000001</v>
      </c>
      <c r="AC378" s="119">
        <f>AK378</f>
        <v>23.440766999998303</v>
      </c>
      <c r="AH378" s="287" t="str">
        <f>AL378</f>
        <v>TRK_218_3</v>
      </c>
      <c r="AI378" t="s">
        <v>1125</v>
      </c>
      <c r="AJ378" s="41">
        <f>X378*8/1000000</f>
        <v>1.6987323760986329E-12</v>
      </c>
      <c r="AK378" s="41">
        <f>V378*8/1000000</f>
        <v>23.440766999998303</v>
      </c>
      <c r="AL378" s="310" t="s">
        <v>1100</v>
      </c>
      <c r="AM378" s="310" t="s">
        <v>1101</v>
      </c>
      <c r="AN378" s="310">
        <v>0.19877600000000001</v>
      </c>
      <c r="AO378" s="310">
        <v>2.8624990000000001</v>
      </c>
      <c r="AP378" s="310">
        <v>2.6637230000000001</v>
      </c>
      <c r="AQ378" s="311">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40">
        <f>W379-V379</f>
        <v>-8.8708475232124329E-8</v>
      </c>
      <c r="Y379" s="339"/>
      <c r="Z379" s="338"/>
      <c r="AA379" s="78">
        <f>AQ379</f>
        <v>10.758489000000001</v>
      </c>
      <c r="AC379" s="119">
        <f>AC378+AK379</f>
        <v>34.199255999999011</v>
      </c>
      <c r="AH379" s="287" t="str">
        <f>AL379</f>
        <v>TRK_219_1</v>
      </c>
      <c r="AI379" t="s">
        <v>1126</v>
      </c>
      <c r="AJ379" s="41">
        <f>X379*8/1000000</f>
        <v>-7.0966780185699461E-13</v>
      </c>
      <c r="AK379" s="41">
        <f>V379*8/1000000</f>
        <v>10.75848900000071</v>
      </c>
      <c r="AL379" s="310" t="s">
        <v>42</v>
      </c>
      <c r="AM379" s="310" t="s">
        <v>1102</v>
      </c>
      <c r="AN379" s="310">
        <v>0.35693000000000003</v>
      </c>
      <c r="AO379" s="310">
        <v>1.5794859999999999</v>
      </c>
      <c r="AP379" s="310">
        <v>1.222556</v>
      </c>
      <c r="AQ379" s="311">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40">
        <f>W380-V380</f>
        <v>-8.6612999439239502E-8</v>
      </c>
      <c r="Y380" s="339"/>
      <c r="Z380" s="338"/>
      <c r="AA380" s="78">
        <f>AQ380</f>
        <v>26.977333999999999</v>
      </c>
      <c r="AC380" s="119">
        <f>AC379+AK380</f>
        <v>61.176589999999706</v>
      </c>
      <c r="AH380" s="287" t="str">
        <f>AL380</f>
        <v>TRK_220_1</v>
      </c>
      <c r="AI380" t="s">
        <v>1127</v>
      </c>
      <c r="AJ380" s="41">
        <f>X380*8/1000000</f>
        <v>-6.92903995513916E-13</v>
      </c>
      <c r="AK380" s="41">
        <f>V380*8/1000000</f>
        <v>26.977334000000692</v>
      </c>
      <c r="AL380" s="310" t="s">
        <v>1103</v>
      </c>
      <c r="AM380" s="310" t="s">
        <v>1104</v>
      </c>
      <c r="AN380" s="310">
        <v>0.22890099999999999</v>
      </c>
      <c r="AO380" s="310">
        <v>3.2945069999999999</v>
      </c>
      <c r="AP380" s="310">
        <v>3.0656059999999998</v>
      </c>
      <c r="AQ380" s="311">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40">
        <f>W381-V381</f>
        <v>1.9790604710578918E-9</v>
      </c>
      <c r="Y381" s="339"/>
      <c r="Z381" s="338"/>
      <c r="AA381" s="78">
        <f>AR381</f>
        <v>7.4125403999999993</v>
      </c>
      <c r="AC381" s="130">
        <f>AK381+AC370</f>
        <v>130.41747278654506</v>
      </c>
      <c r="AH381" s="287"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95">
        <v>8.2361559999999994</v>
      </c>
      <c r="AR381">
        <f>AQ381*0.9</f>
        <v>7.4125403999999993</v>
      </c>
      <c r="AS381">
        <f>AS380+AR381</f>
        <v>252.27041220000004</v>
      </c>
    </row>
    <row r="382" spans="3:45" ht="13.5" customHeight="1">
      <c r="J382" s="3" t="s">
        <v>228</v>
      </c>
      <c r="K382" s="3" t="s">
        <v>825</v>
      </c>
      <c r="L382" s="48" t="str">
        <f>M381</f>
        <v>25-342/17:45</v>
      </c>
      <c r="M382" s="48" t="s">
        <v>1244</v>
      </c>
      <c r="N382" t="s">
        <v>5623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40">
        <f>W382-V382</f>
        <v>-2.5611370801925659E-8</v>
      </c>
      <c r="Y382" s="339"/>
      <c r="Z382" s="338"/>
      <c r="AA382" s="78">
        <f>AR382</f>
        <v>11.412846</v>
      </c>
      <c r="AC382" s="130">
        <f>AK382+AC381</f>
        <v>141.83031878654526</v>
      </c>
      <c r="AD382" s="100"/>
      <c r="AH382" s="287" t="str">
        <f>AL382</f>
        <v>TRK_221_2</v>
      </c>
      <c r="AI382" t="s">
        <v>1129</v>
      </c>
      <c r="AJ382" s="41">
        <f>X382*8/1000000</f>
        <v>-2.0489096641540528E-13</v>
      </c>
      <c r="AK382" s="41">
        <f>V382*8/1000000</f>
        <v>11.412846000000204</v>
      </c>
      <c r="AL382" t="s">
        <v>1107</v>
      </c>
      <c r="AM382" t="s">
        <v>1108</v>
      </c>
      <c r="AN382">
        <v>0.179698</v>
      </c>
      <c r="AO382">
        <v>1.620714</v>
      </c>
      <c r="AP382">
        <v>1.4410160000000001</v>
      </c>
      <c r="AQ382" s="295">
        <v>12.68094</v>
      </c>
      <c r="AR382">
        <f>AQ382*0.9</f>
        <v>11.412846</v>
      </c>
      <c r="AS382" s="312">
        <f>AS381+AR382</f>
        <v>263.68325820000001</v>
      </c>
    </row>
    <row r="383" spans="3:45" ht="13.5" customHeight="1">
      <c r="M383" s="206" t="str" cm="1">
        <f t="array" aca="1" ref="M383" ca="1">MID(met2utc(R382),3,12)</f>
        <v>26-021/09:25</v>
      </c>
      <c r="AK383" s="41"/>
      <c r="AQ383" s="295">
        <f>SUM(AQ312:AQ382)</f>
        <v>292.98139800000007</v>
      </c>
      <c r="AR383" s="312">
        <f>SUM(AR312:AR382)</f>
        <v>263.68325820000001</v>
      </c>
      <c r="AS383">
        <f>AR383-AS382</f>
        <v>0</v>
      </c>
    </row>
    <row r="385" spans="10:30" ht="13.5" customHeight="1">
      <c r="J385" t="s">
        <v>228</v>
      </c>
      <c r="K385" t="s">
        <v>825</v>
      </c>
      <c r="L385" s="48" t="str">
        <f>M382</f>
        <v>26-021/09:25</v>
      </c>
      <c r="M385" s="48" t="s">
        <v>1255</v>
      </c>
      <c r="N385" t="s">
        <v>5623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40">
        <f>W385-V385</f>
        <v>-1.5599653124809265E-8</v>
      </c>
      <c r="Y385" s="339"/>
      <c r="Z385" s="338"/>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16"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5564</v>
      </c>
      <c r="AD401" t="s">
        <v>5455</v>
      </c>
      <c r="AE401" t="s">
        <v>5454</v>
      </c>
      <c r="AF401" t="s">
        <v>5453</v>
      </c>
      <c r="AG401" t="s">
        <v>5452</v>
      </c>
      <c r="AJ401" s="3"/>
      <c r="AK401" s="3"/>
    </row>
    <row r="402" spans="3:40" ht="13.5" customHeight="1">
      <c r="O402" t="s">
        <v>5697</v>
      </c>
      <c r="P402" s="285" t="s">
        <v>5696</v>
      </c>
      <c r="Q402" s="285" t="s">
        <v>5695</v>
      </c>
      <c r="R402" s="374">
        <v>616843136</v>
      </c>
      <c r="S402" s="285">
        <v>7</v>
      </c>
      <c r="T402" s="285" t="s">
        <v>27</v>
      </c>
      <c r="U402" s="285" t="s">
        <v>1032</v>
      </c>
      <c r="V402" s="285" t="s">
        <v>151</v>
      </c>
      <c r="W402" s="285" t="s">
        <v>152</v>
      </c>
      <c r="X402" s="285" t="s">
        <v>5669</v>
      </c>
      <c r="Y402" s="371"/>
      <c r="Z402" s="371"/>
      <c r="AA402" s="371"/>
      <c r="AJ402" s="3"/>
      <c r="AK402" s="3"/>
    </row>
    <row r="403" spans="3:40" ht="13.5" customHeight="1">
      <c r="O403" t="s">
        <v>5694</v>
      </c>
      <c r="P403" s="285" t="s">
        <v>5693</v>
      </c>
      <c r="Q403" s="285" t="s">
        <v>5692</v>
      </c>
      <c r="R403" s="373">
        <v>616844816</v>
      </c>
      <c r="S403" s="285">
        <v>0</v>
      </c>
      <c r="T403" s="285" t="s">
        <v>409</v>
      </c>
      <c r="U403" s="285" t="s">
        <v>367</v>
      </c>
      <c r="V403" s="285" t="s">
        <v>802</v>
      </c>
      <c r="W403" s="285"/>
      <c r="X403" s="285" t="s">
        <v>5669</v>
      </c>
      <c r="Y403" s="371"/>
      <c r="Z403" s="371"/>
      <c r="AA403" s="371"/>
      <c r="AJ403" s="3"/>
      <c r="AK403" s="3"/>
    </row>
    <row r="404" spans="3:40" ht="13.5" customHeight="1">
      <c r="O404" t="s">
        <v>5691</v>
      </c>
      <c r="P404" s="285" t="s">
        <v>5690</v>
      </c>
      <c r="Q404" s="285" t="s">
        <v>5689</v>
      </c>
      <c r="R404" s="285">
        <v>616844819</v>
      </c>
      <c r="S404" s="285">
        <v>0</v>
      </c>
      <c r="T404" s="285" t="s">
        <v>409</v>
      </c>
      <c r="U404" s="285" t="s">
        <v>367</v>
      </c>
      <c r="V404" s="285" t="s">
        <v>808</v>
      </c>
      <c r="W404" s="285"/>
      <c r="X404" s="372" t="s">
        <v>5669</v>
      </c>
      <c r="Y404" s="371"/>
      <c r="Z404" s="371"/>
      <c r="AA404" s="371"/>
      <c r="AJ404" s="3"/>
      <c r="AK404" s="3"/>
    </row>
    <row r="405" spans="3:40" ht="13.5" customHeight="1">
      <c r="O405" t="s">
        <v>5688</v>
      </c>
      <c r="P405" s="285" t="s">
        <v>5687</v>
      </c>
      <c r="Q405" s="285" t="s">
        <v>5686</v>
      </c>
      <c r="R405" s="285">
        <v>616844822</v>
      </c>
      <c r="S405" s="285">
        <v>0</v>
      </c>
      <c r="T405" s="285" t="s">
        <v>409</v>
      </c>
      <c r="U405" s="285" t="s">
        <v>367</v>
      </c>
      <c r="V405" s="285" t="s">
        <v>813</v>
      </c>
      <c r="W405" s="285"/>
      <c r="X405" s="285" t="s">
        <v>5669</v>
      </c>
      <c r="Y405" s="371"/>
      <c r="Z405" s="371"/>
      <c r="AA405" s="371"/>
      <c r="AJ405" s="3"/>
      <c r="AK405" s="3"/>
    </row>
    <row r="406" spans="3:40" ht="13.5" customHeight="1">
      <c r="O406" t="s">
        <v>5685</v>
      </c>
      <c r="P406" s="285" t="s">
        <v>5684</v>
      </c>
      <c r="Q406" s="285" t="s">
        <v>5683</v>
      </c>
      <c r="R406" s="285">
        <v>616844825</v>
      </c>
      <c r="S406" s="285">
        <v>0</v>
      </c>
      <c r="T406" s="285" t="s">
        <v>409</v>
      </c>
      <c r="U406" s="285" t="s">
        <v>367</v>
      </c>
      <c r="V406" s="285" t="s">
        <v>449</v>
      </c>
      <c r="W406" s="285"/>
      <c r="X406" s="285" t="s">
        <v>5669</v>
      </c>
      <c r="Y406" s="371"/>
      <c r="Z406" s="371"/>
      <c r="AA406" s="371"/>
      <c r="AJ406" s="3"/>
      <c r="AK406" s="3"/>
    </row>
    <row r="407" spans="3:40" ht="13.5" customHeight="1">
      <c r="O407" t="s">
        <v>5682</v>
      </c>
      <c r="P407" s="285" t="s">
        <v>5681</v>
      </c>
      <c r="Q407" s="285" t="s">
        <v>5680</v>
      </c>
      <c r="R407" s="285">
        <v>616844876</v>
      </c>
      <c r="S407" s="285">
        <v>0</v>
      </c>
      <c r="T407" s="285" t="s">
        <v>409</v>
      </c>
      <c r="U407" s="285" t="s">
        <v>367</v>
      </c>
      <c r="V407" s="285" t="s">
        <v>940</v>
      </c>
      <c r="W407" s="285"/>
      <c r="X407" s="285" t="s">
        <v>5669</v>
      </c>
      <c r="Y407" s="371"/>
      <c r="Z407" s="371"/>
      <c r="AA407" s="371"/>
      <c r="AB407" t="s">
        <v>5679</v>
      </c>
      <c r="AJ407" s="3"/>
      <c r="AK407" s="3"/>
    </row>
    <row r="408" spans="3:40" ht="13.5" customHeight="1">
      <c r="O408" t="s">
        <v>5678</v>
      </c>
      <c r="P408" s="285" t="s">
        <v>5677</v>
      </c>
      <c r="Q408" s="285" t="s">
        <v>5676</v>
      </c>
      <c r="R408" s="285">
        <v>616845476</v>
      </c>
      <c r="S408" s="285">
        <v>0</v>
      </c>
      <c r="T408" s="285" t="s">
        <v>409</v>
      </c>
      <c r="U408" s="285" t="s">
        <v>5675</v>
      </c>
      <c r="V408" s="285" t="s">
        <v>818</v>
      </c>
      <c r="W408" s="285"/>
      <c r="X408" s="285" t="s">
        <v>5669</v>
      </c>
      <c r="Y408" s="371"/>
      <c r="Z408" s="371"/>
      <c r="AA408" s="371"/>
      <c r="AB408" t="s">
        <v>5674</v>
      </c>
      <c r="AJ408" s="3"/>
      <c r="AK408" s="3"/>
    </row>
    <row r="409" spans="3:40" ht="13.5" customHeight="1">
      <c r="O409" t="s">
        <v>5673</v>
      </c>
      <c r="P409" s="285" t="s">
        <v>5672</v>
      </c>
      <c r="Q409" s="285" t="s">
        <v>5671</v>
      </c>
      <c r="R409" s="285">
        <v>616846076</v>
      </c>
      <c r="S409" s="285">
        <v>0</v>
      </c>
      <c r="T409" s="285" t="s">
        <v>409</v>
      </c>
      <c r="U409" s="285" t="s">
        <v>5670</v>
      </c>
      <c r="V409" s="285" t="s">
        <v>965</v>
      </c>
      <c r="W409" s="285"/>
      <c r="X409" s="285" t="s">
        <v>5669</v>
      </c>
      <c r="Y409" s="371"/>
      <c r="Z409" s="371"/>
      <c r="AA409" s="371"/>
      <c r="AJ409" s="3"/>
      <c r="AK409" s="3"/>
    </row>
    <row r="410" spans="3:40" ht="13.5" customHeight="1">
      <c r="AJ410" s="3"/>
      <c r="AK410" s="3"/>
    </row>
    <row r="411" spans="3:40" ht="15">
      <c r="L411" t="s">
        <v>5668</v>
      </c>
      <c r="M411" t="s">
        <v>5667</v>
      </c>
      <c r="T411" s="370" t="s">
        <v>5666</v>
      </c>
      <c r="U411" s="3"/>
      <c r="V411" s="370" t="s">
        <v>5666</v>
      </c>
      <c r="W411" t="s">
        <v>5665</v>
      </c>
      <c r="X411" s="369" t="s">
        <v>1015</v>
      </c>
      <c r="AH411" t="s">
        <v>5664</v>
      </c>
      <c r="AI411" t="s">
        <v>5663</v>
      </c>
      <c r="AJ411" t="s">
        <v>5662</v>
      </c>
      <c r="AK411" t="s">
        <v>742</v>
      </c>
      <c r="AL411" t="s">
        <v>743</v>
      </c>
      <c r="AM411" t="s">
        <v>745</v>
      </c>
      <c r="AN411" s="336" t="s">
        <v>5661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5660</v>
      </c>
      <c r="O412" s="334" t="str">
        <f>AG412</f>
        <v>222/21:49</v>
      </c>
      <c r="P412" s="32" t="str">
        <f>MID(AH412,5,5)</f>
        <v>222_2</v>
      </c>
      <c r="Q412" s="349">
        <f>R402-5</f>
        <v>616843131</v>
      </c>
      <c r="R412" s="349">
        <f>R403</f>
        <v>616844816</v>
      </c>
      <c r="S412" s="21">
        <f>R412-Q412</f>
        <v>1685</v>
      </c>
      <c r="T412" s="21">
        <f>$V$38</f>
        <v>197375</v>
      </c>
      <c r="U412" s="3">
        <v>1</v>
      </c>
      <c r="V412" s="20">
        <f>T412</f>
        <v>197375</v>
      </c>
      <c r="W412" s="20">
        <f>AA412*1000000/8</f>
        <v>1540429.8</v>
      </c>
      <c r="X412" s="196">
        <f>W412-V412</f>
        <v>1343054.8</v>
      </c>
      <c r="Y412" s="339"/>
      <c r="Z412" s="338"/>
      <c r="AA412" s="78">
        <f>AN412</f>
        <v>12.323438400000001</v>
      </c>
      <c r="AC412" s="119">
        <f>AE412</f>
        <v>1.579</v>
      </c>
      <c r="AD412" s="3">
        <f t="shared" ref="AD412:AD441" si="121">X412*8/1000000</f>
        <v>10.7444384</v>
      </c>
      <c r="AE412" s="3">
        <f t="shared" ref="AE412:AE442" si="122">V412*8/1000000</f>
        <v>1.579</v>
      </c>
      <c r="AF412" s="337" t="str">
        <f>AH412</f>
        <v>TRK_222_2</v>
      </c>
      <c r="AG412" s="287" t="s">
        <v>5659</v>
      </c>
      <c r="AH412" t="s">
        <v>5658</v>
      </c>
      <c r="AI412" t="s">
        <v>5657</v>
      </c>
      <c r="AJ412">
        <v>0.79937899999999995</v>
      </c>
      <c r="AK412">
        <v>2.2664550000000001</v>
      </c>
      <c r="AL412">
        <v>1.467076</v>
      </c>
      <c r="AM412">
        <v>12.910265000000001</v>
      </c>
      <c r="AN412" s="336">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5583</v>
      </c>
      <c r="P413" s="32" t="s">
        <v>5656</v>
      </c>
      <c r="Q413" s="349">
        <f>R412-1</f>
        <v>616844815</v>
      </c>
      <c r="R413" s="21">
        <f>W413/$V$31+Q413</f>
        <v>617039347.06783485</v>
      </c>
      <c r="S413" s="21">
        <f>R413-Q413</f>
        <v>194532.06783485413</v>
      </c>
      <c r="T413" s="21">
        <f>S413*$V$31</f>
        <v>1343054.8000003838</v>
      </c>
      <c r="U413" s="3">
        <v>0</v>
      </c>
      <c r="V413" s="20">
        <f>T413</f>
        <v>1343054.8000003838</v>
      </c>
      <c r="W413" s="184">
        <f>X412</f>
        <v>1343054.8</v>
      </c>
      <c r="X413" s="340">
        <f>W413-V413</f>
        <v>-3.8370490074157715E-7</v>
      </c>
      <c r="Y413" s="339"/>
      <c r="Z413" s="338"/>
      <c r="AA413" s="78"/>
      <c r="AC413" s="119">
        <f>AE413+AC412</f>
        <v>12.32343840000307</v>
      </c>
      <c r="AD413" s="3">
        <f t="shared" si="121"/>
        <v>-3.0696392059326171E-12</v>
      </c>
      <c r="AE413" s="3">
        <f t="shared" si="122"/>
        <v>10.744438400003069</v>
      </c>
      <c r="AF413" s="337"/>
      <c r="AG413" s="287"/>
      <c r="AN413" s="336"/>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5583</v>
      </c>
      <c r="O414" s="334"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40">
        <f>W414-V414</f>
        <v>-2.6816269382834435E-7</v>
      </c>
      <c r="Y414" s="339"/>
      <c r="Z414" s="338"/>
      <c r="AA414" s="78">
        <f t="shared" ref="AA414:AA441" si="123">AN414</f>
        <v>0.77729400000000004</v>
      </c>
      <c r="AC414" s="119">
        <f>AE414+AC413</f>
        <v>13.100732400005215</v>
      </c>
      <c r="AD414" s="3">
        <f t="shared" si="121"/>
        <v>-2.1453015506267548E-12</v>
      </c>
      <c r="AE414" s="3">
        <f t="shared" si="122"/>
        <v>0.77729400000214532</v>
      </c>
      <c r="AF414" s="337" t="str">
        <f t="shared" ref="AF414:AF441" si="124">AH414</f>
        <v>TRK_225_1</v>
      </c>
      <c r="AG414" s="287" t="s">
        <v>5655</v>
      </c>
      <c r="AH414" t="s">
        <v>5654</v>
      </c>
      <c r="AI414" t="s">
        <v>5653</v>
      </c>
      <c r="AJ414">
        <v>1.2552970000000001</v>
      </c>
      <c r="AK414">
        <v>1.3478319999999999</v>
      </c>
      <c r="AL414">
        <v>9.2535000000000006E-2</v>
      </c>
      <c r="AM414">
        <v>0.81430400000000003</v>
      </c>
      <c r="AN414" s="336">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5583</v>
      </c>
      <c r="O415" s="334" t="str">
        <f>AG415</f>
        <v>225/11:18</v>
      </c>
      <c r="P415" s="32" t="str">
        <f>MID(AH415,5,5)</f>
        <v>225_2</v>
      </c>
      <c r="Q415" s="21">
        <f>R414-1</f>
        <v>617053418.26584733</v>
      </c>
      <c r="R415" s="21">
        <f>W415/$V$31+Q415</f>
        <v>617207598.67824745</v>
      </c>
      <c r="S415" s="21">
        <f>R415-Q415</f>
        <v>154180.41240012646</v>
      </c>
      <c r="T415" s="21">
        <f>S415*$V$31</f>
        <v>1064465.8499997063</v>
      </c>
      <c r="U415" s="368">
        <v>0</v>
      </c>
      <c r="V415" s="367">
        <f>T415</f>
        <v>1064465.8499997063</v>
      </c>
      <c r="W415" s="20">
        <f>AA415*1000000/8</f>
        <v>1064465.8499999999</v>
      </c>
      <c r="X415" s="340">
        <f>W415-V415</f>
        <v>2.935994416475296E-7</v>
      </c>
      <c r="Y415" s="339"/>
      <c r="Z415" s="338" t="s">
        <v>5652</v>
      </c>
      <c r="AA415" s="78">
        <f t="shared" si="123"/>
        <v>8.5157267999999995</v>
      </c>
      <c r="AB415">
        <f>136.337</f>
        <v>136.33699999999999</v>
      </c>
      <c r="AC415" s="119">
        <f>AE415+AC414</f>
        <v>21.616459200002865</v>
      </c>
      <c r="AD415" s="3">
        <f t="shared" si="121"/>
        <v>2.3487955331802368E-12</v>
      </c>
      <c r="AE415" s="3">
        <f t="shared" si="122"/>
        <v>8.5157267999976494</v>
      </c>
      <c r="AF415" s="337" t="str">
        <f t="shared" si="124"/>
        <v>TRK_225_2</v>
      </c>
      <c r="AG415" s="287" t="s">
        <v>5651</v>
      </c>
      <c r="AH415" t="s">
        <v>5650</v>
      </c>
      <c r="AI415" t="s">
        <v>5649</v>
      </c>
      <c r="AJ415">
        <v>0.195578</v>
      </c>
      <c r="AK415">
        <v>1.209355</v>
      </c>
      <c r="AL415">
        <v>1.0137769999999999</v>
      </c>
      <c r="AM415">
        <v>8.9212340000000001</v>
      </c>
      <c r="AN415" s="336">
        <f t="shared" si="125"/>
        <v>8.5157267999999995</v>
      </c>
    </row>
    <row r="416" spans="3:40" ht="13.5" customHeight="1">
      <c r="C416" s="3">
        <v>104</v>
      </c>
      <c r="D416" s="3">
        <v>105</v>
      </c>
      <c r="E416" t="s">
        <v>51</v>
      </c>
      <c r="F416" t="s">
        <v>49</v>
      </c>
      <c r="G416" t="s">
        <v>50</v>
      </c>
      <c r="H416" t="s">
        <v>53</v>
      </c>
      <c r="I416" t="s">
        <v>54</v>
      </c>
      <c r="L416" s="362"/>
      <c r="M416" s="362"/>
      <c r="N416" t="s">
        <v>5642</v>
      </c>
      <c r="O416" s="334"/>
      <c r="P416" s="32"/>
      <c r="Q416" s="191"/>
      <c r="R416" s="191"/>
      <c r="S416" s="191"/>
      <c r="T416" s="191"/>
      <c r="U416" s="345"/>
      <c r="V416" s="344"/>
      <c r="W416" s="344"/>
      <c r="X416" s="366"/>
      <c r="Y416" s="339">
        <f>W416*8/1000000</f>
        <v>0</v>
      </c>
      <c r="Z416" s="365">
        <f>AA416</f>
        <v>17.080744799999998</v>
      </c>
      <c r="AA416" s="78">
        <f t="shared" si="123"/>
        <v>17.080744799999998</v>
      </c>
      <c r="AB416">
        <f>AB415/194</f>
        <v>0.70276804123711334</v>
      </c>
      <c r="AC416" s="358">
        <f>AA416</f>
        <v>17.080744799999998</v>
      </c>
      <c r="AD416" s="3">
        <f t="shared" si="121"/>
        <v>0</v>
      </c>
      <c r="AE416" s="3">
        <f t="shared" si="122"/>
        <v>0</v>
      </c>
      <c r="AF416" s="354" t="str">
        <f t="shared" si="124"/>
        <v>TRK_225_3</v>
      </c>
      <c r="AG416" s="287" t="s">
        <v>5648</v>
      </c>
      <c r="AH416" t="s">
        <v>5647</v>
      </c>
      <c r="AI416" t="s">
        <v>5646</v>
      </c>
      <c r="AJ416">
        <v>0.33697700000000003</v>
      </c>
      <c r="AK416">
        <v>2.3703989999999999</v>
      </c>
      <c r="AL416">
        <v>2.0334219999999998</v>
      </c>
      <c r="AM416">
        <v>17.894114999999999</v>
      </c>
      <c r="AN416" s="336">
        <f t="shared" si="125"/>
        <v>17.080744799999998</v>
      </c>
    </row>
    <row r="417" spans="3:41" ht="13.5" customHeight="1">
      <c r="C417" s="3">
        <v>104</v>
      </c>
      <c r="D417" s="3">
        <v>105</v>
      </c>
      <c r="E417" t="s">
        <v>51</v>
      </c>
      <c r="F417" t="s">
        <v>49</v>
      </c>
      <c r="G417" t="s">
        <v>50</v>
      </c>
      <c r="H417" t="s">
        <v>53</v>
      </c>
      <c r="I417" t="s">
        <v>54</v>
      </c>
      <c r="L417" s="362"/>
      <c r="M417" s="362"/>
      <c r="N417" t="s">
        <v>5642</v>
      </c>
      <c r="O417" s="334"/>
      <c r="P417" s="32"/>
      <c r="Q417" s="191"/>
      <c r="R417" s="191"/>
      <c r="S417" s="191"/>
      <c r="T417" s="191"/>
      <c r="U417" s="345"/>
      <c r="V417" s="344"/>
      <c r="W417" s="344"/>
      <c r="X417" s="364"/>
      <c r="Y417" s="339"/>
      <c r="Z417" s="363">
        <f>Z416+AA417</f>
        <v>27.389569199999997</v>
      </c>
      <c r="AA417" s="78">
        <f t="shared" si="123"/>
        <v>10.308824400000001</v>
      </c>
      <c r="AC417" s="358">
        <f>AC416+AA417</f>
        <v>27.389569199999997</v>
      </c>
      <c r="AD417" s="3">
        <f t="shared" si="121"/>
        <v>0</v>
      </c>
      <c r="AE417" s="3">
        <f t="shared" si="122"/>
        <v>0</v>
      </c>
      <c r="AF417" s="354" t="str">
        <f t="shared" si="124"/>
        <v>TRK_226_1</v>
      </c>
      <c r="AG417" s="287" t="s">
        <v>5645</v>
      </c>
      <c r="AH417" t="s">
        <v>5644</v>
      </c>
      <c r="AI417" t="s">
        <v>5643</v>
      </c>
      <c r="AJ417">
        <v>6.2488000000000002E-2</v>
      </c>
      <c r="AK417">
        <v>1.2897289999999999</v>
      </c>
      <c r="AL417">
        <v>1.227241</v>
      </c>
      <c r="AM417">
        <v>10.799721999999999</v>
      </c>
      <c r="AN417" s="336">
        <f t="shared" si="125"/>
        <v>10.308824400000001</v>
      </c>
    </row>
    <row r="418" spans="3:41" ht="13.5" customHeight="1">
      <c r="C418" s="3">
        <v>104</v>
      </c>
      <c r="D418" s="3">
        <v>105</v>
      </c>
      <c r="E418" t="s">
        <v>51</v>
      </c>
      <c r="F418" t="s">
        <v>49</v>
      </c>
      <c r="G418" t="s">
        <v>50</v>
      </c>
      <c r="H418" t="s">
        <v>53</v>
      </c>
      <c r="I418" t="s">
        <v>54</v>
      </c>
      <c r="L418" s="362"/>
      <c r="M418" s="362"/>
      <c r="N418" t="s">
        <v>5642</v>
      </c>
      <c r="O418" s="334"/>
      <c r="P418" s="32"/>
      <c r="Q418" s="191">
        <v>645951790</v>
      </c>
      <c r="R418" s="191">
        <v>645952407</v>
      </c>
      <c r="S418" s="191"/>
      <c r="T418" s="191">
        <v>4081250</v>
      </c>
      <c r="U418" s="345"/>
      <c r="V418" s="361">
        <f>T418</f>
        <v>4081250</v>
      </c>
      <c r="W418" s="361">
        <f>Z418*1000000/8</f>
        <v>4081486.4999999995</v>
      </c>
      <c r="X418" s="360">
        <f t="shared" ref="X418:X425" si="126">W418-V418</f>
        <v>236.49999999953434</v>
      </c>
      <c r="Y418" s="339">
        <f>W418*8/1000000</f>
        <v>32.651891999999997</v>
      </c>
      <c r="Z418" s="359">
        <f>Z417+AA418</f>
        <v>32.651891999999997</v>
      </c>
      <c r="AA418" s="78">
        <f t="shared" si="123"/>
        <v>5.2623228000000006</v>
      </c>
      <c r="AB418">
        <f>(Z418/194)*235</f>
        <v>39.55254958762886</v>
      </c>
      <c r="AC418" s="358">
        <f>AC417+AA418</f>
        <v>32.651891999999997</v>
      </c>
      <c r="AD418" s="3">
        <f t="shared" si="121"/>
        <v>1.8919999999962747E-3</v>
      </c>
      <c r="AE418" s="3">
        <f t="shared" si="122"/>
        <v>32.65</v>
      </c>
      <c r="AF418" s="354" t="str">
        <f t="shared" si="124"/>
        <v>TRK_227_1_</v>
      </c>
      <c r="AG418" s="287" t="s">
        <v>5641</v>
      </c>
      <c r="AH418" t="s">
        <v>5640</v>
      </c>
      <c r="AI418" t="s">
        <v>5639</v>
      </c>
      <c r="AJ418">
        <v>0.41222799999999998</v>
      </c>
      <c r="AK418">
        <v>1.0386949999999999</v>
      </c>
      <c r="AL418">
        <v>0.626467</v>
      </c>
      <c r="AM418">
        <v>5.5129089999999996</v>
      </c>
      <c r="AN418" s="336">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5583</v>
      </c>
      <c r="O419" s="334"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40">
        <f t="shared" si="126"/>
        <v>3.3667311072349548E-7</v>
      </c>
      <c r="Y419" s="339"/>
      <c r="Z419" s="338"/>
      <c r="AA419" s="78">
        <f t="shared" si="123"/>
        <v>12.573674400000002</v>
      </c>
      <c r="AB419">
        <f>Z418*0.687</f>
        <v>22.431849803999999</v>
      </c>
      <c r="AC419" s="119">
        <f>AE419+AC418</f>
        <v>45.225566399997305</v>
      </c>
      <c r="AD419" s="3">
        <f t="shared" si="121"/>
        <v>2.6933848857879639E-12</v>
      </c>
      <c r="AE419" s="3">
        <f t="shared" si="122"/>
        <v>12.573674399997309</v>
      </c>
      <c r="AF419" s="337" t="str">
        <f t="shared" si="124"/>
        <v>TRK_228_1</v>
      </c>
      <c r="AG419" s="287" t="s">
        <v>5638</v>
      </c>
      <c r="AH419" t="s">
        <v>5637</v>
      </c>
      <c r="AI419" t="s">
        <v>5636</v>
      </c>
      <c r="AJ419">
        <v>0.49110900000000002</v>
      </c>
      <c r="AK419">
        <v>1.987975</v>
      </c>
      <c r="AL419">
        <v>1.496866</v>
      </c>
      <c r="AM419">
        <v>13.172416999999999</v>
      </c>
      <c r="AN419" s="336">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5623</v>
      </c>
      <c r="O420" s="334"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40">
        <f t="shared" si="126"/>
        <v>-1.862645149230957E-9</v>
      </c>
      <c r="Y420" s="339"/>
      <c r="Z420" s="338"/>
      <c r="AA420" s="78">
        <f t="shared" si="123"/>
        <v>8.9086788000000006</v>
      </c>
      <c r="AC420" s="130">
        <f>AE420</f>
        <v>8.9086788000000148</v>
      </c>
      <c r="AD420" s="3">
        <f t="shared" si="121"/>
        <v>-1.4901161193847656E-14</v>
      </c>
      <c r="AE420" s="3">
        <f t="shared" si="122"/>
        <v>8.9086788000000148</v>
      </c>
      <c r="AF420" s="337" t="str">
        <f t="shared" si="124"/>
        <v>TRK_229_1</v>
      </c>
      <c r="AG420" s="287" t="s">
        <v>5635</v>
      </c>
      <c r="AH420" t="s">
        <v>5634</v>
      </c>
      <c r="AI420" t="s">
        <v>5633</v>
      </c>
      <c r="AJ420">
        <v>6.9262000000000004E-2</v>
      </c>
      <c r="AK420">
        <v>1.1298189999999999</v>
      </c>
      <c r="AL420">
        <v>1.060557</v>
      </c>
      <c r="AM420">
        <v>9.3329039999999992</v>
      </c>
      <c r="AN420" s="336">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5623</v>
      </c>
      <c r="O421" s="334"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40">
        <f t="shared" si="126"/>
        <v>2.4214386940002441E-8</v>
      </c>
      <c r="Y421" s="339"/>
      <c r="Z421" s="338"/>
      <c r="AA421" s="78">
        <f t="shared" si="123"/>
        <v>8.8816224000000012</v>
      </c>
      <c r="AC421" s="130">
        <f>AE421+AC420</f>
        <v>17.790301199999821</v>
      </c>
      <c r="AD421" s="3">
        <f t="shared" si="121"/>
        <v>1.9371509552001952E-13</v>
      </c>
      <c r="AE421" s="3">
        <f t="shared" si="122"/>
        <v>8.8816223999998059</v>
      </c>
      <c r="AF421" s="337" t="str">
        <f t="shared" si="124"/>
        <v>TRK_229_2</v>
      </c>
      <c r="AG421" s="287" t="s">
        <v>5632</v>
      </c>
      <c r="AH421" t="s">
        <v>5631</v>
      </c>
      <c r="AI421" t="s">
        <v>5630</v>
      </c>
      <c r="AJ421">
        <v>6.1191000000000002E-2</v>
      </c>
      <c r="AK421">
        <v>1.118527</v>
      </c>
      <c r="AL421">
        <v>1.0573360000000001</v>
      </c>
      <c r="AM421">
        <v>9.3045550000000006</v>
      </c>
      <c r="AN421" s="336">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5623</v>
      </c>
      <c r="O422" s="334"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40">
        <f t="shared" si="126"/>
        <v>-1.2223608791828156E-8</v>
      </c>
      <c r="Y422" s="339"/>
      <c r="Z422" s="338"/>
      <c r="AA422" s="78">
        <f t="shared" si="123"/>
        <v>8.2308660000000007</v>
      </c>
      <c r="AC422" s="130">
        <f>AE422+AC421</f>
        <v>26.021167199999919</v>
      </c>
      <c r="AD422" s="3">
        <f t="shared" si="121"/>
        <v>-9.7788870334625248E-14</v>
      </c>
      <c r="AE422" s="3">
        <f t="shared" si="122"/>
        <v>8.2308660000000984</v>
      </c>
      <c r="AF422" s="337" t="str">
        <f t="shared" si="124"/>
        <v>TRK_230_1</v>
      </c>
      <c r="AG422" s="287" t="s">
        <v>5629</v>
      </c>
      <c r="AH422" t="s">
        <v>5628</v>
      </c>
      <c r="AI422" t="s">
        <v>5627</v>
      </c>
      <c r="AJ422">
        <v>0.22567200000000001</v>
      </c>
      <c r="AK422">
        <v>1.2055370000000001</v>
      </c>
      <c r="AL422">
        <v>0.97986499999999999</v>
      </c>
      <c r="AM422">
        <v>8.6228119999999997</v>
      </c>
      <c r="AN422" s="336">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5623</v>
      </c>
      <c r="O423" s="334"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40">
        <f t="shared" si="126"/>
        <v>-1.57160684466362E-8</v>
      </c>
      <c r="Y423" s="339"/>
      <c r="Z423" s="338"/>
      <c r="AA423" s="78">
        <f t="shared" si="123"/>
        <v>7.7961408000000008</v>
      </c>
      <c r="AC423" s="130">
        <f>AE423+AC422</f>
        <v>33.817308000000047</v>
      </c>
      <c r="AD423" s="3">
        <f t="shared" si="121"/>
        <v>-1.257285475730896E-13</v>
      </c>
      <c r="AE423" s="3">
        <f t="shared" si="122"/>
        <v>7.7961408000001269</v>
      </c>
      <c r="AF423" s="337" t="str">
        <f t="shared" si="124"/>
        <v>TRK_231_1_</v>
      </c>
      <c r="AG423" s="287" t="s">
        <v>5626</v>
      </c>
      <c r="AH423" t="s">
        <v>5625</v>
      </c>
      <c r="AI423" t="s">
        <v>5624</v>
      </c>
      <c r="AJ423">
        <v>0.44786999999999999</v>
      </c>
      <c r="AK423">
        <v>1.375982</v>
      </c>
      <c r="AL423">
        <v>0.92811200000000005</v>
      </c>
      <c r="AM423">
        <v>8.1673880000000008</v>
      </c>
      <c r="AN423" s="336">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5623</v>
      </c>
      <c r="O424" s="334"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40">
        <f t="shared" si="126"/>
        <v>-6.7520886659622192E-9</v>
      </c>
      <c r="Y424" s="339"/>
      <c r="Z424" s="338"/>
      <c r="AA424" s="78">
        <f t="shared" si="123"/>
        <v>6.894342</v>
      </c>
      <c r="AB424" s="100"/>
      <c r="AC424" s="130">
        <f>AE424+AC423</f>
        <v>40.711650000000098</v>
      </c>
      <c r="AD424" s="3">
        <f t="shared" si="121"/>
        <v>-5.4016709327697754E-14</v>
      </c>
      <c r="AE424" s="3">
        <f t="shared" si="122"/>
        <v>6.8943420000000541</v>
      </c>
      <c r="AF424" s="337" t="str">
        <f t="shared" si="124"/>
        <v>TRK_232_1</v>
      </c>
      <c r="AG424" s="287" t="s">
        <v>5622</v>
      </c>
      <c r="AH424" t="s">
        <v>5621</v>
      </c>
      <c r="AI424" t="s">
        <v>5620</v>
      </c>
      <c r="AJ424">
        <v>0.24752199999999999</v>
      </c>
      <c r="AK424">
        <v>1.0682769999999999</v>
      </c>
      <c r="AL424">
        <v>0.82075500000000001</v>
      </c>
      <c r="AM424">
        <v>7.2226429999999997</v>
      </c>
      <c r="AN424" s="277">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5462</v>
      </c>
      <c r="O425" s="334"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40">
        <f t="shared" si="126"/>
        <v>-2.3981556296348572E-8</v>
      </c>
      <c r="Y425" s="339"/>
      <c r="Z425" s="338"/>
      <c r="AA425" s="78">
        <f t="shared" si="123"/>
        <v>5.7846096000000005</v>
      </c>
      <c r="AC425" s="130">
        <f>AE425+AC424</f>
        <v>46.496259600000293</v>
      </c>
      <c r="AD425" s="3">
        <f t="shared" si="121"/>
        <v>-1.9185245037078857E-13</v>
      </c>
      <c r="AE425" s="3">
        <f t="shared" si="122"/>
        <v>5.7846096000001923</v>
      </c>
      <c r="AF425" s="337" t="str">
        <f t="shared" si="124"/>
        <v>TRK_232_2</v>
      </c>
      <c r="AG425" s="287" t="s">
        <v>5619</v>
      </c>
      <c r="AH425" t="s">
        <v>5618</v>
      </c>
      <c r="AI425" t="s">
        <v>5617</v>
      </c>
      <c r="AJ425">
        <v>0.19355900000000001</v>
      </c>
      <c r="AK425">
        <v>0.88220299999999996</v>
      </c>
      <c r="AL425">
        <v>0.68864400000000003</v>
      </c>
      <c r="AM425">
        <v>6.0600639999999997</v>
      </c>
      <c r="AN425" s="277">
        <f t="shared" si="125"/>
        <v>5.7846096000000005</v>
      </c>
    </row>
    <row r="426" spans="3:41" ht="13.5" customHeight="1">
      <c r="L426" s="294"/>
      <c r="M426" s="294"/>
      <c r="O426" s="334" t="str">
        <f t="shared" si="127"/>
        <v>232/22:57</v>
      </c>
      <c r="P426" s="32" t="str">
        <f t="shared" si="128"/>
        <v>232_3</v>
      </c>
      <c r="Q426" s="345"/>
      <c r="R426" s="345"/>
      <c r="S426" s="294"/>
      <c r="T426" s="345"/>
      <c r="U426" s="294"/>
      <c r="V426" s="294"/>
      <c r="W426" s="294"/>
      <c r="X426" s="294"/>
      <c r="Y426" s="339"/>
      <c r="Z426" s="357">
        <f>AA426</f>
        <v>19.9636332</v>
      </c>
      <c r="AA426" s="78">
        <f t="shared" si="123"/>
        <v>19.9636332</v>
      </c>
      <c r="AB426">
        <f>(Z428/194)*235</f>
        <v>67.556049371134023</v>
      </c>
      <c r="AC426" s="355">
        <f>AC418+Z426</f>
        <v>52.615525199999993</v>
      </c>
      <c r="AD426" s="3">
        <f t="shared" si="121"/>
        <v>0</v>
      </c>
      <c r="AE426" s="3">
        <f t="shared" si="122"/>
        <v>0</v>
      </c>
      <c r="AF426" s="354" t="str">
        <f t="shared" si="124"/>
        <v>TRK_232_3</v>
      </c>
      <c r="AG426" s="287" t="s">
        <v>5616</v>
      </c>
      <c r="AH426" t="s">
        <v>5615</v>
      </c>
      <c r="AI426" t="s">
        <v>5614</v>
      </c>
      <c r="AJ426">
        <v>6.3396999999999995E-2</v>
      </c>
      <c r="AK426">
        <v>2.4400200000000001</v>
      </c>
      <c r="AL426">
        <v>2.3766229999999999</v>
      </c>
      <c r="AM426">
        <v>20.914285</v>
      </c>
      <c r="AN426" s="277">
        <f t="shared" si="125"/>
        <v>19.9636332</v>
      </c>
    </row>
    <row r="427" spans="3:41" ht="13.5" customHeight="1">
      <c r="L427" s="294"/>
      <c r="M427" s="294"/>
      <c r="O427" s="334" t="str">
        <f t="shared" si="127"/>
        <v>233/12:02</v>
      </c>
      <c r="P427" s="32" t="str">
        <f t="shared" si="128"/>
        <v>233_1</v>
      </c>
      <c r="Q427" s="294"/>
      <c r="R427" s="294"/>
      <c r="S427" s="294"/>
      <c r="T427" s="294"/>
      <c r="U427" s="294"/>
      <c r="V427" s="294"/>
      <c r="W427" s="294"/>
      <c r="X427" s="294"/>
      <c r="Y427" s="339"/>
      <c r="Z427" s="357">
        <f>AA427+AA426</f>
        <v>31.822946399999999</v>
      </c>
      <c r="AA427" s="78">
        <f t="shared" si="123"/>
        <v>11.859313200000001</v>
      </c>
      <c r="AB427">
        <f>Z428*0.687</f>
        <v>38.313766587600007</v>
      </c>
      <c r="AC427" s="355">
        <f>AC426+AA427</f>
        <v>64.474838399999996</v>
      </c>
      <c r="AD427" s="3">
        <f t="shared" si="121"/>
        <v>0</v>
      </c>
      <c r="AE427" s="3">
        <f t="shared" si="122"/>
        <v>0</v>
      </c>
      <c r="AF427" s="354" t="str">
        <f t="shared" si="124"/>
        <v>TRK_233_1</v>
      </c>
      <c r="AG427" s="287" t="s">
        <v>5613</v>
      </c>
      <c r="AH427" t="s">
        <v>5612</v>
      </c>
      <c r="AI427" t="s">
        <v>5611</v>
      </c>
      <c r="AJ427">
        <v>0.21144499999999999</v>
      </c>
      <c r="AK427">
        <v>1.6232679999999999</v>
      </c>
      <c r="AL427">
        <v>1.4118230000000001</v>
      </c>
      <c r="AM427">
        <v>12.424046000000001</v>
      </c>
      <c r="AN427" s="277">
        <f t="shared" si="125"/>
        <v>11.859313200000001</v>
      </c>
    </row>
    <row r="428" spans="3:41" ht="13.5" customHeight="1">
      <c r="L428" s="294"/>
      <c r="M428" s="294"/>
      <c r="O428" s="334" t="str">
        <f t="shared" si="127"/>
        <v>234/02:32</v>
      </c>
      <c r="P428" s="32" t="str">
        <f t="shared" si="128"/>
        <v>234_1</v>
      </c>
      <c r="Q428" s="345">
        <v>645952406</v>
      </c>
      <c r="R428" s="345">
        <v>645953459</v>
      </c>
      <c r="S428" s="294"/>
      <c r="T428" s="345">
        <v>6971250</v>
      </c>
      <c r="U428" s="294"/>
      <c r="V428" s="294">
        <f>T428</f>
        <v>6971250</v>
      </c>
      <c r="W428" s="294">
        <f>Z428*1000000/8</f>
        <v>6971209.3500000006</v>
      </c>
      <c r="X428" s="294">
        <f t="shared" ref="X428:X441" si="134">W428-V428</f>
        <v>-40.649999999441206</v>
      </c>
      <c r="Y428" s="339"/>
      <c r="Z428" s="343">
        <f>AA428+Z427</f>
        <v>55.769674800000004</v>
      </c>
      <c r="AA428" s="78">
        <f t="shared" si="123"/>
        <v>23.946728400000001</v>
      </c>
      <c r="AC428" s="355">
        <f>AC427+AA428</f>
        <v>88.421566799999994</v>
      </c>
      <c r="AD428" s="3">
        <f t="shared" si="121"/>
        <v>-3.2519999999552966E-4</v>
      </c>
      <c r="AE428" s="3">
        <f t="shared" si="122"/>
        <v>55.77</v>
      </c>
      <c r="AF428" s="354" t="str">
        <f t="shared" si="124"/>
        <v>TRK_234_1</v>
      </c>
      <c r="AG428" s="287" t="s">
        <v>5610</v>
      </c>
      <c r="AH428" t="s">
        <v>5609</v>
      </c>
      <c r="AI428" t="s">
        <v>5608</v>
      </c>
      <c r="AJ428">
        <v>7.4108999999999994E-2</v>
      </c>
      <c r="AK428">
        <v>2.9249100000000001</v>
      </c>
      <c r="AL428">
        <v>2.8508010000000001</v>
      </c>
      <c r="AM428">
        <v>25.087050000000001</v>
      </c>
      <c r="AN428" s="277">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5583</v>
      </c>
      <c r="O429" s="334"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40">
        <f t="shared" si="134"/>
        <v>2.4167820811271667E-7</v>
      </c>
      <c r="Y429" s="339"/>
      <c r="Z429" s="338"/>
      <c r="AA429" s="78">
        <f t="shared" si="123"/>
        <v>4.1558916000000004</v>
      </c>
      <c r="AC429" s="119">
        <f>AA429+AC419</f>
        <v>49.381457999997309</v>
      </c>
      <c r="AD429" s="3">
        <f t="shared" si="121"/>
        <v>1.9334256649017335E-12</v>
      </c>
      <c r="AE429" s="3">
        <f t="shared" si="122"/>
        <v>4.1558915999980668</v>
      </c>
      <c r="AF429" s="337" t="str">
        <f t="shared" si="124"/>
        <v>TRK_235_1_</v>
      </c>
      <c r="AG429" s="287" t="s">
        <v>5607</v>
      </c>
      <c r="AH429" t="s">
        <v>5606</v>
      </c>
      <c r="AI429" t="s">
        <v>5605</v>
      </c>
      <c r="AJ429">
        <v>0.43607800000000002</v>
      </c>
      <c r="AK429">
        <v>0.93082699999999996</v>
      </c>
      <c r="AL429">
        <v>0.49474899999999999</v>
      </c>
      <c r="AM429">
        <v>4.3537949999999999</v>
      </c>
      <c r="AN429" s="277">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5583</v>
      </c>
      <c r="O430" s="334"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40">
        <f t="shared" si="134"/>
        <v>2.8428621590137482E-7</v>
      </c>
      <c r="Y430" s="339"/>
      <c r="Z430" s="338"/>
      <c r="AA430" s="78">
        <f t="shared" si="123"/>
        <v>5.2523603999999997</v>
      </c>
      <c r="AC430" s="119">
        <f>AC429+AA430</f>
        <v>54.63381839999731</v>
      </c>
      <c r="AD430" s="3">
        <f t="shared" si="121"/>
        <v>2.2742897272109987E-12</v>
      </c>
      <c r="AE430" s="3">
        <f t="shared" si="122"/>
        <v>5.2523603999977251</v>
      </c>
      <c r="AF430" s="337" t="str">
        <f t="shared" si="124"/>
        <v>TRK_235_2</v>
      </c>
      <c r="AG430" s="287" t="s">
        <v>5604</v>
      </c>
      <c r="AH430" t="s">
        <v>5603</v>
      </c>
      <c r="AI430" t="s">
        <v>5602</v>
      </c>
      <c r="AJ430">
        <v>0.187865</v>
      </c>
      <c r="AK430">
        <v>0.81314600000000004</v>
      </c>
      <c r="AL430">
        <v>0.62528099999999998</v>
      </c>
      <c r="AM430">
        <v>5.5024699999999998</v>
      </c>
      <c r="AN430" s="277">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5583</v>
      </c>
      <c r="O431" s="334"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40">
        <f t="shared" si="134"/>
        <v>-1.0547228157520294E-7</v>
      </c>
      <c r="Y431" s="339"/>
      <c r="Z431" s="338"/>
      <c r="AA431" s="78">
        <f t="shared" si="123"/>
        <v>11.108412000000001</v>
      </c>
      <c r="AC431" s="119">
        <f>AC430+AA431</f>
        <v>65.742230399997311</v>
      </c>
      <c r="AD431" s="3">
        <f t="shared" si="121"/>
        <v>-8.4377825260162355E-13</v>
      </c>
      <c r="AE431" s="3">
        <f t="shared" si="122"/>
        <v>11.108412000000845</v>
      </c>
      <c r="AF431" s="337" t="str">
        <f t="shared" si="124"/>
        <v>TRK_235_3</v>
      </c>
      <c r="AG431" s="287" t="s">
        <v>5601</v>
      </c>
      <c r="AH431" t="s">
        <v>5600</v>
      </c>
      <c r="AI431" t="s">
        <v>5599</v>
      </c>
      <c r="AJ431">
        <v>0.19467000000000001</v>
      </c>
      <c r="AK431">
        <v>1.5170999999999999</v>
      </c>
      <c r="AL431">
        <v>1.32243</v>
      </c>
      <c r="AM431">
        <v>11.637388</v>
      </c>
      <c r="AN431" s="336">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5583</v>
      </c>
      <c r="O432" s="334"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40">
        <f t="shared" si="134"/>
        <v>3.1979288905858994E-7</v>
      </c>
      <c r="Y432" s="339"/>
      <c r="Z432" s="338"/>
      <c r="AA432" s="78">
        <f t="shared" si="123"/>
        <v>6.7593540000000001</v>
      </c>
      <c r="AC432" s="119">
        <f>AC431+AA432</f>
        <v>72.501584399997313</v>
      </c>
      <c r="AD432" s="3">
        <f t="shared" si="121"/>
        <v>2.5583431124687194E-12</v>
      </c>
      <c r="AE432" s="3">
        <f t="shared" si="122"/>
        <v>6.7593539999974412</v>
      </c>
      <c r="AF432" s="337" t="str">
        <f t="shared" si="124"/>
        <v>TRK_236_1</v>
      </c>
      <c r="AG432" s="287" t="s">
        <v>5598</v>
      </c>
      <c r="AH432" t="s">
        <v>5597</v>
      </c>
      <c r="AI432" t="s">
        <v>5596</v>
      </c>
      <c r="AJ432">
        <v>0.22892599999999999</v>
      </c>
      <c r="AK432">
        <v>1.0336110000000001</v>
      </c>
      <c r="AL432">
        <v>0.80468499999999998</v>
      </c>
      <c r="AM432">
        <v>7.0812299999999997</v>
      </c>
      <c r="AN432" s="336">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5543</v>
      </c>
      <c r="O433" s="334"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40">
        <f t="shared" si="134"/>
        <v>-7.2177499532699585E-9</v>
      </c>
      <c r="Y433" s="339"/>
      <c r="Z433" s="338"/>
      <c r="AA433" s="78">
        <f t="shared" si="123"/>
        <v>7.7863296000000002</v>
      </c>
      <c r="AC433" s="130">
        <f>AC425+AE433</f>
        <v>54.282589200000352</v>
      </c>
      <c r="AD433" s="3">
        <f t="shared" si="121"/>
        <v>-5.774199962615967E-14</v>
      </c>
      <c r="AE433" s="3">
        <f t="shared" si="122"/>
        <v>7.7863296000000579</v>
      </c>
      <c r="AF433" s="337" t="str">
        <f t="shared" si="124"/>
        <v>TRK_237_1</v>
      </c>
      <c r="AG433" s="287" t="s">
        <v>5595</v>
      </c>
      <c r="AH433" t="s">
        <v>5594</v>
      </c>
      <c r="AI433" t="s">
        <v>5593</v>
      </c>
      <c r="AJ433">
        <v>0.22267700000000001</v>
      </c>
      <c r="AK433">
        <v>1.149621</v>
      </c>
      <c r="AL433">
        <v>0.92694399999999999</v>
      </c>
      <c r="AM433">
        <v>8.1571119999999997</v>
      </c>
      <c r="AN433" s="336">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5543</v>
      </c>
      <c r="O434" s="334"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40">
        <f t="shared" si="134"/>
        <v>-2.3690517991781235E-8</v>
      </c>
      <c r="Y434" s="339"/>
      <c r="Z434" s="338"/>
      <c r="AA434" s="78">
        <f t="shared" si="123"/>
        <v>2.784138</v>
      </c>
      <c r="AC434" s="130">
        <f>AE434+AC433</f>
        <v>57.066727200000543</v>
      </c>
      <c r="AD434" s="3">
        <f t="shared" si="121"/>
        <v>-1.8952414393424989E-13</v>
      </c>
      <c r="AE434" s="3">
        <f t="shared" si="122"/>
        <v>2.7841380000001896</v>
      </c>
      <c r="AF434" s="337" t="str">
        <f t="shared" si="124"/>
        <v>TRK_237_2</v>
      </c>
      <c r="AG434" s="287" t="s">
        <v>5592</v>
      </c>
      <c r="AH434" t="s">
        <v>5591</v>
      </c>
      <c r="AI434" t="s">
        <v>5590</v>
      </c>
      <c r="AJ434">
        <v>0.220665</v>
      </c>
      <c r="AK434">
        <v>0.55210999999999999</v>
      </c>
      <c r="AL434">
        <v>0.33144499999999999</v>
      </c>
      <c r="AM434">
        <v>2.9167139999999998</v>
      </c>
      <c r="AN434" s="336">
        <f t="shared" si="125"/>
        <v>2.784138</v>
      </c>
    </row>
    <row r="435" spans="3:41" ht="13.5" customHeight="1">
      <c r="L435" s="356"/>
      <c r="M435" s="356"/>
      <c r="O435" s="334" t="str">
        <f t="shared" si="127"/>
        <v>237/21:31</v>
      </c>
      <c r="P435" s="32" t="str">
        <f t="shared" si="128"/>
        <v>237_3</v>
      </c>
      <c r="Q435" s="347">
        <v>645953458</v>
      </c>
      <c r="R435" s="294">
        <v>645953885</v>
      </c>
      <c r="S435" s="191"/>
      <c r="T435" s="191">
        <v>2821250</v>
      </c>
      <c r="U435" s="345"/>
      <c r="V435" s="344">
        <f>T435</f>
        <v>2821250</v>
      </c>
      <c r="W435" s="294">
        <f t="shared" si="136"/>
        <v>2821305.9000000004</v>
      </c>
      <c r="X435" s="294">
        <f t="shared" si="134"/>
        <v>55.900000000372529</v>
      </c>
      <c r="Y435" s="339"/>
      <c r="Z435" s="343">
        <f>AA435</f>
        <v>22.570447200000004</v>
      </c>
      <c r="AA435" s="78">
        <f t="shared" si="123"/>
        <v>22.570447200000004</v>
      </c>
      <c r="AB435">
        <f>(Z435/194)*235</f>
        <v>27.340490164948459</v>
      </c>
      <c r="AC435" s="355">
        <f>AC428+AA435</f>
        <v>110.992014</v>
      </c>
      <c r="AD435" s="3">
        <f t="shared" si="121"/>
        <v>4.4720000000298023E-4</v>
      </c>
      <c r="AE435" s="3">
        <f t="shared" si="122"/>
        <v>22.57</v>
      </c>
      <c r="AF435" s="354" t="str">
        <f t="shared" si="124"/>
        <v>TRK_237_3</v>
      </c>
      <c r="AG435" s="287" t="s">
        <v>5589</v>
      </c>
      <c r="AH435" t="s">
        <v>5588</v>
      </c>
      <c r="AI435" t="s">
        <v>5587</v>
      </c>
      <c r="AJ435">
        <v>0.19519500000000001</v>
      </c>
      <c r="AK435">
        <v>2.8821530000000002</v>
      </c>
      <c r="AL435">
        <v>2.6869580000000002</v>
      </c>
      <c r="AM435">
        <v>23.645235</v>
      </c>
      <c r="AN435" s="336">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5543</v>
      </c>
      <c r="O436" s="334"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40">
        <f t="shared" si="134"/>
        <v>1.1641532182693481E-8</v>
      </c>
      <c r="Y436" s="339"/>
      <c r="Z436" s="338"/>
      <c r="AA436" s="78">
        <f t="shared" si="123"/>
        <v>4.1144124</v>
      </c>
      <c r="AB436" s="100">
        <f>Z435*0.687</f>
        <v>15.505897226400004</v>
      </c>
      <c r="AC436" s="130">
        <f>AC434+AE436</f>
        <v>61.181139600000449</v>
      </c>
      <c r="AD436" s="3">
        <f t="shared" si="121"/>
        <v>9.3132257461547856E-14</v>
      </c>
      <c r="AE436" s="3">
        <f t="shared" si="122"/>
        <v>4.1144123999999067</v>
      </c>
      <c r="AF436" s="337" t="str">
        <f t="shared" si="124"/>
        <v>TRK_238_1</v>
      </c>
      <c r="AG436" s="287" t="s">
        <v>5586</v>
      </c>
      <c r="AH436" t="s">
        <v>5585</v>
      </c>
      <c r="AI436" t="s">
        <v>5584</v>
      </c>
      <c r="AJ436">
        <v>0.21891099999999999</v>
      </c>
      <c r="AK436">
        <v>0.70872199999999996</v>
      </c>
      <c r="AL436">
        <v>0.489811</v>
      </c>
      <c r="AM436">
        <v>4.3103360000000004</v>
      </c>
      <c r="AN436" s="336">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5583</v>
      </c>
      <c r="O437" s="334" t="str">
        <f t="shared" si="127"/>
        <v>239/21:26</v>
      </c>
      <c r="P437" s="32" t="str">
        <f t="shared" si="128"/>
        <v>239_1</v>
      </c>
      <c r="Q437" s="59">
        <f>R432-1</f>
        <v>617929086.23394144</v>
      </c>
      <c r="R437" s="353">
        <f>W437/$V$31+Q437</f>
        <v>618199294.06914234</v>
      </c>
      <c r="S437" s="21">
        <f t="shared" si="137"/>
        <v>270207.8352009058</v>
      </c>
      <c r="T437" s="21">
        <f>S437*$V$31</f>
        <v>1865522.4000002535</v>
      </c>
      <c r="U437" s="3">
        <v>0</v>
      </c>
      <c r="V437" s="20">
        <f>T437+U437*$V$34</f>
        <v>1865522.4000002535</v>
      </c>
      <c r="W437" s="20">
        <f t="shared" si="136"/>
        <v>1865522.4000000001</v>
      </c>
      <c r="X437" s="340">
        <f t="shared" si="134"/>
        <v>-2.5331974029541016E-7</v>
      </c>
      <c r="Y437" s="339"/>
      <c r="Z437" s="338"/>
      <c r="AA437" s="78">
        <f t="shared" si="123"/>
        <v>14.924179200000001</v>
      </c>
      <c r="AC437" s="119">
        <f>AE437+AC432</f>
        <v>87.425763599999343</v>
      </c>
      <c r="AD437" s="3">
        <f t="shared" si="121"/>
        <v>-2.0265579223632812E-12</v>
      </c>
      <c r="AE437" s="3">
        <f t="shared" si="122"/>
        <v>14.924179200002028</v>
      </c>
      <c r="AF437" s="337" t="str">
        <f t="shared" si="124"/>
        <v>TRK_239_1_</v>
      </c>
      <c r="AG437" s="287" t="s">
        <v>5582</v>
      </c>
      <c r="AH437" t="s">
        <v>5581</v>
      </c>
      <c r="AI437" t="s">
        <v>5580</v>
      </c>
      <c r="AJ437">
        <v>0.52125299999999997</v>
      </c>
      <c r="AK437">
        <v>2.2979409999999998</v>
      </c>
      <c r="AL437">
        <v>1.776688</v>
      </c>
      <c r="AM437">
        <v>15.634855</v>
      </c>
      <c r="AN437" s="336">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5579</v>
      </c>
      <c r="O438" s="334"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40">
        <f t="shared" si="134"/>
        <v>-2.0628795027732849E-7</v>
      </c>
      <c r="Y438" s="339"/>
      <c r="Z438" s="338"/>
      <c r="AA438" s="78">
        <f t="shared" si="123"/>
        <v>8.8994220000000013</v>
      </c>
      <c r="AC438" s="119">
        <f>AC437+AA438</f>
        <v>96.325185599999344</v>
      </c>
      <c r="AD438" s="3">
        <f t="shared" si="121"/>
        <v>-1.6503036022186279E-12</v>
      </c>
      <c r="AE438" s="3">
        <f t="shared" si="122"/>
        <v>8.8994220000016515</v>
      </c>
      <c r="AF438" s="337" t="str">
        <f t="shared" si="124"/>
        <v>TRK_240_1</v>
      </c>
      <c r="AG438" s="287" t="s">
        <v>5578</v>
      </c>
      <c r="AH438" t="s">
        <v>5577</v>
      </c>
      <c r="AI438" t="s">
        <v>5576</v>
      </c>
      <c r="AJ438">
        <v>0.20555799999999999</v>
      </c>
      <c r="AK438">
        <v>1.2650129999999999</v>
      </c>
      <c r="AL438">
        <v>1.059455</v>
      </c>
      <c r="AM438">
        <v>9.3232040000000005</v>
      </c>
      <c r="AN438" s="336">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5569</v>
      </c>
      <c r="O439" s="334"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40">
        <f t="shared" si="134"/>
        <v>3.1245872378349304E-7</v>
      </c>
      <c r="Y439" s="339"/>
      <c r="Z439" s="338"/>
      <c r="AA439" s="78">
        <f t="shared" si="123"/>
        <v>20.395393200000001</v>
      </c>
      <c r="AC439" s="119">
        <f>AC438+AA439</f>
        <v>116.72057879999934</v>
      </c>
      <c r="AD439" s="3">
        <f t="shared" si="121"/>
        <v>2.4996697902679445E-12</v>
      </c>
      <c r="AE439" s="3">
        <f t="shared" si="122"/>
        <v>20.3953931999975</v>
      </c>
      <c r="AF439" s="337" t="str">
        <f t="shared" si="124"/>
        <v>TRK_241_1</v>
      </c>
      <c r="AG439" s="287" t="s">
        <v>5575</v>
      </c>
      <c r="AH439" t="s">
        <v>5574</v>
      </c>
      <c r="AI439" t="s">
        <v>5573</v>
      </c>
      <c r="AJ439">
        <v>0.224053</v>
      </c>
      <c r="AK439">
        <v>2.6520760000000001</v>
      </c>
      <c r="AL439">
        <v>2.428023</v>
      </c>
      <c r="AM439">
        <v>21.366603999999999</v>
      </c>
      <c r="AN439" s="336">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5569</v>
      </c>
      <c r="O440" s="334"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40">
        <f t="shared" si="134"/>
        <v>1.1478550732135773E-7</v>
      </c>
      <c r="Y440" s="339"/>
      <c r="Z440" s="338"/>
      <c r="AA440" s="78">
        <f t="shared" si="123"/>
        <v>8.5820196000000006</v>
      </c>
      <c r="AC440" s="119">
        <f>AC439+AA440</f>
        <v>125.30259839999934</v>
      </c>
      <c r="AD440" s="3">
        <f t="shared" si="121"/>
        <v>9.1828405857086172E-13</v>
      </c>
      <c r="AE440" s="3">
        <f t="shared" si="122"/>
        <v>8.582019599999084</v>
      </c>
      <c r="AF440" s="337" t="str">
        <f t="shared" si="124"/>
        <v>TRK_242_1</v>
      </c>
      <c r="AG440" s="287" t="s">
        <v>5572</v>
      </c>
      <c r="AH440" t="s">
        <v>5571</v>
      </c>
      <c r="AI440" t="s">
        <v>5570</v>
      </c>
      <c r="AJ440">
        <v>0.31891399999999998</v>
      </c>
      <c r="AK440">
        <v>1.3405830000000001</v>
      </c>
      <c r="AL440">
        <v>1.0216689999999999</v>
      </c>
      <c r="AM440">
        <v>8.9906830000000006</v>
      </c>
      <c r="AN440" s="336">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5569</v>
      </c>
      <c r="O441" s="334"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40">
        <f t="shared" si="134"/>
        <v>8.0792233347892761E-8</v>
      </c>
      <c r="Y441" s="339"/>
      <c r="Z441" s="338"/>
      <c r="AA441" s="78">
        <f t="shared" si="123"/>
        <v>12.491144400000001</v>
      </c>
      <c r="AB441">
        <f>SUM(AA431:AA441)</f>
        <v>120.4152516</v>
      </c>
      <c r="AC441" s="119">
        <f>AC440+AA441</f>
        <v>137.79374279999934</v>
      </c>
      <c r="AD441" s="3">
        <f t="shared" si="121"/>
        <v>6.4633786678314205E-13</v>
      </c>
      <c r="AE441" s="3">
        <f t="shared" si="122"/>
        <v>12.491144399999357</v>
      </c>
      <c r="AF441" s="337" t="str">
        <f t="shared" si="124"/>
        <v>TRK_243_1_</v>
      </c>
      <c r="AG441" s="287" t="s">
        <v>5568</v>
      </c>
      <c r="AH441" t="s">
        <v>5567</v>
      </c>
      <c r="AI441" t="s">
        <v>5566</v>
      </c>
      <c r="AJ441">
        <v>0.38433699999999998</v>
      </c>
      <c r="AK441">
        <v>1.871378</v>
      </c>
      <c r="AL441">
        <v>1.4870410000000001</v>
      </c>
      <c r="AM441">
        <v>13.08596</v>
      </c>
      <c r="AN441" s="336">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5564</v>
      </c>
    </row>
    <row r="452" spans="3:42" ht="13.5" customHeight="1">
      <c r="J452" t="s">
        <v>228</v>
      </c>
      <c r="K452" t="s">
        <v>825</v>
      </c>
      <c r="L452" s="95" t="str" cm="1">
        <f t="array" aca="1" ref="L452" ca="1">MID(met2utc(Q452),3,12)</f>
        <v>26-230/18:29</v>
      </c>
      <c r="M452" s="95" t="str" cm="1">
        <f t="array" aca="1" ref="M452" ca="1">MID(met2utc(R452),3,12)</f>
        <v>26-233/07:32</v>
      </c>
      <c r="N452" t="s">
        <v>5543</v>
      </c>
      <c r="O452" s="334"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40">
        <f t="shared" ref="X452:X464" si="141">W452-V452</f>
        <v>-1.021544449031353E-8</v>
      </c>
      <c r="Y452" s="339"/>
      <c r="Z452" s="338"/>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7" t="str">
        <f t="shared" ref="AF452:AF463" si="145">AH452</f>
        <v>TRK_246_1</v>
      </c>
      <c r="AG452" t="str">
        <f>MID(AP452,6,9)</f>
        <v>246T02:55</v>
      </c>
      <c r="AH452" t="s">
        <v>5563</v>
      </c>
      <c r="AI452" t="s">
        <v>5562</v>
      </c>
      <c r="AJ452">
        <v>2.3385389999999999</v>
      </c>
      <c r="AK452">
        <v>2.4443809999999999</v>
      </c>
      <c r="AL452">
        <v>0.10584200000000001</v>
      </c>
      <c r="AM452">
        <v>0.93141300000000005</v>
      </c>
      <c r="AN452" s="336">
        <f t="shared" ref="AN452:AN463" si="146">AL452*8*1.05</f>
        <v>0.88907280000000011</v>
      </c>
      <c r="AP452" s="335" t="s">
        <v>5561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5522</v>
      </c>
      <c r="O453" s="334" t="str">
        <f t="shared" si="138"/>
        <v>247T00:35</v>
      </c>
      <c r="P453" s="32" t="str">
        <f t="shared" ref="P453:P464" si="147">MID(AH453,5,5)</f>
        <v>247_1</v>
      </c>
      <c r="Q453" s="352">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40">
        <f t="shared" si="141"/>
        <v>-2.514570951461792E-8</v>
      </c>
      <c r="Y453" s="339"/>
      <c r="Z453" s="338"/>
      <c r="AA453" s="78">
        <f t="shared" si="142"/>
        <v>25.618068000000001</v>
      </c>
      <c r="AC453" s="119">
        <f>AC452+AA453</f>
        <v>26.507140800000084</v>
      </c>
      <c r="AD453" s="3">
        <f t="shared" si="143"/>
        <v>-2.0116567611694335E-13</v>
      </c>
      <c r="AE453" s="3">
        <f t="shared" si="144"/>
        <v>25.6180680000002</v>
      </c>
      <c r="AF453" s="337" t="str">
        <f t="shared" si="145"/>
        <v>TRK_247_1</v>
      </c>
      <c r="AG453" t="str">
        <f>MID(AP453,6,9)</f>
        <v>247T00:35</v>
      </c>
      <c r="AH453" t="s">
        <v>5560</v>
      </c>
      <c r="AI453" t="s">
        <v>5559</v>
      </c>
      <c r="AJ453">
        <v>0.25876399999999999</v>
      </c>
      <c r="AK453">
        <v>3.3085339999999999</v>
      </c>
      <c r="AL453">
        <v>3.0497700000000001</v>
      </c>
      <c r="AM453">
        <v>26.837975</v>
      </c>
      <c r="AN453" s="336">
        <f t="shared" si="146"/>
        <v>25.618068000000001</v>
      </c>
      <c r="AP453" s="335" t="s">
        <v>5558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5522</v>
      </c>
      <c r="O454" s="334"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40">
        <f t="shared" si="141"/>
        <v>0</v>
      </c>
      <c r="Y454" s="339"/>
      <c r="Z454" s="338"/>
      <c r="AA454" s="78">
        <f t="shared" si="142"/>
        <v>14.961609600000001</v>
      </c>
      <c r="AC454" s="119">
        <f>AC453+AE454</f>
        <v>41.468750400000083</v>
      </c>
      <c r="AD454" s="3">
        <f t="shared" si="143"/>
        <v>0</v>
      </c>
      <c r="AE454" s="3">
        <f t="shared" si="144"/>
        <v>14.961609599999997</v>
      </c>
      <c r="AF454" s="337" t="str">
        <f t="shared" si="145"/>
        <v>TRK_247_2_</v>
      </c>
      <c r="AG454" t="str">
        <f>MID(AP454,6,9)</f>
        <v>247T20:25</v>
      </c>
      <c r="AH454" t="s">
        <v>5557</v>
      </c>
      <c r="AI454" t="s">
        <v>5556</v>
      </c>
      <c r="AJ454">
        <v>0.38963700000000001</v>
      </c>
      <c r="AK454">
        <v>2.1707809999999998</v>
      </c>
      <c r="AL454">
        <v>1.7811440000000001</v>
      </c>
      <c r="AM454">
        <v>15.674068999999999</v>
      </c>
      <c r="AN454" s="336">
        <f t="shared" si="146"/>
        <v>14.961609600000001</v>
      </c>
      <c r="AP454" s="335" t="s">
        <v>5555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5522</v>
      </c>
      <c r="O455" s="334"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40">
        <f t="shared" si="141"/>
        <v>2.9336661100387573E-8</v>
      </c>
      <c r="Y455" s="339"/>
      <c r="Z455" s="338"/>
      <c r="AA455" s="78">
        <f t="shared" si="142"/>
        <v>8.5697220000000005</v>
      </c>
      <c r="AC455" s="119">
        <f>AC454+AE455</f>
        <v>50.038472399999847</v>
      </c>
      <c r="AD455" s="3">
        <f t="shared" si="143"/>
        <v>2.3469328880310059E-13</v>
      </c>
      <c r="AE455" s="3">
        <f t="shared" si="144"/>
        <v>8.569721999999766</v>
      </c>
      <c r="AF455" s="337" t="str">
        <f t="shared" si="145"/>
        <v>TRK_248_1</v>
      </c>
      <c r="AG455" t="str">
        <f>MID(AP455,6,9)</f>
        <v>248T09:30</v>
      </c>
      <c r="AH455" t="s">
        <v>5554</v>
      </c>
      <c r="AI455" t="s">
        <v>5553</v>
      </c>
      <c r="AJ455">
        <v>0.21471999999999999</v>
      </c>
      <c r="AK455">
        <v>1.2349250000000001</v>
      </c>
      <c r="AL455">
        <v>1.020205</v>
      </c>
      <c r="AM455">
        <v>8.9778009999999995</v>
      </c>
      <c r="AN455" s="336">
        <f t="shared" si="146"/>
        <v>8.5697220000000005</v>
      </c>
      <c r="AP455" s="335" t="s">
        <v>5552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5522</v>
      </c>
      <c r="O456" s="334"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40">
        <f t="shared" si="141"/>
        <v>-9.5460563898086548E-9</v>
      </c>
      <c r="Y456" s="339"/>
      <c r="Z456" s="338"/>
      <c r="AA456" s="78">
        <f t="shared" si="142"/>
        <v>9.0144096000000005</v>
      </c>
      <c r="AC456" s="119">
        <f>AC455+AE456</f>
        <v>59.052881999999926</v>
      </c>
      <c r="AD456" s="3">
        <f t="shared" si="143"/>
        <v>-7.6368451118469239E-14</v>
      </c>
      <c r="AE456" s="3">
        <f t="shared" si="144"/>
        <v>9.0144096000000768</v>
      </c>
      <c r="AF456" s="337" t="str">
        <f t="shared" si="145"/>
        <v>TRK_248_2</v>
      </c>
      <c r="AG456" t="s">
        <v>5551</v>
      </c>
      <c r="AH456" t="s">
        <v>5550</v>
      </c>
      <c r="AI456" t="s">
        <v>5549</v>
      </c>
      <c r="AJ456">
        <v>0.21366599999999999</v>
      </c>
      <c r="AK456">
        <v>1.28681</v>
      </c>
      <c r="AL456">
        <v>1.0731440000000001</v>
      </c>
      <c r="AM456">
        <v>9.4436699999999991</v>
      </c>
      <c r="AN456" s="336">
        <f t="shared" si="146"/>
        <v>9.0144096000000005</v>
      </c>
      <c r="AP456" s="335" t="s">
        <v>5548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5522</v>
      </c>
      <c r="O457" s="334"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40">
        <f t="shared" si="141"/>
        <v>-1.280568540096283E-8</v>
      </c>
      <c r="Y457" s="339"/>
      <c r="Z457" s="338"/>
      <c r="AA457" s="78">
        <f t="shared" si="142"/>
        <v>7.7529564000000004</v>
      </c>
      <c r="AC457" s="119">
        <f>AC456+AE457</f>
        <v>66.805838400000027</v>
      </c>
      <c r="AD457" s="3">
        <f t="shared" si="143"/>
        <v>-1.0244548320770264E-13</v>
      </c>
      <c r="AE457" s="3">
        <f t="shared" si="144"/>
        <v>7.7529564000001026</v>
      </c>
      <c r="AF457" s="337" t="str">
        <f t="shared" si="145"/>
        <v>TRK_250_1</v>
      </c>
      <c r="AG457" t="s">
        <v>5547</v>
      </c>
      <c r="AH457" t="s">
        <v>5546</v>
      </c>
      <c r="AI457" t="s">
        <v>5545</v>
      </c>
      <c r="AJ457">
        <v>0.32174000000000003</v>
      </c>
      <c r="AK457">
        <v>1.2447109999999999</v>
      </c>
      <c r="AL457">
        <v>0.92297099999999999</v>
      </c>
      <c r="AM457">
        <v>8.1221420000000002</v>
      </c>
      <c r="AN457" s="336">
        <f t="shared" si="146"/>
        <v>7.7529564000000004</v>
      </c>
      <c r="AP457" s="335" t="s">
        <v>5544</v>
      </c>
    </row>
    <row r="458" spans="3:42" ht="13.5" customHeight="1">
      <c r="J458" t="s">
        <v>228</v>
      </c>
      <c r="K458" t="s">
        <v>825</v>
      </c>
      <c r="L458" s="95" t="str" cm="1">
        <f t="array" aca="1" ref="L458" ca="1">MID(met2utc(Q458),3,12)</f>
        <v>26-233/07:32</v>
      </c>
      <c r="M458" s="95" t="str" cm="1">
        <f t="array" aca="1" ref="M458" ca="1">MID(met2utc(R458),3,12)</f>
        <v>26-248/00:38</v>
      </c>
      <c r="N458" t="s">
        <v>5543</v>
      </c>
      <c r="O458" s="334"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40">
        <f t="shared" si="141"/>
        <v>2.9103830456733704E-8</v>
      </c>
      <c r="Y458" s="339"/>
      <c r="Z458" s="338"/>
      <c r="AA458" s="78">
        <f t="shared" si="142"/>
        <v>5.1421776000000001</v>
      </c>
      <c r="AC458" s="130">
        <f>AC450+AE458</f>
        <v>5.1421775999997674</v>
      </c>
      <c r="AD458" s="3">
        <f t="shared" si="143"/>
        <v>2.3283064365386963E-13</v>
      </c>
      <c r="AE458" s="3">
        <f t="shared" si="144"/>
        <v>5.1421775999997674</v>
      </c>
      <c r="AF458" s="337" t="str">
        <f t="shared" si="145"/>
        <v>TRK_250_2</v>
      </c>
      <c r="AG458" t="s">
        <v>5542</v>
      </c>
      <c r="AH458" t="s">
        <v>5541</v>
      </c>
      <c r="AI458" t="s">
        <v>5540</v>
      </c>
      <c r="AJ458">
        <v>0.19039600000000001</v>
      </c>
      <c r="AK458">
        <v>0.80256000000000005</v>
      </c>
      <c r="AL458">
        <v>0.61216400000000004</v>
      </c>
      <c r="AM458">
        <v>5.387041</v>
      </c>
      <c r="AN458" s="336">
        <f t="shared" si="146"/>
        <v>5.1421776000000001</v>
      </c>
      <c r="AP458" s="335" t="s">
        <v>5539</v>
      </c>
    </row>
    <row r="459" spans="3:42" ht="15.75">
      <c r="C459" s="3">
        <v>104</v>
      </c>
      <c r="D459" s="3">
        <v>105</v>
      </c>
      <c r="G459" s="3"/>
      <c r="I459" t="s">
        <v>54</v>
      </c>
      <c r="L459" s="79" t="str" cm="1">
        <f t="array" aca="1" ref="L459" ca="1">MID(met2utc(Q459),3,12)</f>
        <v>26-042/23:40</v>
      </c>
      <c r="M459" s="79" t="str" cm="1">
        <f t="array" aca="1" ref="M459" ca="1">MID(met2utc(R459),3,12)</f>
        <v>26-086/15:51</v>
      </c>
      <c r="N459" t="s">
        <v>5522</v>
      </c>
      <c r="O459" s="334"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40">
        <f t="shared" si="141"/>
        <v>2.3981556296348572E-8</v>
      </c>
      <c r="Y459" s="339"/>
      <c r="Z459" s="338"/>
      <c r="AA459" s="78">
        <f t="shared" si="142"/>
        <v>16.6268256</v>
      </c>
      <c r="AC459" s="119">
        <f>AC457+AE459</f>
        <v>83.432663999999832</v>
      </c>
      <c r="AD459" s="3">
        <f t="shared" si="143"/>
        <v>1.9185245037078857E-13</v>
      </c>
      <c r="AE459" s="3">
        <f t="shared" si="144"/>
        <v>16.626825599999808</v>
      </c>
      <c r="AF459" s="337" t="str">
        <f t="shared" si="145"/>
        <v>TRK_250_3</v>
      </c>
      <c r="AG459" t="s">
        <v>5538</v>
      </c>
      <c r="AH459" t="s">
        <v>5537</v>
      </c>
      <c r="AI459" t="s">
        <v>5536</v>
      </c>
      <c r="AJ459">
        <v>0.20722699999999999</v>
      </c>
      <c r="AK459">
        <v>2.1866110000000001</v>
      </c>
      <c r="AL459">
        <v>1.979384</v>
      </c>
      <c r="AM459">
        <v>17.418583000000002</v>
      </c>
      <c r="AN459" s="336">
        <f t="shared" si="146"/>
        <v>16.6268256</v>
      </c>
      <c r="AP459" s="335" t="s">
        <v>5535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5522</v>
      </c>
      <c r="O460" s="334"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40">
        <f t="shared" si="141"/>
        <v>-1.909211277961731E-8</v>
      </c>
      <c r="Y460" s="339"/>
      <c r="Z460" s="338"/>
      <c r="AA460" s="78">
        <f t="shared" si="142"/>
        <v>15.384969600000002</v>
      </c>
      <c r="AC460" s="119">
        <f>AC459+AE460</f>
        <v>98.817633599999994</v>
      </c>
      <c r="AD460" s="3">
        <f t="shared" si="143"/>
        <v>-1.5273690223693848E-13</v>
      </c>
      <c r="AE460" s="3">
        <f t="shared" si="144"/>
        <v>15.384969600000154</v>
      </c>
      <c r="AF460" s="337" t="str">
        <f t="shared" si="145"/>
        <v>TRK_251_1_</v>
      </c>
      <c r="AG460" t="s">
        <v>5534</v>
      </c>
      <c r="AH460" t="s">
        <v>5533</v>
      </c>
      <c r="AI460" t="s">
        <v>5532</v>
      </c>
      <c r="AJ460">
        <v>0.43609599999999998</v>
      </c>
      <c r="AK460">
        <v>2.2676400000000001</v>
      </c>
      <c r="AL460">
        <v>1.8315440000000001</v>
      </c>
      <c r="AM460">
        <v>16.117588000000001</v>
      </c>
      <c r="AN460" s="336">
        <f t="shared" si="146"/>
        <v>15.384969600000002</v>
      </c>
      <c r="AP460" s="335" t="s">
        <v>5531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5522</v>
      </c>
      <c r="O461" s="334"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40">
        <f t="shared" si="141"/>
        <v>-1.1059455573558807E-8</v>
      </c>
      <c r="Y461" s="339"/>
      <c r="Z461" s="338"/>
      <c r="AA461" s="78">
        <f t="shared" si="142"/>
        <v>7.4035920000000006</v>
      </c>
      <c r="AC461" s="119">
        <f>AC460+AE461</f>
        <v>106.22122560000008</v>
      </c>
      <c r="AD461" s="3">
        <f t="shared" si="143"/>
        <v>-8.8475644588470464E-14</v>
      </c>
      <c r="AE461" s="3">
        <f t="shared" si="144"/>
        <v>7.4035920000000894</v>
      </c>
      <c r="AF461" s="337" t="str">
        <f t="shared" si="145"/>
        <v>TRK_252_1</v>
      </c>
      <c r="AG461" t="s">
        <v>5530</v>
      </c>
      <c r="AH461" t="s">
        <v>5529</v>
      </c>
      <c r="AI461" t="s">
        <v>5528</v>
      </c>
      <c r="AJ461">
        <v>0.21474299999999999</v>
      </c>
      <c r="AK461">
        <v>1.096123</v>
      </c>
      <c r="AL461">
        <v>0.88138000000000005</v>
      </c>
      <c r="AM461">
        <v>7.7561460000000002</v>
      </c>
      <c r="AN461" s="336">
        <f t="shared" si="146"/>
        <v>7.4035920000000006</v>
      </c>
      <c r="AP461" s="335" t="s">
        <v>5527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5522</v>
      </c>
      <c r="O462" s="334"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40">
        <f t="shared" si="141"/>
        <v>3.0500814318656921E-8</v>
      </c>
      <c r="Y462" s="339"/>
      <c r="Z462" s="338"/>
      <c r="AA462" s="78">
        <f t="shared" si="142"/>
        <v>8.5486883999999996</v>
      </c>
      <c r="AC462" s="119">
        <f>AC461+AE462</f>
        <v>114.76991399999984</v>
      </c>
      <c r="AD462" s="3">
        <f t="shared" si="143"/>
        <v>2.440065145492554E-13</v>
      </c>
      <c r="AE462" s="3">
        <f t="shared" si="144"/>
        <v>8.5486883999997563</v>
      </c>
      <c r="AF462" s="337" t="str">
        <f t="shared" si="145"/>
        <v>TRK_253_1</v>
      </c>
      <c r="AG462" t="s">
        <v>5526</v>
      </c>
      <c r="AH462" t="s">
        <v>5525</v>
      </c>
      <c r="AI462" t="s">
        <v>5524</v>
      </c>
      <c r="AJ462">
        <v>0.21449499999999999</v>
      </c>
      <c r="AK462">
        <v>1.2321960000000001</v>
      </c>
      <c r="AL462">
        <v>1.017701</v>
      </c>
      <c r="AM462">
        <v>8.9557699999999993</v>
      </c>
      <c r="AN462" s="336">
        <f t="shared" si="146"/>
        <v>8.5486883999999996</v>
      </c>
      <c r="AP462" s="335" t="s">
        <v>5523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5522</v>
      </c>
      <c r="O463" s="334"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40">
        <f t="shared" si="141"/>
        <v>449450.57674729812</v>
      </c>
      <c r="Y463" s="339"/>
      <c r="Z463" s="338"/>
      <c r="AA463" s="78">
        <f t="shared" si="142"/>
        <v>4.2260987999999999</v>
      </c>
      <c r="AC463" s="119">
        <f>AC462+AE463</f>
        <v>115.40040818602147</v>
      </c>
      <c r="AD463" s="3">
        <f t="shared" si="143"/>
        <v>3.5956046139783848</v>
      </c>
      <c r="AE463" s="3">
        <f t="shared" si="144"/>
        <v>0.63049418602161478</v>
      </c>
      <c r="AF463" s="337" t="str">
        <f t="shared" si="145"/>
        <v>TRK_253_2</v>
      </c>
      <c r="AG463" t="s">
        <v>5521</v>
      </c>
      <c r="AH463" t="s">
        <v>5520</v>
      </c>
      <c r="AI463" t="s">
        <v>5519</v>
      </c>
      <c r="AJ463">
        <v>0.205984</v>
      </c>
      <c r="AK463">
        <v>0.70909100000000003</v>
      </c>
      <c r="AL463">
        <v>0.50310699999999997</v>
      </c>
      <c r="AM463">
        <v>4.4273449999999999</v>
      </c>
      <c r="AN463" s="336">
        <f t="shared" si="146"/>
        <v>4.2260987999999999</v>
      </c>
      <c r="AP463" s="335" t="s">
        <v>5518</v>
      </c>
    </row>
    <row r="464" spans="3:42" ht="13.5" customHeight="1">
      <c r="C464" s="3">
        <v>104</v>
      </c>
      <c r="D464" s="3">
        <v>105</v>
      </c>
      <c r="G464" s="3" t="s">
        <v>50</v>
      </c>
      <c r="L464" s="79" t="str" cm="1">
        <f t="array" aca="1" ref="L464" ca="1">MID(met2utc(Q464),3,12)</f>
        <v>25-288/14:53</v>
      </c>
      <c r="M464" s="79" t="str" cm="1">
        <f t="array" aca="1" ref="M464" ca="1">MID(met2utc(R464),3,12)</f>
        <v>25-291/10:24</v>
      </c>
      <c r="N464" s="351" t="s">
        <v>5517</v>
      </c>
      <c r="O464" s="334">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8">
        <f>X463+Y466</f>
        <v>1227318.7500000002</v>
      </c>
      <c r="X464" s="340">
        <f t="shared" si="141"/>
        <v>-2.775341272354126E-7</v>
      </c>
      <c r="Y464" s="339"/>
      <c r="Z464" s="338"/>
      <c r="AA464" s="78"/>
      <c r="AC464" s="119"/>
      <c r="AD464" s="3"/>
      <c r="AE464" s="3"/>
      <c r="AF464" s="337"/>
      <c r="AN464" s="336"/>
      <c r="AP464" s="335"/>
    </row>
    <row r="465" spans="3:42" ht="13.5" customHeight="1">
      <c r="C465" s="3"/>
      <c r="D465" s="3"/>
      <c r="G465" s="3"/>
      <c r="L465" s="79"/>
      <c r="M465" s="79"/>
      <c r="O465" s="334"/>
      <c r="P465" s="350" t="s">
        <v>403</v>
      </c>
      <c r="Q465" s="350" t="s">
        <v>404</v>
      </c>
      <c r="R465" s="350">
        <v>611744576</v>
      </c>
      <c r="S465" s="350">
        <v>7</v>
      </c>
      <c r="T465" s="350" t="s">
        <v>27</v>
      </c>
      <c r="U465" s="350" t="s">
        <v>405</v>
      </c>
      <c r="V465" s="350" t="s">
        <v>151</v>
      </c>
      <c r="W465" s="350" t="s">
        <v>152</v>
      </c>
      <c r="X465" s="350" t="s">
        <v>406</v>
      </c>
      <c r="Y465" s="339"/>
      <c r="Z465" s="338"/>
      <c r="AA465" s="78"/>
      <c r="AC465" s="119"/>
      <c r="AD465" s="3" t="e">
        <f>X465*8/1000000</f>
        <v>#VALUE!</v>
      </c>
      <c r="AE465" s="3" t="e">
        <f>V465*8/1000000</f>
        <v>#VALUE!</v>
      </c>
      <c r="AF465" s="337"/>
      <c r="AN465" s="336"/>
      <c r="AP465" s="335"/>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5516</v>
      </c>
      <c r="O466" s="334" t="str">
        <f>AG466</f>
        <v>253/18:53</v>
      </c>
      <c r="P466" s="32" t="str">
        <f>MID(AH466,5,5)</f>
        <v>253_3</v>
      </c>
      <c r="Q466" s="349">
        <f>R465-5</f>
        <v>611744571</v>
      </c>
      <c r="R466" s="349">
        <f>Q466+1685</f>
        <v>611746256</v>
      </c>
      <c r="S466" s="21">
        <f>R466-Q466</f>
        <v>1685</v>
      </c>
      <c r="T466" s="21">
        <f>$V$38</f>
        <v>197375</v>
      </c>
      <c r="U466" s="3">
        <v>0</v>
      </c>
      <c r="V466" s="20">
        <f>T466+U466*$V$34</f>
        <v>197375</v>
      </c>
      <c r="W466" s="348">
        <f>X463</f>
        <v>449450.57674729812</v>
      </c>
      <c r="X466" s="340">
        <f>W466-V466</f>
        <v>252075.57674729812</v>
      </c>
      <c r="Y466" s="339">
        <f>Z466-W466</f>
        <v>777868.17325270211</v>
      </c>
      <c r="Z466" s="338">
        <f>AA466*1000000/8</f>
        <v>1227318.7500000002</v>
      </c>
      <c r="AA466" s="78">
        <f>AN466</f>
        <v>9.8185500000000019</v>
      </c>
      <c r="AB466">
        <f>W466*8/1000000</f>
        <v>3.5956046139783848</v>
      </c>
      <c r="AC466" s="119">
        <f>AC463+AE466</f>
        <v>116.97940818602146</v>
      </c>
      <c r="AD466" s="3">
        <f>X466*8/1000000</f>
        <v>2.0166046139783851</v>
      </c>
      <c r="AE466" s="3">
        <f>V466*8/1000000</f>
        <v>1.579</v>
      </c>
      <c r="AF466" s="337" t="str">
        <f>AH466</f>
        <v>TRK_253_3</v>
      </c>
      <c r="AG466" t="s">
        <v>5515</v>
      </c>
      <c r="AH466" t="s">
        <v>5514</v>
      </c>
      <c r="AI466" t="s">
        <v>5513</v>
      </c>
      <c r="AJ466">
        <v>0.18677099999999999</v>
      </c>
      <c r="AK466">
        <v>1.3556459999999999</v>
      </c>
      <c r="AL466">
        <v>1.1688750000000001</v>
      </c>
      <c r="AM466">
        <v>10.286102</v>
      </c>
      <c r="AN466" s="336">
        <f>AL466*8*1.05</f>
        <v>9.8185500000000019</v>
      </c>
      <c r="AP466" s="335" t="s">
        <v>5512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5511</v>
      </c>
      <c r="O467" s="334">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8">
        <f>X466</f>
        <v>252075.57674729812</v>
      </c>
      <c r="X467" s="340">
        <f>W467-V467</f>
        <v>1.3853423297405243E-8</v>
      </c>
      <c r="Y467" s="339"/>
      <c r="Z467" s="338"/>
      <c r="AA467" s="78"/>
      <c r="AC467" s="119"/>
      <c r="AD467" s="3">
        <f>X467*8/1000000</f>
        <v>1.1082738637924195E-13</v>
      </c>
      <c r="AE467" s="3">
        <f>V467*8/1000000</f>
        <v>2.0166046139782741</v>
      </c>
      <c r="AF467" s="337"/>
      <c r="AN467" s="336"/>
      <c r="AP467" s="335"/>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5511</v>
      </c>
      <c r="O468" s="334" t="str">
        <f>AG468</f>
        <v>255/00:23</v>
      </c>
      <c r="P468" s="32" t="str">
        <f>MID(AH468,5,5)</f>
        <v>255_1</v>
      </c>
      <c r="Q468" s="59">
        <f>R467-1</f>
        <v>612432757.69837558</v>
      </c>
      <c r="R468" s="349">
        <f>$R$166</f>
        <v>613555316</v>
      </c>
      <c r="S468" s="21">
        <f>R468-Q468</f>
        <v>1122558.3016244173</v>
      </c>
      <c r="T468" s="21">
        <f>S468*$V$26</f>
        <v>412189.37637771573</v>
      </c>
      <c r="U468" s="3">
        <v>0</v>
      </c>
      <c r="V468" s="20">
        <f>T468+U468*$V$34</f>
        <v>412189.37637771573</v>
      </c>
      <c r="W468" s="20">
        <f>AA468*1000000/8</f>
        <v>1254691.2000000002</v>
      </c>
      <c r="X468" s="340">
        <f>W468-V468</f>
        <v>842501.82362228446</v>
      </c>
      <c r="Y468" s="339"/>
      <c r="Z468" s="338"/>
      <c r="AA468" s="78">
        <f>AN468</f>
        <v>10.037529600000001</v>
      </c>
      <c r="AC468" s="119">
        <f>AC466+AE468</f>
        <v>120.27692319704319</v>
      </c>
      <c r="AD468" s="3">
        <f>X468*8/1000000</f>
        <v>6.7400145889782754</v>
      </c>
      <c r="AE468" s="3">
        <f>V468*8/1000000</f>
        <v>3.297515011021726</v>
      </c>
      <c r="AF468" s="337" t="str">
        <f>AH468</f>
        <v>TRK_255_1_</v>
      </c>
      <c r="AG468" t="s">
        <v>5510</v>
      </c>
      <c r="AH468" t="s">
        <v>5509</v>
      </c>
      <c r="AI468" t="s">
        <v>5508</v>
      </c>
      <c r="AJ468">
        <v>0.49954100000000001</v>
      </c>
      <c r="AK468">
        <v>1.694485</v>
      </c>
      <c r="AL468">
        <v>1.194944</v>
      </c>
      <c r="AM468">
        <v>10.515509</v>
      </c>
      <c r="AN468" s="336">
        <f>AL468*8*1.05</f>
        <v>10.037529600000001</v>
      </c>
      <c r="AP468" s="335" t="s">
        <v>5507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5506</v>
      </c>
      <c r="O469" s="334"/>
      <c r="P469" s="32"/>
      <c r="Q469" s="349">
        <f>R270-5</f>
        <v>644923310</v>
      </c>
      <c r="R469" s="21">
        <f>W469/$V$23+Q469</f>
        <v>646452958.70104468</v>
      </c>
      <c r="S469" s="21">
        <f>R469-Q469</f>
        <v>1529648.7010446787</v>
      </c>
      <c r="T469" s="21">
        <f>S469*$V$23</f>
        <v>842501.82362226443</v>
      </c>
      <c r="U469" s="3">
        <v>0</v>
      </c>
      <c r="V469" s="20">
        <f>T469+U469*$V$34</f>
        <v>842501.82362226443</v>
      </c>
      <c r="W469" s="348">
        <f>X468</f>
        <v>842501.82362228446</v>
      </c>
      <c r="X469" s="340">
        <f>W469-V469</f>
        <v>2.0023435354232788E-8</v>
      </c>
      <c r="Y469" s="339"/>
      <c r="Z469" s="338"/>
      <c r="AA469" s="78"/>
      <c r="AC469" s="119"/>
      <c r="AD469" s="3"/>
      <c r="AE469" s="3"/>
      <c r="AF469" s="337"/>
      <c r="AN469" s="336"/>
      <c r="AP469" s="335"/>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5506</v>
      </c>
      <c r="O470" s="334" t="str">
        <f>AG470</f>
        <v>256/00:53</v>
      </c>
      <c r="P470" s="32" t="str">
        <f>MID(AH470,5,5)</f>
        <v>256_1</v>
      </c>
      <c r="Q470" s="59">
        <f>R469-1</f>
        <v>646452957.70104468</v>
      </c>
      <c r="R470" s="349">
        <f>$Q$378+1</f>
        <v>646884111</v>
      </c>
      <c r="S470" s="21">
        <f>R470-Q470</f>
        <v>431153.29895532131</v>
      </c>
      <c r="T470" s="21">
        <f>S470*$V$23</f>
        <v>237471.15294023557</v>
      </c>
      <c r="U470" s="3">
        <v>0</v>
      </c>
      <c r="V470" s="20">
        <f>T470+U470*$V$34</f>
        <v>237471.15294023557</v>
      </c>
      <c r="W470" s="20">
        <f>AA470*1000000/8</f>
        <v>1026811.7999999999</v>
      </c>
      <c r="X470" s="340">
        <f>W470-V470</f>
        <v>789340.64705976436</v>
      </c>
      <c r="Y470" s="339"/>
      <c r="Z470" s="338"/>
      <c r="AA470" s="78">
        <f>AN470</f>
        <v>8.2144943999999995</v>
      </c>
      <c r="AC470" s="119">
        <f>AC468+AE470</f>
        <v>122.17669242056508</v>
      </c>
      <c r="AD470" s="3">
        <f>X470*8/1000000</f>
        <v>6.3147251764781149</v>
      </c>
      <c r="AE470" s="3">
        <f>V470*8/1000000</f>
        <v>1.8997692235218846</v>
      </c>
      <c r="AF470" s="337" t="str">
        <f>AH470</f>
        <v>TRK_256_1</v>
      </c>
      <c r="AG470" t="s">
        <v>5505</v>
      </c>
      <c r="AH470" t="s">
        <v>5504</v>
      </c>
      <c r="AI470" t="s">
        <v>5503</v>
      </c>
      <c r="AJ470">
        <v>0.301508</v>
      </c>
      <c r="AK470">
        <v>1.2794239999999999</v>
      </c>
      <c r="AL470">
        <v>0.97791600000000001</v>
      </c>
      <c r="AM470">
        <v>8.605658</v>
      </c>
      <c r="AN470" s="336">
        <f>AL470*8*1.05</f>
        <v>8.2144943999999995</v>
      </c>
      <c r="AP470" s="335" t="s">
        <v>5502</v>
      </c>
    </row>
    <row r="471" spans="3:42" ht="13.5" customHeight="1">
      <c r="C471" s="3"/>
      <c r="D471" s="3"/>
      <c r="G471" s="3"/>
      <c r="L471" s="79"/>
      <c r="M471" s="79"/>
      <c r="O471" s="334"/>
      <c r="P471" s="316" t="s">
        <v>5501</v>
      </c>
      <c r="Q471" s="316">
        <v>621555962</v>
      </c>
      <c r="R471" s="316">
        <v>0</v>
      </c>
      <c r="S471" s="316" t="s">
        <v>409</v>
      </c>
      <c r="T471" s="316" t="s">
        <v>1043</v>
      </c>
      <c r="U471" s="316" t="s">
        <v>416</v>
      </c>
      <c r="V471" s="316" t="s">
        <v>417</v>
      </c>
      <c r="W471" s="20"/>
      <c r="X471" s="340"/>
      <c r="Y471" s="339"/>
      <c r="Z471" s="338"/>
      <c r="AA471" s="78"/>
      <c r="AC471" s="119"/>
      <c r="AD471" s="3"/>
      <c r="AE471" s="3"/>
      <c r="AF471" s="337"/>
      <c r="AN471" s="336"/>
      <c r="AP471" s="335"/>
    </row>
    <row r="472" spans="3:42" ht="13.5" customHeight="1">
      <c r="C472" s="3">
        <v>104</v>
      </c>
      <c r="D472" s="3">
        <v>105</v>
      </c>
      <c r="G472" s="3" t="s">
        <v>50</v>
      </c>
      <c r="L472" s="79" t="str" cm="1">
        <f t="array" aca="1" ref="L472" ca="1">MID(met2utc(Q472),3,12)</f>
        <v>25-273/16:34</v>
      </c>
      <c r="M472" s="79" t="str" cm="1">
        <f t="array" aca="1" ref="M472" ca="1">MID(met2utc(R472),3,12)</f>
        <v>25-275/11:59</v>
      </c>
      <c r="N472" t="s">
        <v>5476</v>
      </c>
      <c r="O472" s="334"/>
      <c r="P472" s="32"/>
      <c r="Q472" s="349">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8">
        <f>X470</f>
        <v>789340.64705976436</v>
      </c>
      <c r="X472" s="340">
        <f t="shared" ref="X472:X483" si="153">W472-V472</f>
        <v>1.8242280930280685E-7</v>
      </c>
      <c r="Y472" s="339"/>
      <c r="Z472" s="338"/>
      <c r="AA472" s="78"/>
      <c r="AC472" s="119"/>
      <c r="AD472" s="3"/>
      <c r="AE472" s="3"/>
      <c r="AF472" s="337"/>
      <c r="AN472" s="336"/>
      <c r="AP472" s="335"/>
    </row>
    <row r="473" spans="3:42" ht="13.5" customHeight="1">
      <c r="C473" s="3">
        <v>104</v>
      </c>
      <c r="D473" s="3">
        <v>105</v>
      </c>
      <c r="G473" s="3" t="s">
        <v>50</v>
      </c>
      <c r="L473" s="79" t="str" cm="1">
        <f t="array" aca="1" ref="L473" ca="1">MID(met2utc(Q473),3,12)</f>
        <v>25-275/11:59</v>
      </c>
      <c r="M473" s="79" t="str" cm="1">
        <f t="array" aca="1" ref="M473" ca="1">MID(met2utc(R473),3,12)</f>
        <v>25-277/01:06</v>
      </c>
      <c r="N473" t="s">
        <v>5476</v>
      </c>
      <c r="O473" s="334"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40">
        <f t="shared" si="153"/>
        <v>-2.6659108698368073E-8</v>
      </c>
      <c r="Y473" s="339"/>
      <c r="Z473" s="338"/>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7" t="str">
        <f t="shared" ref="AF473:AF480" si="161">AH473</f>
        <v>TRK_256_2</v>
      </c>
      <c r="AG473" t="s">
        <v>5500</v>
      </c>
      <c r="AH473" t="s">
        <v>5499</v>
      </c>
      <c r="AI473" t="s">
        <v>5498</v>
      </c>
      <c r="AJ473">
        <v>0.30713200000000002</v>
      </c>
      <c r="AK473">
        <v>0.94995799999999997</v>
      </c>
      <c r="AL473">
        <v>0.64282600000000001</v>
      </c>
      <c r="AM473">
        <v>5.6568680000000002</v>
      </c>
      <c r="AN473" s="336">
        <f t="shared" ref="AN473:AN480" si="162">AL473*8*1.05</f>
        <v>5.3997384000000004</v>
      </c>
      <c r="AP473" s="335" t="s">
        <v>5497</v>
      </c>
    </row>
    <row r="474" spans="3:42" ht="13.5" customHeight="1">
      <c r="C474" s="3">
        <v>104</v>
      </c>
      <c r="D474" s="3">
        <v>105</v>
      </c>
      <c r="G474" s="3" t="s">
        <v>50</v>
      </c>
      <c r="L474" s="79" t="str" cm="1">
        <f t="array" aca="1" ref="L474" ca="1">MID(met2utc(Q474),3,12)</f>
        <v>25-277/01:06</v>
      </c>
      <c r="M474" s="79" t="str" cm="1">
        <f t="array" aca="1" ref="M474" ca="1">MID(met2utc(R474),3,12)</f>
        <v>25-278/12:58</v>
      </c>
      <c r="N474" t="s">
        <v>5476</v>
      </c>
      <c r="O474" s="334"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40">
        <f t="shared" si="153"/>
        <v>-1.7927959561347961E-8</v>
      </c>
      <c r="Y474" s="339"/>
      <c r="Z474" s="338"/>
      <c r="AA474" s="78">
        <f t="shared" si="158"/>
        <v>5.2174415999999999</v>
      </c>
      <c r="AC474" s="119">
        <f>AC473+AE474</f>
        <v>132.79387242056544</v>
      </c>
      <c r="AD474" s="3">
        <f t="shared" si="159"/>
        <v>-1.4342367649078369E-13</v>
      </c>
      <c r="AE474" s="3">
        <f t="shared" si="160"/>
        <v>5.2174416000001429</v>
      </c>
      <c r="AF474" s="337" t="str">
        <f t="shared" si="161"/>
        <v>TRK_256_3</v>
      </c>
      <c r="AG474" t="s">
        <v>5496</v>
      </c>
      <c r="AH474" t="s">
        <v>5495</v>
      </c>
      <c r="AI474" t="s">
        <v>5494</v>
      </c>
      <c r="AJ474">
        <v>0.19022</v>
      </c>
      <c r="AK474">
        <v>0.81134399999999995</v>
      </c>
      <c r="AL474">
        <v>0.62112400000000001</v>
      </c>
      <c r="AM474">
        <v>5.4658920000000002</v>
      </c>
      <c r="AN474" s="336">
        <f t="shared" si="162"/>
        <v>5.2174415999999999</v>
      </c>
      <c r="AP474" s="335" t="s">
        <v>5493</v>
      </c>
    </row>
    <row r="475" spans="3:42" ht="13.5" customHeight="1">
      <c r="C475" s="3">
        <v>104</v>
      </c>
      <c r="D475" s="3">
        <v>105</v>
      </c>
      <c r="G475" s="3" t="s">
        <v>50</v>
      </c>
      <c r="L475" s="79" t="str" cm="1">
        <f t="array" aca="1" ref="L475" ca="1">MID(met2utc(Q475),3,12)</f>
        <v>25-278/12:58</v>
      </c>
      <c r="M475" s="79" t="str" cm="1">
        <f t="array" aca="1" ref="M475" ca="1">MID(met2utc(R475),3,12)</f>
        <v>25-280/08:13</v>
      </c>
      <c r="N475" t="s">
        <v>5476</v>
      </c>
      <c r="O475" s="334"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40">
        <f t="shared" si="153"/>
        <v>0</v>
      </c>
      <c r="Y475" s="339"/>
      <c r="Z475" s="338"/>
      <c r="AA475" s="78">
        <f t="shared" si="158"/>
        <v>6.2906676000000008</v>
      </c>
      <c r="AC475" s="119">
        <f>AC474+AE475</f>
        <v>139.08454002056544</v>
      </c>
      <c r="AD475" s="3">
        <f t="shared" si="159"/>
        <v>0</v>
      </c>
      <c r="AE475" s="3">
        <f t="shared" si="160"/>
        <v>6.2906676000000035</v>
      </c>
      <c r="AF475" s="337" t="str">
        <f t="shared" si="161"/>
        <v>TRK_257_1</v>
      </c>
      <c r="AG475" t="s">
        <v>5492</v>
      </c>
      <c r="AH475" t="s">
        <v>5491</v>
      </c>
      <c r="AI475" t="s">
        <v>5490</v>
      </c>
      <c r="AJ475">
        <v>0.241893</v>
      </c>
      <c r="AK475">
        <v>0.99078200000000005</v>
      </c>
      <c r="AL475">
        <v>0.74888900000000003</v>
      </c>
      <c r="AM475">
        <v>6.5902269999999996</v>
      </c>
      <c r="AN475" s="336">
        <f t="shared" si="162"/>
        <v>6.2906676000000008</v>
      </c>
      <c r="AP475" s="335" t="s">
        <v>5489</v>
      </c>
    </row>
    <row r="476" spans="3:42" ht="13.5" customHeight="1">
      <c r="C476" s="3">
        <v>104</v>
      </c>
      <c r="D476" s="3">
        <v>105</v>
      </c>
      <c r="G476" s="3" t="s">
        <v>50</v>
      </c>
      <c r="L476" s="79" t="str" cm="1">
        <f t="array" aca="1" ref="L476" ca="1">MID(met2utc(Q476),3,12)</f>
        <v>25-280/08:13</v>
      </c>
      <c r="M476" s="79" t="str" cm="1">
        <f t="array" aca="1" ref="M476" ca="1">MID(met2utc(R476),3,12)</f>
        <v>25-280/23:41</v>
      </c>
      <c r="N476" t="s">
        <v>5476</v>
      </c>
      <c r="O476" s="334"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40">
        <f t="shared" si="153"/>
        <v>-1.5867408365011215E-7</v>
      </c>
      <c r="Y476" s="339"/>
      <c r="Z476" s="338"/>
      <c r="AA476" s="78">
        <f t="shared" si="158"/>
        <v>2.2477644000000003</v>
      </c>
      <c r="AC476" s="119">
        <f>AC475+AE476</f>
        <v>141.33230442056671</v>
      </c>
      <c r="AD476" s="3">
        <f t="shared" si="159"/>
        <v>-1.2693926692008973E-12</v>
      </c>
      <c r="AE476" s="3">
        <f t="shared" si="160"/>
        <v>2.24776440000127</v>
      </c>
      <c r="AF476" s="337" t="str">
        <f t="shared" si="161"/>
        <v>TRK_258_1_</v>
      </c>
      <c r="AG476" t="s">
        <v>5488</v>
      </c>
      <c r="AH476" t="s">
        <v>5487</v>
      </c>
      <c r="AI476" t="s">
        <v>5486</v>
      </c>
      <c r="AJ476">
        <v>0.45894099999999999</v>
      </c>
      <c r="AK476">
        <v>0.72653199999999996</v>
      </c>
      <c r="AL476">
        <v>0.26759100000000002</v>
      </c>
      <c r="AM476">
        <v>2.3547989999999999</v>
      </c>
      <c r="AN476" s="336">
        <f t="shared" si="162"/>
        <v>2.2477644000000003</v>
      </c>
      <c r="AP476" s="335" t="s">
        <v>5485</v>
      </c>
    </row>
    <row r="477" spans="3:42" ht="13.5" customHeight="1">
      <c r="C477" s="3">
        <v>104</v>
      </c>
      <c r="D477" s="3">
        <v>105</v>
      </c>
      <c r="G477" s="3" t="s">
        <v>50</v>
      </c>
      <c r="L477" s="79" t="str" cm="1">
        <f t="array" aca="1" ref="L477" ca="1">MID(met2utc(Q477),3,12)</f>
        <v>25-280/23:41</v>
      </c>
      <c r="M477" s="79" t="str" cm="1">
        <f t="array" aca="1" ref="M477" ca="1">MID(met2utc(R477),3,12)</f>
        <v>25-285/03:37</v>
      </c>
      <c r="N477" t="s">
        <v>5476</v>
      </c>
      <c r="O477" s="334"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40">
        <f t="shared" si="153"/>
        <v>-2.0605511963367462E-7</v>
      </c>
      <c r="Y477" s="339"/>
      <c r="Z477" s="338"/>
      <c r="AA477" s="78">
        <f t="shared" si="158"/>
        <v>14.5352172</v>
      </c>
      <c r="AC477" s="119">
        <f>AC476+AE477</f>
        <v>155.86752162056837</v>
      </c>
      <c r="AD477" s="3">
        <f t="shared" si="159"/>
        <v>-1.6484409570693971E-12</v>
      </c>
      <c r="AE477" s="3">
        <f t="shared" si="160"/>
        <v>14.535217200001648</v>
      </c>
      <c r="AF477" s="337" t="str">
        <f t="shared" si="161"/>
        <v>TRK_258_2</v>
      </c>
      <c r="AG477" t="s">
        <v>5484</v>
      </c>
      <c r="AH477" t="s">
        <v>5483</v>
      </c>
      <c r="AI477" t="s">
        <v>5482</v>
      </c>
      <c r="AJ477">
        <v>0.198909</v>
      </c>
      <c r="AK477">
        <v>1.929292</v>
      </c>
      <c r="AL477">
        <v>1.730383</v>
      </c>
      <c r="AM477">
        <v>15.227372000000001</v>
      </c>
      <c r="AN477" s="336">
        <f t="shared" si="162"/>
        <v>14.5352172</v>
      </c>
      <c r="AP477" s="335" t="s">
        <v>5481</v>
      </c>
    </row>
    <row r="478" spans="3:42" ht="13.5" customHeight="1">
      <c r="C478" s="3">
        <v>104</v>
      </c>
      <c r="D478" s="3">
        <v>105</v>
      </c>
      <c r="G478" s="3" t="s">
        <v>50</v>
      </c>
      <c r="L478" s="79" t="str" cm="1">
        <f t="array" aca="1" ref="L478" ca="1">MID(met2utc(Q478),3,12)</f>
        <v>25-285/03:37</v>
      </c>
      <c r="M478" s="79" t="str" cm="1">
        <f t="array" aca="1" ref="M478" ca="1">MID(met2utc(R478),3,12)</f>
        <v>25-286/01:17</v>
      </c>
      <c r="N478" t="s">
        <v>5476</v>
      </c>
      <c r="O478" s="334"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40">
        <f t="shared" si="153"/>
        <v>-2.9284274205565453E-7</v>
      </c>
      <c r="Y478" s="339"/>
      <c r="Z478" s="338"/>
      <c r="AA478" s="78">
        <f t="shared" si="158"/>
        <v>3.1511172000000003</v>
      </c>
      <c r="AC478" s="119">
        <f>AC476+AE478</f>
        <v>144.48342162056906</v>
      </c>
      <c r="AD478" s="3">
        <f t="shared" si="159"/>
        <v>-2.3427419364452362E-12</v>
      </c>
      <c r="AE478" s="3">
        <f t="shared" si="160"/>
        <v>3.1511172000023429</v>
      </c>
      <c r="AF478" s="337" t="str">
        <f t="shared" si="161"/>
        <v>TRK_259_1</v>
      </c>
      <c r="AG478" t="s">
        <v>5480</v>
      </c>
      <c r="AH478" t="s">
        <v>5479</v>
      </c>
      <c r="AI478" t="s">
        <v>5478</v>
      </c>
      <c r="AJ478">
        <v>0.22928699999999999</v>
      </c>
      <c r="AK478">
        <v>0.60441999999999996</v>
      </c>
      <c r="AL478">
        <v>0.37513299999999999</v>
      </c>
      <c r="AM478">
        <v>3.3011680000000001</v>
      </c>
      <c r="AN478" s="336">
        <f t="shared" si="162"/>
        <v>3.1511172000000003</v>
      </c>
      <c r="AP478" s="335" t="s">
        <v>5477</v>
      </c>
    </row>
    <row r="479" spans="3:42" ht="13.5" customHeight="1">
      <c r="C479" s="3">
        <v>104</v>
      </c>
      <c r="D479" s="3">
        <v>105</v>
      </c>
      <c r="G479" s="3" t="s">
        <v>50</v>
      </c>
      <c r="L479" s="79" t="str" cm="1">
        <f t="array" aca="1" ref="L479" ca="1">MID(met2utc(Q479),3,12)</f>
        <v>25-286/01:17</v>
      </c>
      <c r="M479" s="79" t="str" cm="1">
        <f t="array" aca="1" ref="M479" ca="1">MID(met2utc(R479),3,12)</f>
        <v>25-288/14:53</v>
      </c>
      <c r="N479" t="s">
        <v>5476</v>
      </c>
      <c r="O479" s="334"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40">
        <f t="shared" si="153"/>
        <v>-5.5413693189620972E-8</v>
      </c>
      <c r="Y479" s="339"/>
      <c r="Z479" s="338"/>
      <c r="AA479" s="78">
        <f t="shared" si="158"/>
        <v>8.9610192000000009</v>
      </c>
      <c r="AC479" s="119">
        <f>AC477+AE479</f>
        <v>164.8285408205688</v>
      </c>
      <c r="AD479" s="3">
        <f t="shared" si="159"/>
        <v>-4.433095455169678E-13</v>
      </c>
      <c r="AE479" s="3">
        <f t="shared" si="160"/>
        <v>8.9610192000004449</v>
      </c>
      <c r="AF479" s="337" t="str">
        <f t="shared" si="161"/>
        <v>TRK_261_1_</v>
      </c>
      <c r="AG479" t="s">
        <v>5475</v>
      </c>
      <c r="AH479" t="s">
        <v>5474</v>
      </c>
      <c r="AI479" t="s">
        <v>5473</v>
      </c>
      <c r="AJ479">
        <v>0.53908</v>
      </c>
      <c r="AK479">
        <v>1.6058680000000001</v>
      </c>
      <c r="AL479">
        <v>1.0667880000000001</v>
      </c>
      <c r="AM479">
        <v>9.3877330000000008</v>
      </c>
      <c r="AN479" s="336">
        <f t="shared" si="162"/>
        <v>8.9610192000000009</v>
      </c>
      <c r="AP479" s="335" t="s">
        <v>5472</v>
      </c>
    </row>
    <row r="480" spans="3:42" ht="13.5" customHeight="1">
      <c r="N480" s="294" t="s">
        <v>5467</v>
      </c>
      <c r="O480" s="334" t="str">
        <f t="shared" si="154"/>
        <v>261/23:22</v>
      </c>
      <c r="P480" s="32" t="str">
        <f t="shared" si="155"/>
        <v>261_3</v>
      </c>
      <c r="Q480" s="347">
        <f>R435-1</f>
        <v>645953884</v>
      </c>
      <c r="R480" s="346">
        <f>Z487</f>
        <v>645954474.13390243</v>
      </c>
      <c r="S480" s="191"/>
      <c r="T480" s="191"/>
      <c r="U480" s="345"/>
      <c r="V480" s="344">
        <f>V487</f>
        <v>2347763.7749999999</v>
      </c>
      <c r="W480" s="20">
        <f t="shared" si="157"/>
        <v>4695527.55</v>
      </c>
      <c r="X480" s="340">
        <f t="shared" si="153"/>
        <v>2347763.7749999999</v>
      </c>
      <c r="Y480" s="339"/>
      <c r="Z480" s="343">
        <f>AE480</f>
        <v>18.782110199999998</v>
      </c>
      <c r="AA480" s="78">
        <f t="shared" si="158"/>
        <v>37.564220399999996</v>
      </c>
      <c r="AC480" s="119">
        <f>AC479+AE480</f>
        <v>183.61065102056881</v>
      </c>
      <c r="AD480" s="3">
        <f t="shared" si="159"/>
        <v>18.782110199999998</v>
      </c>
      <c r="AE480" s="3">
        <f t="shared" si="160"/>
        <v>18.782110199999998</v>
      </c>
      <c r="AF480" s="337" t="str">
        <f t="shared" si="161"/>
        <v>TRK_261_3</v>
      </c>
      <c r="AG480" t="s">
        <v>5471</v>
      </c>
      <c r="AH480" t="s">
        <v>5470</v>
      </c>
      <c r="AI480" t="s">
        <v>5469</v>
      </c>
      <c r="AJ480">
        <v>0.29404599999999997</v>
      </c>
      <c r="AK480">
        <v>4.7659770000000004</v>
      </c>
      <c r="AL480">
        <v>4.4719309999999997</v>
      </c>
      <c r="AM480">
        <v>39.352995</v>
      </c>
      <c r="AN480" s="336">
        <f t="shared" si="162"/>
        <v>37.564220399999996</v>
      </c>
      <c r="AP480" s="335" t="s">
        <v>5468</v>
      </c>
    </row>
    <row r="481" spans="10:42" ht="13.5" customHeight="1">
      <c r="N481" s="294" t="s">
        <v>5467</v>
      </c>
      <c r="O481" s="334"/>
      <c r="P481" s="32"/>
      <c r="Q481" s="347">
        <f>Q488</f>
        <v>645954473.13390243</v>
      </c>
      <c r="R481" s="346">
        <f>Z488</f>
        <v>645955063.86945069</v>
      </c>
      <c r="S481" s="191"/>
      <c r="T481" s="191"/>
      <c r="U481" s="345"/>
      <c r="V481" s="344">
        <f>V488</f>
        <v>2347763.7749999999</v>
      </c>
      <c r="W481" s="348">
        <f>X480</f>
        <v>2347763.7749999999</v>
      </c>
      <c r="X481" s="340">
        <f t="shared" si="153"/>
        <v>0</v>
      </c>
      <c r="Y481" s="339"/>
      <c r="Z481" s="343"/>
      <c r="AA481" s="78"/>
      <c r="AC481" s="119"/>
      <c r="AD481" s="3"/>
      <c r="AE481" s="3"/>
      <c r="AF481" s="337"/>
      <c r="AN481" s="336"/>
      <c r="AP481" s="335"/>
    </row>
    <row r="482" spans="10:42" ht="13.5" customHeight="1">
      <c r="N482" s="294" t="s">
        <v>5467</v>
      </c>
      <c r="O482" s="334" t="str">
        <f>AG482</f>
        <v>263/08:07</v>
      </c>
      <c r="P482" s="32" t="str">
        <f>MID(AH482,5,5)</f>
        <v>263_1</v>
      </c>
      <c r="Q482" s="347">
        <f>Q489</f>
        <v>645955062.86945069</v>
      </c>
      <c r="R482" s="346">
        <f>Z489</f>
        <v>645955295.29034281</v>
      </c>
      <c r="S482" s="191"/>
      <c r="T482" s="191"/>
      <c r="U482" s="345"/>
      <c r="V482" s="344">
        <f>V489</f>
        <v>921356.1</v>
      </c>
      <c r="W482" s="20">
        <f>AA482*1000000/8</f>
        <v>921356.1</v>
      </c>
      <c r="X482" s="340">
        <f t="shared" si="153"/>
        <v>0</v>
      </c>
      <c r="Y482" s="339"/>
      <c r="Z482" s="343">
        <f>AA482</f>
        <v>7.3708488000000001</v>
      </c>
      <c r="AA482" s="78">
        <f>AN482</f>
        <v>7.3708488000000001</v>
      </c>
      <c r="AC482" s="119">
        <f>AC480+AE482</f>
        <v>190.98149982056881</v>
      </c>
      <c r="AD482" s="3">
        <f>X482*8/1000000</f>
        <v>0</v>
      </c>
      <c r="AE482" s="3">
        <f>V482*8/1000000</f>
        <v>7.3708488000000001</v>
      </c>
      <c r="AF482" s="337" t="str">
        <f>AH482</f>
        <v>TRK_263_1</v>
      </c>
      <c r="AG482" t="s">
        <v>5466</v>
      </c>
      <c r="AH482" t="s">
        <v>5465</v>
      </c>
      <c r="AI482" t="s">
        <v>5464</v>
      </c>
      <c r="AJ482">
        <v>0.28040999999999999</v>
      </c>
      <c r="AK482">
        <v>1.1578919999999999</v>
      </c>
      <c r="AL482">
        <v>0.87748199999999998</v>
      </c>
      <c r="AM482">
        <v>7.7218369999999998</v>
      </c>
      <c r="AN482" s="336">
        <f>AL482*8*1.05</f>
        <v>7.3708488000000001</v>
      </c>
      <c r="AP482" s="335" t="s">
        <v>5463</v>
      </c>
    </row>
    <row r="483" spans="10:42" ht="13.5" customHeight="1">
      <c r="J483" t="s">
        <v>228</v>
      </c>
      <c r="K483" t="s">
        <v>825</v>
      </c>
      <c r="L483" s="95" t="str" cm="1">
        <f t="array" aca="1" ref="L483" ca="1">MID(met2utc(Q483),3,12)</f>
        <v>26-248/00:37</v>
      </c>
      <c r="M483" s="95" t="str" cm="1">
        <f t="array" aca="1" ref="M483" ca="1">MID(met2utc(R483),3,12)</f>
        <v>26-263/15:51</v>
      </c>
      <c r="N483" t="s">
        <v>5462</v>
      </c>
      <c r="O483" s="334" t="str">
        <f>AG483</f>
        <v>263/18:11</v>
      </c>
      <c r="P483" s="32" t="str">
        <f>MID(AH483,5,5)</f>
        <v>263_2</v>
      </c>
      <c r="Q483" s="59">
        <f>R458-3</f>
        <v>650874593.07753575</v>
      </c>
      <c r="R483" s="342">
        <v>652225386</v>
      </c>
      <c r="S483" s="341">
        <f>R483-Q483</f>
        <v>1350792.9224642515</v>
      </c>
      <c r="T483" s="341">
        <f>S483*$S$2</f>
        <v>683050.7709562704</v>
      </c>
      <c r="U483" s="3">
        <v>0</v>
      </c>
      <c r="V483" s="20">
        <f>T483+U483*$V$38</f>
        <v>683050.7709562704</v>
      </c>
      <c r="W483" s="20">
        <f>AA483*1000000/8</f>
        <v>703327.8</v>
      </c>
      <c r="X483" s="340">
        <f t="shared" si="153"/>
        <v>20277.02904372965</v>
      </c>
      <c r="Y483" s="339"/>
      <c r="Z483" s="338"/>
      <c r="AA483" s="78">
        <f>AN483</f>
        <v>5.6266224000000005</v>
      </c>
      <c r="AC483" s="130">
        <f>AE483+AC458</f>
        <v>10.60658376764993</v>
      </c>
      <c r="AD483" s="3">
        <f>X483*8/1000000</f>
        <v>0.1622162323498372</v>
      </c>
      <c r="AE483" s="3">
        <f>V483*8/1000000</f>
        <v>5.4644061676501634</v>
      </c>
      <c r="AF483" s="337" t="str">
        <f>AH483</f>
        <v>TRK_263_2</v>
      </c>
      <c r="AG483" t="s">
        <v>5461</v>
      </c>
      <c r="AH483" t="s">
        <v>5460</v>
      </c>
      <c r="AI483" t="s">
        <v>5459</v>
      </c>
      <c r="AJ483">
        <v>0.195407</v>
      </c>
      <c r="AK483">
        <v>0.86524299999999998</v>
      </c>
      <c r="AL483">
        <v>0.66983599999999999</v>
      </c>
      <c r="AM483">
        <v>5.8945550000000004</v>
      </c>
      <c r="AN483" s="336">
        <f>AL483*8*1.05</f>
        <v>5.6266224000000005</v>
      </c>
      <c r="AP483" s="335" t="s">
        <v>5458</v>
      </c>
    </row>
    <row r="484" spans="10:42" ht="13.5" customHeight="1">
      <c r="O484" s="334"/>
      <c r="AM484">
        <f>SUM(AM452:AM483)</f>
        <v>260.41025799999994</v>
      </c>
    </row>
    <row r="485" spans="10:42" ht="13.5" customHeight="1">
      <c r="O485" s="334"/>
      <c r="Q485" t="s">
        <v>5457</v>
      </c>
      <c r="W485" t="s">
        <v>5456</v>
      </c>
      <c r="AD485" t="s">
        <v>5455</v>
      </c>
      <c r="AE485" t="s">
        <v>5454</v>
      </c>
      <c r="AF485" t="s">
        <v>5453</v>
      </c>
      <c r="AG485" t="s">
        <v>5452</v>
      </c>
      <c r="AJ485" s="3"/>
    </row>
    <row r="486" spans="10:42" ht="13.5" customHeight="1">
      <c r="Q486" t="s">
        <v>5451</v>
      </c>
      <c r="R486" t="s">
        <v>5450</v>
      </c>
      <c r="S486" t="s">
        <v>5449</v>
      </c>
      <c r="U486" t="s">
        <v>5448</v>
      </c>
      <c r="V486" t="s">
        <v>5447</v>
      </c>
      <c r="W486" t="s">
        <v>5446</v>
      </c>
      <c r="X486" t="s">
        <v>5445</v>
      </c>
      <c r="Y486" t="s">
        <v>5444</v>
      </c>
      <c r="Z486" t="s">
        <v>6</v>
      </c>
    </row>
    <row r="487" spans="10:42" ht="13.5" customHeight="1">
      <c r="P487" t="s">
        <v>5443</v>
      </c>
      <c r="Q487" s="315">
        <v>645953884</v>
      </c>
      <c r="R487">
        <v>645955455</v>
      </c>
      <c r="S487">
        <f>R487-Q487</f>
        <v>1571</v>
      </c>
      <c r="U487" s="332">
        <f>AA480/2</f>
        <v>18.782110199999998</v>
      </c>
      <c r="V487" s="5">
        <f>U487*1000000/8</f>
        <v>2347763.7749999999</v>
      </c>
      <c r="W487">
        <f>50*1000000/8</f>
        <v>6250000</v>
      </c>
      <c r="X487">
        <f>V487/W487</f>
        <v>0.37564220399999998</v>
      </c>
      <c r="Y487">
        <f>X487*S487</f>
        <v>590.13390248399992</v>
      </c>
      <c r="Z487" s="333">
        <f>Q487+Y487</f>
        <v>645954474.13390243</v>
      </c>
    </row>
    <row r="488" spans="10:42" ht="13.5" customHeight="1">
      <c r="Q488" s="315">
        <f>Z487-1</f>
        <v>645954473.13390243</v>
      </c>
      <c r="R488">
        <v>645955455</v>
      </c>
      <c r="S488" s="5">
        <f>R488-Q488</f>
        <v>981.86609756946564</v>
      </c>
      <c r="U488" s="332">
        <f>U487</f>
        <v>18.782110199999998</v>
      </c>
      <c r="V488" s="5">
        <f>U488*1000000/8</f>
        <v>2347763.7749999999</v>
      </c>
      <c r="W488">
        <f>W487-V487</f>
        <v>3902236.2250000001</v>
      </c>
      <c r="X488">
        <f>V488/W488</f>
        <v>0.60164573327438675</v>
      </c>
      <c r="Y488">
        <f>X488*S488</f>
        <v>590.73554824944176</v>
      </c>
      <c r="Z488" s="315">
        <f>Q488+Y488</f>
        <v>645955063.86945069</v>
      </c>
    </row>
    <row r="489" spans="10:42" ht="13.5" customHeight="1">
      <c r="P489" t="s">
        <v>5442</v>
      </c>
      <c r="Q489" s="315">
        <f>Z488-1</f>
        <v>645955062.86945069</v>
      </c>
      <c r="R489">
        <v>645955455</v>
      </c>
      <c r="S489" s="5">
        <f>R489-Q489</f>
        <v>392.13054931163788</v>
      </c>
      <c r="U489" s="332">
        <f>AA482</f>
        <v>7.3708488000000001</v>
      </c>
      <c r="V489" s="5">
        <f>U489*1000000/8</f>
        <v>921356.1</v>
      </c>
      <c r="W489">
        <f>W488-V488</f>
        <v>1554472.4500000002</v>
      </c>
      <c r="X489">
        <f>V489/W489</f>
        <v>0.59271304550942661</v>
      </c>
      <c r="Y489">
        <f>X489*S489</f>
        <v>232.42089211978526</v>
      </c>
      <c r="Z489" s="315">
        <f>Q489+Y489</f>
        <v>645955295.29034281</v>
      </c>
    </row>
    <row r="490" spans="10:42" ht="13.5" customHeight="1">
      <c r="Q490" s="5">
        <f>Z489-1</f>
        <v>645955294.29034281</v>
      </c>
      <c r="R490">
        <v>645955455</v>
      </c>
      <c r="S490" s="5">
        <f>R490-Q490</f>
        <v>160.70965719223022</v>
      </c>
      <c r="U490" s="332">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2:K1048576">
    <cfRule type="expression" dxfId="85" priority="9" stopIfTrue="1">
      <formula>AND(_xlfn.TEXTJOIN("",FALSE,$E2:$I2) &lt;&gt;"",_xlfn.TEXTJOIN("",FALSE,$J2:$K2) &lt;&gt; "")</formula>
    </cfRule>
  </conditionalFormatting>
  <conditionalFormatting sqref="AO10:AS36">
    <cfRule type="expression" dxfId="84" priority="11">
      <formula>MOD(AO10,1)&lt;&gt;0</formula>
    </cfRule>
  </conditionalFormatting>
  <conditionalFormatting sqref="C1:K1048576">
    <cfRule type="expression" dxfId="83" priority="1" stopIfTrue="1">
      <formula>_xlfn.TEXTJOIN("",FALSE,$E1:$K1)="HSK3DT1DT2DT3DT4SDT1HSK4"</formula>
    </cfRule>
  </conditionalFormatting>
  <conditionalFormatting sqref="E2:K1048576">
    <cfRule type="expression" dxfId="82" priority="10" stopIfTrue="1">
      <formula>NOT(OR(EXACT(E2,""),EXACT(E2,E$1)))</formula>
    </cfRule>
  </conditionalFormatting>
  <conditionalFormatting sqref="O1:P1048576 E1:K1048576">
    <cfRule type="expression" dxfId="81" priority="7" stopIfTrue="1">
      <formula>AND(_xlfn.XOR(_xlfn.TEXTJOIN("",TRUE,$E1:$I1)&lt;&gt;"",_xlfn.TEXTJOIN("",TRUE,$J1:$K1)&lt;&gt;""),$O1="",$P1="")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28575</xdr:rowOff>
                  </from>
                  <to>
                    <xdr:col>0</xdr:col>
                    <xdr:colOff>1704975</xdr:colOff>
                    <xdr:row>4</xdr:row>
                    <xdr:rowOff>9525</xdr:rowOff>
                  </to>
                </anchor>
              </controlPr>
            </control>
          </mc:Choice>
        </mc:AlternateContent>
        <mc:AlternateContent xmlns:mc="http://schemas.openxmlformats.org/markup-compatibility/2006">
          <mc:Choice Requires="x14">
            <control shapeId="90270" r:id="rId6" name="Button 158">
              <controlPr defaultSize="0" print="0" autoFill="0" autoPict="0" macro="[1]!S_TriggerFormMacro.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97"/>
  <sheetViews>
    <sheetView topLeftCell="A98" zoomScaleNormal="100" workbookViewId="0">
      <selection activeCell="B109" sqref="B109"/>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5361</v>
      </c>
    </row>
    <row r="40" spans="2:3">
      <c r="B40" s="6" t="s">
        <v>1267</v>
      </c>
      <c r="C40" t="s">
        <v>5358</v>
      </c>
    </row>
    <row r="41" spans="2:3">
      <c r="B41" s="6" t="s">
        <v>1267</v>
      </c>
      <c r="C41" t="s">
        <v>5359</v>
      </c>
    </row>
    <row r="43" spans="2:3">
      <c r="B43" t="s">
        <v>5362</v>
      </c>
    </row>
    <row r="45" spans="2:3">
      <c r="B45" t="s">
        <v>5364</v>
      </c>
    </row>
    <row r="47" spans="2:3">
      <c r="B47" t="s">
        <v>5367</v>
      </c>
    </row>
    <row r="49" spans="2:3">
      <c r="B49" t="s">
        <v>5368</v>
      </c>
    </row>
    <row r="51" spans="2:3">
      <c r="B51" t="s">
        <v>5373</v>
      </c>
    </row>
    <row r="52" spans="2:3">
      <c r="B52" s="6" t="s">
        <v>1267</v>
      </c>
      <c r="C52" t="s">
        <v>5372</v>
      </c>
    </row>
    <row r="53" spans="2:3">
      <c r="B53" s="6" t="s">
        <v>1267</v>
      </c>
      <c r="C53" t="s">
        <v>5370</v>
      </c>
    </row>
    <row r="54" spans="2:3">
      <c r="B54" s="6" t="s">
        <v>1267</v>
      </c>
      <c r="C54" t="s">
        <v>5369</v>
      </c>
    </row>
    <row r="55" spans="2:3">
      <c r="B55" s="6" t="s">
        <v>1267</v>
      </c>
      <c r="C55" t="s">
        <v>5371</v>
      </c>
    </row>
    <row r="57" spans="2:3">
      <c r="B57" t="s">
        <v>5380</v>
      </c>
    </row>
    <row r="58" spans="2:3">
      <c r="B58" s="6" t="s">
        <v>1267</v>
      </c>
      <c r="C58" t="s">
        <v>5381</v>
      </c>
    </row>
    <row r="59" spans="2:3">
      <c r="B59" s="6" t="s">
        <v>1267</v>
      </c>
      <c r="C59" t="s">
        <v>5382</v>
      </c>
    </row>
    <row r="60" spans="2:3">
      <c r="B60" s="6" t="s">
        <v>1267</v>
      </c>
      <c r="C60" t="s">
        <v>5383</v>
      </c>
    </row>
    <row r="61" spans="2:3">
      <c r="B61" s="6" t="s">
        <v>1267</v>
      </c>
    </row>
    <row r="63" spans="2:3">
      <c r="B63" t="s">
        <v>5384</v>
      </c>
    </row>
    <row r="64" spans="2:3">
      <c r="B64" s="6" t="s">
        <v>1267</v>
      </c>
      <c r="C64" t="s">
        <v>5386</v>
      </c>
    </row>
    <row r="65" spans="2:4">
      <c r="B65" s="6" t="s">
        <v>1267</v>
      </c>
      <c r="C65" t="s">
        <v>5385</v>
      </c>
    </row>
    <row r="67" spans="2:4">
      <c r="B67" t="s">
        <v>5428</v>
      </c>
    </row>
    <row r="69" spans="2:4">
      <c r="B69" t="s">
        <v>5429</v>
      </c>
    </row>
    <row r="71" spans="2:4">
      <c r="B71" t="s">
        <v>5431</v>
      </c>
    </row>
    <row r="72" spans="2:4">
      <c r="B72" s="6" t="s">
        <v>1267</v>
      </c>
      <c r="C72" t="s">
        <v>5433</v>
      </c>
    </row>
    <row r="73" spans="2:4">
      <c r="B73" s="6" t="s">
        <v>1267</v>
      </c>
      <c r="C73" t="s">
        <v>5432</v>
      </c>
    </row>
    <row r="74" spans="2:4">
      <c r="B74" s="6" t="s">
        <v>1267</v>
      </c>
      <c r="C74" t="s">
        <v>5434</v>
      </c>
    </row>
    <row r="75" spans="2:4">
      <c r="B75" s="6" t="s">
        <v>1267</v>
      </c>
      <c r="C75" t="s">
        <v>5435</v>
      </c>
    </row>
    <row r="76" spans="2:4">
      <c r="C76" s="6" t="s">
        <v>1267</v>
      </c>
      <c r="D76" t="s">
        <v>5436</v>
      </c>
    </row>
    <row r="78" spans="2:4">
      <c r="B78" t="s">
        <v>5437</v>
      </c>
    </row>
    <row r="80" spans="2:4">
      <c r="B80" t="s">
        <v>5718</v>
      </c>
    </row>
    <row r="81" spans="2:3">
      <c r="B81" s="6" t="s">
        <v>1267</v>
      </c>
      <c r="C81" t="s">
        <v>5719</v>
      </c>
    </row>
    <row r="82" spans="2:3">
      <c r="B82" s="6" t="s">
        <v>1267</v>
      </c>
      <c r="C82" t="s">
        <v>5722</v>
      </c>
    </row>
    <row r="83" spans="2:3">
      <c r="B83" s="6" t="s">
        <v>1267</v>
      </c>
      <c r="C83" t="s">
        <v>5720</v>
      </c>
    </row>
    <row r="84" spans="2:3">
      <c r="B84" s="6" t="s">
        <v>1267</v>
      </c>
      <c r="C84" t="s">
        <v>5721</v>
      </c>
    </row>
    <row r="85" spans="2:3">
      <c r="B85" s="6" t="s">
        <v>1267</v>
      </c>
      <c r="C85" t="s">
        <v>5728</v>
      </c>
    </row>
    <row r="86" spans="2:3">
      <c r="B86" s="6" t="s">
        <v>1267</v>
      </c>
      <c r="C86" t="s">
        <v>5746</v>
      </c>
    </row>
    <row r="88" spans="2:3">
      <c r="B88" t="s">
        <v>5747</v>
      </c>
    </row>
    <row r="89" spans="2:3">
      <c r="B89" s="6" t="s">
        <v>1267</v>
      </c>
      <c r="C89" t="s">
        <v>5748</v>
      </c>
    </row>
    <row r="91" spans="2:3">
      <c r="B91" t="s">
        <v>5797</v>
      </c>
    </row>
    <row r="92" spans="2:3">
      <c r="B92" s="6" t="s">
        <v>1267</v>
      </c>
      <c r="C92" t="s">
        <v>5793</v>
      </c>
    </row>
    <row r="93" spans="2:3">
      <c r="B93" s="6" t="s">
        <v>1267</v>
      </c>
      <c r="C93" t="s">
        <v>5792</v>
      </c>
    </row>
    <row r="94" spans="2:3">
      <c r="B94" s="6" t="s">
        <v>1267</v>
      </c>
      <c r="C94" t="s">
        <v>5794</v>
      </c>
    </row>
    <row r="95" spans="2:3">
      <c r="B95" s="6" t="s">
        <v>1267</v>
      </c>
      <c r="C95" t="s">
        <v>5795</v>
      </c>
    </row>
    <row r="96" spans="2:3">
      <c r="B96" s="6" t="s">
        <v>1267</v>
      </c>
      <c r="C96" t="s">
        <v>5796</v>
      </c>
    </row>
    <row r="97" spans="1:3">
      <c r="B97" s="6"/>
    </row>
    <row r="98" spans="1:3">
      <c r="B98" t="s">
        <v>5798</v>
      </c>
    </row>
    <row r="99" spans="1:3">
      <c r="B99" s="6" t="s">
        <v>1267</v>
      </c>
      <c r="C99" t="s">
        <v>5799</v>
      </c>
    </row>
    <row r="100" spans="1:3">
      <c r="B100" s="6" t="s">
        <v>1267</v>
      </c>
      <c r="C100" t="s">
        <v>5800</v>
      </c>
    </row>
    <row r="101" spans="1:3">
      <c r="B101" s="6"/>
    </row>
    <row r="102" spans="1:3">
      <c r="B102" t="s">
        <v>5803</v>
      </c>
    </row>
    <row r="103" spans="1:3">
      <c r="B103" s="6" t="s">
        <v>1267</v>
      </c>
      <c r="C103" t="s">
        <v>5801</v>
      </c>
    </row>
    <row r="104" spans="1:3">
      <c r="B104" s="6" t="s">
        <v>1267</v>
      </c>
      <c r="C104" t="s">
        <v>5802</v>
      </c>
    </row>
    <row r="105" spans="1:3">
      <c r="B105" s="6" t="s">
        <v>1267</v>
      </c>
      <c r="C105" t="s">
        <v>5805</v>
      </c>
    </row>
    <row r="106" spans="1:3">
      <c r="B106" s="6" t="s">
        <v>1267</v>
      </c>
      <c r="C106" t="s">
        <v>5804</v>
      </c>
    </row>
    <row r="107" spans="1:3">
      <c r="B107" s="6"/>
    </row>
    <row r="108" spans="1:3">
      <c r="B108" t="s">
        <v>5829</v>
      </c>
    </row>
    <row r="109" spans="1:3">
      <c r="B109" s="6"/>
    </row>
    <row r="111" spans="1:3" s="202" customFormat="1">
      <c r="A111" s="201" t="s">
        <v>1278</v>
      </c>
    </row>
    <row r="112" spans="1:3">
      <c r="A112" s="198"/>
    </row>
    <row r="113" spans="2:5">
      <c r="B113" s="261" t="s">
        <v>5388</v>
      </c>
      <c r="C113" s="261"/>
      <c r="D113" s="261"/>
      <c r="E113" s="261"/>
    </row>
    <row r="114" spans="2:5">
      <c r="B114" s="6" t="s">
        <v>1267</v>
      </c>
      <c r="C114" t="s">
        <v>5391</v>
      </c>
    </row>
    <row r="115" spans="2:5">
      <c r="B115" s="6" t="s">
        <v>1267</v>
      </c>
      <c r="C115" s="260" t="s">
        <v>1279</v>
      </c>
    </row>
    <row r="116" spans="2:5">
      <c r="B116" s="6" t="s">
        <v>1267</v>
      </c>
      <c r="C116" s="260" t="s">
        <v>1287</v>
      </c>
    </row>
    <row r="117" spans="2:5">
      <c r="B117" s="6" t="s">
        <v>1267</v>
      </c>
      <c r="C117" s="260" t="s">
        <v>1288</v>
      </c>
    </row>
    <row r="118" spans="2:5">
      <c r="B118" s="6"/>
    </row>
    <row r="119" spans="2:5">
      <c r="B119" t="s">
        <v>5393</v>
      </c>
    </row>
    <row r="120" spans="2:5">
      <c r="B120" s="6" t="s">
        <v>1267</v>
      </c>
      <c r="C120" t="s">
        <v>5398</v>
      </c>
    </row>
    <row r="121" spans="2:5">
      <c r="B121" s="6" t="s">
        <v>1267</v>
      </c>
      <c r="C121" t="s">
        <v>5392</v>
      </c>
    </row>
    <row r="122" spans="2:5">
      <c r="B122" s="6" t="s">
        <v>1267</v>
      </c>
      <c r="C122" t="s">
        <v>5387</v>
      </c>
    </row>
    <row r="123" spans="2:5">
      <c r="B123" s="6" t="s">
        <v>1267</v>
      </c>
      <c r="C123" s="18" t="s">
        <v>1280</v>
      </c>
    </row>
    <row r="124" spans="2:5">
      <c r="B124" s="6"/>
      <c r="C124" s="6" t="s">
        <v>1267</v>
      </c>
      <c r="D124" t="s">
        <v>1285</v>
      </c>
    </row>
    <row r="125" spans="2:5">
      <c r="D125" s="6" t="s">
        <v>1267</v>
      </c>
      <c r="E125" t="s">
        <v>1282</v>
      </c>
    </row>
    <row r="126" spans="2:5">
      <c r="D126" s="6" t="s">
        <v>1267</v>
      </c>
      <c r="E126" t="s">
        <v>5389</v>
      </c>
    </row>
    <row r="127" spans="2:5">
      <c r="D127" s="6" t="s">
        <v>1267</v>
      </c>
      <c r="E127" t="s">
        <v>5399</v>
      </c>
    </row>
    <row r="128" spans="2:5">
      <c r="D128" s="6" t="s">
        <v>1267</v>
      </c>
      <c r="E128" t="s">
        <v>1283</v>
      </c>
    </row>
    <row r="129" spans="1:5">
      <c r="D129" s="6" t="s">
        <v>1267</v>
      </c>
      <c r="E129" t="s">
        <v>1284</v>
      </c>
    </row>
    <row r="130" spans="1:5">
      <c r="C130" s="6" t="s">
        <v>1267</v>
      </c>
      <c r="D130" t="s">
        <v>1281</v>
      </c>
    </row>
    <row r="132" spans="1:5">
      <c r="B132" t="s">
        <v>5390</v>
      </c>
    </row>
    <row r="133" spans="1:5">
      <c r="B133" s="6" t="s">
        <v>1267</v>
      </c>
      <c r="C133" t="s">
        <v>1286</v>
      </c>
    </row>
    <row r="135" spans="1:5">
      <c r="B135" t="s">
        <v>5394</v>
      </c>
    </row>
    <row r="136" spans="1:5">
      <c r="B136" s="6" t="s">
        <v>1267</v>
      </c>
      <c r="C136" t="s">
        <v>5395</v>
      </c>
    </row>
    <row r="137" spans="1:5">
      <c r="B137" s="6" t="s">
        <v>5396</v>
      </c>
      <c r="C137" t="s">
        <v>5397</v>
      </c>
    </row>
    <row r="139" spans="1:5" s="202" customFormat="1">
      <c r="A139" s="201" t="s">
        <v>1277</v>
      </c>
    </row>
    <row r="140" spans="1:5">
      <c r="A140" s="198"/>
    </row>
    <row r="141" spans="1:5">
      <c r="B141" t="s">
        <v>1290</v>
      </c>
    </row>
    <row r="142" spans="1:5">
      <c r="B142" t="s">
        <v>1289</v>
      </c>
    </row>
    <row r="145" spans="1:24" s="202" customFormat="1">
      <c r="A145" s="202" t="s">
        <v>5742</v>
      </c>
    </row>
    <row r="146" spans="1:24" ht="15.75" thickBot="1"/>
    <row r="147" spans="1:24">
      <c r="H147" s="313" t="s">
        <v>5730</v>
      </c>
      <c r="I147" s="446"/>
      <c r="J147" s="443"/>
      <c r="K147" s="443"/>
      <c r="L147" s="443"/>
      <c r="M147" s="443"/>
      <c r="N147" s="443"/>
      <c r="O147" s="443"/>
      <c r="P147" s="443"/>
      <c r="Q147" s="443"/>
      <c r="R147" s="444"/>
    </row>
    <row r="148" spans="1:24">
      <c r="H148" s="314"/>
      <c r="R148" s="169"/>
    </row>
    <row r="149" spans="1:24">
      <c r="H149" s="314"/>
      <c r="M149" s="3" t="s">
        <v>5733</v>
      </c>
      <c r="R149" s="169"/>
    </row>
    <row r="150" spans="1:24" ht="15.75" thickBot="1">
      <c r="H150" s="314"/>
      <c r="R150" s="169"/>
    </row>
    <row r="151" spans="1:24" ht="15" customHeight="1">
      <c r="H151" s="314"/>
      <c r="I151" s="313"/>
      <c r="J151" s="442"/>
      <c r="K151" s="452" t="s">
        <v>5440</v>
      </c>
      <c r="L151" s="453" t="s">
        <v>5440</v>
      </c>
      <c r="M151" s="453" t="s">
        <v>5440</v>
      </c>
      <c r="N151" s="454" t="s">
        <v>5729</v>
      </c>
      <c r="O151" s="456" t="s">
        <v>5729</v>
      </c>
      <c r="P151" s="455" t="s">
        <v>5729</v>
      </c>
      <c r="Q151" s="465" t="s">
        <v>5729</v>
      </c>
      <c r="R151" s="473"/>
      <c r="S151" s="547" t="s">
        <v>5734</v>
      </c>
      <c r="T151" s="547"/>
      <c r="U151" s="547"/>
      <c r="V151" s="547"/>
      <c r="W151" s="547"/>
      <c r="X151" s="548"/>
    </row>
    <row r="152" spans="1:24">
      <c r="H152" s="314"/>
      <c r="I152" s="448" t="s">
        <v>5282</v>
      </c>
      <c r="J152" s="449" t="s">
        <v>5308</v>
      </c>
      <c r="K152" s="324" t="s">
        <v>5441</v>
      </c>
      <c r="L152" s="325" t="s">
        <v>5441</v>
      </c>
      <c r="M152" s="325" t="s">
        <v>5441</v>
      </c>
      <c r="N152" s="324" t="s">
        <v>5441</v>
      </c>
      <c r="O152" s="457" t="s">
        <v>5441</v>
      </c>
      <c r="P152" s="325" t="s">
        <v>5441</v>
      </c>
      <c r="Q152" s="327" t="s">
        <v>5441</v>
      </c>
      <c r="R152" s="169"/>
      <c r="S152" s="549"/>
      <c r="T152" s="549"/>
      <c r="U152" s="549"/>
      <c r="V152" s="549"/>
      <c r="W152" s="549"/>
      <c r="X152" s="550"/>
    </row>
    <row r="153" spans="1:24">
      <c r="H153" s="314"/>
      <c r="I153" s="448" t="s">
        <v>5282</v>
      </c>
      <c r="J153" s="449" t="s">
        <v>5308</v>
      </c>
      <c r="K153" s="326" t="s">
        <v>5441</v>
      </c>
      <c r="L153" s="441" t="s">
        <v>5441</v>
      </c>
      <c r="M153" s="441" t="s">
        <v>5441</v>
      </c>
      <c r="N153" s="326" t="s">
        <v>5441</v>
      </c>
      <c r="O153" s="458" t="s">
        <v>5441</v>
      </c>
      <c r="P153" s="441" t="s">
        <v>5441</v>
      </c>
      <c r="Q153" s="328" t="s">
        <v>5441</v>
      </c>
      <c r="R153" s="169"/>
    </row>
    <row r="154" spans="1:24">
      <c r="H154" s="314"/>
      <c r="I154" s="460" t="s">
        <v>5282</v>
      </c>
      <c r="J154" s="461" t="s">
        <v>5308</v>
      </c>
      <c r="K154" s="461" t="s">
        <v>5441</v>
      </c>
      <c r="L154" s="462" t="s">
        <v>5441</v>
      </c>
      <c r="M154" s="462" t="s">
        <v>5441</v>
      </c>
      <c r="N154" s="461" t="s">
        <v>5441</v>
      </c>
      <c r="O154" s="463" t="s">
        <v>5441</v>
      </c>
      <c r="P154" s="462" t="s">
        <v>5441</v>
      </c>
      <c r="Q154" s="462" t="s">
        <v>5441</v>
      </c>
      <c r="R154" s="169"/>
    </row>
    <row r="155" spans="1:24">
      <c r="H155" s="314"/>
      <c r="I155" s="448" t="s">
        <v>5282</v>
      </c>
      <c r="J155" s="449" t="s">
        <v>5308</v>
      </c>
      <c r="K155" s="326" t="s">
        <v>5441</v>
      </c>
      <c r="L155" s="441" t="s">
        <v>5441</v>
      </c>
      <c r="M155" s="441" t="s">
        <v>5441</v>
      </c>
      <c r="N155" s="326" t="s">
        <v>5441</v>
      </c>
      <c r="O155" s="458" t="s">
        <v>5441</v>
      </c>
      <c r="P155" s="441" t="s">
        <v>5441</v>
      </c>
      <c r="Q155" s="328" t="s">
        <v>5441</v>
      </c>
      <c r="R155" s="169"/>
    </row>
    <row r="156" spans="1:24" ht="15.75" thickBot="1">
      <c r="H156" s="314"/>
      <c r="I156" s="450" t="s">
        <v>5282</v>
      </c>
      <c r="J156" s="451" t="s">
        <v>5308</v>
      </c>
      <c r="K156" s="329" t="s">
        <v>5441</v>
      </c>
      <c r="L156" s="330" t="s">
        <v>5441</v>
      </c>
      <c r="M156" s="330" t="s">
        <v>5441</v>
      </c>
      <c r="N156" s="329" t="s">
        <v>5441</v>
      </c>
      <c r="O156" s="459" t="s">
        <v>5441</v>
      </c>
      <c r="P156" s="330" t="s">
        <v>5441</v>
      </c>
      <c r="Q156" s="331" t="s">
        <v>5441</v>
      </c>
      <c r="R156" s="169"/>
    </row>
    <row r="157" spans="1:24" ht="15.75" thickBot="1">
      <c r="H157" s="317"/>
      <c r="I157" s="471"/>
      <c r="J157" s="472"/>
      <c r="K157" s="318"/>
      <c r="L157" s="318"/>
      <c r="M157" s="318"/>
      <c r="N157" s="447"/>
      <c r="O157" s="318"/>
      <c r="P157" s="318"/>
      <c r="Q157" s="318"/>
      <c r="R157" s="445"/>
    </row>
    <row r="158" spans="1:24" ht="18.75" customHeight="1">
      <c r="B158" s="466"/>
      <c r="C158" s="467"/>
      <c r="D158" s="467"/>
      <c r="E158" s="467"/>
      <c r="F158" s="467"/>
      <c r="G158" s="467"/>
      <c r="H158" s="468"/>
      <c r="I158" s="469" t="s">
        <v>5732</v>
      </c>
      <c r="J158" s="470" t="s">
        <v>5731</v>
      </c>
    </row>
    <row r="160" spans="1:24" ht="15" customHeight="1">
      <c r="B160" s="6" t="s">
        <v>1267</v>
      </c>
      <c r="C160" s="18" t="s">
        <v>5736</v>
      </c>
      <c r="R160" s="551" t="s">
        <v>5735</v>
      </c>
      <c r="S160" s="552"/>
      <c r="T160" s="552"/>
      <c r="U160" s="552"/>
      <c r="V160" s="553"/>
      <c r="W160" s="464"/>
    </row>
    <row r="161" spans="1:23">
      <c r="B161" s="6" t="s">
        <v>1267</v>
      </c>
      <c r="C161" s="18" t="s">
        <v>5737</v>
      </c>
      <c r="R161" s="554"/>
      <c r="S161" s="555"/>
      <c r="T161" s="555"/>
      <c r="U161" s="555"/>
      <c r="V161" s="556"/>
      <c r="W161" s="464"/>
    </row>
    <row r="162" spans="1:23">
      <c r="B162" s="6" t="s">
        <v>1267</v>
      </c>
      <c r="C162" s="18" t="s">
        <v>5738</v>
      </c>
      <c r="R162" s="557"/>
      <c r="S162" s="558"/>
      <c r="T162" s="558"/>
      <c r="U162" s="558"/>
      <c r="V162" s="559"/>
      <c r="W162" s="464"/>
    </row>
    <row r="163" spans="1:23">
      <c r="C163" s="6" t="s">
        <v>5396</v>
      </c>
      <c r="D163" t="s">
        <v>5741</v>
      </c>
    </row>
    <row r="164" spans="1:23">
      <c r="C164" s="6" t="s">
        <v>5396</v>
      </c>
      <c r="D164" t="s">
        <v>5739</v>
      </c>
    </row>
    <row r="165" spans="1:23">
      <c r="B165" s="6" t="s">
        <v>1267</v>
      </c>
      <c r="C165" s="18" t="s">
        <v>5743</v>
      </c>
    </row>
    <row r="166" spans="1:23">
      <c r="C166" s="6" t="s">
        <v>5396</v>
      </c>
      <c r="D166" t="s">
        <v>5740</v>
      </c>
    </row>
    <row r="167" spans="1:23">
      <c r="C167" s="6" t="s">
        <v>5396</v>
      </c>
      <c r="D167" t="s">
        <v>5745</v>
      </c>
      <c r="U167" s="474"/>
    </row>
    <row r="168" spans="1:23">
      <c r="B168" s="6" t="s">
        <v>1267</v>
      </c>
      <c r="C168" s="18" t="s">
        <v>5744</v>
      </c>
    </row>
    <row r="171" spans="1:23" s="202" customFormat="1">
      <c r="A171" s="478" t="s">
        <v>5770</v>
      </c>
      <c r="B171" s="478"/>
      <c r="C171" s="478"/>
      <c r="D171" s="478"/>
      <c r="E171" s="478"/>
      <c r="F171" s="478"/>
      <c r="G171" s="478"/>
      <c r="H171" s="478"/>
      <c r="I171" s="478"/>
      <c r="J171" s="478"/>
      <c r="K171" s="478"/>
      <c r="L171" s="478"/>
      <c r="M171" s="478"/>
      <c r="N171" s="478"/>
      <c r="O171" s="478"/>
      <c r="P171" s="478"/>
      <c r="Q171" s="478"/>
      <c r="R171" s="478"/>
    </row>
    <row r="172" spans="1:23">
      <c r="A172" s="479"/>
      <c r="B172" s="479"/>
      <c r="C172" s="479"/>
      <c r="D172" s="479"/>
      <c r="E172" s="479"/>
      <c r="F172" s="479"/>
      <c r="G172" s="479"/>
      <c r="H172" s="479"/>
      <c r="I172" s="479"/>
      <c r="J172" s="479"/>
      <c r="K172" s="479"/>
      <c r="L172" s="479"/>
      <c r="M172" s="479"/>
      <c r="N172" s="479"/>
      <c r="O172" s="479"/>
      <c r="P172" s="479"/>
      <c r="Q172" s="479"/>
      <c r="R172" s="479"/>
    </row>
    <row r="173" spans="1:23">
      <c r="A173" s="479"/>
      <c r="B173" s="480" t="s">
        <v>1267</v>
      </c>
      <c r="C173" s="479" t="s">
        <v>5783</v>
      </c>
      <c r="D173" s="479"/>
      <c r="E173" s="479"/>
      <c r="F173" s="479"/>
      <c r="G173" s="479"/>
      <c r="H173" s="479"/>
      <c r="I173" s="479"/>
      <c r="J173" s="479"/>
      <c r="K173" s="479"/>
      <c r="L173" s="479"/>
      <c r="M173" s="479"/>
      <c r="N173" s="479"/>
      <c r="O173" s="479"/>
      <c r="P173" s="479"/>
      <c r="Q173" s="479"/>
      <c r="R173" s="479"/>
    </row>
    <row r="174" spans="1:23">
      <c r="A174" s="479"/>
      <c r="B174" s="480" t="s">
        <v>1267</v>
      </c>
      <c r="C174" s="479" t="s">
        <v>5774</v>
      </c>
      <c r="D174" s="479"/>
      <c r="E174" s="479"/>
      <c r="F174" s="479"/>
      <c r="G174" s="479"/>
      <c r="H174" s="479"/>
      <c r="I174" s="479"/>
      <c r="J174" s="479"/>
      <c r="K174" s="479"/>
      <c r="L174" s="479"/>
      <c r="M174" s="479"/>
      <c r="N174" s="479"/>
      <c r="O174" s="479"/>
      <c r="P174" s="479"/>
      <c r="Q174" s="479"/>
      <c r="R174" s="479"/>
    </row>
    <row r="175" spans="1:23">
      <c r="A175" s="479"/>
      <c r="B175" s="479"/>
      <c r="C175" s="480"/>
      <c r="D175" s="479"/>
      <c r="E175" s="479"/>
      <c r="F175" s="479"/>
      <c r="G175" s="479"/>
      <c r="H175" s="479"/>
      <c r="I175" s="479"/>
      <c r="J175" s="479"/>
      <c r="K175" s="479"/>
      <c r="L175" s="479"/>
      <c r="M175" s="479"/>
      <c r="N175" s="479"/>
      <c r="O175" s="479"/>
      <c r="P175" s="479"/>
      <c r="Q175" s="479"/>
      <c r="R175" s="479"/>
    </row>
    <row r="176" spans="1:23" ht="17.25">
      <c r="A176" s="479"/>
      <c r="B176" s="480" t="s">
        <v>1267</v>
      </c>
      <c r="C176" s="479" t="s">
        <v>5764</v>
      </c>
      <c r="D176" s="479"/>
      <c r="E176" s="479"/>
      <c r="F176" s="560" t="s">
        <v>5768</v>
      </c>
      <c r="G176" s="560"/>
      <c r="H176" s="481" t="s">
        <v>5756</v>
      </c>
      <c r="I176" s="561" t="s">
        <v>5776</v>
      </c>
      <c r="J176" s="561"/>
      <c r="K176" s="479"/>
      <c r="L176" s="479"/>
      <c r="M176" s="505" t="s">
        <v>5781</v>
      </c>
      <c r="N176" s="479"/>
      <c r="O176" s="479"/>
      <c r="P176" s="479"/>
      <c r="Q176" s="479"/>
      <c r="R176" s="479"/>
    </row>
    <row r="177" spans="1:18" ht="17.25">
      <c r="A177" s="479"/>
      <c r="B177" s="479"/>
      <c r="C177" s="479"/>
      <c r="D177" s="479"/>
      <c r="E177" s="479"/>
      <c r="F177" s="479"/>
      <c r="G177" s="479"/>
      <c r="H177" s="479"/>
      <c r="I177" s="479"/>
      <c r="J177" s="479"/>
      <c r="K177" s="479"/>
      <c r="L177" s="479"/>
      <c r="M177" s="517" t="s">
        <v>5775</v>
      </c>
      <c r="N177" s="479"/>
      <c r="O177" s="479"/>
      <c r="P177" s="479"/>
      <c r="Q177" s="479"/>
      <c r="R177" s="479"/>
    </row>
    <row r="178" spans="1:18" ht="18" thickBot="1">
      <c r="A178" s="479"/>
      <c r="B178" s="480" t="s">
        <v>1267</v>
      </c>
      <c r="C178" s="479" t="s">
        <v>5764</v>
      </c>
      <c r="D178" s="479"/>
      <c r="E178" s="479"/>
      <c r="F178" s="562" t="s">
        <v>5758</v>
      </c>
      <c r="G178" s="562"/>
      <c r="H178" s="481" t="s">
        <v>5756</v>
      </c>
      <c r="I178" s="562" t="s">
        <v>5777</v>
      </c>
      <c r="J178" s="562"/>
      <c r="K178" s="479"/>
      <c r="M178" s="505" t="s">
        <v>5778</v>
      </c>
      <c r="N178" s="479"/>
      <c r="O178" s="479"/>
      <c r="P178" s="479"/>
      <c r="Q178" s="479"/>
      <c r="R178" s="479"/>
    </row>
    <row r="179" spans="1:18" ht="17.25">
      <c r="A179" s="479"/>
      <c r="B179" s="479"/>
      <c r="C179" s="479"/>
      <c r="D179" s="479"/>
      <c r="E179" s="479"/>
      <c r="F179" s="546" t="s">
        <v>5757</v>
      </c>
      <c r="G179" s="546"/>
      <c r="H179" s="479"/>
      <c r="I179" s="546" t="s">
        <v>5779</v>
      </c>
      <c r="J179" s="546"/>
      <c r="K179" s="479"/>
      <c r="M179" s="505" t="s">
        <v>5771</v>
      </c>
      <c r="N179" s="479"/>
      <c r="O179" s="479"/>
      <c r="P179" s="479"/>
      <c r="Q179" s="479"/>
      <c r="R179" s="479"/>
    </row>
    <row r="180" spans="1:18">
      <c r="A180" s="479"/>
      <c r="B180" s="479"/>
      <c r="C180" s="479"/>
      <c r="D180" s="479"/>
      <c r="E180" s="479"/>
      <c r="F180" s="481"/>
      <c r="G180" s="481"/>
      <c r="H180" s="479"/>
      <c r="I180" s="481"/>
      <c r="J180" s="481"/>
      <c r="K180" s="479"/>
      <c r="L180" s="482"/>
      <c r="M180" s="479"/>
      <c r="N180" s="479"/>
      <c r="O180" s="479"/>
      <c r="P180" s="479"/>
      <c r="Q180" s="479"/>
      <c r="R180" s="479"/>
    </row>
    <row r="181" spans="1:18">
      <c r="A181" s="479"/>
      <c r="B181" s="479"/>
      <c r="C181" s="479"/>
      <c r="D181" s="479"/>
      <c r="E181" s="479"/>
      <c r="F181" s="481"/>
      <c r="G181" s="481"/>
      <c r="H181" s="479"/>
      <c r="I181" s="481"/>
      <c r="J181" s="481"/>
      <c r="K181" s="479"/>
      <c r="M181" s="479"/>
      <c r="N181" s="479"/>
      <c r="O181" s="479"/>
      <c r="P181" s="479"/>
      <c r="Q181" s="479"/>
      <c r="R181" s="479"/>
    </row>
    <row r="182" spans="1:18">
      <c r="A182" s="479"/>
      <c r="B182" s="479"/>
      <c r="C182" s="479"/>
      <c r="D182" s="479"/>
      <c r="E182" s="479"/>
      <c r="F182" s="481"/>
      <c r="G182" s="481"/>
      <c r="H182" s="479"/>
      <c r="I182" s="481"/>
      <c r="J182" s="481"/>
      <c r="K182" s="479"/>
      <c r="L182" s="479"/>
      <c r="M182" s="479"/>
      <c r="N182" s="479"/>
      <c r="O182" s="479"/>
      <c r="P182" s="479"/>
      <c r="Q182" s="479"/>
      <c r="R182" s="479"/>
    </row>
    <row r="183" spans="1:18">
      <c r="A183" s="479"/>
      <c r="B183" s="479"/>
      <c r="C183" s="479"/>
      <c r="D183" s="479"/>
      <c r="E183" s="479"/>
      <c r="F183" s="481"/>
      <c r="G183" s="481"/>
      <c r="H183" s="479"/>
      <c r="I183" s="481" t="s">
        <v>5773</v>
      </c>
      <c r="J183" s="481"/>
      <c r="K183" s="479"/>
      <c r="L183" s="479"/>
      <c r="M183" s="479"/>
      <c r="N183" s="479"/>
      <c r="O183" s="479"/>
      <c r="P183" s="479"/>
      <c r="Q183" s="479"/>
      <c r="R183" s="479"/>
    </row>
    <row r="184" spans="1:18">
      <c r="A184" s="479"/>
      <c r="B184" s="479"/>
      <c r="C184" s="479"/>
      <c r="D184" s="479"/>
      <c r="E184" s="479"/>
      <c r="F184" s="481"/>
      <c r="G184" s="481"/>
      <c r="H184" s="479"/>
      <c r="I184" s="481" t="s">
        <v>5782</v>
      </c>
      <c r="J184" s="481"/>
      <c r="K184" s="479"/>
      <c r="L184" s="479"/>
      <c r="M184" s="479"/>
      <c r="N184" s="479"/>
      <c r="O184" s="479"/>
      <c r="P184" s="479"/>
      <c r="Q184" s="479"/>
      <c r="R184" s="479"/>
    </row>
    <row r="185" spans="1:18">
      <c r="A185" s="479"/>
      <c r="B185" s="479"/>
      <c r="C185" s="479"/>
      <c r="D185" s="479"/>
      <c r="E185" s="479"/>
      <c r="F185" s="481"/>
      <c r="G185" s="481"/>
      <c r="H185" s="479"/>
      <c r="I185" s="516" t="s">
        <v>5772</v>
      </c>
      <c r="J185" s="481"/>
      <c r="K185" s="479"/>
      <c r="L185" s="479"/>
      <c r="M185" s="479"/>
      <c r="N185" s="479"/>
      <c r="O185" s="479"/>
      <c r="P185" s="479"/>
      <c r="Q185" s="479"/>
      <c r="R185" s="479"/>
    </row>
    <row r="186" spans="1:18" ht="15.75" thickBot="1">
      <c r="A186" s="479"/>
      <c r="B186" s="479"/>
      <c r="C186" s="479"/>
      <c r="D186" s="479"/>
      <c r="E186" s="479"/>
      <c r="F186" s="479"/>
      <c r="G186" s="479"/>
      <c r="H186" s="479"/>
      <c r="J186" s="479"/>
      <c r="K186" s="479"/>
      <c r="L186" s="479"/>
      <c r="M186" s="479"/>
      <c r="N186" s="479"/>
      <c r="O186" s="479"/>
      <c r="P186" s="479"/>
      <c r="Q186" s="479"/>
      <c r="R186" s="479"/>
    </row>
    <row r="187" spans="1:18" ht="15.75" thickBot="1">
      <c r="A187" s="479"/>
      <c r="B187" s="479"/>
      <c r="C187" s="479"/>
      <c r="D187" s="479"/>
      <c r="E187" s="479"/>
      <c r="F187" s="483"/>
      <c r="G187" s="483"/>
      <c r="H187" s="484"/>
      <c r="I187" s="485" t="s">
        <v>5762</v>
      </c>
      <c r="J187" s="484"/>
      <c r="K187" s="484"/>
      <c r="L187" s="486"/>
      <c r="N187" s="479"/>
      <c r="O187" s="479"/>
      <c r="P187" s="479"/>
      <c r="Q187" s="479"/>
      <c r="R187" s="479"/>
    </row>
    <row r="188" spans="1:18">
      <c r="A188" s="479"/>
      <c r="B188" s="479"/>
      <c r="C188" s="479"/>
      <c r="D188" s="479"/>
      <c r="E188" s="479"/>
      <c r="F188" s="487"/>
      <c r="G188" s="488" t="s">
        <v>53</v>
      </c>
      <c r="H188" s="489" t="s">
        <v>54</v>
      </c>
      <c r="I188" s="489" t="s">
        <v>5759</v>
      </c>
      <c r="J188" s="489" t="s">
        <v>49</v>
      </c>
      <c r="K188" s="489" t="s">
        <v>50</v>
      </c>
      <c r="L188" s="490" t="s">
        <v>51</v>
      </c>
      <c r="M188" s="479"/>
      <c r="N188" s="479"/>
      <c r="O188" s="479"/>
      <c r="P188" s="479"/>
      <c r="Q188" s="479"/>
      <c r="R188" s="479"/>
    </row>
    <row r="189" spans="1:18" ht="15.75" thickBot="1">
      <c r="A189" s="479"/>
      <c r="B189" s="479"/>
      <c r="C189" s="479"/>
      <c r="D189" s="479"/>
      <c r="E189" s="480"/>
      <c r="F189" s="491"/>
      <c r="G189" s="492" t="s">
        <v>61</v>
      </c>
      <c r="H189" s="493" t="s">
        <v>5754</v>
      </c>
      <c r="I189" s="493" t="s">
        <v>5408</v>
      </c>
      <c r="J189" s="493" t="s">
        <v>1</v>
      </c>
      <c r="K189" s="493" t="s">
        <v>58</v>
      </c>
      <c r="L189" s="494" t="s">
        <v>5284</v>
      </c>
      <c r="M189" s="479"/>
      <c r="N189" s="479"/>
      <c r="O189" s="479"/>
      <c r="P189" s="479"/>
      <c r="Q189" s="479"/>
      <c r="R189" s="479"/>
    </row>
    <row r="190" spans="1:18" ht="30">
      <c r="A190" s="479"/>
      <c r="B190" s="479"/>
      <c r="C190" s="479"/>
      <c r="D190" s="479"/>
      <c r="E190" s="479"/>
      <c r="F190" s="495" t="s">
        <v>5769</v>
      </c>
      <c r="G190" s="496" t="s">
        <v>5761</v>
      </c>
      <c r="H190" s="497" t="s">
        <v>5755</v>
      </c>
      <c r="I190" s="497" t="s">
        <v>5780</v>
      </c>
      <c r="J190" s="497" t="s">
        <v>5761</v>
      </c>
      <c r="K190" s="497" t="s">
        <v>5761</v>
      </c>
      <c r="L190" s="498" t="s">
        <v>5761</v>
      </c>
      <c r="M190" s="521" t="s">
        <v>5784</v>
      </c>
      <c r="N190" s="479"/>
      <c r="O190" s="479"/>
      <c r="P190" s="479"/>
      <c r="Q190" s="479"/>
      <c r="R190" s="479"/>
    </row>
    <row r="191" spans="1:18" ht="17.25">
      <c r="A191" s="479"/>
      <c r="B191" s="479"/>
      <c r="C191" s="479"/>
      <c r="D191" s="479"/>
      <c r="E191" s="479"/>
      <c r="F191" s="499">
        <v>102</v>
      </c>
      <c r="G191" s="500" t="s">
        <v>5760</v>
      </c>
      <c r="H191" s="501" t="s">
        <v>5760</v>
      </c>
      <c r="I191" s="522" t="s">
        <v>5785</v>
      </c>
      <c r="J191" s="501" t="s">
        <v>5760</v>
      </c>
      <c r="K191" s="501" t="s">
        <v>5760</v>
      </c>
      <c r="L191" s="502" t="s">
        <v>5760</v>
      </c>
      <c r="M191" s="505" t="s">
        <v>5786</v>
      </c>
      <c r="N191" s="479"/>
      <c r="O191" s="479"/>
      <c r="P191" s="479"/>
      <c r="Q191" s="479"/>
      <c r="R191" s="479"/>
    </row>
    <row r="192" spans="1:18" ht="17.25">
      <c r="A192" s="479"/>
      <c r="B192" s="479"/>
      <c r="C192" s="479"/>
      <c r="D192" s="479"/>
      <c r="E192" s="479" t="s">
        <v>5763</v>
      </c>
      <c r="F192" s="503" t="s">
        <v>5753</v>
      </c>
      <c r="G192" s="518" t="s">
        <v>5755</v>
      </c>
      <c r="H192" s="520" t="s">
        <v>5787</v>
      </c>
      <c r="I192" s="520" t="s">
        <v>5787</v>
      </c>
      <c r="J192" s="501" t="s">
        <v>5760</v>
      </c>
      <c r="K192" s="501" t="s">
        <v>5760</v>
      </c>
      <c r="L192" s="504" t="s">
        <v>5760</v>
      </c>
      <c r="M192" s="505" t="s">
        <v>5789</v>
      </c>
      <c r="N192" s="506"/>
      <c r="O192" s="479"/>
      <c r="P192" s="479"/>
      <c r="Q192" s="479"/>
      <c r="R192" s="479"/>
    </row>
    <row r="193" spans="1:18" ht="17.25">
      <c r="A193" s="479"/>
      <c r="B193" s="479"/>
      <c r="C193" s="479"/>
      <c r="D193" s="479"/>
      <c r="E193" s="479"/>
      <c r="F193" s="503" t="s">
        <v>5752</v>
      </c>
      <c r="G193" s="519" t="s">
        <v>5761</v>
      </c>
      <c r="H193" s="501" t="s">
        <v>5788</v>
      </c>
      <c r="I193" s="501" t="s">
        <v>5788</v>
      </c>
      <c r="J193" s="501" t="s">
        <v>5760</v>
      </c>
      <c r="K193" s="501" t="s">
        <v>5760</v>
      </c>
      <c r="L193" s="504" t="s">
        <v>5760</v>
      </c>
      <c r="M193" s="507" t="s">
        <v>5790</v>
      </c>
      <c r="N193" s="479"/>
      <c r="O193" s="479"/>
      <c r="P193" s="479"/>
      <c r="Q193" s="479"/>
      <c r="R193" s="479"/>
    </row>
    <row r="194" spans="1:18">
      <c r="A194" s="479"/>
      <c r="B194" s="479"/>
      <c r="C194" s="479"/>
      <c r="D194" s="479"/>
      <c r="E194" s="479"/>
      <c r="F194" s="499">
        <v>111</v>
      </c>
      <c r="G194" s="500" t="s">
        <v>5755</v>
      </c>
      <c r="H194" s="501" t="s">
        <v>5755</v>
      </c>
      <c r="I194" s="501" t="s">
        <v>5755</v>
      </c>
      <c r="J194" s="501" t="s">
        <v>5760</v>
      </c>
      <c r="K194" s="501" t="s">
        <v>5760</v>
      </c>
      <c r="L194" s="504" t="s">
        <v>5760</v>
      </c>
      <c r="M194" s="505" t="s">
        <v>5791</v>
      </c>
      <c r="N194" s="479"/>
      <c r="O194" s="479"/>
      <c r="P194" s="479"/>
      <c r="Q194" s="479"/>
      <c r="R194" s="479"/>
    </row>
    <row r="195" spans="1:18" ht="15.75" thickBot="1">
      <c r="A195" s="479"/>
      <c r="B195" s="479"/>
      <c r="C195" s="479"/>
      <c r="D195" s="479"/>
      <c r="E195" s="479"/>
      <c r="F195" s="508" t="s">
        <v>5755</v>
      </c>
      <c r="G195" s="509" t="s">
        <v>5755</v>
      </c>
      <c r="H195" s="510" t="s">
        <v>5755</v>
      </c>
      <c r="I195" s="510" t="s">
        <v>5755</v>
      </c>
      <c r="J195" s="510" t="s">
        <v>5755</v>
      </c>
      <c r="K195" s="510" t="s">
        <v>5755</v>
      </c>
      <c r="L195" s="511" t="s">
        <v>5755</v>
      </c>
      <c r="M195" s="479"/>
      <c r="N195" s="479"/>
      <c r="O195" s="479"/>
      <c r="P195" s="479"/>
      <c r="Q195" s="479"/>
      <c r="R195" s="479"/>
    </row>
    <row r="196" spans="1:18">
      <c r="A196" s="479"/>
      <c r="B196" s="479"/>
      <c r="C196" s="479"/>
      <c r="D196" s="479"/>
      <c r="E196" s="479"/>
      <c r="F196" s="479"/>
      <c r="G196" s="479"/>
      <c r="H196" s="479"/>
      <c r="I196" s="479"/>
      <c r="J196" s="479"/>
      <c r="K196" s="479"/>
      <c r="L196" s="479"/>
      <c r="M196" s="479"/>
      <c r="N196" s="479"/>
      <c r="O196" s="479"/>
      <c r="P196" s="479"/>
      <c r="Q196" s="479"/>
      <c r="R196" s="479"/>
    </row>
    <row r="197" spans="1:18">
      <c r="A197" s="479"/>
      <c r="B197" s="479"/>
      <c r="C197" s="479"/>
      <c r="D197" s="479"/>
      <c r="E197" s="512"/>
      <c r="F197" s="513" t="s">
        <v>5765</v>
      </c>
      <c r="G197" s="514">
        <v>1988</v>
      </c>
      <c r="H197" s="514">
        <v>19908</v>
      </c>
      <c r="I197" s="514">
        <v>1330</v>
      </c>
      <c r="J197" s="515" t="s">
        <v>5767</v>
      </c>
      <c r="K197" s="515" t="s">
        <v>5766</v>
      </c>
      <c r="L197" s="514">
        <v>512</v>
      </c>
      <c r="M197" s="479"/>
      <c r="N197" s="479"/>
      <c r="O197" s="479"/>
      <c r="P197" s="479"/>
      <c r="Q197" s="479"/>
      <c r="R197" s="479"/>
    </row>
  </sheetData>
  <mergeCells count="8">
    <mergeCell ref="I179:J179"/>
    <mergeCell ref="F179:G179"/>
    <mergeCell ref="S151:X152"/>
    <mergeCell ref="R160:V162"/>
    <mergeCell ref="F176:G176"/>
    <mergeCell ref="I176:J176"/>
    <mergeCell ref="F178:G178"/>
    <mergeCell ref="I178:J178"/>
  </mergeCells>
  <pageMargins left="0.7" right="0.7" top="0.75" bottom="0.75" header="0.3" footer="0.3"/>
  <ignoredErrors>
    <ignoredError sqref="I191" numberStoredAsText="1"/>
  </ignoredError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21" t="s">
        <v>5438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63" t="s">
        <v>5400</v>
      </c>
      <c r="U2" s="238">
        <v>526</v>
      </c>
      <c r="V2" s="238">
        <v>2087</v>
      </c>
      <c r="W2" s="238">
        <v>512</v>
      </c>
      <c r="X2" s="238">
        <v>1988</v>
      </c>
      <c r="Y2" s="238">
        <v>1266</v>
      </c>
      <c r="Z2" s="238">
        <f>Y2</f>
        <v>1266</v>
      </c>
      <c r="AA2" s="238">
        <v>18176</v>
      </c>
    </row>
    <row r="3" spans="1:59">
      <c r="A3" s="4"/>
      <c r="B3" s="241" t="s">
        <v>5352</v>
      </c>
      <c r="I3" s="214"/>
      <c r="J3" s="213"/>
      <c r="K3" s="213"/>
      <c r="Q3" s="215"/>
      <c r="S3" s="213"/>
      <c r="T3" s="263" t="s">
        <v>5401</v>
      </c>
      <c r="U3" s="238">
        <v>564</v>
      </c>
      <c r="V3" s="238">
        <v>2340</v>
      </c>
      <c r="W3" s="238">
        <v>512</v>
      </c>
      <c r="X3" s="238">
        <v>1988</v>
      </c>
      <c r="Y3" s="238">
        <v>1330</v>
      </c>
      <c r="Z3" s="238">
        <f>Y3</f>
        <v>1330</v>
      </c>
      <c r="AA3" s="475">
        <v>19908</v>
      </c>
      <c r="AB3" s="476" t="s">
        <v>5749</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5750</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5365</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5366</v>
      </c>
      <c r="G13" s="225" t="s">
        <v>5308</v>
      </c>
      <c r="H13" s="224" t="s">
        <v>5360</v>
      </c>
      <c r="I13" s="223" t="s">
        <v>5363</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77">
        <f t="shared" ref="U14:U45" si="27">IF(OR($N14="",$R14=""),0,U$1/64/$N14)</f>
        <v>0</v>
      </c>
      <c r="V14" s="477">
        <f t="shared" ref="V14:V45" si="28">IF(OR($N14="",$R14=""),0,V$1/64/$N14)</f>
        <v>0</v>
      </c>
      <c r="W14" s="477">
        <f t="shared" ref="W14:W45" si="29">IF($P14="",0,W$1/$P14)</f>
        <v>0</v>
      </c>
      <c r="X14" s="477">
        <f t="shared" ref="X14:X45" si="30">IF($M14="",0,X$1/$M14)</f>
        <v>0</v>
      </c>
      <c r="Y14" s="477">
        <f t="shared" ref="Y14:Y45" si="31">IF(OR($N14="",$Q14&lt;&gt;""),0,Y$1/$N14)</f>
        <v>0</v>
      </c>
      <c r="Z14" s="477">
        <f t="shared" ref="Z14:Z45" si="32">IF($N14="",0,IF($R14="",1,R14/43200)*Y14)</f>
        <v>0</v>
      </c>
      <c r="AA14" s="477">
        <f t="shared" ref="AA14:AA45" si="33">IF($O14="",0,AA$1/$O14)</f>
        <v>0</v>
      </c>
      <c r="AB14" s="243"/>
      <c r="AC14" s="477">
        <f t="shared" ref="AC14:AC45" si="34">IF(AC$3&lt;&gt;"",$W14,0)+IF(AC$4&lt;&gt;"",$U14,0)+IF(AC$5&lt;&gt;"",$Z14+IF($S14&lt;&gt;"102",$V14,0),0)+IF(AC$6&lt;&gt;"",$AA14+IF($S14="102",$V14,0),0)+IF(AC$7&lt;&gt;"",$X14,0)</f>
        <v>0</v>
      </c>
      <c r="AD14" s="477">
        <f t="shared" ref="AD14:AD45" si="35">IF(AD$3&lt;&gt;"",$W14,0)+IF(AD$4&lt;&gt;"",$U14,0)+IF(AD$5&lt;&gt;"",$Z14+IF($S14&lt;&gt;"102",$V14,0),0)+IF(AD$6&lt;&gt;"",$AA14+IF($S14="102",$V14,0),0)+IF(AD$7&lt;&gt;"",$X14,0)</f>
        <v>0</v>
      </c>
      <c r="AE14" s="477">
        <f t="shared" ref="AE14:AE45" si="36">IF(AE$3&lt;&gt;"",$W14,0)+IF(AE$4&lt;&gt;"",$U14,0)+IF(AE$5&lt;&gt;"",$Z14+IF($S14&lt;&gt;"102",$V14,0),0)+IF(AE$6&lt;&gt;"",$AA14+IF($S14="102",$V14,0),0)+IF(AE$7&lt;&gt;"",$X14,0)</f>
        <v>0</v>
      </c>
      <c r="AF14" s="477">
        <f t="shared" ref="AF14:AF45" si="37">IF(AF$3&lt;&gt;"",$W14,0)+IF(AF$4&lt;&gt;"",$U14,0)+IF(AF$5&lt;&gt;"",$Z14+IF($S14&lt;&gt;"102",$V14,0),0)+IF(AF$6&lt;&gt;"",$AA14+IF($S14="102",$V14,0),0)+IF(AF$7&lt;&gt;"",$X14,0)</f>
        <v>0</v>
      </c>
      <c r="AG14" s="477">
        <f t="shared" ref="AG14:AG45" si="38">IF(AG$3&lt;&gt;"",$W14,0)+IF(AG$4&lt;&gt;"",$U14,0)+IF(AG$5&lt;&gt;"",$Z14+IF($S14&lt;&gt;"102",$V14,0),0)+IF(AG$6&lt;&gt;"",$AA14+IF($S14="102",$V14,0),0)+IF(AG$7&lt;&gt;"",$X14,0)</f>
        <v>0</v>
      </c>
      <c r="AH14" s="477">
        <f t="shared" ref="AH14:AH45" si="39">IF(AH$3&lt;&gt;"",$W14,0)+IF(AH$4&lt;&gt;"",$U14,0)+IF(AH$5&lt;&gt;"",$Z14+IF($S14&lt;&gt;"102",$V14,0),0)+IF(AH$6&lt;&gt;"",$AA14+IF($S14="102",$V14,0),0)+IF(AH$7&lt;&gt;"",$X14,0)</f>
        <v>0</v>
      </c>
      <c r="AI14" s="477">
        <f t="shared" ref="AI14:AI45" si="40">IF(AI$3&lt;&gt;"",$W14,0)+IF(AI$4&lt;&gt;"",$U14,0)+IF(AI$5&lt;&gt;"",$Z14+IF($S14&lt;&gt;"102",$V14,0),0)+IF(AI$6&lt;&gt;"",$AA14+IF($S14="102",$V14,0),0)+IF(AI$7&lt;&gt;"",$X14,0)</f>
        <v>0</v>
      </c>
      <c r="AJ14" s="477">
        <f t="shared" ref="AJ14:AJ45" si="41">IF(AJ$3&lt;&gt;"",$W14,0)+IF(AJ$4&lt;&gt;"",$U14,0)+IF(AJ$5&lt;&gt;"",$Z14+IF($S14&lt;&gt;"102",$V14,0),0)+IF(AJ$6&lt;&gt;"",$AA14+IF($S14="102",$V14,0),0)+IF(AJ$7&lt;&gt;"",$X14,0)</f>
        <v>0</v>
      </c>
      <c r="AK14" s="477">
        <f t="shared" ref="AK14:AK45" si="42">IF(AK$3&lt;&gt;"",$W14,0)+IF(AK$4&lt;&gt;"",$U14,0)+IF(AK$5&lt;&gt;"",$Z14+IF($S14&lt;&gt;"102",$V14,0),0)+IF(AK$6&lt;&gt;"",$AA14+IF($S14="102",$V14,0),0)+IF(AK$7&lt;&gt;"",$X14,0)</f>
        <v>0</v>
      </c>
      <c r="AL14" s="477">
        <f t="shared" ref="AL14:AL45" si="43">IF(AL$3&lt;&gt;"",$W14,0)+IF(AL$4&lt;&gt;"",$U14,0)+IF(AL$5&lt;&gt;"",$Z14+IF($S14&lt;&gt;"102",$V14,0),0)+IF(AL$6&lt;&gt;"",$AA14+IF($S14="102",$V14,0),0)+IF(AL$7&lt;&gt;"",$X14,0)</f>
        <v>0</v>
      </c>
      <c r="AM14" s="477">
        <f t="shared" ref="AM14:AM45" si="44">IF(AM$3&lt;&gt;"",$W14,0)+IF(AM$4&lt;&gt;"",$U14,0)+IF(AM$5&lt;&gt;"",$Z14+IF($S14&lt;&gt;"102",$V14,0),0)+IF(AM$6&lt;&gt;"",$AA14+IF($S14="102",$V14,0),0)+IF(AM$7&lt;&gt;"",$X14,0)</f>
        <v>0</v>
      </c>
      <c r="AN14" s="477">
        <f t="shared" ref="AN14:AN45" si="45">IF(AN$3&lt;&gt;"",$W14,0)+IF(AN$4&lt;&gt;"",$U14,0)+IF(AN$5&lt;&gt;"",$Z14+IF($S14&lt;&gt;"102",$V14,0),0)+IF(AN$6&lt;&gt;"",$AA14+IF($S14="102",$V14,0),0)+IF(AN$7&lt;&gt;"",$X14,0)</f>
        <v>0</v>
      </c>
      <c r="AO14" s="477">
        <f t="shared" ref="AO14:AO45" si="46">IF(AO$3&lt;&gt;"",$W14,0)+IF(AO$4&lt;&gt;"",$U14,0)+IF(AO$5&lt;&gt;"",$Z14+IF($S14&lt;&gt;"102",$V14,0),0)+IF(AO$6&lt;&gt;"",$AA14+IF($S14="102",$V14,0),0)+IF(AO$7&lt;&gt;"",$X14,0)</f>
        <v>0</v>
      </c>
      <c r="AP14" s="477">
        <f t="shared" ref="AP14:AP45" si="47">IF(AP$3&lt;&gt;"",$W14,0)+IF(AP$4&lt;&gt;"",$U14,0)+IF(AP$5&lt;&gt;"",$Z14+IF($S14&lt;&gt;"102",$V14,0),0)+IF(AP$6&lt;&gt;"",$AA14+IF($S14="102",$V14,0),0)+IF(AP$7&lt;&gt;"",$X14,0)</f>
        <v>0</v>
      </c>
      <c r="AQ14" s="477">
        <f t="shared" ref="AQ14:AQ45" si="48">IF(AQ$3&lt;&gt;"",$W14,0)+IF(AQ$4&lt;&gt;"",$U14,0)+IF(AQ$5&lt;&gt;"",$Z14+IF($S14&lt;&gt;"102",$V14,0),0)+IF(AQ$6&lt;&gt;"",$AA14+IF($S14="102",$V14,0),0)+IF(AQ$7&lt;&gt;"",$X14,0)</f>
        <v>0</v>
      </c>
      <c r="AR14" s="477">
        <f t="shared" ref="AR14:AR45" si="49">IF(AR$3&lt;&gt;"",$W14,0)+IF(AR$4&lt;&gt;"",$U14,0)+IF(AR$5&lt;&gt;"",$Z14+IF($S14&lt;&gt;"102",$V14,0),0)+IF(AR$6&lt;&gt;"",$AA14+IF($S14="102",$V14,0),0)+IF(AR$7&lt;&gt;"",$X14,0)</f>
        <v>0</v>
      </c>
      <c r="AS14" s="477">
        <f t="shared" ref="AS14:AS45" si="50">IF(AS$3&lt;&gt;"",$W14,0)+IF(AS$4&lt;&gt;"",$U14,0)+IF(AS$5&lt;&gt;"",$Z14+IF($S14&lt;&gt;"102",$V14,0),0)+IF(AS$6&lt;&gt;"",$AA14+IF($S14="102",$V14,0),0)+IF(AS$7&lt;&gt;"",$X14,0)</f>
        <v>0</v>
      </c>
      <c r="AT14" s="477">
        <f t="shared" ref="AT14:AT45" si="51">IF(AT$3&lt;&gt;"",$W14,0)+IF(AT$4&lt;&gt;"",$U14,0)+IF(AT$5&lt;&gt;"",$Z14+IF($S14&lt;&gt;"102",$V14,0),0)+IF(AT$6&lt;&gt;"",$AA14+IF($S14="102",$V14,0),0)+IF(AT$7&lt;&gt;"",$X14,0)</f>
        <v>0</v>
      </c>
      <c r="AU14" s="477">
        <f t="shared" ref="AU14:AU45" si="52">IF(AU$3&lt;&gt;"",$W14,0)+IF(AU$4&lt;&gt;"",$U14,0)+IF(AU$5&lt;&gt;"",$Z14+IF($S14&lt;&gt;"102",$V14,0),0)+IF(AU$6&lt;&gt;"",$AA14+IF($S14="102",$V14,0),0)+IF(AU$7&lt;&gt;"",$X14,0)</f>
        <v>0</v>
      </c>
      <c r="AV14" s="477">
        <f t="shared" ref="AV14:AV45" si="53">IF(AV$3&lt;&gt;"",$W14,0)+IF(AV$4&lt;&gt;"",$U14,0)+IF(AV$5&lt;&gt;"",$Z14+IF($S14&lt;&gt;"102",$V14,0),0)+IF(AV$6&lt;&gt;"",$AA14+IF($S14="102",$V14,0),0)+IF(AV$7&lt;&gt;"",$X14,0)</f>
        <v>0</v>
      </c>
      <c r="AW14" s="477">
        <f t="shared" ref="AW14:AW45" si="54">IF(AW$3&lt;&gt;"",$W14,0)+IF(AW$4&lt;&gt;"",$U14,0)+IF(AW$5&lt;&gt;"",$Z14+IF($S14&lt;&gt;"102",$V14,0),0)+IF(AW$6&lt;&gt;"",$AA14+IF($S14="102",$V14,0),0)+IF(AW$7&lt;&gt;"",$X14,0)</f>
        <v>0</v>
      </c>
      <c r="AX14" s="477">
        <f t="shared" ref="AX14:AX45" si="55">IF(AX$3&lt;&gt;"",$W14,0)+IF(AX$4&lt;&gt;"",$U14,0)+IF(AX$5&lt;&gt;"",$Z14+IF($S14&lt;&gt;"102",$V14,0),0)+IF(AX$6&lt;&gt;"",$AA14+IF($S14="102",$V14,0),0)+IF(AX$7&lt;&gt;"",$X14,0)</f>
        <v>0</v>
      </c>
      <c r="AY14" s="477">
        <f t="shared" ref="AY14:AY45" si="56">IF(AY$3&lt;&gt;"",$W14,0)+IF(AY$4&lt;&gt;"",$U14,0)+IF(AY$5&lt;&gt;"",$Z14+IF($S14&lt;&gt;"102",$V14,0),0)+IF(AY$6&lt;&gt;"",$AA14+IF($S14="102",$V14,0),0)+IF(AY$7&lt;&gt;"",$X14,0)</f>
        <v>0</v>
      </c>
      <c r="AZ14" s="477">
        <f t="shared" ref="AZ14:AZ45" si="57">IF(AZ$3&lt;&gt;"",$W14,0)+IF(AZ$4&lt;&gt;"",$U14,0)+IF(AZ$5&lt;&gt;"",$Z14+IF($S14&lt;&gt;"102",$V14,0),0)+IF(AZ$6&lt;&gt;"",$AA14+IF($S14="102",$V14,0),0)+IF(AZ$7&lt;&gt;"",$X14,0)</f>
        <v>0</v>
      </c>
      <c r="BA14" s="477">
        <f t="shared" ref="BA14:BA45" si="58">IF(BA$3&lt;&gt;"",$W14,0)+IF(BA$4&lt;&gt;"",$U14,0)+IF(BA$5&lt;&gt;"",$Z14+IF($S14&lt;&gt;"102",$V14,0),0)+IF(BA$6&lt;&gt;"",$AA14+IF($S14="102",$V14,0),0)+IF(BA$7&lt;&gt;"",$X14,0)</f>
        <v>0</v>
      </c>
      <c r="BB14" s="477">
        <f t="shared" ref="BB14:BB45" si="59">IF(BB$3&lt;&gt;"",$W14,0)+IF(BB$4&lt;&gt;"",$U14,0)+IF(BB$5&lt;&gt;"",$Z14+IF($S14&lt;&gt;"102",$V14,0),0)+IF(BB$6&lt;&gt;"",$AA14+IF($S14="102",$V14,0),0)+IF(BB$7&lt;&gt;"",$X14,0)</f>
        <v>0</v>
      </c>
      <c r="BC14" s="477">
        <f t="shared" ref="BC14:BC45" si="60">IF(BC$3&lt;&gt;"",$W14,0)+IF(BC$4&lt;&gt;"",$U14,0)+IF(BC$5&lt;&gt;"",$Z14+IF($S14&lt;&gt;"102",$V14,0),0)+IF(BC$6&lt;&gt;"",$AA14+IF($S14="102",$V14,0),0)+IF(BC$7&lt;&gt;"",$X14,0)</f>
        <v>0</v>
      </c>
      <c r="BD14" s="477">
        <f t="shared" ref="BD14:BD45" si="61">IF(BD$3&lt;&gt;"",$W14,0)+IF(BD$4&lt;&gt;"",$U14,0)+IF(BD$5&lt;&gt;"",$Z14+IF($S14&lt;&gt;"102",$V14,0),0)+IF(BD$6&lt;&gt;"",$AA14+IF($S14="102",$V14,0),0)+IF(BD$7&lt;&gt;"",$X14,0)</f>
        <v>0</v>
      </c>
      <c r="BE14" s="477">
        <f t="shared" ref="BE14:BE45" si="62">IF(BE$3&lt;&gt;"",$W14,0)+IF(BE$4&lt;&gt;"",$U14,0)+IF(BE$5&lt;&gt;"",$Z14+IF($S14&lt;&gt;"102",$V14,0),0)+IF(BE$6&lt;&gt;"",$AA14+IF($S14="102",$V14,0),0)+IF(BE$7&lt;&gt;"",$X14,0)</f>
        <v>0</v>
      </c>
      <c r="BF14" s="477">
        <f t="shared" ref="BF14:BF45" si="63">IF(BF$3&lt;&gt;"",$W14,0)+IF(BF$4&lt;&gt;"",$U14,0)+IF(BF$5&lt;&gt;"",$Z14+IF($S14&lt;&gt;"102",$V14,0),0)+IF(BF$6&lt;&gt;"",$AA14+IF($S14="102",$V14,0),0)+IF(BF$7&lt;&gt;"",$X14,0)</f>
        <v>0</v>
      </c>
      <c r="BG14" s="47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77">
        <f t="shared" si="27"/>
        <v>0</v>
      </c>
      <c r="V15" s="477">
        <f t="shared" si="28"/>
        <v>0</v>
      </c>
      <c r="W15" s="477">
        <f t="shared" si="29"/>
        <v>0</v>
      </c>
      <c r="X15" s="477">
        <f t="shared" si="30"/>
        <v>0</v>
      </c>
      <c r="Y15" s="477">
        <f t="shared" si="31"/>
        <v>0</v>
      </c>
      <c r="Z15" s="477">
        <f t="shared" si="32"/>
        <v>0</v>
      </c>
      <c r="AA15" s="477">
        <f t="shared" si="33"/>
        <v>0</v>
      </c>
      <c r="AB15" s="243"/>
      <c r="AC15" s="477">
        <f t="shared" si="34"/>
        <v>0</v>
      </c>
      <c r="AD15" s="477">
        <f t="shared" si="35"/>
        <v>0</v>
      </c>
      <c r="AE15" s="477">
        <f t="shared" si="36"/>
        <v>0</v>
      </c>
      <c r="AF15" s="477">
        <f t="shared" si="37"/>
        <v>0</v>
      </c>
      <c r="AG15" s="477">
        <f t="shared" si="38"/>
        <v>0</v>
      </c>
      <c r="AH15" s="477">
        <f t="shared" si="39"/>
        <v>0</v>
      </c>
      <c r="AI15" s="477">
        <f t="shared" si="40"/>
        <v>0</v>
      </c>
      <c r="AJ15" s="477">
        <f t="shared" si="41"/>
        <v>0</v>
      </c>
      <c r="AK15" s="477">
        <f t="shared" si="42"/>
        <v>0</v>
      </c>
      <c r="AL15" s="477">
        <f t="shared" si="43"/>
        <v>0</v>
      </c>
      <c r="AM15" s="477">
        <f t="shared" si="44"/>
        <v>0</v>
      </c>
      <c r="AN15" s="477">
        <f t="shared" si="45"/>
        <v>0</v>
      </c>
      <c r="AO15" s="477">
        <f t="shared" si="46"/>
        <v>0</v>
      </c>
      <c r="AP15" s="477">
        <f t="shared" si="47"/>
        <v>0</v>
      </c>
      <c r="AQ15" s="477">
        <f t="shared" si="48"/>
        <v>0</v>
      </c>
      <c r="AR15" s="477">
        <f t="shared" si="49"/>
        <v>0</v>
      </c>
      <c r="AS15" s="477">
        <f t="shared" si="50"/>
        <v>0</v>
      </c>
      <c r="AT15" s="477">
        <f t="shared" si="51"/>
        <v>0</v>
      </c>
      <c r="AU15" s="477">
        <f t="shared" si="52"/>
        <v>0</v>
      </c>
      <c r="AV15" s="477">
        <f t="shared" si="53"/>
        <v>0</v>
      </c>
      <c r="AW15" s="477">
        <f t="shared" si="54"/>
        <v>0</v>
      </c>
      <c r="AX15" s="477">
        <f t="shared" si="55"/>
        <v>0</v>
      </c>
      <c r="AY15" s="477">
        <f t="shared" si="56"/>
        <v>0</v>
      </c>
      <c r="AZ15" s="477">
        <f t="shared" si="57"/>
        <v>0</v>
      </c>
      <c r="BA15" s="477">
        <f t="shared" si="58"/>
        <v>0</v>
      </c>
      <c r="BB15" s="477">
        <f t="shared" si="59"/>
        <v>0</v>
      </c>
      <c r="BC15" s="477">
        <f t="shared" si="60"/>
        <v>0</v>
      </c>
      <c r="BD15" s="477">
        <f t="shared" si="61"/>
        <v>0</v>
      </c>
      <c r="BE15" s="477">
        <f t="shared" si="62"/>
        <v>0</v>
      </c>
      <c r="BF15" s="477">
        <f t="shared" si="63"/>
        <v>0</v>
      </c>
      <c r="BG15" s="47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77">
        <f t="shared" si="27"/>
        <v>0</v>
      </c>
      <c r="V16" s="477">
        <f t="shared" si="28"/>
        <v>0</v>
      </c>
      <c r="W16" s="477">
        <f t="shared" si="29"/>
        <v>0</v>
      </c>
      <c r="X16" s="477">
        <f t="shared" si="30"/>
        <v>0</v>
      </c>
      <c r="Y16" s="477">
        <f t="shared" si="31"/>
        <v>0</v>
      </c>
      <c r="Z16" s="477">
        <f t="shared" si="32"/>
        <v>0</v>
      </c>
      <c r="AA16" s="477">
        <f t="shared" si="33"/>
        <v>0</v>
      </c>
      <c r="AB16" s="243"/>
      <c r="AC16" s="477">
        <f t="shared" si="34"/>
        <v>0</v>
      </c>
      <c r="AD16" s="477">
        <f t="shared" si="35"/>
        <v>0</v>
      </c>
      <c r="AE16" s="477">
        <f t="shared" si="36"/>
        <v>0</v>
      </c>
      <c r="AF16" s="477">
        <f t="shared" si="37"/>
        <v>0</v>
      </c>
      <c r="AG16" s="477">
        <f t="shared" si="38"/>
        <v>0</v>
      </c>
      <c r="AH16" s="477">
        <f t="shared" si="39"/>
        <v>0</v>
      </c>
      <c r="AI16" s="477">
        <f t="shared" si="40"/>
        <v>0</v>
      </c>
      <c r="AJ16" s="477">
        <f t="shared" si="41"/>
        <v>0</v>
      </c>
      <c r="AK16" s="477">
        <f t="shared" si="42"/>
        <v>0</v>
      </c>
      <c r="AL16" s="477">
        <f t="shared" si="43"/>
        <v>0</v>
      </c>
      <c r="AM16" s="477">
        <f t="shared" si="44"/>
        <v>0</v>
      </c>
      <c r="AN16" s="477">
        <f t="shared" si="45"/>
        <v>0</v>
      </c>
      <c r="AO16" s="477">
        <f t="shared" si="46"/>
        <v>0</v>
      </c>
      <c r="AP16" s="477">
        <f t="shared" si="47"/>
        <v>0</v>
      </c>
      <c r="AQ16" s="477">
        <f t="shared" si="48"/>
        <v>0</v>
      </c>
      <c r="AR16" s="477">
        <f t="shared" si="49"/>
        <v>0</v>
      </c>
      <c r="AS16" s="477">
        <f t="shared" si="50"/>
        <v>0</v>
      </c>
      <c r="AT16" s="477">
        <f t="shared" si="51"/>
        <v>0</v>
      </c>
      <c r="AU16" s="477">
        <f t="shared" si="52"/>
        <v>0</v>
      </c>
      <c r="AV16" s="477">
        <f t="shared" si="53"/>
        <v>0</v>
      </c>
      <c r="AW16" s="477">
        <f t="shared" si="54"/>
        <v>0</v>
      </c>
      <c r="AX16" s="477">
        <f t="shared" si="55"/>
        <v>0</v>
      </c>
      <c r="AY16" s="477">
        <f t="shared" si="56"/>
        <v>0</v>
      </c>
      <c r="AZ16" s="477">
        <f t="shared" si="57"/>
        <v>0</v>
      </c>
      <c r="BA16" s="477">
        <f t="shared" si="58"/>
        <v>0</v>
      </c>
      <c r="BB16" s="477">
        <f t="shared" si="59"/>
        <v>0</v>
      </c>
      <c r="BC16" s="477">
        <f t="shared" si="60"/>
        <v>0</v>
      </c>
      <c r="BD16" s="477">
        <f t="shared" si="61"/>
        <v>0</v>
      </c>
      <c r="BE16" s="477">
        <f t="shared" si="62"/>
        <v>0</v>
      </c>
      <c r="BF16" s="477">
        <f t="shared" si="63"/>
        <v>0</v>
      </c>
      <c r="BG16" s="47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77">
        <f t="shared" si="27"/>
        <v>0</v>
      </c>
      <c r="V17" s="477">
        <f t="shared" si="28"/>
        <v>0</v>
      </c>
      <c r="W17" s="477">
        <f t="shared" si="29"/>
        <v>0</v>
      </c>
      <c r="X17" s="477">
        <f t="shared" si="30"/>
        <v>0</v>
      </c>
      <c r="Y17" s="477">
        <f t="shared" si="31"/>
        <v>133</v>
      </c>
      <c r="Z17" s="477">
        <f t="shared" si="32"/>
        <v>133</v>
      </c>
      <c r="AA17" s="477">
        <f t="shared" si="33"/>
        <v>0</v>
      </c>
      <c r="AB17" s="243"/>
      <c r="AC17" s="477">
        <f t="shared" si="34"/>
        <v>0</v>
      </c>
      <c r="AD17" s="477">
        <f t="shared" si="35"/>
        <v>0</v>
      </c>
      <c r="AE17" s="477">
        <f t="shared" si="36"/>
        <v>0</v>
      </c>
      <c r="AF17" s="477">
        <f t="shared" si="37"/>
        <v>133</v>
      </c>
      <c r="AG17" s="477">
        <f t="shared" si="38"/>
        <v>133</v>
      </c>
      <c r="AH17" s="477">
        <f t="shared" si="39"/>
        <v>133</v>
      </c>
      <c r="AI17" s="477">
        <f t="shared" si="40"/>
        <v>133</v>
      </c>
      <c r="AJ17" s="477">
        <f t="shared" si="41"/>
        <v>0</v>
      </c>
      <c r="AK17" s="477">
        <f t="shared" si="42"/>
        <v>0</v>
      </c>
      <c r="AL17" s="477">
        <f t="shared" si="43"/>
        <v>0</v>
      </c>
      <c r="AM17" s="477">
        <f t="shared" si="44"/>
        <v>0</v>
      </c>
      <c r="AN17" s="477">
        <f t="shared" si="45"/>
        <v>133</v>
      </c>
      <c r="AO17" s="477">
        <f t="shared" si="46"/>
        <v>133</v>
      </c>
      <c r="AP17" s="477">
        <f t="shared" si="47"/>
        <v>133</v>
      </c>
      <c r="AQ17" s="477">
        <f t="shared" si="48"/>
        <v>133</v>
      </c>
      <c r="AR17" s="477">
        <f t="shared" si="49"/>
        <v>0</v>
      </c>
      <c r="AS17" s="477">
        <f t="shared" si="50"/>
        <v>0</v>
      </c>
      <c r="AT17" s="477">
        <f t="shared" si="51"/>
        <v>0</v>
      </c>
      <c r="AU17" s="477">
        <f t="shared" si="52"/>
        <v>0</v>
      </c>
      <c r="AV17" s="477">
        <f t="shared" si="53"/>
        <v>133</v>
      </c>
      <c r="AW17" s="477">
        <f t="shared" si="54"/>
        <v>133</v>
      </c>
      <c r="AX17" s="477">
        <f t="shared" si="55"/>
        <v>133</v>
      </c>
      <c r="AY17" s="477">
        <f t="shared" si="56"/>
        <v>133</v>
      </c>
      <c r="AZ17" s="477">
        <f t="shared" si="57"/>
        <v>0</v>
      </c>
      <c r="BA17" s="477">
        <f t="shared" si="58"/>
        <v>0</v>
      </c>
      <c r="BB17" s="477">
        <f t="shared" si="59"/>
        <v>0</v>
      </c>
      <c r="BC17" s="477">
        <f t="shared" si="60"/>
        <v>0</v>
      </c>
      <c r="BD17" s="477">
        <f t="shared" si="61"/>
        <v>133</v>
      </c>
      <c r="BE17" s="477">
        <f t="shared" si="62"/>
        <v>133</v>
      </c>
      <c r="BF17" s="477">
        <f t="shared" si="63"/>
        <v>133</v>
      </c>
      <c r="BG17" s="47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77">
        <f t="shared" si="27"/>
        <v>0</v>
      </c>
      <c r="V18" s="477">
        <f t="shared" si="28"/>
        <v>0</v>
      </c>
      <c r="W18" s="477">
        <f t="shared" si="29"/>
        <v>0</v>
      </c>
      <c r="X18" s="477">
        <f t="shared" si="30"/>
        <v>0</v>
      </c>
      <c r="Y18" s="477">
        <f t="shared" si="31"/>
        <v>133</v>
      </c>
      <c r="Z18" s="477">
        <f t="shared" si="32"/>
        <v>133</v>
      </c>
      <c r="AA18" s="477">
        <f t="shared" si="33"/>
        <v>66.36</v>
      </c>
      <c r="AB18" s="243"/>
      <c r="AC18" s="477">
        <f t="shared" si="34"/>
        <v>0</v>
      </c>
      <c r="AD18" s="477">
        <f t="shared" si="35"/>
        <v>66.36</v>
      </c>
      <c r="AE18" s="477">
        <f t="shared" si="36"/>
        <v>66.36</v>
      </c>
      <c r="AF18" s="477">
        <f t="shared" si="37"/>
        <v>133</v>
      </c>
      <c r="AG18" s="477">
        <f t="shared" si="38"/>
        <v>133</v>
      </c>
      <c r="AH18" s="477">
        <f t="shared" si="39"/>
        <v>199.36</v>
      </c>
      <c r="AI18" s="477">
        <f t="shared" si="40"/>
        <v>199.36</v>
      </c>
      <c r="AJ18" s="477">
        <f t="shared" si="41"/>
        <v>0</v>
      </c>
      <c r="AK18" s="477">
        <f t="shared" si="42"/>
        <v>0</v>
      </c>
      <c r="AL18" s="477">
        <f t="shared" si="43"/>
        <v>66.36</v>
      </c>
      <c r="AM18" s="477">
        <f t="shared" si="44"/>
        <v>66.36</v>
      </c>
      <c r="AN18" s="477">
        <f t="shared" si="45"/>
        <v>133</v>
      </c>
      <c r="AO18" s="477">
        <f t="shared" si="46"/>
        <v>133</v>
      </c>
      <c r="AP18" s="477">
        <f t="shared" si="47"/>
        <v>199.36</v>
      </c>
      <c r="AQ18" s="477">
        <f t="shared" si="48"/>
        <v>199.36</v>
      </c>
      <c r="AR18" s="477">
        <f t="shared" si="49"/>
        <v>0</v>
      </c>
      <c r="AS18" s="477">
        <f t="shared" si="50"/>
        <v>0</v>
      </c>
      <c r="AT18" s="477">
        <f t="shared" si="51"/>
        <v>66.36</v>
      </c>
      <c r="AU18" s="477">
        <f t="shared" si="52"/>
        <v>66.36</v>
      </c>
      <c r="AV18" s="477">
        <f t="shared" si="53"/>
        <v>133</v>
      </c>
      <c r="AW18" s="477">
        <f t="shared" si="54"/>
        <v>133</v>
      </c>
      <c r="AX18" s="477">
        <f t="shared" si="55"/>
        <v>199.36</v>
      </c>
      <c r="AY18" s="477">
        <f t="shared" si="56"/>
        <v>199.36</v>
      </c>
      <c r="AZ18" s="477">
        <f t="shared" si="57"/>
        <v>0</v>
      </c>
      <c r="BA18" s="477">
        <f t="shared" si="58"/>
        <v>0</v>
      </c>
      <c r="BB18" s="477">
        <f t="shared" si="59"/>
        <v>66.36</v>
      </c>
      <c r="BC18" s="477">
        <f t="shared" si="60"/>
        <v>66.36</v>
      </c>
      <c r="BD18" s="477">
        <f t="shared" si="61"/>
        <v>133</v>
      </c>
      <c r="BE18" s="477">
        <f t="shared" si="62"/>
        <v>133</v>
      </c>
      <c r="BF18" s="477">
        <f t="shared" si="63"/>
        <v>199.36</v>
      </c>
      <c r="BG18" s="47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77">
        <f t="shared" si="27"/>
        <v>0</v>
      </c>
      <c r="V19" s="477">
        <f t="shared" si="28"/>
        <v>0</v>
      </c>
      <c r="W19" s="477">
        <f t="shared" si="29"/>
        <v>0</v>
      </c>
      <c r="X19" s="477">
        <f t="shared" si="30"/>
        <v>198.8</v>
      </c>
      <c r="Y19" s="477">
        <f t="shared" si="31"/>
        <v>133</v>
      </c>
      <c r="Z19" s="477">
        <f t="shared" si="32"/>
        <v>133</v>
      </c>
      <c r="AA19" s="477">
        <f t="shared" si="33"/>
        <v>66.36</v>
      </c>
      <c r="AB19" s="243"/>
      <c r="AC19" s="477">
        <f t="shared" si="34"/>
        <v>198.8</v>
      </c>
      <c r="AD19" s="477">
        <f t="shared" si="35"/>
        <v>66.36</v>
      </c>
      <c r="AE19" s="477">
        <f t="shared" si="36"/>
        <v>265.16000000000003</v>
      </c>
      <c r="AF19" s="477">
        <f t="shared" si="37"/>
        <v>133</v>
      </c>
      <c r="AG19" s="477">
        <f t="shared" si="38"/>
        <v>331.8</v>
      </c>
      <c r="AH19" s="477">
        <f t="shared" si="39"/>
        <v>199.36</v>
      </c>
      <c r="AI19" s="477">
        <f t="shared" si="40"/>
        <v>398.16</v>
      </c>
      <c r="AJ19" s="477">
        <f t="shared" si="41"/>
        <v>0</v>
      </c>
      <c r="AK19" s="477">
        <f t="shared" si="42"/>
        <v>198.8</v>
      </c>
      <c r="AL19" s="477">
        <f t="shared" si="43"/>
        <v>66.36</v>
      </c>
      <c r="AM19" s="477">
        <f t="shared" si="44"/>
        <v>265.16000000000003</v>
      </c>
      <c r="AN19" s="477">
        <f t="shared" si="45"/>
        <v>133</v>
      </c>
      <c r="AO19" s="477">
        <f t="shared" si="46"/>
        <v>331.8</v>
      </c>
      <c r="AP19" s="477">
        <f t="shared" si="47"/>
        <v>199.36</v>
      </c>
      <c r="AQ19" s="477">
        <f t="shared" si="48"/>
        <v>398.16</v>
      </c>
      <c r="AR19" s="477">
        <f t="shared" si="49"/>
        <v>0</v>
      </c>
      <c r="AS19" s="477">
        <f t="shared" si="50"/>
        <v>198.8</v>
      </c>
      <c r="AT19" s="477">
        <f t="shared" si="51"/>
        <v>66.36</v>
      </c>
      <c r="AU19" s="477">
        <f t="shared" si="52"/>
        <v>265.16000000000003</v>
      </c>
      <c r="AV19" s="477">
        <f t="shared" si="53"/>
        <v>133</v>
      </c>
      <c r="AW19" s="477">
        <f t="shared" si="54"/>
        <v>331.8</v>
      </c>
      <c r="AX19" s="477">
        <f t="shared" si="55"/>
        <v>199.36</v>
      </c>
      <c r="AY19" s="477">
        <f t="shared" si="56"/>
        <v>398.16</v>
      </c>
      <c r="AZ19" s="477">
        <f t="shared" si="57"/>
        <v>0</v>
      </c>
      <c r="BA19" s="477">
        <f t="shared" si="58"/>
        <v>198.8</v>
      </c>
      <c r="BB19" s="477">
        <f t="shared" si="59"/>
        <v>66.36</v>
      </c>
      <c r="BC19" s="477">
        <f t="shared" si="60"/>
        <v>265.16000000000003</v>
      </c>
      <c r="BD19" s="477">
        <f t="shared" si="61"/>
        <v>133</v>
      </c>
      <c r="BE19" s="477">
        <f t="shared" si="62"/>
        <v>331.8</v>
      </c>
      <c r="BF19" s="477">
        <f t="shared" si="63"/>
        <v>199.36</v>
      </c>
      <c r="BG19" s="47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77">
        <f t="shared" si="27"/>
        <v>0</v>
      </c>
      <c r="V20" s="477">
        <f t="shared" si="28"/>
        <v>0</v>
      </c>
      <c r="W20" s="477">
        <f t="shared" si="29"/>
        <v>512</v>
      </c>
      <c r="X20" s="477">
        <f t="shared" si="30"/>
        <v>198.8</v>
      </c>
      <c r="Y20" s="477">
        <f t="shared" si="31"/>
        <v>133</v>
      </c>
      <c r="Z20" s="477">
        <f t="shared" si="32"/>
        <v>133</v>
      </c>
      <c r="AA20" s="477">
        <f t="shared" si="33"/>
        <v>66.36</v>
      </c>
      <c r="AB20" s="243"/>
      <c r="AC20" s="477">
        <f t="shared" si="34"/>
        <v>198.8</v>
      </c>
      <c r="AD20" s="477">
        <f t="shared" si="35"/>
        <v>66.36</v>
      </c>
      <c r="AE20" s="477">
        <f t="shared" si="36"/>
        <v>265.16000000000003</v>
      </c>
      <c r="AF20" s="477">
        <f t="shared" si="37"/>
        <v>133</v>
      </c>
      <c r="AG20" s="477">
        <f t="shared" si="38"/>
        <v>331.8</v>
      </c>
      <c r="AH20" s="477">
        <f t="shared" si="39"/>
        <v>199.36</v>
      </c>
      <c r="AI20" s="477">
        <f t="shared" si="40"/>
        <v>398.16</v>
      </c>
      <c r="AJ20" s="477">
        <f t="shared" si="41"/>
        <v>0</v>
      </c>
      <c r="AK20" s="477">
        <f t="shared" si="42"/>
        <v>198.8</v>
      </c>
      <c r="AL20" s="477">
        <f t="shared" si="43"/>
        <v>66.36</v>
      </c>
      <c r="AM20" s="477">
        <f t="shared" si="44"/>
        <v>265.16000000000003</v>
      </c>
      <c r="AN20" s="477">
        <f t="shared" si="45"/>
        <v>133</v>
      </c>
      <c r="AO20" s="477">
        <f t="shared" si="46"/>
        <v>331.8</v>
      </c>
      <c r="AP20" s="477">
        <f t="shared" si="47"/>
        <v>199.36</v>
      </c>
      <c r="AQ20" s="477">
        <f t="shared" si="48"/>
        <v>398.16</v>
      </c>
      <c r="AR20" s="477">
        <f t="shared" si="49"/>
        <v>512</v>
      </c>
      <c r="AS20" s="477">
        <f t="shared" si="50"/>
        <v>710.8</v>
      </c>
      <c r="AT20" s="477">
        <f t="shared" si="51"/>
        <v>578.36</v>
      </c>
      <c r="AU20" s="477">
        <f t="shared" si="52"/>
        <v>777.16000000000008</v>
      </c>
      <c r="AV20" s="477">
        <f t="shared" si="53"/>
        <v>645</v>
      </c>
      <c r="AW20" s="477">
        <f t="shared" si="54"/>
        <v>843.8</v>
      </c>
      <c r="AX20" s="477">
        <f t="shared" si="55"/>
        <v>711.36</v>
      </c>
      <c r="AY20" s="477">
        <f t="shared" si="56"/>
        <v>910.16000000000008</v>
      </c>
      <c r="AZ20" s="477">
        <f t="shared" si="57"/>
        <v>512</v>
      </c>
      <c r="BA20" s="477">
        <f t="shared" si="58"/>
        <v>710.8</v>
      </c>
      <c r="BB20" s="477">
        <f t="shared" si="59"/>
        <v>578.36</v>
      </c>
      <c r="BC20" s="477">
        <f t="shared" si="60"/>
        <v>777.16000000000008</v>
      </c>
      <c r="BD20" s="477">
        <f t="shared" si="61"/>
        <v>645</v>
      </c>
      <c r="BE20" s="477">
        <f t="shared" si="62"/>
        <v>843.8</v>
      </c>
      <c r="BF20" s="477">
        <f t="shared" si="63"/>
        <v>711.36</v>
      </c>
      <c r="BG20" s="47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77">
        <f t="shared" si="27"/>
        <v>0</v>
      </c>
      <c r="V21" s="477">
        <f t="shared" si="28"/>
        <v>0</v>
      </c>
      <c r="W21" s="477">
        <f t="shared" si="29"/>
        <v>512</v>
      </c>
      <c r="X21" s="477">
        <f t="shared" si="30"/>
        <v>198.8</v>
      </c>
      <c r="Y21" s="477">
        <f t="shared" si="31"/>
        <v>33.25</v>
      </c>
      <c r="Z21" s="477">
        <f t="shared" si="32"/>
        <v>33.25</v>
      </c>
      <c r="AA21" s="477">
        <f t="shared" si="33"/>
        <v>66.36</v>
      </c>
      <c r="AB21" s="243"/>
      <c r="AC21" s="477">
        <f t="shared" si="34"/>
        <v>198.8</v>
      </c>
      <c r="AD21" s="477">
        <f t="shared" si="35"/>
        <v>66.36</v>
      </c>
      <c r="AE21" s="477">
        <f t="shared" si="36"/>
        <v>265.16000000000003</v>
      </c>
      <c r="AF21" s="477">
        <f t="shared" si="37"/>
        <v>33.25</v>
      </c>
      <c r="AG21" s="477">
        <f t="shared" si="38"/>
        <v>232.05</v>
      </c>
      <c r="AH21" s="477">
        <f t="shared" si="39"/>
        <v>99.61</v>
      </c>
      <c r="AI21" s="477">
        <f t="shared" si="40"/>
        <v>298.41000000000003</v>
      </c>
      <c r="AJ21" s="477">
        <f t="shared" si="41"/>
        <v>0</v>
      </c>
      <c r="AK21" s="477">
        <f t="shared" si="42"/>
        <v>198.8</v>
      </c>
      <c r="AL21" s="477">
        <f t="shared" si="43"/>
        <v>66.36</v>
      </c>
      <c r="AM21" s="477">
        <f t="shared" si="44"/>
        <v>265.16000000000003</v>
      </c>
      <c r="AN21" s="477">
        <f t="shared" si="45"/>
        <v>33.25</v>
      </c>
      <c r="AO21" s="477">
        <f t="shared" si="46"/>
        <v>232.05</v>
      </c>
      <c r="AP21" s="477">
        <f t="shared" si="47"/>
        <v>99.61</v>
      </c>
      <c r="AQ21" s="477">
        <f t="shared" si="48"/>
        <v>298.41000000000003</v>
      </c>
      <c r="AR21" s="477">
        <f t="shared" si="49"/>
        <v>512</v>
      </c>
      <c r="AS21" s="477">
        <f t="shared" si="50"/>
        <v>710.8</v>
      </c>
      <c r="AT21" s="477">
        <f t="shared" si="51"/>
        <v>578.36</v>
      </c>
      <c r="AU21" s="477">
        <f t="shared" si="52"/>
        <v>777.16000000000008</v>
      </c>
      <c r="AV21" s="477">
        <f t="shared" si="53"/>
        <v>545.25</v>
      </c>
      <c r="AW21" s="477">
        <f t="shared" si="54"/>
        <v>744.05</v>
      </c>
      <c r="AX21" s="477">
        <f t="shared" si="55"/>
        <v>611.61</v>
      </c>
      <c r="AY21" s="477">
        <f t="shared" si="56"/>
        <v>810.41000000000008</v>
      </c>
      <c r="AZ21" s="477">
        <f t="shared" si="57"/>
        <v>512</v>
      </c>
      <c r="BA21" s="477">
        <f t="shared" si="58"/>
        <v>710.8</v>
      </c>
      <c r="BB21" s="477">
        <f t="shared" si="59"/>
        <v>578.36</v>
      </c>
      <c r="BC21" s="477">
        <f t="shared" si="60"/>
        <v>777.16000000000008</v>
      </c>
      <c r="BD21" s="477">
        <f t="shared" si="61"/>
        <v>545.25</v>
      </c>
      <c r="BE21" s="477">
        <f t="shared" si="62"/>
        <v>744.05</v>
      </c>
      <c r="BF21" s="477">
        <f t="shared" si="63"/>
        <v>611.61</v>
      </c>
      <c r="BG21" s="47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77">
        <f t="shared" si="27"/>
        <v>0</v>
      </c>
      <c r="V22" s="477">
        <f t="shared" si="28"/>
        <v>0</v>
      </c>
      <c r="W22" s="477">
        <f t="shared" si="29"/>
        <v>512</v>
      </c>
      <c r="X22" s="477">
        <f t="shared" si="30"/>
        <v>198.8</v>
      </c>
      <c r="Y22" s="477">
        <f t="shared" si="31"/>
        <v>33.25</v>
      </c>
      <c r="Z22" s="477">
        <f t="shared" si="32"/>
        <v>33.25</v>
      </c>
      <c r="AA22" s="477">
        <f t="shared" si="33"/>
        <v>2.7650000000000001</v>
      </c>
      <c r="AB22" s="243"/>
      <c r="AC22" s="477">
        <f t="shared" si="34"/>
        <v>198.8</v>
      </c>
      <c r="AD22" s="477">
        <f t="shared" si="35"/>
        <v>2.7650000000000001</v>
      </c>
      <c r="AE22" s="477">
        <f t="shared" si="36"/>
        <v>201.565</v>
      </c>
      <c r="AF22" s="477">
        <f t="shared" si="37"/>
        <v>33.25</v>
      </c>
      <c r="AG22" s="477">
        <f t="shared" si="38"/>
        <v>232.05</v>
      </c>
      <c r="AH22" s="477">
        <f t="shared" si="39"/>
        <v>36.015000000000001</v>
      </c>
      <c r="AI22" s="477">
        <f t="shared" si="40"/>
        <v>234.815</v>
      </c>
      <c r="AJ22" s="477">
        <f t="shared" si="41"/>
        <v>0</v>
      </c>
      <c r="AK22" s="477">
        <f t="shared" si="42"/>
        <v>198.8</v>
      </c>
      <c r="AL22" s="477">
        <f t="shared" si="43"/>
        <v>2.7650000000000001</v>
      </c>
      <c r="AM22" s="477">
        <f t="shared" si="44"/>
        <v>201.565</v>
      </c>
      <c r="AN22" s="477">
        <f t="shared" si="45"/>
        <v>33.25</v>
      </c>
      <c r="AO22" s="477">
        <f t="shared" si="46"/>
        <v>232.05</v>
      </c>
      <c r="AP22" s="477">
        <f t="shared" si="47"/>
        <v>36.015000000000001</v>
      </c>
      <c r="AQ22" s="477">
        <f t="shared" si="48"/>
        <v>234.815</v>
      </c>
      <c r="AR22" s="477">
        <f t="shared" si="49"/>
        <v>512</v>
      </c>
      <c r="AS22" s="477">
        <f t="shared" si="50"/>
        <v>710.8</v>
      </c>
      <c r="AT22" s="477">
        <f t="shared" si="51"/>
        <v>514.76499999999999</v>
      </c>
      <c r="AU22" s="477">
        <f t="shared" si="52"/>
        <v>713.56500000000005</v>
      </c>
      <c r="AV22" s="477">
        <f t="shared" si="53"/>
        <v>545.25</v>
      </c>
      <c r="AW22" s="477">
        <f t="shared" si="54"/>
        <v>744.05</v>
      </c>
      <c r="AX22" s="477">
        <f t="shared" si="55"/>
        <v>548.01499999999999</v>
      </c>
      <c r="AY22" s="477">
        <f t="shared" si="56"/>
        <v>746.81500000000005</v>
      </c>
      <c r="AZ22" s="477">
        <f t="shared" si="57"/>
        <v>512</v>
      </c>
      <c r="BA22" s="477">
        <f t="shared" si="58"/>
        <v>710.8</v>
      </c>
      <c r="BB22" s="477">
        <f t="shared" si="59"/>
        <v>514.76499999999999</v>
      </c>
      <c r="BC22" s="477">
        <f t="shared" si="60"/>
        <v>713.56500000000005</v>
      </c>
      <c r="BD22" s="477">
        <f t="shared" si="61"/>
        <v>545.25</v>
      </c>
      <c r="BE22" s="477">
        <f t="shared" si="62"/>
        <v>744.05</v>
      </c>
      <c r="BF22" s="477">
        <f t="shared" si="63"/>
        <v>548.01499999999999</v>
      </c>
      <c r="BG22" s="47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77">
        <f t="shared" si="27"/>
        <v>0</v>
      </c>
      <c r="V23" s="477">
        <f t="shared" si="28"/>
        <v>0</v>
      </c>
      <c r="W23" s="477">
        <f t="shared" si="29"/>
        <v>512</v>
      </c>
      <c r="X23" s="477">
        <f t="shared" si="30"/>
        <v>0.55222222222222217</v>
      </c>
      <c r="Y23" s="477">
        <f t="shared" si="31"/>
        <v>33.25</v>
      </c>
      <c r="Z23" s="477">
        <f t="shared" si="32"/>
        <v>33.25</v>
      </c>
      <c r="AA23" s="477">
        <f t="shared" si="33"/>
        <v>2.7650000000000001</v>
      </c>
      <c r="AB23" s="243"/>
      <c r="AC23" s="477">
        <f t="shared" si="34"/>
        <v>0.55222222222222217</v>
      </c>
      <c r="AD23" s="477">
        <f t="shared" si="35"/>
        <v>2.7650000000000001</v>
      </c>
      <c r="AE23" s="477">
        <f t="shared" si="36"/>
        <v>3.3172222222222221</v>
      </c>
      <c r="AF23" s="477">
        <f t="shared" si="37"/>
        <v>33.25</v>
      </c>
      <c r="AG23" s="477">
        <f t="shared" si="38"/>
        <v>33.80222222222222</v>
      </c>
      <c r="AH23" s="477">
        <f t="shared" si="39"/>
        <v>36.015000000000001</v>
      </c>
      <c r="AI23" s="477">
        <f t="shared" si="40"/>
        <v>36.56722222222222</v>
      </c>
      <c r="AJ23" s="477">
        <f t="shared" si="41"/>
        <v>0</v>
      </c>
      <c r="AK23" s="477">
        <f t="shared" si="42"/>
        <v>0.55222222222222217</v>
      </c>
      <c r="AL23" s="477">
        <f t="shared" si="43"/>
        <v>2.7650000000000001</v>
      </c>
      <c r="AM23" s="477">
        <f t="shared" si="44"/>
        <v>3.3172222222222221</v>
      </c>
      <c r="AN23" s="477">
        <f t="shared" si="45"/>
        <v>33.25</v>
      </c>
      <c r="AO23" s="477">
        <f t="shared" si="46"/>
        <v>33.80222222222222</v>
      </c>
      <c r="AP23" s="477">
        <f t="shared" si="47"/>
        <v>36.015000000000001</v>
      </c>
      <c r="AQ23" s="477">
        <f t="shared" si="48"/>
        <v>36.56722222222222</v>
      </c>
      <c r="AR23" s="477">
        <f t="shared" si="49"/>
        <v>512</v>
      </c>
      <c r="AS23" s="477">
        <f t="shared" si="50"/>
        <v>512.55222222222221</v>
      </c>
      <c r="AT23" s="477">
        <f t="shared" si="51"/>
        <v>514.76499999999999</v>
      </c>
      <c r="AU23" s="477">
        <f t="shared" si="52"/>
        <v>515.3172222222222</v>
      </c>
      <c r="AV23" s="477">
        <f t="shared" si="53"/>
        <v>545.25</v>
      </c>
      <c r="AW23" s="477">
        <f t="shared" si="54"/>
        <v>545.80222222222221</v>
      </c>
      <c r="AX23" s="477">
        <f t="shared" si="55"/>
        <v>548.01499999999999</v>
      </c>
      <c r="AY23" s="477">
        <f t="shared" si="56"/>
        <v>548.5672222222222</v>
      </c>
      <c r="AZ23" s="477">
        <f t="shared" si="57"/>
        <v>512</v>
      </c>
      <c r="BA23" s="477">
        <f t="shared" si="58"/>
        <v>512.55222222222221</v>
      </c>
      <c r="BB23" s="477">
        <f t="shared" si="59"/>
        <v>514.76499999999999</v>
      </c>
      <c r="BC23" s="477">
        <f t="shared" si="60"/>
        <v>515.3172222222222</v>
      </c>
      <c r="BD23" s="477">
        <f t="shared" si="61"/>
        <v>545.25</v>
      </c>
      <c r="BE23" s="477">
        <f t="shared" si="62"/>
        <v>545.80222222222221</v>
      </c>
      <c r="BF23" s="477">
        <f t="shared" si="63"/>
        <v>548.01499999999999</v>
      </c>
      <c r="BG23" s="47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77">
        <f t="shared" si="27"/>
        <v>0</v>
      </c>
      <c r="V24" s="477">
        <f t="shared" si="28"/>
        <v>0</v>
      </c>
      <c r="W24" s="477">
        <f t="shared" si="29"/>
        <v>1.7066666666666668</v>
      </c>
      <c r="X24" s="477">
        <f t="shared" si="30"/>
        <v>0.55222222222222217</v>
      </c>
      <c r="Y24" s="477">
        <f t="shared" si="31"/>
        <v>33.25</v>
      </c>
      <c r="Z24" s="477">
        <f t="shared" si="32"/>
        <v>33.25</v>
      </c>
      <c r="AA24" s="477">
        <f t="shared" si="33"/>
        <v>2.7650000000000001</v>
      </c>
      <c r="AB24" s="243"/>
      <c r="AC24" s="477">
        <f t="shared" si="34"/>
        <v>0.55222222222222217</v>
      </c>
      <c r="AD24" s="477">
        <f t="shared" si="35"/>
        <v>2.7650000000000001</v>
      </c>
      <c r="AE24" s="477">
        <f t="shared" si="36"/>
        <v>3.3172222222222221</v>
      </c>
      <c r="AF24" s="477">
        <f t="shared" si="37"/>
        <v>33.25</v>
      </c>
      <c r="AG24" s="477">
        <f t="shared" si="38"/>
        <v>33.80222222222222</v>
      </c>
      <c r="AH24" s="477">
        <f t="shared" si="39"/>
        <v>36.015000000000001</v>
      </c>
      <c r="AI24" s="477">
        <f t="shared" si="40"/>
        <v>36.56722222222222</v>
      </c>
      <c r="AJ24" s="477">
        <f t="shared" si="41"/>
        <v>0</v>
      </c>
      <c r="AK24" s="477">
        <f t="shared" si="42"/>
        <v>0.55222222222222217</v>
      </c>
      <c r="AL24" s="477">
        <f t="shared" si="43"/>
        <v>2.7650000000000001</v>
      </c>
      <c r="AM24" s="477">
        <f t="shared" si="44"/>
        <v>3.3172222222222221</v>
      </c>
      <c r="AN24" s="477">
        <f t="shared" si="45"/>
        <v>33.25</v>
      </c>
      <c r="AO24" s="477">
        <f t="shared" si="46"/>
        <v>33.80222222222222</v>
      </c>
      <c r="AP24" s="477">
        <f t="shared" si="47"/>
        <v>36.015000000000001</v>
      </c>
      <c r="AQ24" s="477">
        <f t="shared" si="48"/>
        <v>36.56722222222222</v>
      </c>
      <c r="AR24" s="477">
        <f t="shared" si="49"/>
        <v>1.7066666666666668</v>
      </c>
      <c r="AS24" s="477">
        <f t="shared" si="50"/>
        <v>2.2588888888888889</v>
      </c>
      <c r="AT24" s="477">
        <f t="shared" si="51"/>
        <v>4.4716666666666667</v>
      </c>
      <c r="AU24" s="477">
        <f t="shared" si="52"/>
        <v>5.0238888888888891</v>
      </c>
      <c r="AV24" s="477">
        <f t="shared" si="53"/>
        <v>34.956666666666663</v>
      </c>
      <c r="AW24" s="477">
        <f t="shared" si="54"/>
        <v>35.508888888888883</v>
      </c>
      <c r="AX24" s="477">
        <f t="shared" si="55"/>
        <v>37.721666666666664</v>
      </c>
      <c r="AY24" s="477">
        <f t="shared" si="56"/>
        <v>38.273888888888884</v>
      </c>
      <c r="AZ24" s="477">
        <f t="shared" si="57"/>
        <v>1.7066666666666668</v>
      </c>
      <c r="BA24" s="477">
        <f t="shared" si="58"/>
        <v>2.2588888888888889</v>
      </c>
      <c r="BB24" s="477">
        <f t="shared" si="59"/>
        <v>4.4716666666666667</v>
      </c>
      <c r="BC24" s="477">
        <f t="shared" si="60"/>
        <v>5.0238888888888891</v>
      </c>
      <c r="BD24" s="477">
        <f t="shared" si="61"/>
        <v>34.956666666666663</v>
      </c>
      <c r="BE24" s="477">
        <f t="shared" si="62"/>
        <v>35.508888888888883</v>
      </c>
      <c r="BF24" s="477">
        <f t="shared" si="63"/>
        <v>37.721666666666664</v>
      </c>
      <c r="BG24" s="47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77">
        <f t="shared" si="27"/>
        <v>0</v>
      </c>
      <c r="V25" s="477">
        <f t="shared" si="28"/>
        <v>0</v>
      </c>
      <c r="W25" s="477">
        <f t="shared" si="29"/>
        <v>1.7066666666666668</v>
      </c>
      <c r="X25" s="477">
        <f t="shared" si="30"/>
        <v>0.55222222222222217</v>
      </c>
      <c r="Y25" s="477">
        <f t="shared" si="31"/>
        <v>7.3888888888888893</v>
      </c>
      <c r="Z25" s="477">
        <f t="shared" si="32"/>
        <v>7.3888888888888893</v>
      </c>
      <c r="AA25" s="477">
        <f t="shared" si="33"/>
        <v>2.7650000000000001</v>
      </c>
      <c r="AB25" s="243"/>
      <c r="AC25" s="477">
        <f t="shared" si="34"/>
        <v>0.55222222222222217</v>
      </c>
      <c r="AD25" s="477">
        <f t="shared" si="35"/>
        <v>2.7650000000000001</v>
      </c>
      <c r="AE25" s="477">
        <f t="shared" si="36"/>
        <v>3.3172222222222221</v>
      </c>
      <c r="AF25" s="477">
        <f t="shared" si="37"/>
        <v>7.3888888888888893</v>
      </c>
      <c r="AG25" s="477">
        <f t="shared" si="38"/>
        <v>7.9411111111111117</v>
      </c>
      <c r="AH25" s="477">
        <f t="shared" si="39"/>
        <v>10.15388888888889</v>
      </c>
      <c r="AI25" s="477">
        <f t="shared" si="40"/>
        <v>10.706111111111111</v>
      </c>
      <c r="AJ25" s="477">
        <f t="shared" si="41"/>
        <v>0</v>
      </c>
      <c r="AK25" s="477">
        <f t="shared" si="42"/>
        <v>0.55222222222222217</v>
      </c>
      <c r="AL25" s="477">
        <f t="shared" si="43"/>
        <v>2.7650000000000001</v>
      </c>
      <c r="AM25" s="477">
        <f t="shared" si="44"/>
        <v>3.3172222222222221</v>
      </c>
      <c r="AN25" s="477">
        <f t="shared" si="45"/>
        <v>7.3888888888888893</v>
      </c>
      <c r="AO25" s="477">
        <f t="shared" si="46"/>
        <v>7.9411111111111117</v>
      </c>
      <c r="AP25" s="477">
        <f t="shared" si="47"/>
        <v>10.15388888888889</v>
      </c>
      <c r="AQ25" s="477">
        <f t="shared" si="48"/>
        <v>10.706111111111111</v>
      </c>
      <c r="AR25" s="477">
        <f t="shared" si="49"/>
        <v>1.7066666666666668</v>
      </c>
      <c r="AS25" s="477">
        <f t="shared" si="50"/>
        <v>2.2588888888888889</v>
      </c>
      <c r="AT25" s="477">
        <f t="shared" si="51"/>
        <v>4.4716666666666667</v>
      </c>
      <c r="AU25" s="477">
        <f t="shared" si="52"/>
        <v>5.0238888888888891</v>
      </c>
      <c r="AV25" s="477">
        <f t="shared" si="53"/>
        <v>9.0955555555555563</v>
      </c>
      <c r="AW25" s="477">
        <f t="shared" si="54"/>
        <v>9.6477777777777778</v>
      </c>
      <c r="AX25" s="477">
        <f t="shared" si="55"/>
        <v>11.860555555555557</v>
      </c>
      <c r="AY25" s="477">
        <f t="shared" si="56"/>
        <v>12.412777777777778</v>
      </c>
      <c r="AZ25" s="477">
        <f t="shared" si="57"/>
        <v>1.7066666666666668</v>
      </c>
      <c r="BA25" s="477">
        <f t="shared" si="58"/>
        <v>2.2588888888888889</v>
      </c>
      <c r="BB25" s="477">
        <f t="shared" si="59"/>
        <v>4.4716666666666667</v>
      </c>
      <c r="BC25" s="477">
        <f t="shared" si="60"/>
        <v>5.0238888888888891</v>
      </c>
      <c r="BD25" s="477">
        <f t="shared" si="61"/>
        <v>9.0955555555555563</v>
      </c>
      <c r="BE25" s="477">
        <f t="shared" si="62"/>
        <v>9.6477777777777778</v>
      </c>
      <c r="BF25" s="477">
        <f t="shared" si="63"/>
        <v>11.860555555555557</v>
      </c>
      <c r="BG25" s="47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77">
        <f t="shared" si="27"/>
        <v>0</v>
      </c>
      <c r="V26" s="477">
        <f t="shared" si="28"/>
        <v>0</v>
      </c>
      <c r="W26" s="477">
        <f t="shared" si="29"/>
        <v>1.7066666666666668</v>
      </c>
      <c r="X26" s="477">
        <f t="shared" si="30"/>
        <v>11.044444444444444</v>
      </c>
      <c r="Y26" s="477">
        <f t="shared" si="31"/>
        <v>7.3888888888888893</v>
      </c>
      <c r="Z26" s="477">
        <f t="shared" si="32"/>
        <v>7.3888888888888893</v>
      </c>
      <c r="AA26" s="477">
        <f t="shared" si="33"/>
        <v>2.7650000000000001</v>
      </c>
      <c r="AB26" s="243"/>
      <c r="AC26" s="477">
        <f t="shared" si="34"/>
        <v>11.044444444444444</v>
      </c>
      <c r="AD26" s="477">
        <f t="shared" si="35"/>
        <v>2.7650000000000001</v>
      </c>
      <c r="AE26" s="477">
        <f t="shared" si="36"/>
        <v>13.809444444444445</v>
      </c>
      <c r="AF26" s="477">
        <f t="shared" si="37"/>
        <v>7.3888888888888893</v>
      </c>
      <c r="AG26" s="477">
        <f t="shared" si="38"/>
        <v>18.433333333333334</v>
      </c>
      <c r="AH26" s="477">
        <f t="shared" si="39"/>
        <v>10.15388888888889</v>
      </c>
      <c r="AI26" s="477">
        <f t="shared" si="40"/>
        <v>21.198333333333334</v>
      </c>
      <c r="AJ26" s="477">
        <f t="shared" si="41"/>
        <v>0</v>
      </c>
      <c r="AK26" s="477">
        <f t="shared" si="42"/>
        <v>11.044444444444444</v>
      </c>
      <c r="AL26" s="477">
        <f t="shared" si="43"/>
        <v>2.7650000000000001</v>
      </c>
      <c r="AM26" s="477">
        <f t="shared" si="44"/>
        <v>13.809444444444445</v>
      </c>
      <c r="AN26" s="477">
        <f t="shared" si="45"/>
        <v>7.3888888888888893</v>
      </c>
      <c r="AO26" s="477">
        <f t="shared" si="46"/>
        <v>18.433333333333334</v>
      </c>
      <c r="AP26" s="477">
        <f t="shared" si="47"/>
        <v>10.15388888888889</v>
      </c>
      <c r="AQ26" s="477">
        <f t="shared" si="48"/>
        <v>21.198333333333334</v>
      </c>
      <c r="AR26" s="477">
        <f t="shared" si="49"/>
        <v>1.7066666666666668</v>
      </c>
      <c r="AS26" s="477">
        <f t="shared" si="50"/>
        <v>12.751111111111111</v>
      </c>
      <c r="AT26" s="477">
        <f t="shared" si="51"/>
        <v>4.4716666666666667</v>
      </c>
      <c r="AU26" s="477">
        <f t="shared" si="52"/>
        <v>15.516111111111112</v>
      </c>
      <c r="AV26" s="477">
        <f t="shared" si="53"/>
        <v>9.0955555555555563</v>
      </c>
      <c r="AW26" s="477">
        <f t="shared" si="54"/>
        <v>20.14</v>
      </c>
      <c r="AX26" s="477">
        <f t="shared" si="55"/>
        <v>11.860555555555557</v>
      </c>
      <c r="AY26" s="477">
        <f t="shared" si="56"/>
        <v>22.905000000000001</v>
      </c>
      <c r="AZ26" s="477">
        <f t="shared" si="57"/>
        <v>1.7066666666666668</v>
      </c>
      <c r="BA26" s="477">
        <f t="shared" si="58"/>
        <v>12.751111111111111</v>
      </c>
      <c r="BB26" s="477">
        <f t="shared" si="59"/>
        <v>4.4716666666666667</v>
      </c>
      <c r="BC26" s="477">
        <f t="shared" si="60"/>
        <v>15.516111111111112</v>
      </c>
      <c r="BD26" s="477">
        <f t="shared" si="61"/>
        <v>9.0955555555555563</v>
      </c>
      <c r="BE26" s="477">
        <f t="shared" si="62"/>
        <v>20.14</v>
      </c>
      <c r="BF26" s="477">
        <f t="shared" si="63"/>
        <v>11.860555555555557</v>
      </c>
      <c r="BG26" s="47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77">
        <f t="shared" si="27"/>
        <v>0</v>
      </c>
      <c r="V27" s="477">
        <f t="shared" si="28"/>
        <v>0</v>
      </c>
      <c r="W27" s="477">
        <f t="shared" si="29"/>
        <v>1.7066666666666668</v>
      </c>
      <c r="X27" s="477">
        <f t="shared" si="30"/>
        <v>11.044444444444444</v>
      </c>
      <c r="Y27" s="477">
        <f t="shared" si="31"/>
        <v>7.3888888888888893</v>
      </c>
      <c r="Z27" s="477">
        <f t="shared" si="32"/>
        <v>7.3888888888888893</v>
      </c>
      <c r="AA27" s="477">
        <f t="shared" si="33"/>
        <v>2.7650000000000001</v>
      </c>
      <c r="AB27" s="243"/>
      <c r="AC27" s="477">
        <f t="shared" si="34"/>
        <v>11.044444444444444</v>
      </c>
      <c r="AD27" s="477">
        <f t="shared" si="35"/>
        <v>2.7650000000000001</v>
      </c>
      <c r="AE27" s="477">
        <f t="shared" si="36"/>
        <v>13.809444444444445</v>
      </c>
      <c r="AF27" s="477">
        <f t="shared" si="37"/>
        <v>7.3888888888888893</v>
      </c>
      <c r="AG27" s="477">
        <f t="shared" si="38"/>
        <v>18.433333333333334</v>
      </c>
      <c r="AH27" s="477">
        <f t="shared" si="39"/>
        <v>10.15388888888889</v>
      </c>
      <c r="AI27" s="477">
        <f t="shared" si="40"/>
        <v>21.198333333333334</v>
      </c>
      <c r="AJ27" s="477">
        <f t="shared" si="41"/>
        <v>0</v>
      </c>
      <c r="AK27" s="477">
        <f t="shared" si="42"/>
        <v>11.044444444444444</v>
      </c>
      <c r="AL27" s="477">
        <f t="shared" si="43"/>
        <v>2.7650000000000001</v>
      </c>
      <c r="AM27" s="477">
        <f t="shared" si="44"/>
        <v>13.809444444444445</v>
      </c>
      <c r="AN27" s="477">
        <f t="shared" si="45"/>
        <v>7.3888888888888893</v>
      </c>
      <c r="AO27" s="477">
        <f t="shared" si="46"/>
        <v>18.433333333333334</v>
      </c>
      <c r="AP27" s="477">
        <f t="shared" si="47"/>
        <v>10.15388888888889</v>
      </c>
      <c r="AQ27" s="477">
        <f t="shared" si="48"/>
        <v>21.198333333333334</v>
      </c>
      <c r="AR27" s="477">
        <f t="shared" si="49"/>
        <v>1.7066666666666668</v>
      </c>
      <c r="AS27" s="477">
        <f t="shared" si="50"/>
        <v>12.751111111111111</v>
      </c>
      <c r="AT27" s="477">
        <f t="shared" si="51"/>
        <v>4.4716666666666667</v>
      </c>
      <c r="AU27" s="477">
        <f t="shared" si="52"/>
        <v>15.516111111111112</v>
      </c>
      <c r="AV27" s="477">
        <f t="shared" si="53"/>
        <v>9.0955555555555563</v>
      </c>
      <c r="AW27" s="477">
        <f t="shared" si="54"/>
        <v>20.14</v>
      </c>
      <c r="AX27" s="477">
        <f t="shared" si="55"/>
        <v>11.860555555555557</v>
      </c>
      <c r="AY27" s="477">
        <f t="shared" si="56"/>
        <v>22.905000000000001</v>
      </c>
      <c r="AZ27" s="477">
        <f t="shared" si="57"/>
        <v>1.7066666666666668</v>
      </c>
      <c r="BA27" s="477">
        <f t="shared" si="58"/>
        <v>12.751111111111111</v>
      </c>
      <c r="BB27" s="477">
        <f t="shared" si="59"/>
        <v>4.4716666666666667</v>
      </c>
      <c r="BC27" s="477">
        <f t="shared" si="60"/>
        <v>15.516111111111112</v>
      </c>
      <c r="BD27" s="477">
        <f t="shared" si="61"/>
        <v>9.0955555555555563</v>
      </c>
      <c r="BE27" s="477">
        <f t="shared" si="62"/>
        <v>20.14</v>
      </c>
      <c r="BF27" s="477">
        <f t="shared" si="63"/>
        <v>11.860555555555557</v>
      </c>
      <c r="BG27" s="47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77">
        <f t="shared" si="27"/>
        <v>0</v>
      </c>
      <c r="V28" s="477">
        <f t="shared" si="28"/>
        <v>0</v>
      </c>
      <c r="W28" s="477">
        <f t="shared" si="29"/>
        <v>0.28444444444444444</v>
      </c>
      <c r="X28" s="477">
        <f t="shared" si="30"/>
        <v>11.044444444444444</v>
      </c>
      <c r="Y28" s="477">
        <f t="shared" si="31"/>
        <v>7.3888888888888893</v>
      </c>
      <c r="Z28" s="477">
        <f t="shared" si="32"/>
        <v>7.3888888888888893</v>
      </c>
      <c r="AA28" s="477">
        <f t="shared" si="33"/>
        <v>2.7650000000000001</v>
      </c>
      <c r="AB28" s="243"/>
      <c r="AC28" s="477">
        <f t="shared" si="34"/>
        <v>11.044444444444444</v>
      </c>
      <c r="AD28" s="477">
        <f t="shared" si="35"/>
        <v>2.7650000000000001</v>
      </c>
      <c r="AE28" s="477">
        <f t="shared" si="36"/>
        <v>13.809444444444445</v>
      </c>
      <c r="AF28" s="477">
        <f t="shared" si="37"/>
        <v>7.3888888888888893</v>
      </c>
      <c r="AG28" s="477">
        <f t="shared" si="38"/>
        <v>18.433333333333334</v>
      </c>
      <c r="AH28" s="477">
        <f t="shared" si="39"/>
        <v>10.15388888888889</v>
      </c>
      <c r="AI28" s="477">
        <f t="shared" si="40"/>
        <v>21.198333333333334</v>
      </c>
      <c r="AJ28" s="477">
        <f t="shared" si="41"/>
        <v>0</v>
      </c>
      <c r="AK28" s="477">
        <f t="shared" si="42"/>
        <v>11.044444444444444</v>
      </c>
      <c r="AL28" s="477">
        <f t="shared" si="43"/>
        <v>2.7650000000000001</v>
      </c>
      <c r="AM28" s="477">
        <f t="shared" si="44"/>
        <v>13.809444444444445</v>
      </c>
      <c r="AN28" s="477">
        <f t="shared" si="45"/>
        <v>7.3888888888888893</v>
      </c>
      <c r="AO28" s="477">
        <f t="shared" si="46"/>
        <v>18.433333333333334</v>
      </c>
      <c r="AP28" s="477">
        <f t="shared" si="47"/>
        <v>10.15388888888889</v>
      </c>
      <c r="AQ28" s="477">
        <f t="shared" si="48"/>
        <v>21.198333333333334</v>
      </c>
      <c r="AR28" s="477">
        <f t="shared" si="49"/>
        <v>0.28444444444444444</v>
      </c>
      <c r="AS28" s="477">
        <f t="shared" si="50"/>
        <v>11.328888888888889</v>
      </c>
      <c r="AT28" s="477">
        <f t="shared" si="51"/>
        <v>3.0494444444444446</v>
      </c>
      <c r="AU28" s="477">
        <f t="shared" si="52"/>
        <v>14.093888888888889</v>
      </c>
      <c r="AV28" s="477">
        <f t="shared" si="53"/>
        <v>7.6733333333333338</v>
      </c>
      <c r="AW28" s="477">
        <f t="shared" si="54"/>
        <v>18.717777777777776</v>
      </c>
      <c r="AX28" s="477">
        <f t="shared" si="55"/>
        <v>10.438333333333334</v>
      </c>
      <c r="AY28" s="477">
        <f t="shared" si="56"/>
        <v>21.482777777777777</v>
      </c>
      <c r="AZ28" s="477">
        <f t="shared" si="57"/>
        <v>0.28444444444444444</v>
      </c>
      <c r="BA28" s="477">
        <f t="shared" si="58"/>
        <v>11.328888888888889</v>
      </c>
      <c r="BB28" s="477">
        <f t="shared" si="59"/>
        <v>3.0494444444444446</v>
      </c>
      <c r="BC28" s="477">
        <f t="shared" si="60"/>
        <v>14.093888888888889</v>
      </c>
      <c r="BD28" s="477">
        <f t="shared" si="61"/>
        <v>7.6733333333333338</v>
      </c>
      <c r="BE28" s="477">
        <f t="shared" si="62"/>
        <v>18.717777777777776</v>
      </c>
      <c r="BF28" s="477">
        <f t="shared" si="63"/>
        <v>10.438333333333334</v>
      </c>
      <c r="BG28" s="47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77">
        <f t="shared" si="27"/>
        <v>4.8958333333333333E-2</v>
      </c>
      <c r="V29" s="477">
        <f t="shared" si="28"/>
        <v>0.203125</v>
      </c>
      <c r="W29" s="477">
        <f t="shared" si="29"/>
        <v>0.28444444444444444</v>
      </c>
      <c r="X29" s="477">
        <f t="shared" si="30"/>
        <v>11.044444444444444</v>
      </c>
      <c r="Y29" s="477">
        <f t="shared" si="31"/>
        <v>7.3888888888888893</v>
      </c>
      <c r="Z29" s="477">
        <f t="shared" si="32"/>
        <v>0.10262345679012345</v>
      </c>
      <c r="AA29" s="477">
        <f t="shared" si="33"/>
        <v>2.7650000000000001</v>
      </c>
      <c r="AB29" s="243"/>
      <c r="AC29" s="477">
        <f t="shared" si="34"/>
        <v>11.044444444444444</v>
      </c>
      <c r="AD29" s="477">
        <f t="shared" si="35"/>
        <v>2.7650000000000001</v>
      </c>
      <c r="AE29" s="477">
        <f t="shared" si="36"/>
        <v>13.809444444444445</v>
      </c>
      <c r="AF29" s="477">
        <f t="shared" si="37"/>
        <v>0.30574845679012347</v>
      </c>
      <c r="AG29" s="477">
        <f t="shared" si="38"/>
        <v>11.350192901234568</v>
      </c>
      <c r="AH29" s="477">
        <f t="shared" si="39"/>
        <v>3.0707484567901235</v>
      </c>
      <c r="AI29" s="477">
        <f t="shared" si="40"/>
        <v>14.115192901234568</v>
      </c>
      <c r="AJ29" s="477">
        <f t="shared" si="41"/>
        <v>4.8958333333333333E-2</v>
      </c>
      <c r="AK29" s="477">
        <f t="shared" si="42"/>
        <v>11.093402777777778</v>
      </c>
      <c r="AL29" s="477">
        <f t="shared" si="43"/>
        <v>2.8139583333333333</v>
      </c>
      <c r="AM29" s="477">
        <f t="shared" si="44"/>
        <v>13.858402777777778</v>
      </c>
      <c r="AN29" s="477">
        <f t="shared" si="45"/>
        <v>0.35470679012345679</v>
      </c>
      <c r="AO29" s="477">
        <f t="shared" si="46"/>
        <v>11.399151234567901</v>
      </c>
      <c r="AP29" s="477">
        <f t="shared" si="47"/>
        <v>3.1197067901234568</v>
      </c>
      <c r="AQ29" s="477">
        <f t="shared" si="48"/>
        <v>14.164151234567901</v>
      </c>
      <c r="AR29" s="477">
        <f t="shared" si="49"/>
        <v>0.28444444444444444</v>
      </c>
      <c r="AS29" s="477">
        <f t="shared" si="50"/>
        <v>11.328888888888889</v>
      </c>
      <c r="AT29" s="477">
        <f t="shared" si="51"/>
        <v>3.0494444444444446</v>
      </c>
      <c r="AU29" s="477">
        <f t="shared" si="52"/>
        <v>14.093888888888889</v>
      </c>
      <c r="AV29" s="477">
        <f t="shared" si="53"/>
        <v>0.59019290123456791</v>
      </c>
      <c r="AW29" s="477">
        <f t="shared" si="54"/>
        <v>11.634637345679012</v>
      </c>
      <c r="AX29" s="477">
        <f t="shared" si="55"/>
        <v>3.355192901234568</v>
      </c>
      <c r="AY29" s="477">
        <f t="shared" si="56"/>
        <v>14.399637345679013</v>
      </c>
      <c r="AZ29" s="477">
        <f t="shared" si="57"/>
        <v>0.33340277777777777</v>
      </c>
      <c r="BA29" s="477">
        <f t="shared" si="58"/>
        <v>11.377847222222222</v>
      </c>
      <c r="BB29" s="477">
        <f t="shared" si="59"/>
        <v>3.0984027777777778</v>
      </c>
      <c r="BC29" s="477">
        <f t="shared" si="60"/>
        <v>14.142847222222223</v>
      </c>
      <c r="BD29" s="477">
        <f t="shared" si="61"/>
        <v>0.63915123456790124</v>
      </c>
      <c r="BE29" s="477">
        <f t="shared" si="62"/>
        <v>11.683595679012345</v>
      </c>
      <c r="BF29" s="477">
        <f t="shared" si="63"/>
        <v>3.4041512345679013</v>
      </c>
      <c r="BG29" s="47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77">
        <f t="shared" si="27"/>
        <v>4.8958333333333333E-2</v>
      </c>
      <c r="V30" s="477">
        <f t="shared" si="28"/>
        <v>0.203125</v>
      </c>
      <c r="W30" s="477">
        <f t="shared" si="29"/>
        <v>0.28444444444444444</v>
      </c>
      <c r="X30" s="477">
        <f t="shared" si="30"/>
        <v>11.044444444444444</v>
      </c>
      <c r="Y30" s="477">
        <f t="shared" si="31"/>
        <v>7.3888888888888893</v>
      </c>
      <c r="Z30" s="477">
        <f t="shared" si="32"/>
        <v>0.10262345679012345</v>
      </c>
      <c r="AA30" s="477">
        <f t="shared" si="33"/>
        <v>2.7650000000000001</v>
      </c>
      <c r="AB30" s="243"/>
      <c r="AC30" s="477">
        <f t="shared" si="34"/>
        <v>11.044444444444444</v>
      </c>
      <c r="AD30" s="477">
        <f t="shared" si="35"/>
        <v>2.9681250000000001</v>
      </c>
      <c r="AE30" s="477">
        <f t="shared" si="36"/>
        <v>14.012569444444445</v>
      </c>
      <c r="AF30" s="477">
        <f t="shared" si="37"/>
        <v>0.10262345679012345</v>
      </c>
      <c r="AG30" s="477">
        <f t="shared" si="38"/>
        <v>11.147067901234568</v>
      </c>
      <c r="AH30" s="477">
        <f t="shared" si="39"/>
        <v>3.0707484567901235</v>
      </c>
      <c r="AI30" s="477">
        <f t="shared" si="40"/>
        <v>14.115192901234568</v>
      </c>
      <c r="AJ30" s="477">
        <f t="shared" si="41"/>
        <v>4.8958333333333333E-2</v>
      </c>
      <c r="AK30" s="477">
        <f t="shared" si="42"/>
        <v>11.093402777777778</v>
      </c>
      <c r="AL30" s="477">
        <f t="shared" si="43"/>
        <v>3.0170833333333333</v>
      </c>
      <c r="AM30" s="477">
        <f t="shared" si="44"/>
        <v>14.061527777777778</v>
      </c>
      <c r="AN30" s="477">
        <f t="shared" si="45"/>
        <v>0.15158179012345679</v>
      </c>
      <c r="AO30" s="477">
        <f t="shared" si="46"/>
        <v>11.196026234567901</v>
      </c>
      <c r="AP30" s="477">
        <f t="shared" si="47"/>
        <v>3.1197067901234568</v>
      </c>
      <c r="AQ30" s="477">
        <f t="shared" si="48"/>
        <v>14.164151234567901</v>
      </c>
      <c r="AR30" s="477">
        <f t="shared" si="49"/>
        <v>0.28444444444444444</v>
      </c>
      <c r="AS30" s="477">
        <f t="shared" si="50"/>
        <v>11.328888888888889</v>
      </c>
      <c r="AT30" s="477">
        <f t="shared" si="51"/>
        <v>3.2525694444444446</v>
      </c>
      <c r="AU30" s="477">
        <f t="shared" si="52"/>
        <v>14.297013888888889</v>
      </c>
      <c r="AV30" s="477">
        <f t="shared" si="53"/>
        <v>0.38706790123456791</v>
      </c>
      <c r="AW30" s="477">
        <f t="shared" si="54"/>
        <v>11.431512345679012</v>
      </c>
      <c r="AX30" s="477">
        <f t="shared" si="55"/>
        <v>3.355192901234568</v>
      </c>
      <c r="AY30" s="477">
        <f t="shared" si="56"/>
        <v>14.399637345679013</v>
      </c>
      <c r="AZ30" s="477">
        <f t="shared" si="57"/>
        <v>0.33340277777777777</v>
      </c>
      <c r="BA30" s="477">
        <f t="shared" si="58"/>
        <v>11.377847222222222</v>
      </c>
      <c r="BB30" s="477">
        <f t="shared" si="59"/>
        <v>3.3015277777777778</v>
      </c>
      <c r="BC30" s="477">
        <f t="shared" si="60"/>
        <v>14.345972222222223</v>
      </c>
      <c r="BD30" s="477">
        <f t="shared" si="61"/>
        <v>0.43602623456790124</v>
      </c>
      <c r="BE30" s="477">
        <f t="shared" si="62"/>
        <v>11.480470679012345</v>
      </c>
      <c r="BF30" s="477">
        <f t="shared" si="63"/>
        <v>3.4041512345679013</v>
      </c>
      <c r="BG30" s="47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77">
        <f t="shared" si="27"/>
        <v>4.8958333333333333E-2</v>
      </c>
      <c r="V31" s="477">
        <f t="shared" si="28"/>
        <v>0.203125</v>
      </c>
      <c r="W31" s="477">
        <f t="shared" si="29"/>
        <v>0.28444444444444444</v>
      </c>
      <c r="X31" s="477">
        <f t="shared" si="30"/>
        <v>11.044444444444444</v>
      </c>
      <c r="Y31" s="477">
        <f t="shared" si="31"/>
        <v>7.3888888888888893</v>
      </c>
      <c r="Z31" s="477">
        <f t="shared" si="32"/>
        <v>0.10262345679012345</v>
      </c>
      <c r="AA31" s="477">
        <f t="shared" si="33"/>
        <v>2.7650000000000001</v>
      </c>
      <c r="AB31" s="243"/>
      <c r="AC31" s="477">
        <f t="shared" si="34"/>
        <v>11.044444444444444</v>
      </c>
      <c r="AD31" s="477">
        <f t="shared" si="35"/>
        <v>2.9681250000000001</v>
      </c>
      <c r="AE31" s="477">
        <f t="shared" si="36"/>
        <v>14.012569444444445</v>
      </c>
      <c r="AF31" s="477">
        <f t="shared" si="37"/>
        <v>0.10262345679012345</v>
      </c>
      <c r="AG31" s="477">
        <f t="shared" si="38"/>
        <v>11.147067901234568</v>
      </c>
      <c r="AH31" s="477">
        <f t="shared" si="39"/>
        <v>3.0707484567901235</v>
      </c>
      <c r="AI31" s="477">
        <f t="shared" si="40"/>
        <v>14.115192901234568</v>
      </c>
      <c r="AJ31" s="477">
        <f t="shared" si="41"/>
        <v>4.8958333333333333E-2</v>
      </c>
      <c r="AK31" s="477">
        <f t="shared" si="42"/>
        <v>11.093402777777778</v>
      </c>
      <c r="AL31" s="477">
        <f t="shared" si="43"/>
        <v>3.0170833333333333</v>
      </c>
      <c r="AM31" s="477">
        <f t="shared" si="44"/>
        <v>14.061527777777778</v>
      </c>
      <c r="AN31" s="477">
        <f t="shared" si="45"/>
        <v>0.15158179012345679</v>
      </c>
      <c r="AO31" s="477">
        <f t="shared" si="46"/>
        <v>11.196026234567901</v>
      </c>
      <c r="AP31" s="477">
        <f t="shared" si="47"/>
        <v>3.1197067901234568</v>
      </c>
      <c r="AQ31" s="477">
        <f t="shared" si="48"/>
        <v>14.164151234567901</v>
      </c>
      <c r="AR31" s="477">
        <f t="shared" si="49"/>
        <v>0.28444444444444444</v>
      </c>
      <c r="AS31" s="477">
        <f t="shared" si="50"/>
        <v>11.328888888888889</v>
      </c>
      <c r="AT31" s="477">
        <f t="shared" si="51"/>
        <v>3.2525694444444446</v>
      </c>
      <c r="AU31" s="477">
        <f t="shared" si="52"/>
        <v>14.297013888888889</v>
      </c>
      <c r="AV31" s="477">
        <f t="shared" si="53"/>
        <v>0.38706790123456791</v>
      </c>
      <c r="AW31" s="477">
        <f t="shared" si="54"/>
        <v>11.431512345679012</v>
      </c>
      <c r="AX31" s="477">
        <f t="shared" si="55"/>
        <v>3.355192901234568</v>
      </c>
      <c r="AY31" s="477">
        <f t="shared" si="56"/>
        <v>14.399637345679013</v>
      </c>
      <c r="AZ31" s="477">
        <f t="shared" si="57"/>
        <v>0.33340277777777777</v>
      </c>
      <c r="BA31" s="477">
        <f t="shared" si="58"/>
        <v>11.377847222222222</v>
      </c>
      <c r="BB31" s="477">
        <f t="shared" si="59"/>
        <v>3.3015277777777778</v>
      </c>
      <c r="BC31" s="477">
        <f t="shared" si="60"/>
        <v>14.345972222222223</v>
      </c>
      <c r="BD31" s="477">
        <f t="shared" si="61"/>
        <v>0.43602623456790124</v>
      </c>
      <c r="BE31" s="477">
        <f t="shared" si="62"/>
        <v>11.480470679012345</v>
      </c>
      <c r="BF31" s="477">
        <f t="shared" si="63"/>
        <v>3.4041512345679013</v>
      </c>
      <c r="BG31" s="47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77">
        <f t="shared" si="27"/>
        <v>0</v>
      </c>
      <c r="V32" s="477">
        <f t="shared" si="28"/>
        <v>0</v>
      </c>
      <c r="W32" s="477">
        <f t="shared" si="29"/>
        <v>0</v>
      </c>
      <c r="X32" s="477">
        <f t="shared" si="30"/>
        <v>0</v>
      </c>
      <c r="Y32" s="477">
        <f t="shared" si="31"/>
        <v>0</v>
      </c>
      <c r="Z32" s="477">
        <f t="shared" si="32"/>
        <v>0</v>
      </c>
      <c r="AA32" s="477">
        <f t="shared" si="33"/>
        <v>0</v>
      </c>
      <c r="AB32" s="243"/>
      <c r="AC32" s="477">
        <f t="shared" si="34"/>
        <v>0</v>
      </c>
      <c r="AD32" s="477">
        <f t="shared" si="35"/>
        <v>0</v>
      </c>
      <c r="AE32" s="477">
        <f t="shared" si="36"/>
        <v>0</v>
      </c>
      <c r="AF32" s="477">
        <f t="shared" si="37"/>
        <v>0</v>
      </c>
      <c r="AG32" s="477">
        <f t="shared" si="38"/>
        <v>0</v>
      </c>
      <c r="AH32" s="477">
        <f t="shared" si="39"/>
        <v>0</v>
      </c>
      <c r="AI32" s="477">
        <f t="shared" si="40"/>
        <v>0</v>
      </c>
      <c r="AJ32" s="477">
        <f t="shared" si="41"/>
        <v>0</v>
      </c>
      <c r="AK32" s="477">
        <f t="shared" si="42"/>
        <v>0</v>
      </c>
      <c r="AL32" s="477">
        <f t="shared" si="43"/>
        <v>0</v>
      </c>
      <c r="AM32" s="477">
        <f t="shared" si="44"/>
        <v>0</v>
      </c>
      <c r="AN32" s="477">
        <f t="shared" si="45"/>
        <v>0</v>
      </c>
      <c r="AO32" s="477">
        <f t="shared" si="46"/>
        <v>0</v>
      </c>
      <c r="AP32" s="477">
        <f t="shared" si="47"/>
        <v>0</v>
      </c>
      <c r="AQ32" s="477">
        <f t="shared" si="48"/>
        <v>0</v>
      </c>
      <c r="AR32" s="477">
        <f t="shared" si="49"/>
        <v>0</v>
      </c>
      <c r="AS32" s="477">
        <f t="shared" si="50"/>
        <v>0</v>
      </c>
      <c r="AT32" s="477">
        <f t="shared" si="51"/>
        <v>0</v>
      </c>
      <c r="AU32" s="477">
        <f t="shared" si="52"/>
        <v>0</v>
      </c>
      <c r="AV32" s="477">
        <f t="shared" si="53"/>
        <v>0</v>
      </c>
      <c r="AW32" s="477">
        <f t="shared" si="54"/>
        <v>0</v>
      </c>
      <c r="AX32" s="477">
        <f t="shared" si="55"/>
        <v>0</v>
      </c>
      <c r="AY32" s="477">
        <f t="shared" si="56"/>
        <v>0</v>
      </c>
      <c r="AZ32" s="477">
        <f t="shared" si="57"/>
        <v>0</v>
      </c>
      <c r="BA32" s="477">
        <f t="shared" si="58"/>
        <v>0</v>
      </c>
      <c r="BB32" s="477">
        <f t="shared" si="59"/>
        <v>0</v>
      </c>
      <c r="BC32" s="477">
        <f t="shared" si="60"/>
        <v>0</v>
      </c>
      <c r="BD32" s="477">
        <f t="shared" si="61"/>
        <v>0</v>
      </c>
      <c r="BE32" s="477">
        <f t="shared" si="62"/>
        <v>0</v>
      </c>
      <c r="BF32" s="477">
        <f t="shared" si="63"/>
        <v>0</v>
      </c>
      <c r="BG32" s="47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77">
        <f t="shared" si="27"/>
        <v>0</v>
      </c>
      <c r="V33" s="477">
        <f t="shared" si="28"/>
        <v>0</v>
      </c>
      <c r="W33" s="477">
        <f t="shared" si="29"/>
        <v>0</v>
      </c>
      <c r="X33" s="477">
        <f t="shared" si="30"/>
        <v>0</v>
      </c>
      <c r="Y33" s="477">
        <f t="shared" si="31"/>
        <v>0</v>
      </c>
      <c r="Z33" s="477">
        <f t="shared" si="32"/>
        <v>0</v>
      </c>
      <c r="AA33" s="477">
        <f t="shared" si="33"/>
        <v>0</v>
      </c>
      <c r="AB33" s="243"/>
      <c r="AC33" s="477">
        <f t="shared" si="34"/>
        <v>0</v>
      </c>
      <c r="AD33" s="477">
        <f t="shared" si="35"/>
        <v>0</v>
      </c>
      <c r="AE33" s="477">
        <f t="shared" si="36"/>
        <v>0</v>
      </c>
      <c r="AF33" s="477">
        <f t="shared" si="37"/>
        <v>0</v>
      </c>
      <c r="AG33" s="477">
        <f t="shared" si="38"/>
        <v>0</v>
      </c>
      <c r="AH33" s="477">
        <f t="shared" si="39"/>
        <v>0</v>
      </c>
      <c r="AI33" s="477">
        <f t="shared" si="40"/>
        <v>0</v>
      </c>
      <c r="AJ33" s="477">
        <f t="shared" si="41"/>
        <v>0</v>
      </c>
      <c r="AK33" s="477">
        <f t="shared" si="42"/>
        <v>0</v>
      </c>
      <c r="AL33" s="477">
        <f t="shared" si="43"/>
        <v>0</v>
      </c>
      <c r="AM33" s="477">
        <f t="shared" si="44"/>
        <v>0</v>
      </c>
      <c r="AN33" s="477">
        <f t="shared" si="45"/>
        <v>0</v>
      </c>
      <c r="AO33" s="477">
        <f t="shared" si="46"/>
        <v>0</v>
      </c>
      <c r="AP33" s="477">
        <f t="shared" si="47"/>
        <v>0</v>
      </c>
      <c r="AQ33" s="477">
        <f t="shared" si="48"/>
        <v>0</v>
      </c>
      <c r="AR33" s="477">
        <f t="shared" si="49"/>
        <v>0</v>
      </c>
      <c r="AS33" s="477">
        <f t="shared" si="50"/>
        <v>0</v>
      </c>
      <c r="AT33" s="477">
        <f t="shared" si="51"/>
        <v>0</v>
      </c>
      <c r="AU33" s="477">
        <f t="shared" si="52"/>
        <v>0</v>
      </c>
      <c r="AV33" s="477">
        <f t="shared" si="53"/>
        <v>0</v>
      </c>
      <c r="AW33" s="477">
        <f t="shared" si="54"/>
        <v>0</v>
      </c>
      <c r="AX33" s="477">
        <f t="shared" si="55"/>
        <v>0</v>
      </c>
      <c r="AY33" s="477">
        <f t="shared" si="56"/>
        <v>0</v>
      </c>
      <c r="AZ33" s="477">
        <f t="shared" si="57"/>
        <v>0</v>
      </c>
      <c r="BA33" s="477">
        <f t="shared" si="58"/>
        <v>0</v>
      </c>
      <c r="BB33" s="477">
        <f t="shared" si="59"/>
        <v>0</v>
      </c>
      <c r="BC33" s="477">
        <f t="shared" si="60"/>
        <v>0</v>
      </c>
      <c r="BD33" s="477">
        <f t="shared" si="61"/>
        <v>0</v>
      </c>
      <c r="BE33" s="477">
        <f t="shared" si="62"/>
        <v>0</v>
      </c>
      <c r="BF33" s="477">
        <f t="shared" si="63"/>
        <v>0</v>
      </c>
      <c r="BG33" s="47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77">
        <f t="shared" si="27"/>
        <v>0</v>
      </c>
      <c r="V34" s="477">
        <f t="shared" si="28"/>
        <v>0</v>
      </c>
      <c r="W34" s="477">
        <f t="shared" si="29"/>
        <v>0</v>
      </c>
      <c r="X34" s="477">
        <f t="shared" si="30"/>
        <v>0</v>
      </c>
      <c r="Y34" s="477">
        <f t="shared" si="31"/>
        <v>133</v>
      </c>
      <c r="Z34" s="477">
        <f t="shared" si="32"/>
        <v>133</v>
      </c>
      <c r="AA34" s="477">
        <f t="shared" si="33"/>
        <v>0</v>
      </c>
      <c r="AB34" s="243"/>
      <c r="AC34" s="477">
        <f t="shared" si="34"/>
        <v>0</v>
      </c>
      <c r="AD34" s="477">
        <f t="shared" si="35"/>
        <v>0</v>
      </c>
      <c r="AE34" s="477">
        <f t="shared" si="36"/>
        <v>0</v>
      </c>
      <c r="AF34" s="477">
        <f t="shared" si="37"/>
        <v>133</v>
      </c>
      <c r="AG34" s="477">
        <f t="shared" si="38"/>
        <v>133</v>
      </c>
      <c r="AH34" s="477">
        <f t="shared" si="39"/>
        <v>133</v>
      </c>
      <c r="AI34" s="477">
        <f t="shared" si="40"/>
        <v>133</v>
      </c>
      <c r="AJ34" s="477">
        <f t="shared" si="41"/>
        <v>0</v>
      </c>
      <c r="AK34" s="477">
        <f t="shared" si="42"/>
        <v>0</v>
      </c>
      <c r="AL34" s="477">
        <f t="shared" si="43"/>
        <v>0</v>
      </c>
      <c r="AM34" s="477">
        <f t="shared" si="44"/>
        <v>0</v>
      </c>
      <c r="AN34" s="477">
        <f t="shared" si="45"/>
        <v>133</v>
      </c>
      <c r="AO34" s="477">
        <f t="shared" si="46"/>
        <v>133</v>
      </c>
      <c r="AP34" s="477">
        <f t="shared" si="47"/>
        <v>133</v>
      </c>
      <c r="AQ34" s="477">
        <f t="shared" si="48"/>
        <v>133</v>
      </c>
      <c r="AR34" s="477">
        <f t="shared" si="49"/>
        <v>0</v>
      </c>
      <c r="AS34" s="477">
        <f t="shared" si="50"/>
        <v>0</v>
      </c>
      <c r="AT34" s="477">
        <f t="shared" si="51"/>
        <v>0</v>
      </c>
      <c r="AU34" s="477">
        <f t="shared" si="52"/>
        <v>0</v>
      </c>
      <c r="AV34" s="477">
        <f t="shared" si="53"/>
        <v>133</v>
      </c>
      <c r="AW34" s="477">
        <f t="shared" si="54"/>
        <v>133</v>
      </c>
      <c r="AX34" s="477">
        <f t="shared" si="55"/>
        <v>133</v>
      </c>
      <c r="AY34" s="477">
        <f t="shared" si="56"/>
        <v>133</v>
      </c>
      <c r="AZ34" s="477">
        <f t="shared" si="57"/>
        <v>0</v>
      </c>
      <c r="BA34" s="477">
        <f t="shared" si="58"/>
        <v>0</v>
      </c>
      <c r="BB34" s="477">
        <f t="shared" si="59"/>
        <v>0</v>
      </c>
      <c r="BC34" s="477">
        <f t="shared" si="60"/>
        <v>0</v>
      </c>
      <c r="BD34" s="477">
        <f t="shared" si="61"/>
        <v>133</v>
      </c>
      <c r="BE34" s="477">
        <f t="shared" si="62"/>
        <v>133</v>
      </c>
      <c r="BF34" s="477">
        <f t="shared" si="63"/>
        <v>133</v>
      </c>
      <c r="BG34" s="47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77">
        <f t="shared" si="27"/>
        <v>0</v>
      </c>
      <c r="V35" s="477">
        <f t="shared" si="28"/>
        <v>0</v>
      </c>
      <c r="W35" s="477">
        <f t="shared" si="29"/>
        <v>0</v>
      </c>
      <c r="X35" s="477">
        <f t="shared" si="30"/>
        <v>0</v>
      </c>
      <c r="Y35" s="477">
        <f t="shared" si="31"/>
        <v>133</v>
      </c>
      <c r="Z35" s="477">
        <f t="shared" si="32"/>
        <v>133</v>
      </c>
      <c r="AA35" s="477">
        <f t="shared" si="33"/>
        <v>66.36</v>
      </c>
      <c r="AB35" s="243"/>
      <c r="AC35" s="477">
        <f t="shared" si="34"/>
        <v>0</v>
      </c>
      <c r="AD35" s="477">
        <f t="shared" si="35"/>
        <v>66.36</v>
      </c>
      <c r="AE35" s="477">
        <f t="shared" si="36"/>
        <v>66.36</v>
      </c>
      <c r="AF35" s="477">
        <f t="shared" si="37"/>
        <v>133</v>
      </c>
      <c r="AG35" s="477">
        <f t="shared" si="38"/>
        <v>133</v>
      </c>
      <c r="AH35" s="477">
        <f t="shared" si="39"/>
        <v>199.36</v>
      </c>
      <c r="AI35" s="477">
        <f t="shared" si="40"/>
        <v>199.36</v>
      </c>
      <c r="AJ35" s="477">
        <f t="shared" si="41"/>
        <v>0</v>
      </c>
      <c r="AK35" s="477">
        <f t="shared" si="42"/>
        <v>0</v>
      </c>
      <c r="AL35" s="477">
        <f t="shared" si="43"/>
        <v>66.36</v>
      </c>
      <c r="AM35" s="477">
        <f t="shared" si="44"/>
        <v>66.36</v>
      </c>
      <c r="AN35" s="477">
        <f t="shared" si="45"/>
        <v>133</v>
      </c>
      <c r="AO35" s="477">
        <f t="shared" si="46"/>
        <v>133</v>
      </c>
      <c r="AP35" s="477">
        <f t="shared" si="47"/>
        <v>199.36</v>
      </c>
      <c r="AQ35" s="477">
        <f t="shared" si="48"/>
        <v>199.36</v>
      </c>
      <c r="AR35" s="477">
        <f t="shared" si="49"/>
        <v>0</v>
      </c>
      <c r="AS35" s="477">
        <f t="shared" si="50"/>
        <v>0</v>
      </c>
      <c r="AT35" s="477">
        <f t="shared" si="51"/>
        <v>66.36</v>
      </c>
      <c r="AU35" s="477">
        <f t="shared" si="52"/>
        <v>66.36</v>
      </c>
      <c r="AV35" s="477">
        <f t="shared" si="53"/>
        <v>133</v>
      </c>
      <c r="AW35" s="477">
        <f t="shared" si="54"/>
        <v>133</v>
      </c>
      <c r="AX35" s="477">
        <f t="shared" si="55"/>
        <v>199.36</v>
      </c>
      <c r="AY35" s="477">
        <f t="shared" si="56"/>
        <v>199.36</v>
      </c>
      <c r="AZ35" s="477">
        <f t="shared" si="57"/>
        <v>0</v>
      </c>
      <c r="BA35" s="477">
        <f t="shared" si="58"/>
        <v>0</v>
      </c>
      <c r="BB35" s="477">
        <f t="shared" si="59"/>
        <v>66.36</v>
      </c>
      <c r="BC35" s="477">
        <f t="shared" si="60"/>
        <v>66.36</v>
      </c>
      <c r="BD35" s="477">
        <f t="shared" si="61"/>
        <v>133</v>
      </c>
      <c r="BE35" s="477">
        <f t="shared" si="62"/>
        <v>133</v>
      </c>
      <c r="BF35" s="477">
        <f t="shared" si="63"/>
        <v>199.36</v>
      </c>
      <c r="BG35" s="47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77">
        <f t="shared" si="27"/>
        <v>0</v>
      </c>
      <c r="V36" s="477">
        <f t="shared" si="28"/>
        <v>0</v>
      </c>
      <c r="W36" s="477">
        <f t="shared" si="29"/>
        <v>0</v>
      </c>
      <c r="X36" s="477">
        <f t="shared" si="30"/>
        <v>198.8</v>
      </c>
      <c r="Y36" s="477">
        <f t="shared" si="31"/>
        <v>133</v>
      </c>
      <c r="Z36" s="477">
        <f t="shared" si="32"/>
        <v>133</v>
      </c>
      <c r="AA36" s="477">
        <f t="shared" si="33"/>
        <v>66.36</v>
      </c>
      <c r="AB36" s="243"/>
      <c r="AC36" s="477">
        <f t="shared" si="34"/>
        <v>198.8</v>
      </c>
      <c r="AD36" s="477">
        <f t="shared" si="35"/>
        <v>66.36</v>
      </c>
      <c r="AE36" s="477">
        <f t="shared" si="36"/>
        <v>265.16000000000003</v>
      </c>
      <c r="AF36" s="477">
        <f t="shared" si="37"/>
        <v>133</v>
      </c>
      <c r="AG36" s="477">
        <f t="shared" si="38"/>
        <v>331.8</v>
      </c>
      <c r="AH36" s="477">
        <f t="shared" si="39"/>
        <v>199.36</v>
      </c>
      <c r="AI36" s="477">
        <f t="shared" si="40"/>
        <v>398.16</v>
      </c>
      <c r="AJ36" s="477">
        <f t="shared" si="41"/>
        <v>0</v>
      </c>
      <c r="AK36" s="477">
        <f t="shared" si="42"/>
        <v>198.8</v>
      </c>
      <c r="AL36" s="477">
        <f t="shared" si="43"/>
        <v>66.36</v>
      </c>
      <c r="AM36" s="477">
        <f t="shared" si="44"/>
        <v>265.16000000000003</v>
      </c>
      <c r="AN36" s="477">
        <f t="shared" si="45"/>
        <v>133</v>
      </c>
      <c r="AO36" s="477">
        <f t="shared" si="46"/>
        <v>331.8</v>
      </c>
      <c r="AP36" s="477">
        <f t="shared" si="47"/>
        <v>199.36</v>
      </c>
      <c r="AQ36" s="477">
        <f t="shared" si="48"/>
        <v>398.16</v>
      </c>
      <c r="AR36" s="477">
        <f t="shared" si="49"/>
        <v>0</v>
      </c>
      <c r="AS36" s="477">
        <f t="shared" si="50"/>
        <v>198.8</v>
      </c>
      <c r="AT36" s="477">
        <f t="shared" si="51"/>
        <v>66.36</v>
      </c>
      <c r="AU36" s="477">
        <f t="shared" si="52"/>
        <v>265.16000000000003</v>
      </c>
      <c r="AV36" s="477">
        <f t="shared" si="53"/>
        <v>133</v>
      </c>
      <c r="AW36" s="477">
        <f t="shared" si="54"/>
        <v>331.8</v>
      </c>
      <c r="AX36" s="477">
        <f t="shared" si="55"/>
        <v>199.36</v>
      </c>
      <c r="AY36" s="477">
        <f t="shared" si="56"/>
        <v>398.16</v>
      </c>
      <c r="AZ36" s="477">
        <f t="shared" si="57"/>
        <v>0</v>
      </c>
      <c r="BA36" s="477">
        <f t="shared" si="58"/>
        <v>198.8</v>
      </c>
      <c r="BB36" s="477">
        <f t="shared" si="59"/>
        <v>66.36</v>
      </c>
      <c r="BC36" s="477">
        <f t="shared" si="60"/>
        <v>265.16000000000003</v>
      </c>
      <c r="BD36" s="477">
        <f t="shared" si="61"/>
        <v>133</v>
      </c>
      <c r="BE36" s="477">
        <f t="shared" si="62"/>
        <v>331.8</v>
      </c>
      <c r="BF36" s="477">
        <f t="shared" si="63"/>
        <v>199.36</v>
      </c>
      <c r="BG36" s="47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77">
        <f t="shared" si="27"/>
        <v>0</v>
      </c>
      <c r="V37" s="477">
        <f t="shared" si="28"/>
        <v>0</v>
      </c>
      <c r="W37" s="477">
        <f t="shared" si="29"/>
        <v>512</v>
      </c>
      <c r="X37" s="477">
        <f t="shared" si="30"/>
        <v>198.8</v>
      </c>
      <c r="Y37" s="477">
        <f t="shared" si="31"/>
        <v>133</v>
      </c>
      <c r="Z37" s="477">
        <f t="shared" si="32"/>
        <v>133</v>
      </c>
      <c r="AA37" s="477">
        <f t="shared" si="33"/>
        <v>66.36</v>
      </c>
      <c r="AB37" s="243"/>
      <c r="AC37" s="477">
        <f t="shared" si="34"/>
        <v>198.8</v>
      </c>
      <c r="AD37" s="477">
        <f t="shared" si="35"/>
        <v>66.36</v>
      </c>
      <c r="AE37" s="477">
        <f t="shared" si="36"/>
        <v>265.16000000000003</v>
      </c>
      <c r="AF37" s="477">
        <f t="shared" si="37"/>
        <v>133</v>
      </c>
      <c r="AG37" s="477">
        <f t="shared" si="38"/>
        <v>331.8</v>
      </c>
      <c r="AH37" s="477">
        <f t="shared" si="39"/>
        <v>199.36</v>
      </c>
      <c r="AI37" s="477">
        <f t="shared" si="40"/>
        <v>398.16</v>
      </c>
      <c r="AJ37" s="477">
        <f t="shared" si="41"/>
        <v>0</v>
      </c>
      <c r="AK37" s="477">
        <f t="shared" si="42"/>
        <v>198.8</v>
      </c>
      <c r="AL37" s="477">
        <f t="shared" si="43"/>
        <v>66.36</v>
      </c>
      <c r="AM37" s="477">
        <f t="shared" si="44"/>
        <v>265.16000000000003</v>
      </c>
      <c r="AN37" s="477">
        <f t="shared" si="45"/>
        <v>133</v>
      </c>
      <c r="AO37" s="477">
        <f t="shared" si="46"/>
        <v>331.8</v>
      </c>
      <c r="AP37" s="477">
        <f t="shared" si="47"/>
        <v>199.36</v>
      </c>
      <c r="AQ37" s="477">
        <f t="shared" si="48"/>
        <v>398.16</v>
      </c>
      <c r="AR37" s="477">
        <f t="shared" si="49"/>
        <v>512</v>
      </c>
      <c r="AS37" s="477">
        <f t="shared" si="50"/>
        <v>710.8</v>
      </c>
      <c r="AT37" s="477">
        <f t="shared" si="51"/>
        <v>578.36</v>
      </c>
      <c r="AU37" s="477">
        <f t="shared" si="52"/>
        <v>777.16000000000008</v>
      </c>
      <c r="AV37" s="477">
        <f t="shared" si="53"/>
        <v>645</v>
      </c>
      <c r="AW37" s="477">
        <f t="shared" si="54"/>
        <v>843.8</v>
      </c>
      <c r="AX37" s="477">
        <f t="shared" si="55"/>
        <v>711.36</v>
      </c>
      <c r="AY37" s="477">
        <f t="shared" si="56"/>
        <v>910.16000000000008</v>
      </c>
      <c r="AZ37" s="477">
        <f t="shared" si="57"/>
        <v>512</v>
      </c>
      <c r="BA37" s="477">
        <f t="shared" si="58"/>
        <v>710.8</v>
      </c>
      <c r="BB37" s="477">
        <f t="shared" si="59"/>
        <v>578.36</v>
      </c>
      <c r="BC37" s="477">
        <f t="shared" si="60"/>
        <v>777.16000000000008</v>
      </c>
      <c r="BD37" s="477">
        <f t="shared" si="61"/>
        <v>645</v>
      </c>
      <c r="BE37" s="477">
        <f t="shared" si="62"/>
        <v>843.8</v>
      </c>
      <c r="BF37" s="477">
        <f t="shared" si="63"/>
        <v>711.36</v>
      </c>
      <c r="BG37" s="47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77">
        <f t="shared" si="27"/>
        <v>0</v>
      </c>
      <c r="V38" s="477">
        <f t="shared" si="28"/>
        <v>0</v>
      </c>
      <c r="W38" s="477">
        <f t="shared" si="29"/>
        <v>512</v>
      </c>
      <c r="X38" s="477">
        <f t="shared" si="30"/>
        <v>198.8</v>
      </c>
      <c r="Y38" s="477">
        <f t="shared" si="31"/>
        <v>33.25</v>
      </c>
      <c r="Z38" s="477">
        <f t="shared" si="32"/>
        <v>33.25</v>
      </c>
      <c r="AA38" s="477">
        <f t="shared" si="33"/>
        <v>66.36</v>
      </c>
      <c r="AB38" s="243"/>
      <c r="AC38" s="477">
        <f t="shared" si="34"/>
        <v>198.8</v>
      </c>
      <c r="AD38" s="477">
        <f t="shared" si="35"/>
        <v>66.36</v>
      </c>
      <c r="AE38" s="477">
        <f t="shared" si="36"/>
        <v>265.16000000000003</v>
      </c>
      <c r="AF38" s="477">
        <f t="shared" si="37"/>
        <v>33.25</v>
      </c>
      <c r="AG38" s="477">
        <f t="shared" si="38"/>
        <v>232.05</v>
      </c>
      <c r="AH38" s="477">
        <f t="shared" si="39"/>
        <v>99.61</v>
      </c>
      <c r="AI38" s="477">
        <f t="shared" si="40"/>
        <v>298.41000000000003</v>
      </c>
      <c r="AJ38" s="477">
        <f t="shared" si="41"/>
        <v>0</v>
      </c>
      <c r="AK38" s="477">
        <f t="shared" si="42"/>
        <v>198.8</v>
      </c>
      <c r="AL38" s="477">
        <f t="shared" si="43"/>
        <v>66.36</v>
      </c>
      <c r="AM38" s="477">
        <f t="shared" si="44"/>
        <v>265.16000000000003</v>
      </c>
      <c r="AN38" s="477">
        <f t="shared" si="45"/>
        <v>33.25</v>
      </c>
      <c r="AO38" s="477">
        <f t="shared" si="46"/>
        <v>232.05</v>
      </c>
      <c r="AP38" s="477">
        <f t="shared" si="47"/>
        <v>99.61</v>
      </c>
      <c r="AQ38" s="477">
        <f t="shared" si="48"/>
        <v>298.41000000000003</v>
      </c>
      <c r="AR38" s="477">
        <f t="shared" si="49"/>
        <v>512</v>
      </c>
      <c r="AS38" s="477">
        <f t="shared" si="50"/>
        <v>710.8</v>
      </c>
      <c r="AT38" s="477">
        <f t="shared" si="51"/>
        <v>578.36</v>
      </c>
      <c r="AU38" s="477">
        <f t="shared" si="52"/>
        <v>777.16000000000008</v>
      </c>
      <c r="AV38" s="477">
        <f t="shared" si="53"/>
        <v>545.25</v>
      </c>
      <c r="AW38" s="477">
        <f t="shared" si="54"/>
        <v>744.05</v>
      </c>
      <c r="AX38" s="477">
        <f t="shared" si="55"/>
        <v>611.61</v>
      </c>
      <c r="AY38" s="477">
        <f t="shared" si="56"/>
        <v>810.41000000000008</v>
      </c>
      <c r="AZ38" s="477">
        <f t="shared" si="57"/>
        <v>512</v>
      </c>
      <c r="BA38" s="477">
        <f t="shared" si="58"/>
        <v>710.8</v>
      </c>
      <c r="BB38" s="477">
        <f t="shared" si="59"/>
        <v>578.36</v>
      </c>
      <c r="BC38" s="477">
        <f t="shared" si="60"/>
        <v>777.16000000000008</v>
      </c>
      <c r="BD38" s="477">
        <f t="shared" si="61"/>
        <v>545.25</v>
      </c>
      <c r="BE38" s="477">
        <f t="shared" si="62"/>
        <v>744.05</v>
      </c>
      <c r="BF38" s="477">
        <f t="shared" si="63"/>
        <v>611.61</v>
      </c>
      <c r="BG38" s="47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77">
        <f t="shared" si="27"/>
        <v>0</v>
      </c>
      <c r="V39" s="477">
        <f t="shared" si="28"/>
        <v>0</v>
      </c>
      <c r="W39" s="477">
        <f t="shared" si="29"/>
        <v>512</v>
      </c>
      <c r="X39" s="477">
        <f t="shared" si="30"/>
        <v>198.8</v>
      </c>
      <c r="Y39" s="477">
        <f t="shared" si="31"/>
        <v>33.25</v>
      </c>
      <c r="Z39" s="477">
        <f t="shared" si="32"/>
        <v>33.25</v>
      </c>
      <c r="AA39" s="477">
        <f t="shared" si="33"/>
        <v>2.7650000000000001</v>
      </c>
      <c r="AB39" s="243"/>
      <c r="AC39" s="477">
        <f t="shared" si="34"/>
        <v>198.8</v>
      </c>
      <c r="AD39" s="477">
        <f t="shared" si="35"/>
        <v>2.7650000000000001</v>
      </c>
      <c r="AE39" s="477">
        <f t="shared" si="36"/>
        <v>201.565</v>
      </c>
      <c r="AF39" s="477">
        <f t="shared" si="37"/>
        <v>33.25</v>
      </c>
      <c r="AG39" s="477">
        <f t="shared" si="38"/>
        <v>232.05</v>
      </c>
      <c r="AH39" s="477">
        <f t="shared" si="39"/>
        <v>36.015000000000001</v>
      </c>
      <c r="AI39" s="477">
        <f t="shared" si="40"/>
        <v>234.815</v>
      </c>
      <c r="AJ39" s="477">
        <f t="shared" si="41"/>
        <v>0</v>
      </c>
      <c r="AK39" s="477">
        <f t="shared" si="42"/>
        <v>198.8</v>
      </c>
      <c r="AL39" s="477">
        <f t="shared" si="43"/>
        <v>2.7650000000000001</v>
      </c>
      <c r="AM39" s="477">
        <f t="shared" si="44"/>
        <v>201.565</v>
      </c>
      <c r="AN39" s="477">
        <f t="shared" si="45"/>
        <v>33.25</v>
      </c>
      <c r="AO39" s="477">
        <f t="shared" si="46"/>
        <v>232.05</v>
      </c>
      <c r="AP39" s="477">
        <f t="shared" si="47"/>
        <v>36.015000000000001</v>
      </c>
      <c r="AQ39" s="477">
        <f t="shared" si="48"/>
        <v>234.815</v>
      </c>
      <c r="AR39" s="477">
        <f t="shared" si="49"/>
        <v>512</v>
      </c>
      <c r="AS39" s="477">
        <f t="shared" si="50"/>
        <v>710.8</v>
      </c>
      <c r="AT39" s="477">
        <f t="shared" si="51"/>
        <v>514.76499999999999</v>
      </c>
      <c r="AU39" s="477">
        <f t="shared" si="52"/>
        <v>713.56500000000005</v>
      </c>
      <c r="AV39" s="477">
        <f t="shared" si="53"/>
        <v>545.25</v>
      </c>
      <c r="AW39" s="477">
        <f t="shared" si="54"/>
        <v>744.05</v>
      </c>
      <c r="AX39" s="477">
        <f t="shared" si="55"/>
        <v>548.01499999999999</v>
      </c>
      <c r="AY39" s="477">
        <f t="shared" si="56"/>
        <v>746.81500000000005</v>
      </c>
      <c r="AZ39" s="477">
        <f t="shared" si="57"/>
        <v>512</v>
      </c>
      <c r="BA39" s="477">
        <f t="shared" si="58"/>
        <v>710.8</v>
      </c>
      <c r="BB39" s="477">
        <f t="shared" si="59"/>
        <v>514.76499999999999</v>
      </c>
      <c r="BC39" s="477">
        <f t="shared" si="60"/>
        <v>713.56500000000005</v>
      </c>
      <c r="BD39" s="477">
        <f t="shared" si="61"/>
        <v>545.25</v>
      </c>
      <c r="BE39" s="477">
        <f t="shared" si="62"/>
        <v>744.05</v>
      </c>
      <c r="BF39" s="477">
        <f t="shared" si="63"/>
        <v>548.01499999999999</v>
      </c>
      <c r="BG39" s="47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77">
        <f t="shared" si="27"/>
        <v>0</v>
      </c>
      <c r="V40" s="477">
        <f t="shared" si="28"/>
        <v>0</v>
      </c>
      <c r="W40" s="477">
        <f t="shared" si="29"/>
        <v>512</v>
      </c>
      <c r="X40" s="477">
        <f t="shared" si="30"/>
        <v>0.55222222222222217</v>
      </c>
      <c r="Y40" s="477">
        <f t="shared" si="31"/>
        <v>33.25</v>
      </c>
      <c r="Z40" s="477">
        <f t="shared" si="32"/>
        <v>33.25</v>
      </c>
      <c r="AA40" s="477">
        <f t="shared" si="33"/>
        <v>2.7650000000000001</v>
      </c>
      <c r="AB40" s="243"/>
      <c r="AC40" s="477">
        <f t="shared" si="34"/>
        <v>0.55222222222222217</v>
      </c>
      <c r="AD40" s="477">
        <f t="shared" si="35"/>
        <v>2.7650000000000001</v>
      </c>
      <c r="AE40" s="477">
        <f t="shared" si="36"/>
        <v>3.3172222222222221</v>
      </c>
      <c r="AF40" s="477">
        <f t="shared" si="37"/>
        <v>33.25</v>
      </c>
      <c r="AG40" s="477">
        <f t="shared" si="38"/>
        <v>33.80222222222222</v>
      </c>
      <c r="AH40" s="477">
        <f t="shared" si="39"/>
        <v>36.015000000000001</v>
      </c>
      <c r="AI40" s="477">
        <f t="shared" si="40"/>
        <v>36.56722222222222</v>
      </c>
      <c r="AJ40" s="477">
        <f t="shared" si="41"/>
        <v>0</v>
      </c>
      <c r="AK40" s="477">
        <f t="shared" si="42"/>
        <v>0.55222222222222217</v>
      </c>
      <c r="AL40" s="477">
        <f t="shared" si="43"/>
        <v>2.7650000000000001</v>
      </c>
      <c r="AM40" s="477">
        <f t="shared" si="44"/>
        <v>3.3172222222222221</v>
      </c>
      <c r="AN40" s="477">
        <f t="shared" si="45"/>
        <v>33.25</v>
      </c>
      <c r="AO40" s="477">
        <f t="shared" si="46"/>
        <v>33.80222222222222</v>
      </c>
      <c r="AP40" s="477">
        <f t="shared" si="47"/>
        <v>36.015000000000001</v>
      </c>
      <c r="AQ40" s="477">
        <f t="shared" si="48"/>
        <v>36.56722222222222</v>
      </c>
      <c r="AR40" s="477">
        <f t="shared" si="49"/>
        <v>512</v>
      </c>
      <c r="AS40" s="477">
        <f t="shared" si="50"/>
        <v>512.55222222222221</v>
      </c>
      <c r="AT40" s="477">
        <f t="shared" si="51"/>
        <v>514.76499999999999</v>
      </c>
      <c r="AU40" s="477">
        <f t="shared" si="52"/>
        <v>515.3172222222222</v>
      </c>
      <c r="AV40" s="477">
        <f t="shared" si="53"/>
        <v>545.25</v>
      </c>
      <c r="AW40" s="477">
        <f t="shared" si="54"/>
        <v>545.80222222222221</v>
      </c>
      <c r="AX40" s="477">
        <f t="shared" si="55"/>
        <v>548.01499999999999</v>
      </c>
      <c r="AY40" s="477">
        <f t="shared" si="56"/>
        <v>548.5672222222222</v>
      </c>
      <c r="AZ40" s="477">
        <f t="shared" si="57"/>
        <v>512</v>
      </c>
      <c r="BA40" s="477">
        <f t="shared" si="58"/>
        <v>512.55222222222221</v>
      </c>
      <c r="BB40" s="477">
        <f t="shared" si="59"/>
        <v>514.76499999999999</v>
      </c>
      <c r="BC40" s="477">
        <f t="shared" si="60"/>
        <v>515.3172222222222</v>
      </c>
      <c r="BD40" s="477">
        <f t="shared" si="61"/>
        <v>545.25</v>
      </c>
      <c r="BE40" s="477">
        <f t="shared" si="62"/>
        <v>545.80222222222221</v>
      </c>
      <c r="BF40" s="477">
        <f t="shared" si="63"/>
        <v>548.01499999999999</v>
      </c>
      <c r="BG40" s="47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77">
        <f t="shared" si="27"/>
        <v>0</v>
      </c>
      <c r="V41" s="477">
        <f t="shared" si="28"/>
        <v>0</v>
      </c>
      <c r="W41" s="477">
        <f t="shared" si="29"/>
        <v>1.7066666666666668</v>
      </c>
      <c r="X41" s="477">
        <f t="shared" si="30"/>
        <v>0.55222222222222217</v>
      </c>
      <c r="Y41" s="477">
        <f t="shared" si="31"/>
        <v>33.25</v>
      </c>
      <c r="Z41" s="477">
        <f t="shared" si="32"/>
        <v>33.25</v>
      </c>
      <c r="AA41" s="477">
        <f t="shared" si="33"/>
        <v>2.7650000000000001</v>
      </c>
      <c r="AB41" s="243"/>
      <c r="AC41" s="477">
        <f t="shared" si="34"/>
        <v>0.55222222222222217</v>
      </c>
      <c r="AD41" s="477">
        <f t="shared" si="35"/>
        <v>2.7650000000000001</v>
      </c>
      <c r="AE41" s="477">
        <f t="shared" si="36"/>
        <v>3.3172222222222221</v>
      </c>
      <c r="AF41" s="477">
        <f t="shared" si="37"/>
        <v>33.25</v>
      </c>
      <c r="AG41" s="477">
        <f t="shared" si="38"/>
        <v>33.80222222222222</v>
      </c>
      <c r="AH41" s="477">
        <f t="shared" si="39"/>
        <v>36.015000000000001</v>
      </c>
      <c r="AI41" s="477">
        <f t="shared" si="40"/>
        <v>36.56722222222222</v>
      </c>
      <c r="AJ41" s="477">
        <f t="shared" si="41"/>
        <v>0</v>
      </c>
      <c r="AK41" s="477">
        <f t="shared" si="42"/>
        <v>0.55222222222222217</v>
      </c>
      <c r="AL41" s="477">
        <f t="shared" si="43"/>
        <v>2.7650000000000001</v>
      </c>
      <c r="AM41" s="477">
        <f t="shared" si="44"/>
        <v>3.3172222222222221</v>
      </c>
      <c r="AN41" s="477">
        <f t="shared" si="45"/>
        <v>33.25</v>
      </c>
      <c r="AO41" s="477">
        <f t="shared" si="46"/>
        <v>33.80222222222222</v>
      </c>
      <c r="AP41" s="477">
        <f t="shared" si="47"/>
        <v>36.015000000000001</v>
      </c>
      <c r="AQ41" s="477">
        <f t="shared" si="48"/>
        <v>36.56722222222222</v>
      </c>
      <c r="AR41" s="477">
        <f t="shared" si="49"/>
        <v>1.7066666666666668</v>
      </c>
      <c r="AS41" s="477">
        <f t="shared" si="50"/>
        <v>2.2588888888888889</v>
      </c>
      <c r="AT41" s="477">
        <f t="shared" si="51"/>
        <v>4.4716666666666667</v>
      </c>
      <c r="AU41" s="477">
        <f t="shared" si="52"/>
        <v>5.0238888888888891</v>
      </c>
      <c r="AV41" s="477">
        <f t="shared" si="53"/>
        <v>34.956666666666663</v>
      </c>
      <c r="AW41" s="477">
        <f t="shared" si="54"/>
        <v>35.508888888888883</v>
      </c>
      <c r="AX41" s="477">
        <f t="shared" si="55"/>
        <v>37.721666666666664</v>
      </c>
      <c r="AY41" s="477">
        <f t="shared" si="56"/>
        <v>38.273888888888884</v>
      </c>
      <c r="AZ41" s="477">
        <f t="shared" si="57"/>
        <v>1.7066666666666668</v>
      </c>
      <c r="BA41" s="477">
        <f t="shared" si="58"/>
        <v>2.2588888888888889</v>
      </c>
      <c r="BB41" s="477">
        <f t="shared" si="59"/>
        <v>4.4716666666666667</v>
      </c>
      <c r="BC41" s="477">
        <f t="shared" si="60"/>
        <v>5.0238888888888891</v>
      </c>
      <c r="BD41" s="477">
        <f t="shared" si="61"/>
        <v>34.956666666666663</v>
      </c>
      <c r="BE41" s="477">
        <f t="shared" si="62"/>
        <v>35.508888888888883</v>
      </c>
      <c r="BF41" s="477">
        <f t="shared" si="63"/>
        <v>37.721666666666664</v>
      </c>
      <c r="BG41" s="47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77">
        <f t="shared" si="27"/>
        <v>0</v>
      </c>
      <c r="V42" s="477">
        <f t="shared" si="28"/>
        <v>0</v>
      </c>
      <c r="W42" s="477">
        <f t="shared" si="29"/>
        <v>1.7066666666666668</v>
      </c>
      <c r="X42" s="477">
        <f t="shared" si="30"/>
        <v>0.55222222222222217</v>
      </c>
      <c r="Y42" s="477">
        <f t="shared" si="31"/>
        <v>11.083333333333334</v>
      </c>
      <c r="Z42" s="477">
        <f t="shared" si="32"/>
        <v>11.083333333333334</v>
      </c>
      <c r="AA42" s="477">
        <f t="shared" si="33"/>
        <v>2.7650000000000001</v>
      </c>
      <c r="AB42" s="243"/>
      <c r="AC42" s="477">
        <f t="shared" si="34"/>
        <v>0.55222222222222217</v>
      </c>
      <c r="AD42" s="477">
        <f t="shared" si="35"/>
        <v>2.7650000000000001</v>
      </c>
      <c r="AE42" s="477">
        <f t="shared" si="36"/>
        <v>3.3172222222222221</v>
      </c>
      <c r="AF42" s="477">
        <f t="shared" si="37"/>
        <v>11.083333333333334</v>
      </c>
      <c r="AG42" s="477">
        <f t="shared" si="38"/>
        <v>11.635555555555555</v>
      </c>
      <c r="AH42" s="477">
        <f t="shared" si="39"/>
        <v>13.848333333333334</v>
      </c>
      <c r="AI42" s="477">
        <f t="shared" si="40"/>
        <v>14.400555555555556</v>
      </c>
      <c r="AJ42" s="477">
        <f t="shared" si="41"/>
        <v>0</v>
      </c>
      <c r="AK42" s="477">
        <f t="shared" si="42"/>
        <v>0.55222222222222217</v>
      </c>
      <c r="AL42" s="477">
        <f t="shared" si="43"/>
        <v>2.7650000000000001</v>
      </c>
      <c r="AM42" s="477">
        <f t="shared" si="44"/>
        <v>3.3172222222222221</v>
      </c>
      <c r="AN42" s="477">
        <f t="shared" si="45"/>
        <v>11.083333333333334</v>
      </c>
      <c r="AO42" s="477">
        <f t="shared" si="46"/>
        <v>11.635555555555555</v>
      </c>
      <c r="AP42" s="477">
        <f t="shared" si="47"/>
        <v>13.848333333333334</v>
      </c>
      <c r="AQ42" s="477">
        <f t="shared" si="48"/>
        <v>14.400555555555556</v>
      </c>
      <c r="AR42" s="477">
        <f t="shared" si="49"/>
        <v>1.7066666666666668</v>
      </c>
      <c r="AS42" s="477">
        <f t="shared" si="50"/>
        <v>2.2588888888888889</v>
      </c>
      <c r="AT42" s="477">
        <f t="shared" si="51"/>
        <v>4.4716666666666667</v>
      </c>
      <c r="AU42" s="477">
        <f t="shared" si="52"/>
        <v>5.0238888888888891</v>
      </c>
      <c r="AV42" s="477">
        <f t="shared" si="53"/>
        <v>12.790000000000001</v>
      </c>
      <c r="AW42" s="477">
        <f t="shared" si="54"/>
        <v>13.342222222222222</v>
      </c>
      <c r="AX42" s="477">
        <f t="shared" si="55"/>
        <v>15.555000000000001</v>
      </c>
      <c r="AY42" s="477">
        <f t="shared" si="56"/>
        <v>16.107222222222223</v>
      </c>
      <c r="AZ42" s="477">
        <f t="shared" si="57"/>
        <v>1.7066666666666668</v>
      </c>
      <c r="BA42" s="477">
        <f t="shared" si="58"/>
        <v>2.2588888888888889</v>
      </c>
      <c r="BB42" s="477">
        <f t="shared" si="59"/>
        <v>4.4716666666666667</v>
      </c>
      <c r="BC42" s="477">
        <f t="shared" si="60"/>
        <v>5.0238888888888891</v>
      </c>
      <c r="BD42" s="477">
        <f t="shared" si="61"/>
        <v>12.790000000000001</v>
      </c>
      <c r="BE42" s="477">
        <f t="shared" si="62"/>
        <v>13.342222222222222</v>
      </c>
      <c r="BF42" s="477">
        <f t="shared" si="63"/>
        <v>15.555000000000001</v>
      </c>
      <c r="BG42" s="47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77">
        <f t="shared" si="27"/>
        <v>0</v>
      </c>
      <c r="V43" s="477">
        <f t="shared" si="28"/>
        <v>0</v>
      </c>
      <c r="W43" s="477">
        <f t="shared" si="29"/>
        <v>1.7066666666666668</v>
      </c>
      <c r="X43" s="477">
        <f t="shared" si="30"/>
        <v>16.566666666666666</v>
      </c>
      <c r="Y43" s="477">
        <f t="shared" si="31"/>
        <v>11.083333333333334</v>
      </c>
      <c r="Z43" s="477">
        <f t="shared" si="32"/>
        <v>11.083333333333334</v>
      </c>
      <c r="AA43" s="477">
        <f t="shared" si="33"/>
        <v>2.7650000000000001</v>
      </c>
      <c r="AB43" s="243"/>
      <c r="AC43" s="477">
        <f t="shared" si="34"/>
        <v>16.566666666666666</v>
      </c>
      <c r="AD43" s="477">
        <f t="shared" si="35"/>
        <v>2.7650000000000001</v>
      </c>
      <c r="AE43" s="477">
        <f t="shared" si="36"/>
        <v>19.331666666666667</v>
      </c>
      <c r="AF43" s="477">
        <f t="shared" si="37"/>
        <v>11.083333333333334</v>
      </c>
      <c r="AG43" s="477">
        <f t="shared" si="38"/>
        <v>27.65</v>
      </c>
      <c r="AH43" s="477">
        <f t="shared" si="39"/>
        <v>13.848333333333334</v>
      </c>
      <c r="AI43" s="477">
        <f t="shared" si="40"/>
        <v>30.414999999999999</v>
      </c>
      <c r="AJ43" s="477">
        <f t="shared" si="41"/>
        <v>0</v>
      </c>
      <c r="AK43" s="477">
        <f t="shared" si="42"/>
        <v>16.566666666666666</v>
      </c>
      <c r="AL43" s="477">
        <f t="shared" si="43"/>
        <v>2.7650000000000001</v>
      </c>
      <c r="AM43" s="477">
        <f t="shared" si="44"/>
        <v>19.331666666666667</v>
      </c>
      <c r="AN43" s="477">
        <f t="shared" si="45"/>
        <v>11.083333333333334</v>
      </c>
      <c r="AO43" s="477">
        <f t="shared" si="46"/>
        <v>27.65</v>
      </c>
      <c r="AP43" s="477">
        <f t="shared" si="47"/>
        <v>13.848333333333334</v>
      </c>
      <c r="AQ43" s="477">
        <f t="shared" si="48"/>
        <v>30.414999999999999</v>
      </c>
      <c r="AR43" s="477">
        <f t="shared" si="49"/>
        <v>1.7066666666666668</v>
      </c>
      <c r="AS43" s="477">
        <f t="shared" si="50"/>
        <v>18.273333333333333</v>
      </c>
      <c r="AT43" s="477">
        <f t="shared" si="51"/>
        <v>4.4716666666666667</v>
      </c>
      <c r="AU43" s="477">
        <f t="shared" si="52"/>
        <v>21.038333333333334</v>
      </c>
      <c r="AV43" s="477">
        <f t="shared" si="53"/>
        <v>12.790000000000001</v>
      </c>
      <c r="AW43" s="477">
        <f t="shared" si="54"/>
        <v>29.356666666666669</v>
      </c>
      <c r="AX43" s="477">
        <f t="shared" si="55"/>
        <v>15.555000000000001</v>
      </c>
      <c r="AY43" s="477">
        <f t="shared" si="56"/>
        <v>32.12166666666667</v>
      </c>
      <c r="AZ43" s="477">
        <f t="shared" si="57"/>
        <v>1.7066666666666668</v>
      </c>
      <c r="BA43" s="477">
        <f t="shared" si="58"/>
        <v>18.273333333333333</v>
      </c>
      <c r="BB43" s="477">
        <f t="shared" si="59"/>
        <v>4.4716666666666667</v>
      </c>
      <c r="BC43" s="477">
        <f t="shared" si="60"/>
        <v>21.038333333333334</v>
      </c>
      <c r="BD43" s="477">
        <f t="shared" si="61"/>
        <v>12.790000000000001</v>
      </c>
      <c r="BE43" s="477">
        <f t="shared" si="62"/>
        <v>29.356666666666669</v>
      </c>
      <c r="BF43" s="477">
        <f t="shared" si="63"/>
        <v>15.555000000000001</v>
      </c>
      <c r="BG43" s="47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77">
        <f t="shared" si="27"/>
        <v>0</v>
      </c>
      <c r="V44" s="477">
        <f t="shared" si="28"/>
        <v>0</v>
      </c>
      <c r="W44" s="477">
        <f t="shared" si="29"/>
        <v>1.7066666666666668</v>
      </c>
      <c r="X44" s="477">
        <f t="shared" si="30"/>
        <v>16.566666666666666</v>
      </c>
      <c r="Y44" s="477">
        <f t="shared" si="31"/>
        <v>11.083333333333334</v>
      </c>
      <c r="Z44" s="477">
        <f t="shared" si="32"/>
        <v>11.083333333333334</v>
      </c>
      <c r="AA44" s="477">
        <f t="shared" si="33"/>
        <v>2.7650000000000001</v>
      </c>
      <c r="AB44" s="243"/>
      <c r="AC44" s="477">
        <f t="shared" si="34"/>
        <v>16.566666666666666</v>
      </c>
      <c r="AD44" s="477">
        <f t="shared" si="35"/>
        <v>2.7650000000000001</v>
      </c>
      <c r="AE44" s="477">
        <f t="shared" si="36"/>
        <v>19.331666666666667</v>
      </c>
      <c r="AF44" s="477">
        <f t="shared" si="37"/>
        <v>11.083333333333334</v>
      </c>
      <c r="AG44" s="477">
        <f t="shared" si="38"/>
        <v>27.65</v>
      </c>
      <c r="AH44" s="477">
        <f t="shared" si="39"/>
        <v>13.848333333333334</v>
      </c>
      <c r="AI44" s="477">
        <f t="shared" si="40"/>
        <v>30.414999999999999</v>
      </c>
      <c r="AJ44" s="477">
        <f t="shared" si="41"/>
        <v>0</v>
      </c>
      <c r="AK44" s="477">
        <f t="shared" si="42"/>
        <v>16.566666666666666</v>
      </c>
      <c r="AL44" s="477">
        <f t="shared" si="43"/>
        <v>2.7650000000000001</v>
      </c>
      <c r="AM44" s="477">
        <f t="shared" si="44"/>
        <v>19.331666666666667</v>
      </c>
      <c r="AN44" s="477">
        <f t="shared" si="45"/>
        <v>11.083333333333334</v>
      </c>
      <c r="AO44" s="477">
        <f t="shared" si="46"/>
        <v>27.65</v>
      </c>
      <c r="AP44" s="477">
        <f t="shared" si="47"/>
        <v>13.848333333333334</v>
      </c>
      <c r="AQ44" s="477">
        <f t="shared" si="48"/>
        <v>30.414999999999999</v>
      </c>
      <c r="AR44" s="477">
        <f t="shared" si="49"/>
        <v>1.7066666666666668</v>
      </c>
      <c r="AS44" s="477">
        <f t="shared" si="50"/>
        <v>18.273333333333333</v>
      </c>
      <c r="AT44" s="477">
        <f t="shared" si="51"/>
        <v>4.4716666666666667</v>
      </c>
      <c r="AU44" s="477">
        <f t="shared" si="52"/>
        <v>21.038333333333334</v>
      </c>
      <c r="AV44" s="477">
        <f t="shared" si="53"/>
        <v>12.790000000000001</v>
      </c>
      <c r="AW44" s="477">
        <f t="shared" si="54"/>
        <v>29.356666666666669</v>
      </c>
      <c r="AX44" s="477">
        <f t="shared" si="55"/>
        <v>15.555000000000001</v>
      </c>
      <c r="AY44" s="477">
        <f t="shared" si="56"/>
        <v>32.12166666666667</v>
      </c>
      <c r="AZ44" s="477">
        <f t="shared" si="57"/>
        <v>1.7066666666666668</v>
      </c>
      <c r="BA44" s="477">
        <f t="shared" si="58"/>
        <v>18.273333333333333</v>
      </c>
      <c r="BB44" s="477">
        <f t="shared" si="59"/>
        <v>4.4716666666666667</v>
      </c>
      <c r="BC44" s="477">
        <f t="shared" si="60"/>
        <v>21.038333333333334</v>
      </c>
      <c r="BD44" s="477">
        <f t="shared" si="61"/>
        <v>12.790000000000001</v>
      </c>
      <c r="BE44" s="477">
        <f t="shared" si="62"/>
        <v>29.356666666666669</v>
      </c>
      <c r="BF44" s="477">
        <f t="shared" si="63"/>
        <v>15.555000000000001</v>
      </c>
      <c r="BG44" s="47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77">
        <f t="shared" si="27"/>
        <v>0</v>
      </c>
      <c r="V45" s="477">
        <f t="shared" si="28"/>
        <v>0</v>
      </c>
      <c r="W45" s="477">
        <f t="shared" si="29"/>
        <v>0.28444444444444444</v>
      </c>
      <c r="X45" s="477">
        <f t="shared" si="30"/>
        <v>16.566666666666666</v>
      </c>
      <c r="Y45" s="477">
        <f t="shared" si="31"/>
        <v>11.083333333333334</v>
      </c>
      <c r="Z45" s="477">
        <f t="shared" si="32"/>
        <v>11.083333333333334</v>
      </c>
      <c r="AA45" s="477">
        <f t="shared" si="33"/>
        <v>2.7650000000000001</v>
      </c>
      <c r="AB45" s="243"/>
      <c r="AC45" s="477">
        <f t="shared" si="34"/>
        <v>16.566666666666666</v>
      </c>
      <c r="AD45" s="477">
        <f t="shared" si="35"/>
        <v>2.7650000000000001</v>
      </c>
      <c r="AE45" s="477">
        <f t="shared" si="36"/>
        <v>19.331666666666667</v>
      </c>
      <c r="AF45" s="477">
        <f t="shared" si="37"/>
        <v>11.083333333333334</v>
      </c>
      <c r="AG45" s="477">
        <f t="shared" si="38"/>
        <v>27.65</v>
      </c>
      <c r="AH45" s="477">
        <f t="shared" si="39"/>
        <v>13.848333333333334</v>
      </c>
      <c r="AI45" s="477">
        <f t="shared" si="40"/>
        <v>30.414999999999999</v>
      </c>
      <c r="AJ45" s="477">
        <f t="shared" si="41"/>
        <v>0</v>
      </c>
      <c r="AK45" s="477">
        <f t="shared" si="42"/>
        <v>16.566666666666666</v>
      </c>
      <c r="AL45" s="477">
        <f t="shared" si="43"/>
        <v>2.7650000000000001</v>
      </c>
      <c r="AM45" s="477">
        <f t="shared" si="44"/>
        <v>19.331666666666667</v>
      </c>
      <c r="AN45" s="477">
        <f t="shared" si="45"/>
        <v>11.083333333333334</v>
      </c>
      <c r="AO45" s="477">
        <f t="shared" si="46"/>
        <v>27.65</v>
      </c>
      <c r="AP45" s="477">
        <f t="shared" si="47"/>
        <v>13.848333333333334</v>
      </c>
      <c r="AQ45" s="477">
        <f t="shared" si="48"/>
        <v>30.414999999999999</v>
      </c>
      <c r="AR45" s="477">
        <f t="shared" si="49"/>
        <v>0.28444444444444444</v>
      </c>
      <c r="AS45" s="477">
        <f t="shared" si="50"/>
        <v>16.851111111111109</v>
      </c>
      <c r="AT45" s="477">
        <f t="shared" si="51"/>
        <v>3.0494444444444446</v>
      </c>
      <c r="AU45" s="477">
        <f t="shared" si="52"/>
        <v>19.61611111111111</v>
      </c>
      <c r="AV45" s="477">
        <f t="shared" si="53"/>
        <v>11.367777777777778</v>
      </c>
      <c r="AW45" s="477">
        <f t="shared" si="54"/>
        <v>27.934444444444445</v>
      </c>
      <c r="AX45" s="477">
        <f t="shared" si="55"/>
        <v>14.132777777777779</v>
      </c>
      <c r="AY45" s="477">
        <f t="shared" si="56"/>
        <v>30.699444444444445</v>
      </c>
      <c r="AZ45" s="477">
        <f t="shared" si="57"/>
        <v>0.28444444444444444</v>
      </c>
      <c r="BA45" s="477">
        <f t="shared" si="58"/>
        <v>16.851111111111109</v>
      </c>
      <c r="BB45" s="477">
        <f t="shared" si="59"/>
        <v>3.0494444444444446</v>
      </c>
      <c r="BC45" s="477">
        <f t="shared" si="60"/>
        <v>19.61611111111111</v>
      </c>
      <c r="BD45" s="477">
        <f t="shared" si="61"/>
        <v>11.367777777777778</v>
      </c>
      <c r="BE45" s="477">
        <f t="shared" si="62"/>
        <v>27.934444444444445</v>
      </c>
      <c r="BF45" s="477">
        <f t="shared" si="63"/>
        <v>14.132777777777779</v>
      </c>
      <c r="BG45" s="47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77">
        <f t="shared" ref="U46:U77" si="77">IF(OR($N46="",$R46=""),0,U$1/64/$N46)</f>
        <v>7.3437500000000003E-2</v>
      </c>
      <c r="V46" s="477">
        <f t="shared" ref="V46:V77" si="78">IF(OR($N46="",$R46=""),0,V$1/64/$N46)</f>
        <v>0.3046875</v>
      </c>
      <c r="W46" s="477">
        <f t="shared" ref="W46:W77" si="79">IF($P46="",0,W$1/$P46)</f>
        <v>0.28444444444444444</v>
      </c>
      <c r="X46" s="477">
        <f t="shared" ref="X46:X77" si="80">IF($M46="",0,X$1/$M46)</f>
        <v>16.566666666666666</v>
      </c>
      <c r="Y46" s="477">
        <f t="shared" ref="Y46:Y77" si="81">IF(OR($N46="",$Q46&lt;&gt;""),0,Y$1/$N46)</f>
        <v>11.083333333333334</v>
      </c>
      <c r="Z46" s="477">
        <f t="shared" ref="Z46:Z77" si="82">IF($N46="",0,IF($R46="",1,R46/43200)*Y46)</f>
        <v>0.15393518518518517</v>
      </c>
      <c r="AA46" s="477">
        <f t="shared" ref="AA46:AA77" si="83">IF($O46="",0,AA$1/$O46)</f>
        <v>2.7650000000000001</v>
      </c>
      <c r="AB46" s="243"/>
      <c r="AC46" s="477">
        <f t="shared" ref="AC46:AC77" si="84">IF(AC$3&lt;&gt;"",$W46,0)+IF(AC$4&lt;&gt;"",$U46,0)+IF(AC$5&lt;&gt;"",$Z46+IF($S46&lt;&gt;"102",$V46,0),0)+IF(AC$6&lt;&gt;"",$AA46+IF($S46="102",$V46,0),0)+IF(AC$7&lt;&gt;"",$X46,0)</f>
        <v>16.566666666666666</v>
      </c>
      <c r="AD46" s="477">
        <f t="shared" ref="AD46:AD77" si="85">IF(AD$3&lt;&gt;"",$W46,0)+IF(AD$4&lt;&gt;"",$U46,0)+IF(AD$5&lt;&gt;"",$Z46+IF($S46&lt;&gt;"102",$V46,0),0)+IF(AD$6&lt;&gt;"",$AA46+IF($S46="102",$V46,0),0)+IF(AD$7&lt;&gt;"",$X46,0)</f>
        <v>2.7650000000000001</v>
      </c>
      <c r="AE46" s="477">
        <f t="shared" ref="AE46:AE77" si="86">IF(AE$3&lt;&gt;"",$W46,0)+IF(AE$4&lt;&gt;"",$U46,0)+IF(AE$5&lt;&gt;"",$Z46+IF($S46&lt;&gt;"102",$V46,0),0)+IF(AE$6&lt;&gt;"",$AA46+IF($S46="102",$V46,0),0)+IF(AE$7&lt;&gt;"",$X46,0)</f>
        <v>19.331666666666667</v>
      </c>
      <c r="AF46" s="477">
        <f t="shared" ref="AF46:AF77" si="87">IF(AF$3&lt;&gt;"",$W46,0)+IF(AF$4&lt;&gt;"",$U46,0)+IF(AF$5&lt;&gt;"",$Z46+IF($S46&lt;&gt;"102",$V46,0),0)+IF(AF$6&lt;&gt;"",$AA46+IF($S46="102",$V46,0),0)+IF(AF$7&lt;&gt;"",$X46,0)</f>
        <v>0.45862268518518517</v>
      </c>
      <c r="AG46" s="477">
        <f t="shared" ref="AG46:AG77" si="88">IF(AG$3&lt;&gt;"",$W46,0)+IF(AG$4&lt;&gt;"",$U46,0)+IF(AG$5&lt;&gt;"",$Z46+IF($S46&lt;&gt;"102",$V46,0),0)+IF(AG$6&lt;&gt;"",$AA46+IF($S46="102",$V46,0),0)+IF(AG$7&lt;&gt;"",$X46,0)</f>
        <v>17.025289351851853</v>
      </c>
      <c r="AH46" s="477">
        <f t="shared" ref="AH46:AH77" si="89">IF(AH$3&lt;&gt;"",$W46,0)+IF(AH$4&lt;&gt;"",$U46,0)+IF(AH$5&lt;&gt;"",$Z46+IF($S46&lt;&gt;"102",$V46,0),0)+IF(AH$6&lt;&gt;"",$AA46+IF($S46="102",$V46,0),0)+IF(AH$7&lt;&gt;"",$X46,0)</f>
        <v>3.2236226851851852</v>
      </c>
      <c r="AI46" s="477">
        <f t="shared" ref="AI46:AI77" si="90">IF(AI$3&lt;&gt;"",$W46,0)+IF(AI$4&lt;&gt;"",$U46,0)+IF(AI$5&lt;&gt;"",$Z46+IF($S46&lt;&gt;"102",$V46,0),0)+IF(AI$6&lt;&gt;"",$AA46+IF($S46="102",$V46,0),0)+IF(AI$7&lt;&gt;"",$X46,0)</f>
        <v>19.79028935185185</v>
      </c>
      <c r="AJ46" s="477">
        <f t="shared" ref="AJ46:AJ77" si="91">IF(AJ$3&lt;&gt;"",$W46,0)+IF(AJ$4&lt;&gt;"",$U46,0)+IF(AJ$5&lt;&gt;"",$Z46+IF($S46&lt;&gt;"102",$V46,0),0)+IF(AJ$6&lt;&gt;"",$AA46+IF($S46="102",$V46,0),0)+IF(AJ$7&lt;&gt;"",$X46,0)</f>
        <v>7.3437500000000003E-2</v>
      </c>
      <c r="AK46" s="477">
        <f t="shared" ref="AK46:AK77" si="92">IF(AK$3&lt;&gt;"",$W46,0)+IF(AK$4&lt;&gt;"",$U46,0)+IF(AK$5&lt;&gt;"",$Z46+IF($S46&lt;&gt;"102",$V46,0),0)+IF(AK$6&lt;&gt;"",$AA46+IF($S46="102",$V46,0),0)+IF(AK$7&lt;&gt;"",$X46,0)</f>
        <v>16.640104166666667</v>
      </c>
      <c r="AL46" s="477">
        <f t="shared" ref="AL46:AL77" si="93">IF(AL$3&lt;&gt;"",$W46,0)+IF(AL$4&lt;&gt;"",$U46,0)+IF(AL$5&lt;&gt;"",$Z46+IF($S46&lt;&gt;"102",$V46,0),0)+IF(AL$6&lt;&gt;"",$AA46+IF($S46="102",$V46,0),0)+IF(AL$7&lt;&gt;"",$X46,0)</f>
        <v>2.8384374999999999</v>
      </c>
      <c r="AM46" s="477">
        <f t="shared" ref="AM46:AM77" si="94">IF(AM$3&lt;&gt;"",$W46,0)+IF(AM$4&lt;&gt;"",$U46,0)+IF(AM$5&lt;&gt;"",$Z46+IF($S46&lt;&gt;"102",$V46,0),0)+IF(AM$6&lt;&gt;"",$AA46+IF($S46="102",$V46,0),0)+IF(AM$7&lt;&gt;"",$X46,0)</f>
        <v>19.405104166666668</v>
      </c>
      <c r="AN46" s="477">
        <f t="shared" ref="AN46:AN77" si="95">IF(AN$3&lt;&gt;"",$W46,0)+IF(AN$4&lt;&gt;"",$U46,0)+IF(AN$5&lt;&gt;"",$Z46+IF($S46&lt;&gt;"102",$V46,0),0)+IF(AN$6&lt;&gt;"",$AA46+IF($S46="102",$V46,0),0)+IF(AN$7&lt;&gt;"",$X46,0)</f>
        <v>0.53206018518518516</v>
      </c>
      <c r="AO46" s="477">
        <f t="shared" ref="AO46:AO77" si="96">IF(AO$3&lt;&gt;"",$W46,0)+IF(AO$4&lt;&gt;"",$U46,0)+IF(AO$5&lt;&gt;"",$Z46+IF($S46&lt;&gt;"102",$V46,0),0)+IF(AO$6&lt;&gt;"",$AA46+IF($S46="102",$V46,0),0)+IF(AO$7&lt;&gt;"",$X46,0)</f>
        <v>17.09872685185185</v>
      </c>
      <c r="AP46" s="477">
        <f t="shared" ref="AP46:AP77" si="97">IF(AP$3&lt;&gt;"",$W46,0)+IF(AP$4&lt;&gt;"",$U46,0)+IF(AP$5&lt;&gt;"",$Z46+IF($S46&lt;&gt;"102",$V46,0),0)+IF(AP$6&lt;&gt;"",$AA46+IF($S46="102",$V46,0),0)+IF(AP$7&lt;&gt;"",$X46,0)</f>
        <v>3.2970601851851855</v>
      </c>
      <c r="AQ46" s="477">
        <f t="shared" ref="AQ46:AQ77" si="98">IF(AQ$3&lt;&gt;"",$W46,0)+IF(AQ$4&lt;&gt;"",$U46,0)+IF(AQ$5&lt;&gt;"",$Z46+IF($S46&lt;&gt;"102",$V46,0),0)+IF(AQ$6&lt;&gt;"",$AA46+IF($S46="102",$V46,0),0)+IF(AQ$7&lt;&gt;"",$X46,0)</f>
        <v>19.863726851851851</v>
      </c>
      <c r="AR46" s="477">
        <f t="shared" ref="AR46:AR77" si="99">IF(AR$3&lt;&gt;"",$W46,0)+IF(AR$4&lt;&gt;"",$U46,0)+IF(AR$5&lt;&gt;"",$Z46+IF($S46&lt;&gt;"102",$V46,0),0)+IF(AR$6&lt;&gt;"",$AA46+IF($S46="102",$V46,0),0)+IF(AR$7&lt;&gt;"",$X46,0)</f>
        <v>0.28444444444444444</v>
      </c>
      <c r="AS46" s="477">
        <f t="shared" ref="AS46:AS77" si="100">IF(AS$3&lt;&gt;"",$W46,0)+IF(AS$4&lt;&gt;"",$U46,0)+IF(AS$5&lt;&gt;"",$Z46+IF($S46&lt;&gt;"102",$V46,0),0)+IF(AS$6&lt;&gt;"",$AA46+IF($S46="102",$V46,0),0)+IF(AS$7&lt;&gt;"",$X46,0)</f>
        <v>16.851111111111109</v>
      </c>
      <c r="AT46" s="477">
        <f t="shared" ref="AT46:AT77" si="101">IF(AT$3&lt;&gt;"",$W46,0)+IF(AT$4&lt;&gt;"",$U46,0)+IF(AT$5&lt;&gt;"",$Z46+IF($S46&lt;&gt;"102",$V46,0),0)+IF(AT$6&lt;&gt;"",$AA46+IF($S46="102",$V46,0),0)+IF(AT$7&lt;&gt;"",$X46,0)</f>
        <v>3.0494444444444446</v>
      </c>
      <c r="AU46" s="477">
        <f t="shared" ref="AU46:AU77" si="102">IF(AU$3&lt;&gt;"",$W46,0)+IF(AU$4&lt;&gt;"",$U46,0)+IF(AU$5&lt;&gt;"",$Z46+IF($S46&lt;&gt;"102",$V46,0),0)+IF(AU$6&lt;&gt;"",$AA46+IF($S46="102",$V46,0),0)+IF(AU$7&lt;&gt;"",$X46,0)</f>
        <v>19.61611111111111</v>
      </c>
      <c r="AV46" s="477">
        <f t="shared" ref="AV46:AV77" si="103">IF(AV$3&lt;&gt;"",$W46,0)+IF(AV$4&lt;&gt;"",$U46,0)+IF(AV$5&lt;&gt;"",$Z46+IF($S46&lt;&gt;"102",$V46,0),0)+IF(AV$6&lt;&gt;"",$AA46+IF($S46="102",$V46,0),0)+IF(AV$7&lt;&gt;"",$X46,0)</f>
        <v>0.74306712962962962</v>
      </c>
      <c r="AW46" s="477">
        <f t="shared" ref="AW46:AW77" si="104">IF(AW$3&lt;&gt;"",$W46,0)+IF(AW$4&lt;&gt;"",$U46,0)+IF(AW$5&lt;&gt;"",$Z46+IF($S46&lt;&gt;"102",$V46,0),0)+IF(AW$6&lt;&gt;"",$AA46+IF($S46="102",$V46,0),0)+IF(AW$7&lt;&gt;"",$X46,0)</f>
        <v>17.309733796296296</v>
      </c>
      <c r="AX46" s="477">
        <f t="shared" ref="AX46:AX77" si="105">IF(AX$3&lt;&gt;"",$W46,0)+IF(AX$4&lt;&gt;"",$U46,0)+IF(AX$5&lt;&gt;"",$Z46+IF($S46&lt;&gt;"102",$V46,0),0)+IF(AX$6&lt;&gt;"",$AA46+IF($S46="102",$V46,0),0)+IF(AX$7&lt;&gt;"",$X46,0)</f>
        <v>3.5080671296296297</v>
      </c>
      <c r="AY46" s="477">
        <f t="shared" ref="AY46:AY77" si="106">IF(AY$3&lt;&gt;"",$W46,0)+IF(AY$4&lt;&gt;"",$U46,0)+IF(AY$5&lt;&gt;"",$Z46+IF($S46&lt;&gt;"102",$V46,0),0)+IF(AY$6&lt;&gt;"",$AA46+IF($S46="102",$V46,0),0)+IF(AY$7&lt;&gt;"",$X46,0)</f>
        <v>20.074733796296297</v>
      </c>
      <c r="AZ46" s="477">
        <f t="shared" ref="AZ46:AZ77" si="107">IF(AZ$3&lt;&gt;"",$W46,0)+IF(AZ$4&lt;&gt;"",$U46,0)+IF(AZ$5&lt;&gt;"",$Z46+IF($S46&lt;&gt;"102",$V46,0),0)+IF(AZ$6&lt;&gt;"",$AA46+IF($S46="102",$V46,0),0)+IF(AZ$7&lt;&gt;"",$X46,0)</f>
        <v>0.35788194444444443</v>
      </c>
      <c r="BA46" s="477">
        <f t="shared" ref="BA46:BA77" si="108">IF(BA$3&lt;&gt;"",$W46,0)+IF(BA$4&lt;&gt;"",$U46,0)+IF(BA$5&lt;&gt;"",$Z46+IF($S46&lt;&gt;"102",$V46,0),0)+IF(BA$6&lt;&gt;"",$AA46+IF($S46="102",$V46,0),0)+IF(BA$7&lt;&gt;"",$X46,0)</f>
        <v>16.92454861111111</v>
      </c>
      <c r="BB46" s="477">
        <f t="shared" ref="BB46:BB77" si="109">IF(BB$3&lt;&gt;"",$W46,0)+IF(BB$4&lt;&gt;"",$U46,0)+IF(BB$5&lt;&gt;"",$Z46+IF($S46&lt;&gt;"102",$V46,0),0)+IF(BB$6&lt;&gt;"",$AA46+IF($S46="102",$V46,0),0)+IF(BB$7&lt;&gt;"",$X46,0)</f>
        <v>3.1228819444444444</v>
      </c>
      <c r="BC46" s="477">
        <f t="shared" ref="BC46:BC77" si="110">IF(BC$3&lt;&gt;"",$W46,0)+IF(BC$4&lt;&gt;"",$U46,0)+IF(BC$5&lt;&gt;"",$Z46+IF($S46&lt;&gt;"102",$V46,0),0)+IF(BC$6&lt;&gt;"",$AA46+IF($S46="102",$V46,0),0)+IF(BC$7&lt;&gt;"",$X46,0)</f>
        <v>19.68954861111111</v>
      </c>
      <c r="BD46" s="477">
        <f t="shared" ref="BD46:BD77" si="111">IF(BD$3&lt;&gt;"",$W46,0)+IF(BD$4&lt;&gt;"",$U46,0)+IF(BD$5&lt;&gt;"",$Z46+IF($S46&lt;&gt;"102",$V46,0),0)+IF(BD$6&lt;&gt;"",$AA46+IF($S46="102",$V46,0),0)+IF(BD$7&lt;&gt;"",$X46,0)</f>
        <v>0.81650462962962966</v>
      </c>
      <c r="BE46" s="477">
        <f t="shared" ref="BE46:BE77" si="112">IF(BE$3&lt;&gt;"",$W46,0)+IF(BE$4&lt;&gt;"",$U46,0)+IF(BE$5&lt;&gt;"",$Z46+IF($S46&lt;&gt;"102",$V46,0),0)+IF(BE$6&lt;&gt;"",$AA46+IF($S46="102",$V46,0),0)+IF(BE$7&lt;&gt;"",$X46,0)</f>
        <v>17.383171296296297</v>
      </c>
      <c r="BF46" s="477">
        <f t="shared" ref="BF46:BF77" si="113">IF(BF$3&lt;&gt;"",$W46,0)+IF(BF$4&lt;&gt;"",$U46,0)+IF(BF$5&lt;&gt;"",$Z46+IF($S46&lt;&gt;"102",$V46,0),0)+IF(BF$6&lt;&gt;"",$AA46+IF($S46="102",$V46,0),0)+IF(BF$7&lt;&gt;"",$X46,0)</f>
        <v>3.58150462962963</v>
      </c>
      <c r="BG46" s="47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77">
        <f t="shared" si="77"/>
        <v>7.3437500000000003E-2</v>
      </c>
      <c r="V47" s="477">
        <f t="shared" si="78"/>
        <v>0.3046875</v>
      </c>
      <c r="W47" s="477">
        <f t="shared" si="79"/>
        <v>0.28444444444444444</v>
      </c>
      <c r="X47" s="477">
        <f t="shared" si="80"/>
        <v>16.566666666666666</v>
      </c>
      <c r="Y47" s="477">
        <f t="shared" si="81"/>
        <v>11.083333333333334</v>
      </c>
      <c r="Z47" s="477">
        <f t="shared" si="82"/>
        <v>0.15393518518518517</v>
      </c>
      <c r="AA47" s="477">
        <f t="shared" si="83"/>
        <v>2.7650000000000001</v>
      </c>
      <c r="AB47" s="243"/>
      <c r="AC47" s="477">
        <f t="shared" si="84"/>
        <v>16.566666666666666</v>
      </c>
      <c r="AD47" s="477">
        <f t="shared" si="85"/>
        <v>3.0696875000000001</v>
      </c>
      <c r="AE47" s="477">
        <f t="shared" si="86"/>
        <v>19.636354166666667</v>
      </c>
      <c r="AF47" s="477">
        <f t="shared" si="87"/>
        <v>0.15393518518518517</v>
      </c>
      <c r="AG47" s="477">
        <f t="shared" si="88"/>
        <v>16.720601851851853</v>
      </c>
      <c r="AH47" s="477">
        <f t="shared" si="89"/>
        <v>3.2236226851851852</v>
      </c>
      <c r="AI47" s="477">
        <f t="shared" si="90"/>
        <v>19.79028935185185</v>
      </c>
      <c r="AJ47" s="477">
        <f t="shared" si="91"/>
        <v>7.3437500000000003E-2</v>
      </c>
      <c r="AK47" s="477">
        <f t="shared" si="92"/>
        <v>16.640104166666667</v>
      </c>
      <c r="AL47" s="477">
        <f t="shared" si="93"/>
        <v>3.1431249999999999</v>
      </c>
      <c r="AM47" s="477">
        <f t="shared" si="94"/>
        <v>19.709791666666668</v>
      </c>
      <c r="AN47" s="477">
        <f t="shared" si="95"/>
        <v>0.22737268518518516</v>
      </c>
      <c r="AO47" s="477">
        <f t="shared" si="96"/>
        <v>16.79403935185185</v>
      </c>
      <c r="AP47" s="477">
        <f t="shared" si="97"/>
        <v>3.2970601851851855</v>
      </c>
      <c r="AQ47" s="477">
        <f t="shared" si="98"/>
        <v>19.863726851851851</v>
      </c>
      <c r="AR47" s="477">
        <f t="shared" si="99"/>
        <v>0.28444444444444444</v>
      </c>
      <c r="AS47" s="477">
        <f t="shared" si="100"/>
        <v>16.851111111111109</v>
      </c>
      <c r="AT47" s="477">
        <f t="shared" si="101"/>
        <v>3.3541319444444446</v>
      </c>
      <c r="AU47" s="477">
        <f t="shared" si="102"/>
        <v>19.92079861111111</v>
      </c>
      <c r="AV47" s="477">
        <f t="shared" si="103"/>
        <v>0.43837962962962962</v>
      </c>
      <c r="AW47" s="477">
        <f t="shared" si="104"/>
        <v>17.005046296296296</v>
      </c>
      <c r="AX47" s="477">
        <f t="shared" si="105"/>
        <v>3.5080671296296297</v>
      </c>
      <c r="AY47" s="477">
        <f t="shared" si="106"/>
        <v>20.074733796296297</v>
      </c>
      <c r="AZ47" s="477">
        <f t="shared" si="107"/>
        <v>0.35788194444444443</v>
      </c>
      <c r="BA47" s="477">
        <f t="shared" si="108"/>
        <v>16.92454861111111</v>
      </c>
      <c r="BB47" s="477">
        <f t="shared" si="109"/>
        <v>3.4275694444444444</v>
      </c>
      <c r="BC47" s="477">
        <f t="shared" si="110"/>
        <v>19.99423611111111</v>
      </c>
      <c r="BD47" s="477">
        <f t="shared" si="111"/>
        <v>0.51181712962962966</v>
      </c>
      <c r="BE47" s="477">
        <f t="shared" si="112"/>
        <v>17.078483796296297</v>
      </c>
      <c r="BF47" s="477">
        <f t="shared" si="113"/>
        <v>3.58150462962963</v>
      </c>
      <c r="BG47" s="47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77">
        <f t="shared" si="77"/>
        <v>7.3437500000000003E-2</v>
      </c>
      <c r="V48" s="477">
        <f t="shared" si="78"/>
        <v>0.3046875</v>
      </c>
      <c r="W48" s="477">
        <f t="shared" si="79"/>
        <v>0.28444444444444444</v>
      </c>
      <c r="X48" s="477">
        <f t="shared" si="80"/>
        <v>16.566666666666666</v>
      </c>
      <c r="Y48" s="477">
        <f t="shared" si="81"/>
        <v>11.083333333333334</v>
      </c>
      <c r="Z48" s="477">
        <f t="shared" si="82"/>
        <v>0.15393518518518517</v>
      </c>
      <c r="AA48" s="477">
        <f t="shared" si="83"/>
        <v>2.7650000000000001</v>
      </c>
      <c r="AB48" s="243"/>
      <c r="AC48" s="477">
        <f t="shared" si="84"/>
        <v>16.566666666666666</v>
      </c>
      <c r="AD48" s="477">
        <f t="shared" si="85"/>
        <v>3.0696875000000001</v>
      </c>
      <c r="AE48" s="477">
        <f t="shared" si="86"/>
        <v>19.636354166666667</v>
      </c>
      <c r="AF48" s="477">
        <f t="shared" si="87"/>
        <v>0.15393518518518517</v>
      </c>
      <c r="AG48" s="477">
        <f t="shared" si="88"/>
        <v>16.720601851851853</v>
      </c>
      <c r="AH48" s="477">
        <f t="shared" si="89"/>
        <v>3.2236226851851852</v>
      </c>
      <c r="AI48" s="477">
        <f t="shared" si="90"/>
        <v>19.79028935185185</v>
      </c>
      <c r="AJ48" s="477">
        <f t="shared" si="91"/>
        <v>7.3437500000000003E-2</v>
      </c>
      <c r="AK48" s="477">
        <f t="shared" si="92"/>
        <v>16.640104166666667</v>
      </c>
      <c r="AL48" s="477">
        <f t="shared" si="93"/>
        <v>3.1431249999999999</v>
      </c>
      <c r="AM48" s="477">
        <f t="shared" si="94"/>
        <v>19.709791666666668</v>
      </c>
      <c r="AN48" s="477">
        <f t="shared" si="95"/>
        <v>0.22737268518518516</v>
      </c>
      <c r="AO48" s="477">
        <f t="shared" si="96"/>
        <v>16.79403935185185</v>
      </c>
      <c r="AP48" s="477">
        <f t="shared" si="97"/>
        <v>3.2970601851851855</v>
      </c>
      <c r="AQ48" s="477">
        <f t="shared" si="98"/>
        <v>19.863726851851851</v>
      </c>
      <c r="AR48" s="477">
        <f t="shared" si="99"/>
        <v>0.28444444444444444</v>
      </c>
      <c r="AS48" s="477">
        <f t="shared" si="100"/>
        <v>16.851111111111109</v>
      </c>
      <c r="AT48" s="477">
        <f t="shared" si="101"/>
        <v>3.3541319444444446</v>
      </c>
      <c r="AU48" s="477">
        <f t="shared" si="102"/>
        <v>19.92079861111111</v>
      </c>
      <c r="AV48" s="477">
        <f t="shared" si="103"/>
        <v>0.43837962962962962</v>
      </c>
      <c r="AW48" s="477">
        <f t="shared" si="104"/>
        <v>17.005046296296296</v>
      </c>
      <c r="AX48" s="477">
        <f t="shared" si="105"/>
        <v>3.5080671296296297</v>
      </c>
      <c r="AY48" s="477">
        <f t="shared" si="106"/>
        <v>20.074733796296297</v>
      </c>
      <c r="AZ48" s="477">
        <f t="shared" si="107"/>
        <v>0.35788194444444443</v>
      </c>
      <c r="BA48" s="477">
        <f t="shared" si="108"/>
        <v>16.92454861111111</v>
      </c>
      <c r="BB48" s="477">
        <f t="shared" si="109"/>
        <v>3.4275694444444444</v>
      </c>
      <c r="BC48" s="477">
        <f t="shared" si="110"/>
        <v>19.99423611111111</v>
      </c>
      <c r="BD48" s="477">
        <f t="shared" si="111"/>
        <v>0.51181712962962966</v>
      </c>
      <c r="BE48" s="477">
        <f t="shared" si="112"/>
        <v>17.078483796296297</v>
      </c>
      <c r="BF48" s="477">
        <f t="shared" si="113"/>
        <v>3.58150462962963</v>
      </c>
      <c r="BG48" s="47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77">
        <f t="shared" si="77"/>
        <v>0</v>
      </c>
      <c r="V49" s="477">
        <f t="shared" si="78"/>
        <v>0</v>
      </c>
      <c r="W49" s="477">
        <f t="shared" si="79"/>
        <v>0</v>
      </c>
      <c r="X49" s="477">
        <f t="shared" si="80"/>
        <v>0</v>
      </c>
      <c r="Y49" s="477">
        <f t="shared" si="81"/>
        <v>0</v>
      </c>
      <c r="Z49" s="477">
        <f t="shared" si="82"/>
        <v>0</v>
      </c>
      <c r="AA49" s="477">
        <f t="shared" si="83"/>
        <v>0</v>
      </c>
      <c r="AB49" s="243"/>
      <c r="AC49" s="477">
        <f t="shared" si="84"/>
        <v>0</v>
      </c>
      <c r="AD49" s="477">
        <f t="shared" si="85"/>
        <v>0</v>
      </c>
      <c r="AE49" s="477">
        <f t="shared" si="86"/>
        <v>0</v>
      </c>
      <c r="AF49" s="477">
        <f t="shared" si="87"/>
        <v>0</v>
      </c>
      <c r="AG49" s="477">
        <f t="shared" si="88"/>
        <v>0</v>
      </c>
      <c r="AH49" s="477">
        <f t="shared" si="89"/>
        <v>0</v>
      </c>
      <c r="AI49" s="477">
        <f t="shared" si="90"/>
        <v>0</v>
      </c>
      <c r="AJ49" s="477">
        <f t="shared" si="91"/>
        <v>0</v>
      </c>
      <c r="AK49" s="477">
        <f t="shared" si="92"/>
        <v>0</v>
      </c>
      <c r="AL49" s="477">
        <f t="shared" si="93"/>
        <v>0</v>
      </c>
      <c r="AM49" s="477">
        <f t="shared" si="94"/>
        <v>0</v>
      </c>
      <c r="AN49" s="477">
        <f t="shared" si="95"/>
        <v>0</v>
      </c>
      <c r="AO49" s="477">
        <f t="shared" si="96"/>
        <v>0</v>
      </c>
      <c r="AP49" s="477">
        <f t="shared" si="97"/>
        <v>0</v>
      </c>
      <c r="AQ49" s="477">
        <f t="shared" si="98"/>
        <v>0</v>
      </c>
      <c r="AR49" s="477">
        <f t="shared" si="99"/>
        <v>0</v>
      </c>
      <c r="AS49" s="477">
        <f t="shared" si="100"/>
        <v>0</v>
      </c>
      <c r="AT49" s="477">
        <f t="shared" si="101"/>
        <v>0</v>
      </c>
      <c r="AU49" s="477">
        <f t="shared" si="102"/>
        <v>0</v>
      </c>
      <c r="AV49" s="477">
        <f t="shared" si="103"/>
        <v>0</v>
      </c>
      <c r="AW49" s="477">
        <f t="shared" si="104"/>
        <v>0</v>
      </c>
      <c r="AX49" s="477">
        <f t="shared" si="105"/>
        <v>0</v>
      </c>
      <c r="AY49" s="477">
        <f t="shared" si="106"/>
        <v>0</v>
      </c>
      <c r="AZ49" s="477">
        <f t="shared" si="107"/>
        <v>0</v>
      </c>
      <c r="BA49" s="477">
        <f t="shared" si="108"/>
        <v>0</v>
      </c>
      <c r="BB49" s="477">
        <f t="shared" si="109"/>
        <v>0</v>
      </c>
      <c r="BC49" s="477">
        <f t="shared" si="110"/>
        <v>0</v>
      </c>
      <c r="BD49" s="477">
        <f t="shared" si="111"/>
        <v>0</v>
      </c>
      <c r="BE49" s="477">
        <f t="shared" si="112"/>
        <v>0</v>
      </c>
      <c r="BF49" s="477">
        <f t="shared" si="113"/>
        <v>0</v>
      </c>
      <c r="BG49" s="47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77">
        <f t="shared" si="77"/>
        <v>0</v>
      </c>
      <c r="V50" s="477">
        <f t="shared" si="78"/>
        <v>0</v>
      </c>
      <c r="W50" s="477">
        <f t="shared" si="79"/>
        <v>0</v>
      </c>
      <c r="X50" s="477">
        <f t="shared" si="80"/>
        <v>0</v>
      </c>
      <c r="Y50" s="477">
        <f t="shared" si="81"/>
        <v>0</v>
      </c>
      <c r="Z50" s="477">
        <f t="shared" si="82"/>
        <v>0</v>
      </c>
      <c r="AA50" s="477">
        <f t="shared" si="83"/>
        <v>0</v>
      </c>
      <c r="AB50" s="243"/>
      <c r="AC50" s="477">
        <f t="shared" si="84"/>
        <v>0</v>
      </c>
      <c r="AD50" s="477">
        <f t="shared" si="85"/>
        <v>0</v>
      </c>
      <c r="AE50" s="477">
        <f t="shared" si="86"/>
        <v>0</v>
      </c>
      <c r="AF50" s="477">
        <f t="shared" si="87"/>
        <v>0</v>
      </c>
      <c r="AG50" s="477">
        <f t="shared" si="88"/>
        <v>0</v>
      </c>
      <c r="AH50" s="477">
        <f t="shared" si="89"/>
        <v>0</v>
      </c>
      <c r="AI50" s="477">
        <f t="shared" si="90"/>
        <v>0</v>
      </c>
      <c r="AJ50" s="477">
        <f t="shared" si="91"/>
        <v>0</v>
      </c>
      <c r="AK50" s="477">
        <f t="shared" si="92"/>
        <v>0</v>
      </c>
      <c r="AL50" s="477">
        <f t="shared" si="93"/>
        <v>0</v>
      </c>
      <c r="AM50" s="477">
        <f t="shared" si="94"/>
        <v>0</v>
      </c>
      <c r="AN50" s="477">
        <f t="shared" si="95"/>
        <v>0</v>
      </c>
      <c r="AO50" s="477">
        <f t="shared" si="96"/>
        <v>0</v>
      </c>
      <c r="AP50" s="477">
        <f t="shared" si="97"/>
        <v>0</v>
      </c>
      <c r="AQ50" s="477">
        <f t="shared" si="98"/>
        <v>0</v>
      </c>
      <c r="AR50" s="477">
        <f t="shared" si="99"/>
        <v>0</v>
      </c>
      <c r="AS50" s="477">
        <f t="shared" si="100"/>
        <v>0</v>
      </c>
      <c r="AT50" s="477">
        <f t="shared" si="101"/>
        <v>0</v>
      </c>
      <c r="AU50" s="477">
        <f t="shared" si="102"/>
        <v>0</v>
      </c>
      <c r="AV50" s="477">
        <f t="shared" si="103"/>
        <v>0</v>
      </c>
      <c r="AW50" s="477">
        <f t="shared" si="104"/>
        <v>0</v>
      </c>
      <c r="AX50" s="477">
        <f t="shared" si="105"/>
        <v>0</v>
      </c>
      <c r="AY50" s="477">
        <f t="shared" si="106"/>
        <v>0</v>
      </c>
      <c r="AZ50" s="477">
        <f t="shared" si="107"/>
        <v>0</v>
      </c>
      <c r="BA50" s="477">
        <f t="shared" si="108"/>
        <v>0</v>
      </c>
      <c r="BB50" s="477">
        <f t="shared" si="109"/>
        <v>0</v>
      </c>
      <c r="BC50" s="477">
        <f t="shared" si="110"/>
        <v>0</v>
      </c>
      <c r="BD50" s="477">
        <f t="shared" si="111"/>
        <v>0</v>
      </c>
      <c r="BE50" s="477">
        <f t="shared" si="112"/>
        <v>0</v>
      </c>
      <c r="BF50" s="477">
        <f t="shared" si="113"/>
        <v>0</v>
      </c>
      <c r="BG50" s="47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77">
        <f t="shared" si="77"/>
        <v>0</v>
      </c>
      <c r="V51" s="477">
        <f t="shared" si="78"/>
        <v>0</v>
      </c>
      <c r="W51" s="477">
        <f t="shared" si="79"/>
        <v>0</v>
      </c>
      <c r="X51" s="477">
        <f t="shared" si="80"/>
        <v>0</v>
      </c>
      <c r="Y51" s="477">
        <f t="shared" si="81"/>
        <v>133</v>
      </c>
      <c r="Z51" s="477">
        <f t="shared" si="82"/>
        <v>133</v>
      </c>
      <c r="AA51" s="477">
        <f t="shared" si="83"/>
        <v>0</v>
      </c>
      <c r="AB51" s="243"/>
      <c r="AC51" s="477">
        <f t="shared" si="84"/>
        <v>0</v>
      </c>
      <c r="AD51" s="477">
        <f t="shared" si="85"/>
        <v>0</v>
      </c>
      <c r="AE51" s="477">
        <f t="shared" si="86"/>
        <v>0</v>
      </c>
      <c r="AF51" s="477">
        <f t="shared" si="87"/>
        <v>133</v>
      </c>
      <c r="AG51" s="477">
        <f t="shared" si="88"/>
        <v>133</v>
      </c>
      <c r="AH51" s="477">
        <f t="shared" si="89"/>
        <v>133</v>
      </c>
      <c r="AI51" s="477">
        <f t="shared" si="90"/>
        <v>133</v>
      </c>
      <c r="AJ51" s="477">
        <f t="shared" si="91"/>
        <v>0</v>
      </c>
      <c r="AK51" s="477">
        <f t="shared" si="92"/>
        <v>0</v>
      </c>
      <c r="AL51" s="477">
        <f t="shared" si="93"/>
        <v>0</v>
      </c>
      <c r="AM51" s="477">
        <f t="shared" si="94"/>
        <v>0</v>
      </c>
      <c r="AN51" s="477">
        <f t="shared" si="95"/>
        <v>133</v>
      </c>
      <c r="AO51" s="477">
        <f t="shared" si="96"/>
        <v>133</v>
      </c>
      <c r="AP51" s="477">
        <f t="shared" si="97"/>
        <v>133</v>
      </c>
      <c r="AQ51" s="477">
        <f t="shared" si="98"/>
        <v>133</v>
      </c>
      <c r="AR51" s="477">
        <f t="shared" si="99"/>
        <v>0</v>
      </c>
      <c r="AS51" s="477">
        <f t="shared" si="100"/>
        <v>0</v>
      </c>
      <c r="AT51" s="477">
        <f t="shared" si="101"/>
        <v>0</v>
      </c>
      <c r="AU51" s="477">
        <f t="shared" si="102"/>
        <v>0</v>
      </c>
      <c r="AV51" s="477">
        <f t="shared" si="103"/>
        <v>133</v>
      </c>
      <c r="AW51" s="477">
        <f t="shared" si="104"/>
        <v>133</v>
      </c>
      <c r="AX51" s="477">
        <f t="shared" si="105"/>
        <v>133</v>
      </c>
      <c r="AY51" s="477">
        <f t="shared" si="106"/>
        <v>133</v>
      </c>
      <c r="AZ51" s="477">
        <f t="shared" si="107"/>
        <v>0</v>
      </c>
      <c r="BA51" s="477">
        <f t="shared" si="108"/>
        <v>0</v>
      </c>
      <c r="BB51" s="477">
        <f t="shared" si="109"/>
        <v>0</v>
      </c>
      <c r="BC51" s="477">
        <f t="shared" si="110"/>
        <v>0</v>
      </c>
      <c r="BD51" s="477">
        <f t="shared" si="111"/>
        <v>133</v>
      </c>
      <c r="BE51" s="477">
        <f t="shared" si="112"/>
        <v>133</v>
      </c>
      <c r="BF51" s="477">
        <f t="shared" si="113"/>
        <v>133</v>
      </c>
      <c r="BG51" s="47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77">
        <f t="shared" si="77"/>
        <v>0</v>
      </c>
      <c r="V52" s="477">
        <f t="shared" si="78"/>
        <v>0</v>
      </c>
      <c r="W52" s="477">
        <f t="shared" si="79"/>
        <v>0</v>
      </c>
      <c r="X52" s="477">
        <f t="shared" si="80"/>
        <v>0</v>
      </c>
      <c r="Y52" s="477">
        <f t="shared" si="81"/>
        <v>133</v>
      </c>
      <c r="Z52" s="477">
        <f t="shared" si="82"/>
        <v>133</v>
      </c>
      <c r="AA52" s="477">
        <f t="shared" si="83"/>
        <v>66.36</v>
      </c>
      <c r="AB52" s="243"/>
      <c r="AC52" s="477">
        <f t="shared" si="84"/>
        <v>0</v>
      </c>
      <c r="AD52" s="477">
        <f t="shared" si="85"/>
        <v>66.36</v>
      </c>
      <c r="AE52" s="477">
        <f t="shared" si="86"/>
        <v>66.36</v>
      </c>
      <c r="AF52" s="477">
        <f t="shared" si="87"/>
        <v>133</v>
      </c>
      <c r="AG52" s="477">
        <f t="shared" si="88"/>
        <v>133</v>
      </c>
      <c r="AH52" s="477">
        <f t="shared" si="89"/>
        <v>199.36</v>
      </c>
      <c r="AI52" s="477">
        <f t="shared" si="90"/>
        <v>199.36</v>
      </c>
      <c r="AJ52" s="477">
        <f t="shared" si="91"/>
        <v>0</v>
      </c>
      <c r="AK52" s="477">
        <f t="shared" si="92"/>
        <v>0</v>
      </c>
      <c r="AL52" s="477">
        <f t="shared" si="93"/>
        <v>66.36</v>
      </c>
      <c r="AM52" s="477">
        <f t="shared" si="94"/>
        <v>66.36</v>
      </c>
      <c r="AN52" s="477">
        <f t="shared" si="95"/>
        <v>133</v>
      </c>
      <c r="AO52" s="477">
        <f t="shared" si="96"/>
        <v>133</v>
      </c>
      <c r="AP52" s="477">
        <f t="shared" si="97"/>
        <v>199.36</v>
      </c>
      <c r="AQ52" s="477">
        <f t="shared" si="98"/>
        <v>199.36</v>
      </c>
      <c r="AR52" s="477">
        <f t="shared" si="99"/>
        <v>0</v>
      </c>
      <c r="AS52" s="477">
        <f t="shared" si="100"/>
        <v>0</v>
      </c>
      <c r="AT52" s="477">
        <f t="shared" si="101"/>
        <v>66.36</v>
      </c>
      <c r="AU52" s="477">
        <f t="shared" si="102"/>
        <v>66.36</v>
      </c>
      <c r="AV52" s="477">
        <f t="shared" si="103"/>
        <v>133</v>
      </c>
      <c r="AW52" s="477">
        <f t="shared" si="104"/>
        <v>133</v>
      </c>
      <c r="AX52" s="477">
        <f t="shared" si="105"/>
        <v>199.36</v>
      </c>
      <c r="AY52" s="477">
        <f t="shared" si="106"/>
        <v>199.36</v>
      </c>
      <c r="AZ52" s="477">
        <f t="shared" si="107"/>
        <v>0</v>
      </c>
      <c r="BA52" s="477">
        <f t="shared" si="108"/>
        <v>0</v>
      </c>
      <c r="BB52" s="477">
        <f t="shared" si="109"/>
        <v>66.36</v>
      </c>
      <c r="BC52" s="477">
        <f t="shared" si="110"/>
        <v>66.36</v>
      </c>
      <c r="BD52" s="477">
        <f t="shared" si="111"/>
        <v>133</v>
      </c>
      <c r="BE52" s="477">
        <f t="shared" si="112"/>
        <v>133</v>
      </c>
      <c r="BF52" s="477">
        <f t="shared" si="113"/>
        <v>199.36</v>
      </c>
      <c r="BG52" s="47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77">
        <f t="shared" si="77"/>
        <v>0</v>
      </c>
      <c r="V53" s="477">
        <f t="shared" si="78"/>
        <v>0</v>
      </c>
      <c r="W53" s="477">
        <f t="shared" si="79"/>
        <v>0</v>
      </c>
      <c r="X53" s="477">
        <f t="shared" si="80"/>
        <v>198.8</v>
      </c>
      <c r="Y53" s="477">
        <f t="shared" si="81"/>
        <v>133</v>
      </c>
      <c r="Z53" s="477">
        <f t="shared" si="82"/>
        <v>133</v>
      </c>
      <c r="AA53" s="477">
        <f t="shared" si="83"/>
        <v>66.36</v>
      </c>
      <c r="AB53" s="243"/>
      <c r="AC53" s="477">
        <f t="shared" si="84"/>
        <v>198.8</v>
      </c>
      <c r="AD53" s="477">
        <f t="shared" si="85"/>
        <v>66.36</v>
      </c>
      <c r="AE53" s="477">
        <f t="shared" si="86"/>
        <v>265.16000000000003</v>
      </c>
      <c r="AF53" s="477">
        <f t="shared" si="87"/>
        <v>133</v>
      </c>
      <c r="AG53" s="477">
        <f t="shared" si="88"/>
        <v>331.8</v>
      </c>
      <c r="AH53" s="477">
        <f t="shared" si="89"/>
        <v>199.36</v>
      </c>
      <c r="AI53" s="477">
        <f t="shared" si="90"/>
        <v>398.16</v>
      </c>
      <c r="AJ53" s="477">
        <f t="shared" si="91"/>
        <v>0</v>
      </c>
      <c r="AK53" s="477">
        <f t="shared" si="92"/>
        <v>198.8</v>
      </c>
      <c r="AL53" s="477">
        <f t="shared" si="93"/>
        <v>66.36</v>
      </c>
      <c r="AM53" s="477">
        <f t="shared" si="94"/>
        <v>265.16000000000003</v>
      </c>
      <c r="AN53" s="477">
        <f t="shared" si="95"/>
        <v>133</v>
      </c>
      <c r="AO53" s="477">
        <f t="shared" si="96"/>
        <v>331.8</v>
      </c>
      <c r="AP53" s="477">
        <f t="shared" si="97"/>
        <v>199.36</v>
      </c>
      <c r="AQ53" s="477">
        <f t="shared" si="98"/>
        <v>398.16</v>
      </c>
      <c r="AR53" s="477">
        <f t="shared" si="99"/>
        <v>0</v>
      </c>
      <c r="AS53" s="477">
        <f t="shared" si="100"/>
        <v>198.8</v>
      </c>
      <c r="AT53" s="477">
        <f t="shared" si="101"/>
        <v>66.36</v>
      </c>
      <c r="AU53" s="477">
        <f t="shared" si="102"/>
        <v>265.16000000000003</v>
      </c>
      <c r="AV53" s="477">
        <f t="shared" si="103"/>
        <v>133</v>
      </c>
      <c r="AW53" s="477">
        <f t="shared" si="104"/>
        <v>331.8</v>
      </c>
      <c r="AX53" s="477">
        <f t="shared" si="105"/>
        <v>199.36</v>
      </c>
      <c r="AY53" s="477">
        <f t="shared" si="106"/>
        <v>398.16</v>
      </c>
      <c r="AZ53" s="477">
        <f t="shared" si="107"/>
        <v>0</v>
      </c>
      <c r="BA53" s="477">
        <f t="shared" si="108"/>
        <v>198.8</v>
      </c>
      <c r="BB53" s="477">
        <f t="shared" si="109"/>
        <v>66.36</v>
      </c>
      <c r="BC53" s="477">
        <f t="shared" si="110"/>
        <v>265.16000000000003</v>
      </c>
      <c r="BD53" s="477">
        <f t="shared" si="111"/>
        <v>133</v>
      </c>
      <c r="BE53" s="477">
        <f t="shared" si="112"/>
        <v>331.8</v>
      </c>
      <c r="BF53" s="477">
        <f t="shared" si="113"/>
        <v>199.36</v>
      </c>
      <c r="BG53" s="47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77">
        <f t="shared" si="77"/>
        <v>0</v>
      </c>
      <c r="V54" s="477">
        <f t="shared" si="78"/>
        <v>0</v>
      </c>
      <c r="W54" s="477">
        <f t="shared" si="79"/>
        <v>512</v>
      </c>
      <c r="X54" s="477">
        <f t="shared" si="80"/>
        <v>198.8</v>
      </c>
      <c r="Y54" s="477">
        <f t="shared" si="81"/>
        <v>133</v>
      </c>
      <c r="Z54" s="477">
        <f t="shared" si="82"/>
        <v>133</v>
      </c>
      <c r="AA54" s="477">
        <f t="shared" si="83"/>
        <v>66.36</v>
      </c>
      <c r="AB54" s="243"/>
      <c r="AC54" s="477">
        <f t="shared" si="84"/>
        <v>198.8</v>
      </c>
      <c r="AD54" s="477">
        <f t="shared" si="85"/>
        <v>66.36</v>
      </c>
      <c r="AE54" s="477">
        <f t="shared" si="86"/>
        <v>265.16000000000003</v>
      </c>
      <c r="AF54" s="477">
        <f t="shared" si="87"/>
        <v>133</v>
      </c>
      <c r="AG54" s="477">
        <f t="shared" si="88"/>
        <v>331.8</v>
      </c>
      <c r="AH54" s="477">
        <f t="shared" si="89"/>
        <v>199.36</v>
      </c>
      <c r="AI54" s="477">
        <f t="shared" si="90"/>
        <v>398.16</v>
      </c>
      <c r="AJ54" s="477">
        <f t="shared" si="91"/>
        <v>0</v>
      </c>
      <c r="AK54" s="477">
        <f t="shared" si="92"/>
        <v>198.8</v>
      </c>
      <c r="AL54" s="477">
        <f t="shared" si="93"/>
        <v>66.36</v>
      </c>
      <c r="AM54" s="477">
        <f t="shared" si="94"/>
        <v>265.16000000000003</v>
      </c>
      <c r="AN54" s="477">
        <f t="shared" si="95"/>
        <v>133</v>
      </c>
      <c r="AO54" s="477">
        <f t="shared" si="96"/>
        <v>331.8</v>
      </c>
      <c r="AP54" s="477">
        <f t="shared" si="97"/>
        <v>199.36</v>
      </c>
      <c r="AQ54" s="477">
        <f t="shared" si="98"/>
        <v>398.16</v>
      </c>
      <c r="AR54" s="477">
        <f t="shared" si="99"/>
        <v>512</v>
      </c>
      <c r="AS54" s="477">
        <f t="shared" si="100"/>
        <v>710.8</v>
      </c>
      <c r="AT54" s="477">
        <f t="shared" si="101"/>
        <v>578.36</v>
      </c>
      <c r="AU54" s="477">
        <f t="shared" si="102"/>
        <v>777.16000000000008</v>
      </c>
      <c r="AV54" s="477">
        <f t="shared" si="103"/>
        <v>645</v>
      </c>
      <c r="AW54" s="477">
        <f t="shared" si="104"/>
        <v>843.8</v>
      </c>
      <c r="AX54" s="477">
        <f t="shared" si="105"/>
        <v>711.36</v>
      </c>
      <c r="AY54" s="477">
        <f t="shared" si="106"/>
        <v>910.16000000000008</v>
      </c>
      <c r="AZ54" s="477">
        <f t="shared" si="107"/>
        <v>512</v>
      </c>
      <c r="BA54" s="477">
        <f t="shared" si="108"/>
        <v>710.8</v>
      </c>
      <c r="BB54" s="477">
        <f t="shared" si="109"/>
        <v>578.36</v>
      </c>
      <c r="BC54" s="477">
        <f t="shared" si="110"/>
        <v>777.16000000000008</v>
      </c>
      <c r="BD54" s="477">
        <f t="shared" si="111"/>
        <v>645</v>
      </c>
      <c r="BE54" s="477">
        <f t="shared" si="112"/>
        <v>843.8</v>
      </c>
      <c r="BF54" s="477">
        <f t="shared" si="113"/>
        <v>711.36</v>
      </c>
      <c r="BG54" s="47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77">
        <f t="shared" si="77"/>
        <v>0</v>
      </c>
      <c r="V55" s="477">
        <f t="shared" si="78"/>
        <v>0</v>
      </c>
      <c r="W55" s="477">
        <f t="shared" si="79"/>
        <v>512</v>
      </c>
      <c r="X55" s="477">
        <f t="shared" si="80"/>
        <v>198.8</v>
      </c>
      <c r="Y55" s="477">
        <f t="shared" si="81"/>
        <v>33.25</v>
      </c>
      <c r="Z55" s="477">
        <f t="shared" si="82"/>
        <v>33.25</v>
      </c>
      <c r="AA55" s="477">
        <f t="shared" si="83"/>
        <v>66.36</v>
      </c>
      <c r="AB55" s="243"/>
      <c r="AC55" s="477">
        <f t="shared" si="84"/>
        <v>198.8</v>
      </c>
      <c r="AD55" s="477">
        <f t="shared" si="85"/>
        <v>66.36</v>
      </c>
      <c r="AE55" s="477">
        <f t="shared" si="86"/>
        <v>265.16000000000003</v>
      </c>
      <c r="AF55" s="477">
        <f t="shared" si="87"/>
        <v>33.25</v>
      </c>
      <c r="AG55" s="477">
        <f t="shared" si="88"/>
        <v>232.05</v>
      </c>
      <c r="AH55" s="477">
        <f t="shared" si="89"/>
        <v>99.61</v>
      </c>
      <c r="AI55" s="477">
        <f t="shared" si="90"/>
        <v>298.41000000000003</v>
      </c>
      <c r="AJ55" s="477">
        <f t="shared" si="91"/>
        <v>0</v>
      </c>
      <c r="AK55" s="477">
        <f t="shared" si="92"/>
        <v>198.8</v>
      </c>
      <c r="AL55" s="477">
        <f t="shared" si="93"/>
        <v>66.36</v>
      </c>
      <c r="AM55" s="477">
        <f t="shared" si="94"/>
        <v>265.16000000000003</v>
      </c>
      <c r="AN55" s="477">
        <f t="shared" si="95"/>
        <v>33.25</v>
      </c>
      <c r="AO55" s="477">
        <f t="shared" si="96"/>
        <v>232.05</v>
      </c>
      <c r="AP55" s="477">
        <f t="shared" si="97"/>
        <v>99.61</v>
      </c>
      <c r="AQ55" s="477">
        <f t="shared" si="98"/>
        <v>298.41000000000003</v>
      </c>
      <c r="AR55" s="477">
        <f t="shared" si="99"/>
        <v>512</v>
      </c>
      <c r="AS55" s="477">
        <f t="shared" si="100"/>
        <v>710.8</v>
      </c>
      <c r="AT55" s="477">
        <f t="shared" si="101"/>
        <v>578.36</v>
      </c>
      <c r="AU55" s="477">
        <f t="shared" si="102"/>
        <v>777.16000000000008</v>
      </c>
      <c r="AV55" s="477">
        <f t="shared" si="103"/>
        <v>545.25</v>
      </c>
      <c r="AW55" s="477">
        <f t="shared" si="104"/>
        <v>744.05</v>
      </c>
      <c r="AX55" s="477">
        <f t="shared" si="105"/>
        <v>611.61</v>
      </c>
      <c r="AY55" s="477">
        <f t="shared" si="106"/>
        <v>810.41000000000008</v>
      </c>
      <c r="AZ55" s="477">
        <f t="shared" si="107"/>
        <v>512</v>
      </c>
      <c r="BA55" s="477">
        <f t="shared" si="108"/>
        <v>710.8</v>
      </c>
      <c r="BB55" s="477">
        <f t="shared" si="109"/>
        <v>578.36</v>
      </c>
      <c r="BC55" s="477">
        <f t="shared" si="110"/>
        <v>777.16000000000008</v>
      </c>
      <c r="BD55" s="477">
        <f t="shared" si="111"/>
        <v>545.25</v>
      </c>
      <c r="BE55" s="477">
        <f t="shared" si="112"/>
        <v>744.05</v>
      </c>
      <c r="BF55" s="477">
        <f t="shared" si="113"/>
        <v>611.61</v>
      </c>
      <c r="BG55" s="47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77">
        <f t="shared" si="77"/>
        <v>0</v>
      </c>
      <c r="V56" s="477">
        <f t="shared" si="78"/>
        <v>0</v>
      </c>
      <c r="W56" s="477">
        <f t="shared" si="79"/>
        <v>512</v>
      </c>
      <c r="X56" s="477">
        <f t="shared" si="80"/>
        <v>198.8</v>
      </c>
      <c r="Y56" s="477">
        <f t="shared" si="81"/>
        <v>33.25</v>
      </c>
      <c r="Z56" s="477">
        <f t="shared" si="82"/>
        <v>33.25</v>
      </c>
      <c r="AA56" s="477">
        <f t="shared" si="83"/>
        <v>2.7650000000000001</v>
      </c>
      <c r="AB56" s="243"/>
      <c r="AC56" s="477">
        <f t="shared" si="84"/>
        <v>198.8</v>
      </c>
      <c r="AD56" s="477">
        <f t="shared" si="85"/>
        <v>2.7650000000000001</v>
      </c>
      <c r="AE56" s="477">
        <f t="shared" si="86"/>
        <v>201.565</v>
      </c>
      <c r="AF56" s="477">
        <f t="shared" si="87"/>
        <v>33.25</v>
      </c>
      <c r="AG56" s="477">
        <f t="shared" si="88"/>
        <v>232.05</v>
      </c>
      <c r="AH56" s="477">
        <f t="shared" si="89"/>
        <v>36.015000000000001</v>
      </c>
      <c r="AI56" s="477">
        <f t="shared" si="90"/>
        <v>234.815</v>
      </c>
      <c r="AJ56" s="477">
        <f t="shared" si="91"/>
        <v>0</v>
      </c>
      <c r="AK56" s="477">
        <f t="shared" si="92"/>
        <v>198.8</v>
      </c>
      <c r="AL56" s="477">
        <f t="shared" si="93"/>
        <v>2.7650000000000001</v>
      </c>
      <c r="AM56" s="477">
        <f t="shared" si="94"/>
        <v>201.565</v>
      </c>
      <c r="AN56" s="477">
        <f t="shared" si="95"/>
        <v>33.25</v>
      </c>
      <c r="AO56" s="477">
        <f t="shared" si="96"/>
        <v>232.05</v>
      </c>
      <c r="AP56" s="477">
        <f t="shared" si="97"/>
        <v>36.015000000000001</v>
      </c>
      <c r="AQ56" s="477">
        <f t="shared" si="98"/>
        <v>234.815</v>
      </c>
      <c r="AR56" s="477">
        <f t="shared" si="99"/>
        <v>512</v>
      </c>
      <c r="AS56" s="477">
        <f t="shared" si="100"/>
        <v>710.8</v>
      </c>
      <c r="AT56" s="477">
        <f t="shared" si="101"/>
        <v>514.76499999999999</v>
      </c>
      <c r="AU56" s="477">
        <f t="shared" si="102"/>
        <v>713.56500000000005</v>
      </c>
      <c r="AV56" s="477">
        <f t="shared" si="103"/>
        <v>545.25</v>
      </c>
      <c r="AW56" s="477">
        <f t="shared" si="104"/>
        <v>744.05</v>
      </c>
      <c r="AX56" s="477">
        <f t="shared" si="105"/>
        <v>548.01499999999999</v>
      </c>
      <c r="AY56" s="477">
        <f t="shared" si="106"/>
        <v>746.81500000000005</v>
      </c>
      <c r="AZ56" s="477">
        <f t="shared" si="107"/>
        <v>512</v>
      </c>
      <c r="BA56" s="477">
        <f t="shared" si="108"/>
        <v>710.8</v>
      </c>
      <c r="BB56" s="477">
        <f t="shared" si="109"/>
        <v>514.76499999999999</v>
      </c>
      <c r="BC56" s="477">
        <f t="shared" si="110"/>
        <v>713.56500000000005</v>
      </c>
      <c r="BD56" s="477">
        <f t="shared" si="111"/>
        <v>545.25</v>
      </c>
      <c r="BE56" s="477">
        <f t="shared" si="112"/>
        <v>744.05</v>
      </c>
      <c r="BF56" s="477">
        <f t="shared" si="113"/>
        <v>548.01499999999999</v>
      </c>
      <c r="BG56" s="47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77">
        <f t="shared" si="77"/>
        <v>0</v>
      </c>
      <c r="V57" s="477">
        <f t="shared" si="78"/>
        <v>0</v>
      </c>
      <c r="W57" s="477">
        <f t="shared" si="79"/>
        <v>512</v>
      </c>
      <c r="X57" s="477">
        <f t="shared" si="80"/>
        <v>0.55222222222222217</v>
      </c>
      <c r="Y57" s="477">
        <f t="shared" si="81"/>
        <v>33.25</v>
      </c>
      <c r="Z57" s="477">
        <f t="shared" si="82"/>
        <v>33.25</v>
      </c>
      <c r="AA57" s="477">
        <f t="shared" si="83"/>
        <v>2.7650000000000001</v>
      </c>
      <c r="AB57" s="243"/>
      <c r="AC57" s="477">
        <f t="shared" si="84"/>
        <v>0.55222222222222217</v>
      </c>
      <c r="AD57" s="477">
        <f t="shared" si="85"/>
        <v>2.7650000000000001</v>
      </c>
      <c r="AE57" s="477">
        <f t="shared" si="86"/>
        <v>3.3172222222222221</v>
      </c>
      <c r="AF57" s="477">
        <f t="shared" si="87"/>
        <v>33.25</v>
      </c>
      <c r="AG57" s="477">
        <f t="shared" si="88"/>
        <v>33.80222222222222</v>
      </c>
      <c r="AH57" s="477">
        <f t="shared" si="89"/>
        <v>36.015000000000001</v>
      </c>
      <c r="AI57" s="477">
        <f t="shared" si="90"/>
        <v>36.56722222222222</v>
      </c>
      <c r="AJ57" s="477">
        <f t="shared" si="91"/>
        <v>0</v>
      </c>
      <c r="AK57" s="477">
        <f t="shared" si="92"/>
        <v>0.55222222222222217</v>
      </c>
      <c r="AL57" s="477">
        <f t="shared" si="93"/>
        <v>2.7650000000000001</v>
      </c>
      <c r="AM57" s="477">
        <f t="shared" si="94"/>
        <v>3.3172222222222221</v>
      </c>
      <c r="AN57" s="477">
        <f t="shared" si="95"/>
        <v>33.25</v>
      </c>
      <c r="AO57" s="477">
        <f t="shared" si="96"/>
        <v>33.80222222222222</v>
      </c>
      <c r="AP57" s="477">
        <f t="shared" si="97"/>
        <v>36.015000000000001</v>
      </c>
      <c r="AQ57" s="477">
        <f t="shared" si="98"/>
        <v>36.56722222222222</v>
      </c>
      <c r="AR57" s="477">
        <f t="shared" si="99"/>
        <v>512</v>
      </c>
      <c r="AS57" s="477">
        <f t="shared" si="100"/>
        <v>512.55222222222221</v>
      </c>
      <c r="AT57" s="477">
        <f t="shared" si="101"/>
        <v>514.76499999999999</v>
      </c>
      <c r="AU57" s="477">
        <f t="shared" si="102"/>
        <v>515.3172222222222</v>
      </c>
      <c r="AV57" s="477">
        <f t="shared" si="103"/>
        <v>545.25</v>
      </c>
      <c r="AW57" s="477">
        <f t="shared" si="104"/>
        <v>545.80222222222221</v>
      </c>
      <c r="AX57" s="477">
        <f t="shared" si="105"/>
        <v>548.01499999999999</v>
      </c>
      <c r="AY57" s="477">
        <f t="shared" si="106"/>
        <v>548.5672222222222</v>
      </c>
      <c r="AZ57" s="477">
        <f t="shared" si="107"/>
        <v>512</v>
      </c>
      <c r="BA57" s="477">
        <f t="shared" si="108"/>
        <v>512.55222222222221</v>
      </c>
      <c r="BB57" s="477">
        <f t="shared" si="109"/>
        <v>514.76499999999999</v>
      </c>
      <c r="BC57" s="477">
        <f t="shared" si="110"/>
        <v>515.3172222222222</v>
      </c>
      <c r="BD57" s="477">
        <f t="shared" si="111"/>
        <v>545.25</v>
      </c>
      <c r="BE57" s="477">
        <f t="shared" si="112"/>
        <v>545.80222222222221</v>
      </c>
      <c r="BF57" s="477">
        <f t="shared" si="113"/>
        <v>548.01499999999999</v>
      </c>
      <c r="BG57" s="47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77">
        <f t="shared" si="77"/>
        <v>0</v>
      </c>
      <c r="V58" s="477">
        <f t="shared" si="78"/>
        <v>0</v>
      </c>
      <c r="W58" s="477">
        <f t="shared" si="79"/>
        <v>1.7066666666666668</v>
      </c>
      <c r="X58" s="477">
        <f t="shared" si="80"/>
        <v>0.55222222222222217</v>
      </c>
      <c r="Y58" s="477">
        <f t="shared" si="81"/>
        <v>33.25</v>
      </c>
      <c r="Z58" s="477">
        <f t="shared" si="82"/>
        <v>33.25</v>
      </c>
      <c r="AA58" s="477">
        <f t="shared" si="83"/>
        <v>2.7650000000000001</v>
      </c>
      <c r="AB58" s="243"/>
      <c r="AC58" s="477">
        <f t="shared" si="84"/>
        <v>0.55222222222222217</v>
      </c>
      <c r="AD58" s="477">
        <f t="shared" si="85"/>
        <v>2.7650000000000001</v>
      </c>
      <c r="AE58" s="477">
        <f t="shared" si="86"/>
        <v>3.3172222222222221</v>
      </c>
      <c r="AF58" s="477">
        <f t="shared" si="87"/>
        <v>33.25</v>
      </c>
      <c r="AG58" s="477">
        <f t="shared" si="88"/>
        <v>33.80222222222222</v>
      </c>
      <c r="AH58" s="477">
        <f t="shared" si="89"/>
        <v>36.015000000000001</v>
      </c>
      <c r="AI58" s="477">
        <f t="shared" si="90"/>
        <v>36.56722222222222</v>
      </c>
      <c r="AJ58" s="477">
        <f t="shared" si="91"/>
        <v>0</v>
      </c>
      <c r="AK58" s="477">
        <f t="shared" si="92"/>
        <v>0.55222222222222217</v>
      </c>
      <c r="AL58" s="477">
        <f t="shared" si="93"/>
        <v>2.7650000000000001</v>
      </c>
      <c r="AM58" s="477">
        <f t="shared" si="94"/>
        <v>3.3172222222222221</v>
      </c>
      <c r="AN58" s="477">
        <f t="shared" si="95"/>
        <v>33.25</v>
      </c>
      <c r="AO58" s="477">
        <f t="shared" si="96"/>
        <v>33.80222222222222</v>
      </c>
      <c r="AP58" s="477">
        <f t="shared" si="97"/>
        <v>36.015000000000001</v>
      </c>
      <c r="AQ58" s="477">
        <f t="shared" si="98"/>
        <v>36.56722222222222</v>
      </c>
      <c r="AR58" s="477">
        <f t="shared" si="99"/>
        <v>1.7066666666666668</v>
      </c>
      <c r="AS58" s="477">
        <f t="shared" si="100"/>
        <v>2.2588888888888889</v>
      </c>
      <c r="AT58" s="477">
        <f t="shared" si="101"/>
        <v>4.4716666666666667</v>
      </c>
      <c r="AU58" s="477">
        <f t="shared" si="102"/>
        <v>5.0238888888888891</v>
      </c>
      <c r="AV58" s="477">
        <f t="shared" si="103"/>
        <v>34.956666666666663</v>
      </c>
      <c r="AW58" s="477">
        <f t="shared" si="104"/>
        <v>35.508888888888883</v>
      </c>
      <c r="AX58" s="477">
        <f t="shared" si="105"/>
        <v>37.721666666666664</v>
      </c>
      <c r="AY58" s="477">
        <f t="shared" si="106"/>
        <v>38.273888888888884</v>
      </c>
      <c r="AZ58" s="477">
        <f t="shared" si="107"/>
        <v>1.7066666666666668</v>
      </c>
      <c r="BA58" s="477">
        <f t="shared" si="108"/>
        <v>2.2588888888888889</v>
      </c>
      <c r="BB58" s="477">
        <f t="shared" si="109"/>
        <v>4.4716666666666667</v>
      </c>
      <c r="BC58" s="477">
        <f t="shared" si="110"/>
        <v>5.0238888888888891</v>
      </c>
      <c r="BD58" s="477">
        <f t="shared" si="111"/>
        <v>34.956666666666663</v>
      </c>
      <c r="BE58" s="477">
        <f t="shared" si="112"/>
        <v>35.508888888888883</v>
      </c>
      <c r="BF58" s="477">
        <f t="shared" si="113"/>
        <v>37.721666666666664</v>
      </c>
      <c r="BG58" s="47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77">
        <f t="shared" si="77"/>
        <v>0</v>
      </c>
      <c r="V59" s="477">
        <f t="shared" si="78"/>
        <v>0</v>
      </c>
      <c r="W59" s="477">
        <f t="shared" si="79"/>
        <v>1.7066666666666668</v>
      </c>
      <c r="X59" s="477">
        <f t="shared" si="80"/>
        <v>0.55222222222222217</v>
      </c>
      <c r="Y59" s="477">
        <f t="shared" si="81"/>
        <v>11.083333333333334</v>
      </c>
      <c r="Z59" s="477">
        <f t="shared" si="82"/>
        <v>11.083333333333334</v>
      </c>
      <c r="AA59" s="477">
        <f t="shared" si="83"/>
        <v>2.7650000000000001</v>
      </c>
      <c r="AB59" s="243"/>
      <c r="AC59" s="477">
        <f t="shared" si="84"/>
        <v>0.55222222222222217</v>
      </c>
      <c r="AD59" s="477">
        <f t="shared" si="85"/>
        <v>2.7650000000000001</v>
      </c>
      <c r="AE59" s="477">
        <f t="shared" si="86"/>
        <v>3.3172222222222221</v>
      </c>
      <c r="AF59" s="477">
        <f t="shared" si="87"/>
        <v>11.083333333333334</v>
      </c>
      <c r="AG59" s="477">
        <f t="shared" si="88"/>
        <v>11.635555555555555</v>
      </c>
      <c r="AH59" s="477">
        <f t="shared" si="89"/>
        <v>13.848333333333334</v>
      </c>
      <c r="AI59" s="477">
        <f t="shared" si="90"/>
        <v>14.400555555555556</v>
      </c>
      <c r="AJ59" s="477">
        <f t="shared" si="91"/>
        <v>0</v>
      </c>
      <c r="AK59" s="477">
        <f t="shared" si="92"/>
        <v>0.55222222222222217</v>
      </c>
      <c r="AL59" s="477">
        <f t="shared" si="93"/>
        <v>2.7650000000000001</v>
      </c>
      <c r="AM59" s="477">
        <f t="shared" si="94"/>
        <v>3.3172222222222221</v>
      </c>
      <c r="AN59" s="477">
        <f t="shared" si="95"/>
        <v>11.083333333333334</v>
      </c>
      <c r="AO59" s="477">
        <f t="shared" si="96"/>
        <v>11.635555555555555</v>
      </c>
      <c r="AP59" s="477">
        <f t="shared" si="97"/>
        <v>13.848333333333334</v>
      </c>
      <c r="AQ59" s="477">
        <f t="shared" si="98"/>
        <v>14.400555555555556</v>
      </c>
      <c r="AR59" s="477">
        <f t="shared" si="99"/>
        <v>1.7066666666666668</v>
      </c>
      <c r="AS59" s="477">
        <f t="shared" si="100"/>
        <v>2.2588888888888889</v>
      </c>
      <c r="AT59" s="477">
        <f t="shared" si="101"/>
        <v>4.4716666666666667</v>
      </c>
      <c r="AU59" s="477">
        <f t="shared" si="102"/>
        <v>5.0238888888888891</v>
      </c>
      <c r="AV59" s="477">
        <f t="shared" si="103"/>
        <v>12.790000000000001</v>
      </c>
      <c r="AW59" s="477">
        <f t="shared" si="104"/>
        <v>13.342222222222222</v>
      </c>
      <c r="AX59" s="477">
        <f t="shared" si="105"/>
        <v>15.555000000000001</v>
      </c>
      <c r="AY59" s="477">
        <f t="shared" si="106"/>
        <v>16.107222222222223</v>
      </c>
      <c r="AZ59" s="477">
        <f t="shared" si="107"/>
        <v>1.7066666666666668</v>
      </c>
      <c r="BA59" s="477">
        <f t="shared" si="108"/>
        <v>2.2588888888888889</v>
      </c>
      <c r="BB59" s="477">
        <f t="shared" si="109"/>
        <v>4.4716666666666667</v>
      </c>
      <c r="BC59" s="477">
        <f t="shared" si="110"/>
        <v>5.0238888888888891</v>
      </c>
      <c r="BD59" s="477">
        <f t="shared" si="111"/>
        <v>12.790000000000001</v>
      </c>
      <c r="BE59" s="477">
        <f t="shared" si="112"/>
        <v>13.342222222222222</v>
      </c>
      <c r="BF59" s="477">
        <f t="shared" si="113"/>
        <v>15.555000000000001</v>
      </c>
      <c r="BG59" s="47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77">
        <f t="shared" si="77"/>
        <v>0</v>
      </c>
      <c r="V60" s="477">
        <f t="shared" si="78"/>
        <v>0</v>
      </c>
      <c r="W60" s="477">
        <f t="shared" si="79"/>
        <v>1.7066666666666668</v>
      </c>
      <c r="X60" s="477">
        <f t="shared" si="80"/>
        <v>16.566666666666666</v>
      </c>
      <c r="Y60" s="477">
        <f t="shared" si="81"/>
        <v>11.083333333333334</v>
      </c>
      <c r="Z60" s="477">
        <f t="shared" si="82"/>
        <v>11.083333333333334</v>
      </c>
      <c r="AA60" s="477">
        <f t="shared" si="83"/>
        <v>2.7650000000000001</v>
      </c>
      <c r="AB60" s="243"/>
      <c r="AC60" s="477">
        <f t="shared" si="84"/>
        <v>16.566666666666666</v>
      </c>
      <c r="AD60" s="477">
        <f t="shared" si="85"/>
        <v>2.7650000000000001</v>
      </c>
      <c r="AE60" s="477">
        <f t="shared" si="86"/>
        <v>19.331666666666667</v>
      </c>
      <c r="AF60" s="477">
        <f t="shared" si="87"/>
        <v>11.083333333333334</v>
      </c>
      <c r="AG60" s="477">
        <f t="shared" si="88"/>
        <v>27.65</v>
      </c>
      <c r="AH60" s="477">
        <f t="shared" si="89"/>
        <v>13.848333333333334</v>
      </c>
      <c r="AI60" s="477">
        <f t="shared" si="90"/>
        <v>30.414999999999999</v>
      </c>
      <c r="AJ60" s="477">
        <f t="shared" si="91"/>
        <v>0</v>
      </c>
      <c r="AK60" s="477">
        <f t="shared" si="92"/>
        <v>16.566666666666666</v>
      </c>
      <c r="AL60" s="477">
        <f t="shared" si="93"/>
        <v>2.7650000000000001</v>
      </c>
      <c r="AM60" s="477">
        <f t="shared" si="94"/>
        <v>19.331666666666667</v>
      </c>
      <c r="AN60" s="477">
        <f t="shared" si="95"/>
        <v>11.083333333333334</v>
      </c>
      <c r="AO60" s="477">
        <f t="shared" si="96"/>
        <v>27.65</v>
      </c>
      <c r="AP60" s="477">
        <f t="shared" si="97"/>
        <v>13.848333333333334</v>
      </c>
      <c r="AQ60" s="477">
        <f t="shared" si="98"/>
        <v>30.414999999999999</v>
      </c>
      <c r="AR60" s="477">
        <f t="shared" si="99"/>
        <v>1.7066666666666668</v>
      </c>
      <c r="AS60" s="477">
        <f t="shared" si="100"/>
        <v>18.273333333333333</v>
      </c>
      <c r="AT60" s="477">
        <f t="shared" si="101"/>
        <v>4.4716666666666667</v>
      </c>
      <c r="AU60" s="477">
        <f t="shared" si="102"/>
        <v>21.038333333333334</v>
      </c>
      <c r="AV60" s="477">
        <f t="shared" si="103"/>
        <v>12.790000000000001</v>
      </c>
      <c r="AW60" s="477">
        <f t="shared" si="104"/>
        <v>29.356666666666669</v>
      </c>
      <c r="AX60" s="477">
        <f t="shared" si="105"/>
        <v>15.555000000000001</v>
      </c>
      <c r="AY60" s="477">
        <f t="shared" si="106"/>
        <v>32.12166666666667</v>
      </c>
      <c r="AZ60" s="477">
        <f t="shared" si="107"/>
        <v>1.7066666666666668</v>
      </c>
      <c r="BA60" s="477">
        <f t="shared" si="108"/>
        <v>18.273333333333333</v>
      </c>
      <c r="BB60" s="477">
        <f t="shared" si="109"/>
        <v>4.4716666666666667</v>
      </c>
      <c r="BC60" s="477">
        <f t="shared" si="110"/>
        <v>21.038333333333334</v>
      </c>
      <c r="BD60" s="477">
        <f t="shared" si="111"/>
        <v>12.790000000000001</v>
      </c>
      <c r="BE60" s="477">
        <f t="shared" si="112"/>
        <v>29.356666666666669</v>
      </c>
      <c r="BF60" s="477">
        <f t="shared" si="113"/>
        <v>15.555000000000001</v>
      </c>
      <c r="BG60" s="47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77">
        <f t="shared" si="77"/>
        <v>0</v>
      </c>
      <c r="V61" s="477">
        <f t="shared" si="78"/>
        <v>0</v>
      </c>
      <c r="W61" s="477">
        <f t="shared" si="79"/>
        <v>1.7066666666666668</v>
      </c>
      <c r="X61" s="477">
        <f t="shared" si="80"/>
        <v>16.566666666666666</v>
      </c>
      <c r="Y61" s="477">
        <f t="shared" si="81"/>
        <v>11.083333333333334</v>
      </c>
      <c r="Z61" s="477">
        <f t="shared" si="82"/>
        <v>11.083333333333334</v>
      </c>
      <c r="AA61" s="477">
        <f t="shared" si="83"/>
        <v>2.7650000000000001</v>
      </c>
      <c r="AB61" s="243"/>
      <c r="AC61" s="477">
        <f t="shared" si="84"/>
        <v>16.566666666666666</v>
      </c>
      <c r="AD61" s="477">
        <f t="shared" si="85"/>
        <v>2.7650000000000001</v>
      </c>
      <c r="AE61" s="477">
        <f t="shared" si="86"/>
        <v>19.331666666666667</v>
      </c>
      <c r="AF61" s="477">
        <f t="shared" si="87"/>
        <v>11.083333333333334</v>
      </c>
      <c r="AG61" s="477">
        <f t="shared" si="88"/>
        <v>27.65</v>
      </c>
      <c r="AH61" s="477">
        <f t="shared" si="89"/>
        <v>13.848333333333334</v>
      </c>
      <c r="AI61" s="477">
        <f t="shared" si="90"/>
        <v>30.414999999999999</v>
      </c>
      <c r="AJ61" s="477">
        <f t="shared" si="91"/>
        <v>0</v>
      </c>
      <c r="AK61" s="477">
        <f t="shared" si="92"/>
        <v>16.566666666666666</v>
      </c>
      <c r="AL61" s="477">
        <f t="shared" si="93"/>
        <v>2.7650000000000001</v>
      </c>
      <c r="AM61" s="477">
        <f t="shared" si="94"/>
        <v>19.331666666666667</v>
      </c>
      <c r="AN61" s="477">
        <f t="shared" si="95"/>
        <v>11.083333333333334</v>
      </c>
      <c r="AO61" s="477">
        <f t="shared" si="96"/>
        <v>27.65</v>
      </c>
      <c r="AP61" s="477">
        <f t="shared" si="97"/>
        <v>13.848333333333334</v>
      </c>
      <c r="AQ61" s="477">
        <f t="shared" si="98"/>
        <v>30.414999999999999</v>
      </c>
      <c r="AR61" s="477">
        <f t="shared" si="99"/>
        <v>1.7066666666666668</v>
      </c>
      <c r="AS61" s="477">
        <f t="shared" si="100"/>
        <v>18.273333333333333</v>
      </c>
      <c r="AT61" s="477">
        <f t="shared" si="101"/>
        <v>4.4716666666666667</v>
      </c>
      <c r="AU61" s="477">
        <f t="shared" si="102"/>
        <v>21.038333333333334</v>
      </c>
      <c r="AV61" s="477">
        <f t="shared" si="103"/>
        <v>12.790000000000001</v>
      </c>
      <c r="AW61" s="477">
        <f t="shared" si="104"/>
        <v>29.356666666666669</v>
      </c>
      <c r="AX61" s="477">
        <f t="shared" si="105"/>
        <v>15.555000000000001</v>
      </c>
      <c r="AY61" s="477">
        <f t="shared" si="106"/>
        <v>32.12166666666667</v>
      </c>
      <c r="AZ61" s="477">
        <f t="shared" si="107"/>
        <v>1.7066666666666668</v>
      </c>
      <c r="BA61" s="477">
        <f t="shared" si="108"/>
        <v>18.273333333333333</v>
      </c>
      <c r="BB61" s="477">
        <f t="shared" si="109"/>
        <v>4.4716666666666667</v>
      </c>
      <c r="BC61" s="477">
        <f t="shared" si="110"/>
        <v>21.038333333333334</v>
      </c>
      <c r="BD61" s="477">
        <f t="shared" si="111"/>
        <v>12.790000000000001</v>
      </c>
      <c r="BE61" s="477">
        <f t="shared" si="112"/>
        <v>29.356666666666669</v>
      </c>
      <c r="BF61" s="477">
        <f t="shared" si="113"/>
        <v>15.555000000000001</v>
      </c>
      <c r="BG61" s="47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77">
        <f t="shared" si="77"/>
        <v>0</v>
      </c>
      <c r="V62" s="477">
        <f t="shared" si="78"/>
        <v>0</v>
      </c>
      <c r="W62" s="477">
        <f t="shared" si="79"/>
        <v>0.28444444444444444</v>
      </c>
      <c r="X62" s="477">
        <f t="shared" si="80"/>
        <v>16.566666666666666</v>
      </c>
      <c r="Y62" s="477">
        <f t="shared" si="81"/>
        <v>11.083333333333334</v>
      </c>
      <c r="Z62" s="477">
        <f t="shared" si="82"/>
        <v>11.083333333333334</v>
      </c>
      <c r="AA62" s="477">
        <f t="shared" si="83"/>
        <v>2.7650000000000001</v>
      </c>
      <c r="AB62" s="243"/>
      <c r="AC62" s="477">
        <f t="shared" si="84"/>
        <v>16.566666666666666</v>
      </c>
      <c r="AD62" s="477">
        <f t="shared" si="85"/>
        <v>2.7650000000000001</v>
      </c>
      <c r="AE62" s="477">
        <f t="shared" si="86"/>
        <v>19.331666666666667</v>
      </c>
      <c r="AF62" s="477">
        <f t="shared" si="87"/>
        <v>11.083333333333334</v>
      </c>
      <c r="AG62" s="477">
        <f t="shared" si="88"/>
        <v>27.65</v>
      </c>
      <c r="AH62" s="477">
        <f t="shared" si="89"/>
        <v>13.848333333333334</v>
      </c>
      <c r="AI62" s="477">
        <f t="shared" si="90"/>
        <v>30.414999999999999</v>
      </c>
      <c r="AJ62" s="477">
        <f t="shared" si="91"/>
        <v>0</v>
      </c>
      <c r="AK62" s="477">
        <f t="shared" si="92"/>
        <v>16.566666666666666</v>
      </c>
      <c r="AL62" s="477">
        <f t="shared" si="93"/>
        <v>2.7650000000000001</v>
      </c>
      <c r="AM62" s="477">
        <f t="shared" si="94"/>
        <v>19.331666666666667</v>
      </c>
      <c r="AN62" s="477">
        <f t="shared" si="95"/>
        <v>11.083333333333334</v>
      </c>
      <c r="AO62" s="477">
        <f t="shared" si="96"/>
        <v>27.65</v>
      </c>
      <c r="AP62" s="477">
        <f t="shared" si="97"/>
        <v>13.848333333333334</v>
      </c>
      <c r="AQ62" s="477">
        <f t="shared" si="98"/>
        <v>30.414999999999999</v>
      </c>
      <c r="AR62" s="477">
        <f t="shared" si="99"/>
        <v>0.28444444444444444</v>
      </c>
      <c r="AS62" s="477">
        <f t="shared" si="100"/>
        <v>16.851111111111109</v>
      </c>
      <c r="AT62" s="477">
        <f t="shared" si="101"/>
        <v>3.0494444444444446</v>
      </c>
      <c r="AU62" s="477">
        <f t="shared" si="102"/>
        <v>19.61611111111111</v>
      </c>
      <c r="AV62" s="477">
        <f t="shared" si="103"/>
        <v>11.367777777777778</v>
      </c>
      <c r="AW62" s="477">
        <f t="shared" si="104"/>
        <v>27.934444444444445</v>
      </c>
      <c r="AX62" s="477">
        <f t="shared" si="105"/>
        <v>14.132777777777779</v>
      </c>
      <c r="AY62" s="477">
        <f t="shared" si="106"/>
        <v>30.699444444444445</v>
      </c>
      <c r="AZ62" s="477">
        <f t="shared" si="107"/>
        <v>0.28444444444444444</v>
      </c>
      <c r="BA62" s="477">
        <f t="shared" si="108"/>
        <v>16.851111111111109</v>
      </c>
      <c r="BB62" s="477">
        <f t="shared" si="109"/>
        <v>3.0494444444444446</v>
      </c>
      <c r="BC62" s="477">
        <f t="shared" si="110"/>
        <v>19.61611111111111</v>
      </c>
      <c r="BD62" s="477">
        <f t="shared" si="111"/>
        <v>11.367777777777778</v>
      </c>
      <c r="BE62" s="477">
        <f t="shared" si="112"/>
        <v>27.934444444444445</v>
      </c>
      <c r="BF62" s="477">
        <f t="shared" si="113"/>
        <v>14.132777777777779</v>
      </c>
      <c r="BG62" s="47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77">
        <f t="shared" si="77"/>
        <v>7.3437500000000003E-2</v>
      </c>
      <c r="V63" s="477">
        <f t="shared" si="78"/>
        <v>0.3046875</v>
      </c>
      <c r="W63" s="477">
        <f t="shared" si="79"/>
        <v>0.28444444444444444</v>
      </c>
      <c r="X63" s="477">
        <f t="shared" si="80"/>
        <v>16.566666666666666</v>
      </c>
      <c r="Y63" s="477">
        <f t="shared" si="81"/>
        <v>11.083333333333334</v>
      </c>
      <c r="Z63" s="477">
        <f t="shared" si="82"/>
        <v>0.15393518518518517</v>
      </c>
      <c r="AA63" s="477">
        <f t="shared" si="83"/>
        <v>2.7650000000000001</v>
      </c>
      <c r="AB63" s="243"/>
      <c r="AC63" s="477">
        <f t="shared" si="84"/>
        <v>16.566666666666666</v>
      </c>
      <c r="AD63" s="477">
        <f t="shared" si="85"/>
        <v>2.7650000000000001</v>
      </c>
      <c r="AE63" s="477">
        <f t="shared" si="86"/>
        <v>19.331666666666667</v>
      </c>
      <c r="AF63" s="477">
        <f t="shared" si="87"/>
        <v>0.45862268518518517</v>
      </c>
      <c r="AG63" s="477">
        <f t="shared" si="88"/>
        <v>17.025289351851853</v>
      </c>
      <c r="AH63" s="477">
        <f t="shared" si="89"/>
        <v>3.2236226851851852</v>
      </c>
      <c r="AI63" s="477">
        <f t="shared" si="90"/>
        <v>19.79028935185185</v>
      </c>
      <c r="AJ63" s="477">
        <f t="shared" si="91"/>
        <v>7.3437500000000003E-2</v>
      </c>
      <c r="AK63" s="477">
        <f t="shared" si="92"/>
        <v>16.640104166666667</v>
      </c>
      <c r="AL63" s="477">
        <f t="shared" si="93"/>
        <v>2.8384374999999999</v>
      </c>
      <c r="AM63" s="477">
        <f t="shared" si="94"/>
        <v>19.405104166666668</v>
      </c>
      <c r="AN63" s="477">
        <f t="shared" si="95"/>
        <v>0.53206018518518516</v>
      </c>
      <c r="AO63" s="477">
        <f t="shared" si="96"/>
        <v>17.09872685185185</v>
      </c>
      <c r="AP63" s="477">
        <f t="shared" si="97"/>
        <v>3.2970601851851855</v>
      </c>
      <c r="AQ63" s="477">
        <f t="shared" si="98"/>
        <v>19.863726851851851</v>
      </c>
      <c r="AR63" s="477">
        <f t="shared" si="99"/>
        <v>0.28444444444444444</v>
      </c>
      <c r="AS63" s="477">
        <f t="shared" si="100"/>
        <v>16.851111111111109</v>
      </c>
      <c r="AT63" s="477">
        <f t="shared" si="101"/>
        <v>3.0494444444444446</v>
      </c>
      <c r="AU63" s="477">
        <f t="shared" si="102"/>
        <v>19.61611111111111</v>
      </c>
      <c r="AV63" s="477">
        <f t="shared" si="103"/>
        <v>0.74306712962962962</v>
      </c>
      <c r="AW63" s="477">
        <f t="shared" si="104"/>
        <v>17.309733796296296</v>
      </c>
      <c r="AX63" s="477">
        <f t="shared" si="105"/>
        <v>3.5080671296296297</v>
      </c>
      <c r="AY63" s="477">
        <f t="shared" si="106"/>
        <v>20.074733796296297</v>
      </c>
      <c r="AZ63" s="477">
        <f t="shared" si="107"/>
        <v>0.35788194444444443</v>
      </c>
      <c r="BA63" s="477">
        <f t="shared" si="108"/>
        <v>16.92454861111111</v>
      </c>
      <c r="BB63" s="477">
        <f t="shared" si="109"/>
        <v>3.1228819444444444</v>
      </c>
      <c r="BC63" s="477">
        <f t="shared" si="110"/>
        <v>19.68954861111111</v>
      </c>
      <c r="BD63" s="477">
        <f t="shared" si="111"/>
        <v>0.81650462962962966</v>
      </c>
      <c r="BE63" s="477">
        <f t="shared" si="112"/>
        <v>17.383171296296297</v>
      </c>
      <c r="BF63" s="477">
        <f t="shared" si="113"/>
        <v>3.58150462962963</v>
      </c>
      <c r="BG63" s="47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77">
        <f t="shared" si="77"/>
        <v>7.3437500000000003E-2</v>
      </c>
      <c r="V64" s="477">
        <f t="shared" si="78"/>
        <v>0.3046875</v>
      </c>
      <c r="W64" s="477">
        <f t="shared" si="79"/>
        <v>0.28444444444444444</v>
      </c>
      <c r="X64" s="477">
        <f t="shared" si="80"/>
        <v>16.566666666666666</v>
      </c>
      <c r="Y64" s="477">
        <f t="shared" si="81"/>
        <v>11.083333333333334</v>
      </c>
      <c r="Z64" s="477">
        <f t="shared" si="82"/>
        <v>0.15393518518518517</v>
      </c>
      <c r="AA64" s="477">
        <f t="shared" si="83"/>
        <v>2.7650000000000001</v>
      </c>
      <c r="AB64" s="243"/>
      <c r="AC64" s="477">
        <f t="shared" si="84"/>
        <v>16.566666666666666</v>
      </c>
      <c r="AD64" s="477">
        <f t="shared" si="85"/>
        <v>3.0696875000000001</v>
      </c>
      <c r="AE64" s="477">
        <f t="shared" si="86"/>
        <v>19.636354166666667</v>
      </c>
      <c r="AF64" s="477">
        <f t="shared" si="87"/>
        <v>0.15393518518518517</v>
      </c>
      <c r="AG64" s="477">
        <f t="shared" si="88"/>
        <v>16.720601851851853</v>
      </c>
      <c r="AH64" s="477">
        <f t="shared" si="89"/>
        <v>3.2236226851851852</v>
      </c>
      <c r="AI64" s="477">
        <f t="shared" si="90"/>
        <v>19.79028935185185</v>
      </c>
      <c r="AJ64" s="477">
        <f t="shared" si="91"/>
        <v>7.3437500000000003E-2</v>
      </c>
      <c r="AK64" s="477">
        <f t="shared" si="92"/>
        <v>16.640104166666667</v>
      </c>
      <c r="AL64" s="477">
        <f t="shared" si="93"/>
        <v>3.1431249999999999</v>
      </c>
      <c r="AM64" s="477">
        <f t="shared" si="94"/>
        <v>19.709791666666668</v>
      </c>
      <c r="AN64" s="477">
        <f t="shared" si="95"/>
        <v>0.22737268518518516</v>
      </c>
      <c r="AO64" s="477">
        <f t="shared" si="96"/>
        <v>16.79403935185185</v>
      </c>
      <c r="AP64" s="477">
        <f t="shared" si="97"/>
        <v>3.2970601851851855</v>
      </c>
      <c r="AQ64" s="477">
        <f t="shared" si="98"/>
        <v>19.863726851851851</v>
      </c>
      <c r="AR64" s="477">
        <f t="shared" si="99"/>
        <v>0.28444444444444444</v>
      </c>
      <c r="AS64" s="477">
        <f t="shared" si="100"/>
        <v>16.851111111111109</v>
      </c>
      <c r="AT64" s="477">
        <f t="shared" si="101"/>
        <v>3.3541319444444446</v>
      </c>
      <c r="AU64" s="477">
        <f t="shared" si="102"/>
        <v>19.92079861111111</v>
      </c>
      <c r="AV64" s="477">
        <f t="shared" si="103"/>
        <v>0.43837962962962962</v>
      </c>
      <c r="AW64" s="477">
        <f t="shared" si="104"/>
        <v>17.005046296296296</v>
      </c>
      <c r="AX64" s="477">
        <f t="shared" si="105"/>
        <v>3.5080671296296297</v>
      </c>
      <c r="AY64" s="477">
        <f t="shared" si="106"/>
        <v>20.074733796296297</v>
      </c>
      <c r="AZ64" s="477">
        <f t="shared" si="107"/>
        <v>0.35788194444444443</v>
      </c>
      <c r="BA64" s="477">
        <f t="shared" si="108"/>
        <v>16.92454861111111</v>
      </c>
      <c r="BB64" s="477">
        <f t="shared" si="109"/>
        <v>3.4275694444444444</v>
      </c>
      <c r="BC64" s="477">
        <f t="shared" si="110"/>
        <v>19.99423611111111</v>
      </c>
      <c r="BD64" s="477">
        <f t="shared" si="111"/>
        <v>0.51181712962962966</v>
      </c>
      <c r="BE64" s="477">
        <f t="shared" si="112"/>
        <v>17.078483796296297</v>
      </c>
      <c r="BF64" s="477">
        <f t="shared" si="113"/>
        <v>3.58150462962963</v>
      </c>
      <c r="BG64" s="47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77">
        <f t="shared" si="77"/>
        <v>7.3437500000000003E-2</v>
      </c>
      <c r="V65" s="477">
        <f t="shared" si="78"/>
        <v>0.3046875</v>
      </c>
      <c r="W65" s="477">
        <f t="shared" si="79"/>
        <v>0.28444444444444444</v>
      </c>
      <c r="X65" s="477">
        <f t="shared" si="80"/>
        <v>16.566666666666666</v>
      </c>
      <c r="Y65" s="477">
        <f t="shared" si="81"/>
        <v>11.083333333333334</v>
      </c>
      <c r="Z65" s="477">
        <f t="shared" si="82"/>
        <v>0.15393518518518517</v>
      </c>
      <c r="AA65" s="477">
        <f t="shared" si="83"/>
        <v>2.7650000000000001</v>
      </c>
      <c r="AB65" s="243"/>
      <c r="AC65" s="477">
        <f t="shared" si="84"/>
        <v>16.566666666666666</v>
      </c>
      <c r="AD65" s="477">
        <f t="shared" si="85"/>
        <v>3.0696875000000001</v>
      </c>
      <c r="AE65" s="477">
        <f t="shared" si="86"/>
        <v>19.636354166666667</v>
      </c>
      <c r="AF65" s="477">
        <f t="shared" si="87"/>
        <v>0.15393518518518517</v>
      </c>
      <c r="AG65" s="477">
        <f t="shared" si="88"/>
        <v>16.720601851851853</v>
      </c>
      <c r="AH65" s="477">
        <f t="shared" si="89"/>
        <v>3.2236226851851852</v>
      </c>
      <c r="AI65" s="477">
        <f t="shared" si="90"/>
        <v>19.79028935185185</v>
      </c>
      <c r="AJ65" s="477">
        <f t="shared" si="91"/>
        <v>7.3437500000000003E-2</v>
      </c>
      <c r="AK65" s="477">
        <f t="shared" si="92"/>
        <v>16.640104166666667</v>
      </c>
      <c r="AL65" s="477">
        <f t="shared" si="93"/>
        <v>3.1431249999999999</v>
      </c>
      <c r="AM65" s="477">
        <f t="shared" si="94"/>
        <v>19.709791666666668</v>
      </c>
      <c r="AN65" s="477">
        <f t="shared" si="95"/>
        <v>0.22737268518518516</v>
      </c>
      <c r="AO65" s="477">
        <f t="shared" si="96"/>
        <v>16.79403935185185</v>
      </c>
      <c r="AP65" s="477">
        <f t="shared" si="97"/>
        <v>3.2970601851851855</v>
      </c>
      <c r="AQ65" s="477">
        <f t="shared" si="98"/>
        <v>19.863726851851851</v>
      </c>
      <c r="AR65" s="477">
        <f t="shared" si="99"/>
        <v>0.28444444444444444</v>
      </c>
      <c r="AS65" s="477">
        <f t="shared" si="100"/>
        <v>16.851111111111109</v>
      </c>
      <c r="AT65" s="477">
        <f t="shared" si="101"/>
        <v>3.3541319444444446</v>
      </c>
      <c r="AU65" s="477">
        <f t="shared" si="102"/>
        <v>19.92079861111111</v>
      </c>
      <c r="AV65" s="477">
        <f t="shared" si="103"/>
        <v>0.43837962962962962</v>
      </c>
      <c r="AW65" s="477">
        <f t="shared" si="104"/>
        <v>17.005046296296296</v>
      </c>
      <c r="AX65" s="477">
        <f t="shared" si="105"/>
        <v>3.5080671296296297</v>
      </c>
      <c r="AY65" s="477">
        <f t="shared" si="106"/>
        <v>20.074733796296297</v>
      </c>
      <c r="AZ65" s="477">
        <f t="shared" si="107"/>
        <v>0.35788194444444443</v>
      </c>
      <c r="BA65" s="477">
        <f t="shared" si="108"/>
        <v>16.92454861111111</v>
      </c>
      <c r="BB65" s="477">
        <f t="shared" si="109"/>
        <v>3.4275694444444444</v>
      </c>
      <c r="BC65" s="477">
        <f t="shared" si="110"/>
        <v>19.99423611111111</v>
      </c>
      <c r="BD65" s="477">
        <f t="shared" si="111"/>
        <v>0.51181712962962966</v>
      </c>
      <c r="BE65" s="477">
        <f t="shared" si="112"/>
        <v>17.078483796296297</v>
      </c>
      <c r="BF65" s="477">
        <f t="shared" si="113"/>
        <v>3.58150462962963</v>
      </c>
      <c r="BG65" s="47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77">
        <f t="shared" si="77"/>
        <v>0</v>
      </c>
      <c r="V66" s="477">
        <f t="shared" si="78"/>
        <v>0</v>
      </c>
      <c r="W66" s="477">
        <f t="shared" si="79"/>
        <v>0</v>
      </c>
      <c r="X66" s="477">
        <f t="shared" si="80"/>
        <v>0</v>
      </c>
      <c r="Y66" s="477">
        <f t="shared" si="81"/>
        <v>0</v>
      </c>
      <c r="Z66" s="477">
        <f t="shared" si="82"/>
        <v>0</v>
      </c>
      <c r="AA66" s="477">
        <f t="shared" si="83"/>
        <v>0</v>
      </c>
      <c r="AB66" s="243"/>
      <c r="AC66" s="477">
        <f t="shared" si="84"/>
        <v>0</v>
      </c>
      <c r="AD66" s="477">
        <f t="shared" si="85"/>
        <v>0</v>
      </c>
      <c r="AE66" s="477">
        <f t="shared" si="86"/>
        <v>0</v>
      </c>
      <c r="AF66" s="477">
        <f t="shared" si="87"/>
        <v>0</v>
      </c>
      <c r="AG66" s="477">
        <f t="shared" si="88"/>
        <v>0</v>
      </c>
      <c r="AH66" s="477">
        <f t="shared" si="89"/>
        <v>0</v>
      </c>
      <c r="AI66" s="477">
        <f t="shared" si="90"/>
        <v>0</v>
      </c>
      <c r="AJ66" s="477">
        <f t="shared" si="91"/>
        <v>0</v>
      </c>
      <c r="AK66" s="477">
        <f t="shared" si="92"/>
        <v>0</v>
      </c>
      <c r="AL66" s="477">
        <f t="shared" si="93"/>
        <v>0</v>
      </c>
      <c r="AM66" s="477">
        <f t="shared" si="94"/>
        <v>0</v>
      </c>
      <c r="AN66" s="477">
        <f t="shared" si="95"/>
        <v>0</v>
      </c>
      <c r="AO66" s="477">
        <f t="shared" si="96"/>
        <v>0</v>
      </c>
      <c r="AP66" s="477">
        <f t="shared" si="97"/>
        <v>0</v>
      </c>
      <c r="AQ66" s="477">
        <f t="shared" si="98"/>
        <v>0</v>
      </c>
      <c r="AR66" s="477">
        <f t="shared" si="99"/>
        <v>0</v>
      </c>
      <c r="AS66" s="477">
        <f t="shared" si="100"/>
        <v>0</v>
      </c>
      <c r="AT66" s="477">
        <f t="shared" si="101"/>
        <v>0</v>
      </c>
      <c r="AU66" s="477">
        <f t="shared" si="102"/>
        <v>0</v>
      </c>
      <c r="AV66" s="477">
        <f t="shared" si="103"/>
        <v>0</v>
      </c>
      <c r="AW66" s="477">
        <f t="shared" si="104"/>
        <v>0</v>
      </c>
      <c r="AX66" s="477">
        <f t="shared" si="105"/>
        <v>0</v>
      </c>
      <c r="AY66" s="477">
        <f t="shared" si="106"/>
        <v>0</v>
      </c>
      <c r="AZ66" s="477">
        <f t="shared" si="107"/>
        <v>0</v>
      </c>
      <c r="BA66" s="477">
        <f t="shared" si="108"/>
        <v>0</v>
      </c>
      <c r="BB66" s="477">
        <f t="shared" si="109"/>
        <v>0</v>
      </c>
      <c r="BC66" s="477">
        <f t="shared" si="110"/>
        <v>0</v>
      </c>
      <c r="BD66" s="477">
        <f t="shared" si="111"/>
        <v>0</v>
      </c>
      <c r="BE66" s="477">
        <f t="shared" si="112"/>
        <v>0</v>
      </c>
      <c r="BF66" s="477">
        <f t="shared" si="113"/>
        <v>0</v>
      </c>
      <c r="BG66" s="47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77">
        <f t="shared" si="77"/>
        <v>0</v>
      </c>
      <c r="V67" s="477">
        <f t="shared" si="78"/>
        <v>0</v>
      </c>
      <c r="W67" s="477">
        <f t="shared" si="79"/>
        <v>0</v>
      </c>
      <c r="X67" s="477">
        <f t="shared" si="80"/>
        <v>0</v>
      </c>
      <c r="Y67" s="477">
        <f t="shared" si="81"/>
        <v>0</v>
      </c>
      <c r="Z67" s="477">
        <f t="shared" si="82"/>
        <v>0</v>
      </c>
      <c r="AA67" s="477">
        <f t="shared" si="83"/>
        <v>0</v>
      </c>
      <c r="AB67" s="243"/>
      <c r="AC67" s="477">
        <f t="shared" si="84"/>
        <v>0</v>
      </c>
      <c r="AD67" s="477">
        <f t="shared" si="85"/>
        <v>0</v>
      </c>
      <c r="AE67" s="477">
        <f t="shared" si="86"/>
        <v>0</v>
      </c>
      <c r="AF67" s="477">
        <f t="shared" si="87"/>
        <v>0</v>
      </c>
      <c r="AG67" s="477">
        <f t="shared" si="88"/>
        <v>0</v>
      </c>
      <c r="AH67" s="477">
        <f t="shared" si="89"/>
        <v>0</v>
      </c>
      <c r="AI67" s="477">
        <f t="shared" si="90"/>
        <v>0</v>
      </c>
      <c r="AJ67" s="477">
        <f t="shared" si="91"/>
        <v>0</v>
      </c>
      <c r="AK67" s="477">
        <f t="shared" si="92"/>
        <v>0</v>
      </c>
      <c r="AL67" s="477">
        <f t="shared" si="93"/>
        <v>0</v>
      </c>
      <c r="AM67" s="477">
        <f t="shared" si="94"/>
        <v>0</v>
      </c>
      <c r="AN67" s="477">
        <f t="shared" si="95"/>
        <v>0</v>
      </c>
      <c r="AO67" s="477">
        <f t="shared" si="96"/>
        <v>0</v>
      </c>
      <c r="AP67" s="477">
        <f t="shared" si="97"/>
        <v>0</v>
      </c>
      <c r="AQ67" s="477">
        <f t="shared" si="98"/>
        <v>0</v>
      </c>
      <c r="AR67" s="477">
        <f t="shared" si="99"/>
        <v>0</v>
      </c>
      <c r="AS67" s="477">
        <f t="shared" si="100"/>
        <v>0</v>
      </c>
      <c r="AT67" s="477">
        <f t="shared" si="101"/>
        <v>0</v>
      </c>
      <c r="AU67" s="477">
        <f t="shared" si="102"/>
        <v>0</v>
      </c>
      <c r="AV67" s="477">
        <f t="shared" si="103"/>
        <v>0</v>
      </c>
      <c r="AW67" s="477">
        <f t="shared" si="104"/>
        <v>0</v>
      </c>
      <c r="AX67" s="477">
        <f t="shared" si="105"/>
        <v>0</v>
      </c>
      <c r="AY67" s="477">
        <f t="shared" si="106"/>
        <v>0</v>
      </c>
      <c r="AZ67" s="477">
        <f t="shared" si="107"/>
        <v>0</v>
      </c>
      <c r="BA67" s="477">
        <f t="shared" si="108"/>
        <v>0</v>
      </c>
      <c r="BB67" s="477">
        <f t="shared" si="109"/>
        <v>0</v>
      </c>
      <c r="BC67" s="477">
        <f t="shared" si="110"/>
        <v>0</v>
      </c>
      <c r="BD67" s="477">
        <f t="shared" si="111"/>
        <v>0</v>
      </c>
      <c r="BE67" s="477">
        <f t="shared" si="112"/>
        <v>0</v>
      </c>
      <c r="BF67" s="477">
        <f t="shared" si="113"/>
        <v>0</v>
      </c>
      <c r="BG67" s="47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77">
        <f t="shared" si="77"/>
        <v>0</v>
      </c>
      <c r="V68" s="477">
        <f t="shared" si="78"/>
        <v>0</v>
      </c>
      <c r="W68" s="477">
        <f t="shared" si="79"/>
        <v>0</v>
      </c>
      <c r="X68" s="477">
        <f t="shared" si="80"/>
        <v>0</v>
      </c>
      <c r="Y68" s="477">
        <f t="shared" si="81"/>
        <v>133</v>
      </c>
      <c r="Z68" s="477">
        <f t="shared" si="82"/>
        <v>133</v>
      </c>
      <c r="AA68" s="477">
        <f t="shared" si="83"/>
        <v>0</v>
      </c>
      <c r="AB68" s="243"/>
      <c r="AC68" s="477">
        <f t="shared" si="84"/>
        <v>0</v>
      </c>
      <c r="AD68" s="477">
        <f t="shared" si="85"/>
        <v>0</v>
      </c>
      <c r="AE68" s="477">
        <f t="shared" si="86"/>
        <v>0</v>
      </c>
      <c r="AF68" s="477">
        <f t="shared" si="87"/>
        <v>133</v>
      </c>
      <c r="AG68" s="477">
        <f t="shared" si="88"/>
        <v>133</v>
      </c>
      <c r="AH68" s="477">
        <f t="shared" si="89"/>
        <v>133</v>
      </c>
      <c r="AI68" s="477">
        <f t="shared" si="90"/>
        <v>133</v>
      </c>
      <c r="AJ68" s="477">
        <f t="shared" si="91"/>
        <v>0</v>
      </c>
      <c r="AK68" s="477">
        <f t="shared" si="92"/>
        <v>0</v>
      </c>
      <c r="AL68" s="477">
        <f t="shared" si="93"/>
        <v>0</v>
      </c>
      <c r="AM68" s="477">
        <f t="shared" si="94"/>
        <v>0</v>
      </c>
      <c r="AN68" s="477">
        <f t="shared" si="95"/>
        <v>133</v>
      </c>
      <c r="AO68" s="477">
        <f t="shared" si="96"/>
        <v>133</v>
      </c>
      <c r="AP68" s="477">
        <f t="shared" si="97"/>
        <v>133</v>
      </c>
      <c r="AQ68" s="477">
        <f t="shared" si="98"/>
        <v>133</v>
      </c>
      <c r="AR68" s="477">
        <f t="shared" si="99"/>
        <v>0</v>
      </c>
      <c r="AS68" s="477">
        <f t="shared" si="100"/>
        <v>0</v>
      </c>
      <c r="AT68" s="477">
        <f t="shared" si="101"/>
        <v>0</v>
      </c>
      <c r="AU68" s="477">
        <f t="shared" si="102"/>
        <v>0</v>
      </c>
      <c r="AV68" s="477">
        <f t="shared" si="103"/>
        <v>133</v>
      </c>
      <c r="AW68" s="477">
        <f t="shared" si="104"/>
        <v>133</v>
      </c>
      <c r="AX68" s="477">
        <f t="shared" si="105"/>
        <v>133</v>
      </c>
      <c r="AY68" s="477">
        <f t="shared" si="106"/>
        <v>133</v>
      </c>
      <c r="AZ68" s="477">
        <f t="shared" si="107"/>
        <v>0</v>
      </c>
      <c r="BA68" s="477">
        <f t="shared" si="108"/>
        <v>0</v>
      </c>
      <c r="BB68" s="477">
        <f t="shared" si="109"/>
        <v>0</v>
      </c>
      <c r="BC68" s="477">
        <f t="shared" si="110"/>
        <v>0</v>
      </c>
      <c r="BD68" s="477">
        <f t="shared" si="111"/>
        <v>133</v>
      </c>
      <c r="BE68" s="477">
        <f t="shared" si="112"/>
        <v>133</v>
      </c>
      <c r="BF68" s="477">
        <f t="shared" si="113"/>
        <v>133</v>
      </c>
      <c r="BG68" s="47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77">
        <f t="shared" si="77"/>
        <v>0</v>
      </c>
      <c r="V69" s="477">
        <f t="shared" si="78"/>
        <v>0</v>
      </c>
      <c r="W69" s="477">
        <f t="shared" si="79"/>
        <v>0</v>
      </c>
      <c r="X69" s="477">
        <f t="shared" si="80"/>
        <v>0</v>
      </c>
      <c r="Y69" s="477">
        <f t="shared" si="81"/>
        <v>133</v>
      </c>
      <c r="Z69" s="477">
        <f t="shared" si="82"/>
        <v>133</v>
      </c>
      <c r="AA69" s="477">
        <f t="shared" si="83"/>
        <v>66.36</v>
      </c>
      <c r="AB69" s="243"/>
      <c r="AC69" s="477">
        <f t="shared" si="84"/>
        <v>0</v>
      </c>
      <c r="AD69" s="477">
        <f t="shared" si="85"/>
        <v>66.36</v>
      </c>
      <c r="AE69" s="477">
        <f t="shared" si="86"/>
        <v>66.36</v>
      </c>
      <c r="AF69" s="477">
        <f t="shared" si="87"/>
        <v>133</v>
      </c>
      <c r="AG69" s="477">
        <f t="shared" si="88"/>
        <v>133</v>
      </c>
      <c r="AH69" s="477">
        <f t="shared" si="89"/>
        <v>199.36</v>
      </c>
      <c r="AI69" s="477">
        <f t="shared" si="90"/>
        <v>199.36</v>
      </c>
      <c r="AJ69" s="477">
        <f t="shared" si="91"/>
        <v>0</v>
      </c>
      <c r="AK69" s="477">
        <f t="shared" si="92"/>
        <v>0</v>
      </c>
      <c r="AL69" s="477">
        <f t="shared" si="93"/>
        <v>66.36</v>
      </c>
      <c r="AM69" s="477">
        <f t="shared" si="94"/>
        <v>66.36</v>
      </c>
      <c r="AN69" s="477">
        <f t="shared" si="95"/>
        <v>133</v>
      </c>
      <c r="AO69" s="477">
        <f t="shared" si="96"/>
        <v>133</v>
      </c>
      <c r="AP69" s="477">
        <f t="shared" si="97"/>
        <v>199.36</v>
      </c>
      <c r="AQ69" s="477">
        <f t="shared" si="98"/>
        <v>199.36</v>
      </c>
      <c r="AR69" s="477">
        <f t="shared" si="99"/>
        <v>0</v>
      </c>
      <c r="AS69" s="477">
        <f t="shared" si="100"/>
        <v>0</v>
      </c>
      <c r="AT69" s="477">
        <f t="shared" si="101"/>
        <v>66.36</v>
      </c>
      <c r="AU69" s="477">
        <f t="shared" si="102"/>
        <v>66.36</v>
      </c>
      <c r="AV69" s="477">
        <f t="shared" si="103"/>
        <v>133</v>
      </c>
      <c r="AW69" s="477">
        <f t="shared" si="104"/>
        <v>133</v>
      </c>
      <c r="AX69" s="477">
        <f t="shared" si="105"/>
        <v>199.36</v>
      </c>
      <c r="AY69" s="477">
        <f t="shared" si="106"/>
        <v>199.36</v>
      </c>
      <c r="AZ69" s="477">
        <f t="shared" si="107"/>
        <v>0</v>
      </c>
      <c r="BA69" s="477">
        <f t="shared" si="108"/>
        <v>0</v>
      </c>
      <c r="BB69" s="477">
        <f t="shared" si="109"/>
        <v>66.36</v>
      </c>
      <c r="BC69" s="477">
        <f t="shared" si="110"/>
        <v>66.36</v>
      </c>
      <c r="BD69" s="477">
        <f t="shared" si="111"/>
        <v>133</v>
      </c>
      <c r="BE69" s="477">
        <f t="shared" si="112"/>
        <v>133</v>
      </c>
      <c r="BF69" s="477">
        <f t="shared" si="113"/>
        <v>199.36</v>
      </c>
      <c r="BG69" s="47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77">
        <f t="shared" si="77"/>
        <v>0</v>
      </c>
      <c r="V70" s="477">
        <f t="shared" si="78"/>
        <v>0</v>
      </c>
      <c r="W70" s="477">
        <f t="shared" si="79"/>
        <v>0</v>
      </c>
      <c r="X70" s="477">
        <f t="shared" si="80"/>
        <v>198.8</v>
      </c>
      <c r="Y70" s="477">
        <f t="shared" si="81"/>
        <v>133</v>
      </c>
      <c r="Z70" s="477">
        <f t="shared" si="82"/>
        <v>133</v>
      </c>
      <c r="AA70" s="477">
        <f t="shared" si="83"/>
        <v>66.36</v>
      </c>
      <c r="AB70" s="243"/>
      <c r="AC70" s="477">
        <f t="shared" si="84"/>
        <v>198.8</v>
      </c>
      <c r="AD70" s="477">
        <f t="shared" si="85"/>
        <v>66.36</v>
      </c>
      <c r="AE70" s="477">
        <f t="shared" si="86"/>
        <v>265.16000000000003</v>
      </c>
      <c r="AF70" s="477">
        <f t="shared" si="87"/>
        <v>133</v>
      </c>
      <c r="AG70" s="477">
        <f t="shared" si="88"/>
        <v>331.8</v>
      </c>
      <c r="AH70" s="477">
        <f t="shared" si="89"/>
        <v>199.36</v>
      </c>
      <c r="AI70" s="477">
        <f t="shared" si="90"/>
        <v>398.16</v>
      </c>
      <c r="AJ70" s="477">
        <f t="shared" si="91"/>
        <v>0</v>
      </c>
      <c r="AK70" s="477">
        <f t="shared" si="92"/>
        <v>198.8</v>
      </c>
      <c r="AL70" s="477">
        <f t="shared" si="93"/>
        <v>66.36</v>
      </c>
      <c r="AM70" s="477">
        <f t="shared" si="94"/>
        <v>265.16000000000003</v>
      </c>
      <c r="AN70" s="477">
        <f t="shared" si="95"/>
        <v>133</v>
      </c>
      <c r="AO70" s="477">
        <f t="shared" si="96"/>
        <v>331.8</v>
      </c>
      <c r="AP70" s="477">
        <f t="shared" si="97"/>
        <v>199.36</v>
      </c>
      <c r="AQ70" s="477">
        <f t="shared" si="98"/>
        <v>398.16</v>
      </c>
      <c r="AR70" s="477">
        <f t="shared" si="99"/>
        <v>0</v>
      </c>
      <c r="AS70" s="477">
        <f t="shared" si="100"/>
        <v>198.8</v>
      </c>
      <c r="AT70" s="477">
        <f t="shared" si="101"/>
        <v>66.36</v>
      </c>
      <c r="AU70" s="477">
        <f t="shared" si="102"/>
        <v>265.16000000000003</v>
      </c>
      <c r="AV70" s="477">
        <f t="shared" si="103"/>
        <v>133</v>
      </c>
      <c r="AW70" s="477">
        <f t="shared" si="104"/>
        <v>331.8</v>
      </c>
      <c r="AX70" s="477">
        <f t="shared" si="105"/>
        <v>199.36</v>
      </c>
      <c r="AY70" s="477">
        <f t="shared" si="106"/>
        <v>398.16</v>
      </c>
      <c r="AZ70" s="477">
        <f t="shared" si="107"/>
        <v>0</v>
      </c>
      <c r="BA70" s="477">
        <f t="shared" si="108"/>
        <v>198.8</v>
      </c>
      <c r="BB70" s="477">
        <f t="shared" si="109"/>
        <v>66.36</v>
      </c>
      <c r="BC70" s="477">
        <f t="shared" si="110"/>
        <v>265.16000000000003</v>
      </c>
      <c r="BD70" s="477">
        <f t="shared" si="111"/>
        <v>133</v>
      </c>
      <c r="BE70" s="477">
        <f t="shared" si="112"/>
        <v>331.8</v>
      </c>
      <c r="BF70" s="477">
        <f t="shared" si="113"/>
        <v>199.36</v>
      </c>
      <c r="BG70" s="47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77">
        <f t="shared" si="77"/>
        <v>0</v>
      </c>
      <c r="V71" s="477">
        <f t="shared" si="78"/>
        <v>0</v>
      </c>
      <c r="W71" s="477">
        <f t="shared" si="79"/>
        <v>512</v>
      </c>
      <c r="X71" s="477">
        <f t="shared" si="80"/>
        <v>198.8</v>
      </c>
      <c r="Y71" s="477">
        <f t="shared" si="81"/>
        <v>133</v>
      </c>
      <c r="Z71" s="477">
        <f t="shared" si="82"/>
        <v>133</v>
      </c>
      <c r="AA71" s="477">
        <f t="shared" si="83"/>
        <v>66.36</v>
      </c>
      <c r="AB71" s="243"/>
      <c r="AC71" s="477">
        <f t="shared" si="84"/>
        <v>198.8</v>
      </c>
      <c r="AD71" s="477">
        <f t="shared" si="85"/>
        <v>66.36</v>
      </c>
      <c r="AE71" s="477">
        <f t="shared" si="86"/>
        <v>265.16000000000003</v>
      </c>
      <c r="AF71" s="477">
        <f t="shared" si="87"/>
        <v>133</v>
      </c>
      <c r="AG71" s="477">
        <f t="shared" si="88"/>
        <v>331.8</v>
      </c>
      <c r="AH71" s="477">
        <f t="shared" si="89"/>
        <v>199.36</v>
      </c>
      <c r="AI71" s="477">
        <f t="shared" si="90"/>
        <v>398.16</v>
      </c>
      <c r="AJ71" s="477">
        <f t="shared" si="91"/>
        <v>0</v>
      </c>
      <c r="AK71" s="477">
        <f t="shared" si="92"/>
        <v>198.8</v>
      </c>
      <c r="AL71" s="477">
        <f t="shared" si="93"/>
        <v>66.36</v>
      </c>
      <c r="AM71" s="477">
        <f t="shared" si="94"/>
        <v>265.16000000000003</v>
      </c>
      <c r="AN71" s="477">
        <f t="shared" si="95"/>
        <v>133</v>
      </c>
      <c r="AO71" s="477">
        <f t="shared" si="96"/>
        <v>331.8</v>
      </c>
      <c r="AP71" s="477">
        <f t="shared" si="97"/>
        <v>199.36</v>
      </c>
      <c r="AQ71" s="477">
        <f t="shared" si="98"/>
        <v>398.16</v>
      </c>
      <c r="AR71" s="477">
        <f t="shared" si="99"/>
        <v>512</v>
      </c>
      <c r="AS71" s="477">
        <f t="shared" si="100"/>
        <v>710.8</v>
      </c>
      <c r="AT71" s="477">
        <f t="shared" si="101"/>
        <v>578.36</v>
      </c>
      <c r="AU71" s="477">
        <f t="shared" si="102"/>
        <v>777.16000000000008</v>
      </c>
      <c r="AV71" s="477">
        <f t="shared" si="103"/>
        <v>645</v>
      </c>
      <c r="AW71" s="477">
        <f t="shared" si="104"/>
        <v>843.8</v>
      </c>
      <c r="AX71" s="477">
        <f t="shared" si="105"/>
        <v>711.36</v>
      </c>
      <c r="AY71" s="477">
        <f t="shared" si="106"/>
        <v>910.16000000000008</v>
      </c>
      <c r="AZ71" s="477">
        <f t="shared" si="107"/>
        <v>512</v>
      </c>
      <c r="BA71" s="477">
        <f t="shared" si="108"/>
        <v>710.8</v>
      </c>
      <c r="BB71" s="477">
        <f t="shared" si="109"/>
        <v>578.36</v>
      </c>
      <c r="BC71" s="477">
        <f t="shared" si="110"/>
        <v>777.16000000000008</v>
      </c>
      <c r="BD71" s="477">
        <f t="shared" si="111"/>
        <v>645</v>
      </c>
      <c r="BE71" s="477">
        <f t="shared" si="112"/>
        <v>843.8</v>
      </c>
      <c r="BF71" s="477">
        <f t="shared" si="113"/>
        <v>711.36</v>
      </c>
      <c r="BG71" s="47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77">
        <f t="shared" si="77"/>
        <v>0</v>
      </c>
      <c r="V72" s="477">
        <f t="shared" si="78"/>
        <v>0</v>
      </c>
      <c r="W72" s="477">
        <f t="shared" si="79"/>
        <v>512</v>
      </c>
      <c r="X72" s="477">
        <f t="shared" si="80"/>
        <v>198.8</v>
      </c>
      <c r="Y72" s="477">
        <f t="shared" si="81"/>
        <v>33.25</v>
      </c>
      <c r="Z72" s="477">
        <f t="shared" si="82"/>
        <v>33.25</v>
      </c>
      <c r="AA72" s="477">
        <f t="shared" si="83"/>
        <v>66.36</v>
      </c>
      <c r="AB72" s="243"/>
      <c r="AC72" s="477">
        <f t="shared" si="84"/>
        <v>198.8</v>
      </c>
      <c r="AD72" s="477">
        <f t="shared" si="85"/>
        <v>66.36</v>
      </c>
      <c r="AE72" s="477">
        <f t="shared" si="86"/>
        <v>265.16000000000003</v>
      </c>
      <c r="AF72" s="477">
        <f t="shared" si="87"/>
        <v>33.25</v>
      </c>
      <c r="AG72" s="477">
        <f t="shared" si="88"/>
        <v>232.05</v>
      </c>
      <c r="AH72" s="477">
        <f t="shared" si="89"/>
        <v>99.61</v>
      </c>
      <c r="AI72" s="477">
        <f t="shared" si="90"/>
        <v>298.41000000000003</v>
      </c>
      <c r="AJ72" s="477">
        <f t="shared" si="91"/>
        <v>0</v>
      </c>
      <c r="AK72" s="477">
        <f t="shared" si="92"/>
        <v>198.8</v>
      </c>
      <c r="AL72" s="477">
        <f t="shared" si="93"/>
        <v>66.36</v>
      </c>
      <c r="AM72" s="477">
        <f t="shared" si="94"/>
        <v>265.16000000000003</v>
      </c>
      <c r="AN72" s="477">
        <f t="shared" si="95"/>
        <v>33.25</v>
      </c>
      <c r="AO72" s="477">
        <f t="shared" si="96"/>
        <v>232.05</v>
      </c>
      <c r="AP72" s="477">
        <f t="shared" si="97"/>
        <v>99.61</v>
      </c>
      <c r="AQ72" s="477">
        <f t="shared" si="98"/>
        <v>298.41000000000003</v>
      </c>
      <c r="AR72" s="477">
        <f t="shared" si="99"/>
        <v>512</v>
      </c>
      <c r="AS72" s="477">
        <f t="shared" si="100"/>
        <v>710.8</v>
      </c>
      <c r="AT72" s="477">
        <f t="shared" si="101"/>
        <v>578.36</v>
      </c>
      <c r="AU72" s="477">
        <f t="shared" si="102"/>
        <v>777.16000000000008</v>
      </c>
      <c r="AV72" s="477">
        <f t="shared" si="103"/>
        <v>545.25</v>
      </c>
      <c r="AW72" s="477">
        <f t="shared" si="104"/>
        <v>744.05</v>
      </c>
      <c r="AX72" s="477">
        <f t="shared" si="105"/>
        <v>611.61</v>
      </c>
      <c r="AY72" s="477">
        <f t="shared" si="106"/>
        <v>810.41000000000008</v>
      </c>
      <c r="AZ72" s="477">
        <f t="shared" si="107"/>
        <v>512</v>
      </c>
      <c r="BA72" s="477">
        <f t="shared" si="108"/>
        <v>710.8</v>
      </c>
      <c r="BB72" s="477">
        <f t="shared" si="109"/>
        <v>578.36</v>
      </c>
      <c r="BC72" s="477">
        <f t="shared" si="110"/>
        <v>777.16000000000008</v>
      </c>
      <c r="BD72" s="477">
        <f t="shared" si="111"/>
        <v>545.25</v>
      </c>
      <c r="BE72" s="477">
        <f t="shared" si="112"/>
        <v>744.05</v>
      </c>
      <c r="BF72" s="477">
        <f t="shared" si="113"/>
        <v>611.61</v>
      </c>
      <c r="BG72" s="47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77">
        <f t="shared" si="77"/>
        <v>0</v>
      </c>
      <c r="V73" s="477">
        <f t="shared" si="78"/>
        <v>0</v>
      </c>
      <c r="W73" s="477">
        <f t="shared" si="79"/>
        <v>512</v>
      </c>
      <c r="X73" s="477">
        <f t="shared" si="80"/>
        <v>198.8</v>
      </c>
      <c r="Y73" s="477">
        <f t="shared" si="81"/>
        <v>33.25</v>
      </c>
      <c r="Z73" s="477">
        <f t="shared" si="82"/>
        <v>33.25</v>
      </c>
      <c r="AA73" s="477">
        <f t="shared" si="83"/>
        <v>2.7650000000000001</v>
      </c>
      <c r="AB73" s="243"/>
      <c r="AC73" s="477">
        <f t="shared" si="84"/>
        <v>198.8</v>
      </c>
      <c r="AD73" s="477">
        <f t="shared" si="85"/>
        <v>2.7650000000000001</v>
      </c>
      <c r="AE73" s="477">
        <f t="shared" si="86"/>
        <v>201.565</v>
      </c>
      <c r="AF73" s="477">
        <f t="shared" si="87"/>
        <v>33.25</v>
      </c>
      <c r="AG73" s="477">
        <f t="shared" si="88"/>
        <v>232.05</v>
      </c>
      <c r="AH73" s="477">
        <f t="shared" si="89"/>
        <v>36.015000000000001</v>
      </c>
      <c r="AI73" s="477">
        <f t="shared" si="90"/>
        <v>234.815</v>
      </c>
      <c r="AJ73" s="477">
        <f t="shared" si="91"/>
        <v>0</v>
      </c>
      <c r="AK73" s="477">
        <f t="shared" si="92"/>
        <v>198.8</v>
      </c>
      <c r="AL73" s="477">
        <f t="shared" si="93"/>
        <v>2.7650000000000001</v>
      </c>
      <c r="AM73" s="477">
        <f t="shared" si="94"/>
        <v>201.565</v>
      </c>
      <c r="AN73" s="477">
        <f t="shared" si="95"/>
        <v>33.25</v>
      </c>
      <c r="AO73" s="477">
        <f t="shared" si="96"/>
        <v>232.05</v>
      </c>
      <c r="AP73" s="477">
        <f t="shared" si="97"/>
        <v>36.015000000000001</v>
      </c>
      <c r="AQ73" s="477">
        <f t="shared" si="98"/>
        <v>234.815</v>
      </c>
      <c r="AR73" s="477">
        <f t="shared" si="99"/>
        <v>512</v>
      </c>
      <c r="AS73" s="477">
        <f t="shared" si="100"/>
        <v>710.8</v>
      </c>
      <c r="AT73" s="477">
        <f t="shared" si="101"/>
        <v>514.76499999999999</v>
      </c>
      <c r="AU73" s="477">
        <f t="shared" si="102"/>
        <v>713.56500000000005</v>
      </c>
      <c r="AV73" s="477">
        <f t="shared" si="103"/>
        <v>545.25</v>
      </c>
      <c r="AW73" s="477">
        <f t="shared" si="104"/>
        <v>744.05</v>
      </c>
      <c r="AX73" s="477">
        <f t="shared" si="105"/>
        <v>548.01499999999999</v>
      </c>
      <c r="AY73" s="477">
        <f t="shared" si="106"/>
        <v>746.81500000000005</v>
      </c>
      <c r="AZ73" s="477">
        <f t="shared" si="107"/>
        <v>512</v>
      </c>
      <c r="BA73" s="477">
        <f t="shared" si="108"/>
        <v>710.8</v>
      </c>
      <c r="BB73" s="477">
        <f t="shared" si="109"/>
        <v>514.76499999999999</v>
      </c>
      <c r="BC73" s="477">
        <f t="shared" si="110"/>
        <v>713.56500000000005</v>
      </c>
      <c r="BD73" s="477">
        <f t="shared" si="111"/>
        <v>545.25</v>
      </c>
      <c r="BE73" s="477">
        <f t="shared" si="112"/>
        <v>744.05</v>
      </c>
      <c r="BF73" s="477">
        <f t="shared" si="113"/>
        <v>548.01499999999999</v>
      </c>
      <c r="BG73" s="47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77">
        <f t="shared" si="77"/>
        <v>0</v>
      </c>
      <c r="V74" s="477">
        <f t="shared" si="78"/>
        <v>0</v>
      </c>
      <c r="W74" s="477">
        <f t="shared" si="79"/>
        <v>512</v>
      </c>
      <c r="X74" s="477">
        <f t="shared" si="80"/>
        <v>0.55222222222222217</v>
      </c>
      <c r="Y74" s="477">
        <f t="shared" si="81"/>
        <v>33.25</v>
      </c>
      <c r="Z74" s="477">
        <f t="shared" si="82"/>
        <v>33.25</v>
      </c>
      <c r="AA74" s="477">
        <f t="shared" si="83"/>
        <v>2.7650000000000001</v>
      </c>
      <c r="AB74" s="243"/>
      <c r="AC74" s="477">
        <f t="shared" si="84"/>
        <v>0.55222222222222217</v>
      </c>
      <c r="AD74" s="477">
        <f t="shared" si="85"/>
        <v>2.7650000000000001</v>
      </c>
      <c r="AE74" s="477">
        <f t="shared" si="86"/>
        <v>3.3172222222222221</v>
      </c>
      <c r="AF74" s="477">
        <f t="shared" si="87"/>
        <v>33.25</v>
      </c>
      <c r="AG74" s="477">
        <f t="shared" si="88"/>
        <v>33.80222222222222</v>
      </c>
      <c r="AH74" s="477">
        <f t="shared" si="89"/>
        <v>36.015000000000001</v>
      </c>
      <c r="AI74" s="477">
        <f t="shared" si="90"/>
        <v>36.56722222222222</v>
      </c>
      <c r="AJ74" s="477">
        <f t="shared" si="91"/>
        <v>0</v>
      </c>
      <c r="AK74" s="477">
        <f t="shared" si="92"/>
        <v>0.55222222222222217</v>
      </c>
      <c r="AL74" s="477">
        <f t="shared" si="93"/>
        <v>2.7650000000000001</v>
      </c>
      <c r="AM74" s="477">
        <f t="shared" si="94"/>
        <v>3.3172222222222221</v>
      </c>
      <c r="AN74" s="477">
        <f t="shared" si="95"/>
        <v>33.25</v>
      </c>
      <c r="AO74" s="477">
        <f t="shared" si="96"/>
        <v>33.80222222222222</v>
      </c>
      <c r="AP74" s="477">
        <f t="shared" si="97"/>
        <v>36.015000000000001</v>
      </c>
      <c r="AQ74" s="477">
        <f t="shared" si="98"/>
        <v>36.56722222222222</v>
      </c>
      <c r="AR74" s="477">
        <f t="shared" si="99"/>
        <v>512</v>
      </c>
      <c r="AS74" s="477">
        <f t="shared" si="100"/>
        <v>512.55222222222221</v>
      </c>
      <c r="AT74" s="477">
        <f t="shared" si="101"/>
        <v>514.76499999999999</v>
      </c>
      <c r="AU74" s="477">
        <f t="shared" si="102"/>
        <v>515.3172222222222</v>
      </c>
      <c r="AV74" s="477">
        <f t="shared" si="103"/>
        <v>545.25</v>
      </c>
      <c r="AW74" s="477">
        <f t="shared" si="104"/>
        <v>545.80222222222221</v>
      </c>
      <c r="AX74" s="477">
        <f t="shared" si="105"/>
        <v>548.01499999999999</v>
      </c>
      <c r="AY74" s="477">
        <f t="shared" si="106"/>
        <v>548.5672222222222</v>
      </c>
      <c r="AZ74" s="477">
        <f t="shared" si="107"/>
        <v>512</v>
      </c>
      <c r="BA74" s="477">
        <f t="shared" si="108"/>
        <v>512.55222222222221</v>
      </c>
      <c r="BB74" s="477">
        <f t="shared" si="109"/>
        <v>514.76499999999999</v>
      </c>
      <c r="BC74" s="477">
        <f t="shared" si="110"/>
        <v>515.3172222222222</v>
      </c>
      <c r="BD74" s="477">
        <f t="shared" si="111"/>
        <v>545.25</v>
      </c>
      <c r="BE74" s="477">
        <f t="shared" si="112"/>
        <v>545.80222222222221</v>
      </c>
      <c r="BF74" s="477">
        <f t="shared" si="113"/>
        <v>548.01499999999999</v>
      </c>
      <c r="BG74" s="47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77">
        <f t="shared" si="77"/>
        <v>0</v>
      </c>
      <c r="V75" s="477">
        <f t="shared" si="78"/>
        <v>0</v>
      </c>
      <c r="W75" s="477">
        <f t="shared" si="79"/>
        <v>1.7066666666666668</v>
      </c>
      <c r="X75" s="477">
        <f t="shared" si="80"/>
        <v>0.55222222222222217</v>
      </c>
      <c r="Y75" s="477">
        <f t="shared" si="81"/>
        <v>33.25</v>
      </c>
      <c r="Z75" s="477">
        <f t="shared" si="82"/>
        <v>33.25</v>
      </c>
      <c r="AA75" s="477">
        <f t="shared" si="83"/>
        <v>2.7650000000000001</v>
      </c>
      <c r="AB75" s="243"/>
      <c r="AC75" s="477">
        <f t="shared" si="84"/>
        <v>0.55222222222222217</v>
      </c>
      <c r="AD75" s="477">
        <f t="shared" si="85"/>
        <v>2.7650000000000001</v>
      </c>
      <c r="AE75" s="477">
        <f t="shared" si="86"/>
        <v>3.3172222222222221</v>
      </c>
      <c r="AF75" s="477">
        <f t="shared" si="87"/>
        <v>33.25</v>
      </c>
      <c r="AG75" s="477">
        <f t="shared" si="88"/>
        <v>33.80222222222222</v>
      </c>
      <c r="AH75" s="477">
        <f t="shared" si="89"/>
        <v>36.015000000000001</v>
      </c>
      <c r="AI75" s="477">
        <f t="shared" si="90"/>
        <v>36.56722222222222</v>
      </c>
      <c r="AJ75" s="477">
        <f t="shared" si="91"/>
        <v>0</v>
      </c>
      <c r="AK75" s="477">
        <f t="shared" si="92"/>
        <v>0.55222222222222217</v>
      </c>
      <c r="AL75" s="477">
        <f t="shared" si="93"/>
        <v>2.7650000000000001</v>
      </c>
      <c r="AM75" s="477">
        <f t="shared" si="94"/>
        <v>3.3172222222222221</v>
      </c>
      <c r="AN75" s="477">
        <f t="shared" si="95"/>
        <v>33.25</v>
      </c>
      <c r="AO75" s="477">
        <f t="shared" si="96"/>
        <v>33.80222222222222</v>
      </c>
      <c r="AP75" s="477">
        <f t="shared" si="97"/>
        <v>36.015000000000001</v>
      </c>
      <c r="AQ75" s="477">
        <f t="shared" si="98"/>
        <v>36.56722222222222</v>
      </c>
      <c r="AR75" s="477">
        <f t="shared" si="99"/>
        <v>1.7066666666666668</v>
      </c>
      <c r="AS75" s="477">
        <f t="shared" si="100"/>
        <v>2.2588888888888889</v>
      </c>
      <c r="AT75" s="477">
        <f t="shared" si="101"/>
        <v>4.4716666666666667</v>
      </c>
      <c r="AU75" s="477">
        <f t="shared" si="102"/>
        <v>5.0238888888888891</v>
      </c>
      <c r="AV75" s="477">
        <f t="shared" si="103"/>
        <v>34.956666666666663</v>
      </c>
      <c r="AW75" s="477">
        <f t="shared" si="104"/>
        <v>35.508888888888883</v>
      </c>
      <c r="AX75" s="477">
        <f t="shared" si="105"/>
        <v>37.721666666666664</v>
      </c>
      <c r="AY75" s="477">
        <f t="shared" si="106"/>
        <v>38.273888888888884</v>
      </c>
      <c r="AZ75" s="477">
        <f t="shared" si="107"/>
        <v>1.7066666666666668</v>
      </c>
      <c r="BA75" s="477">
        <f t="shared" si="108"/>
        <v>2.2588888888888889</v>
      </c>
      <c r="BB75" s="477">
        <f t="shared" si="109"/>
        <v>4.4716666666666667</v>
      </c>
      <c r="BC75" s="477">
        <f t="shared" si="110"/>
        <v>5.0238888888888891</v>
      </c>
      <c r="BD75" s="477">
        <f t="shared" si="111"/>
        <v>34.956666666666663</v>
      </c>
      <c r="BE75" s="477">
        <f t="shared" si="112"/>
        <v>35.508888888888883</v>
      </c>
      <c r="BF75" s="477">
        <f t="shared" si="113"/>
        <v>37.721666666666664</v>
      </c>
      <c r="BG75" s="47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77">
        <f t="shared" si="77"/>
        <v>0</v>
      </c>
      <c r="V76" s="477">
        <f t="shared" si="78"/>
        <v>0</v>
      </c>
      <c r="W76" s="477">
        <f t="shared" si="79"/>
        <v>1.7066666666666668</v>
      </c>
      <c r="X76" s="477">
        <f t="shared" si="80"/>
        <v>0.55222222222222217</v>
      </c>
      <c r="Y76" s="477">
        <f t="shared" si="81"/>
        <v>11.083333333333334</v>
      </c>
      <c r="Z76" s="477">
        <f t="shared" si="82"/>
        <v>11.083333333333334</v>
      </c>
      <c r="AA76" s="477">
        <f t="shared" si="83"/>
        <v>2.7650000000000001</v>
      </c>
      <c r="AB76" s="243"/>
      <c r="AC76" s="477">
        <f t="shared" si="84"/>
        <v>0.55222222222222217</v>
      </c>
      <c r="AD76" s="477">
        <f t="shared" si="85"/>
        <v>2.7650000000000001</v>
      </c>
      <c r="AE76" s="477">
        <f t="shared" si="86"/>
        <v>3.3172222222222221</v>
      </c>
      <c r="AF76" s="477">
        <f t="shared" si="87"/>
        <v>11.083333333333334</v>
      </c>
      <c r="AG76" s="477">
        <f t="shared" si="88"/>
        <v>11.635555555555555</v>
      </c>
      <c r="AH76" s="477">
        <f t="shared" si="89"/>
        <v>13.848333333333334</v>
      </c>
      <c r="AI76" s="477">
        <f t="shared" si="90"/>
        <v>14.400555555555556</v>
      </c>
      <c r="AJ76" s="477">
        <f t="shared" si="91"/>
        <v>0</v>
      </c>
      <c r="AK76" s="477">
        <f t="shared" si="92"/>
        <v>0.55222222222222217</v>
      </c>
      <c r="AL76" s="477">
        <f t="shared" si="93"/>
        <v>2.7650000000000001</v>
      </c>
      <c r="AM76" s="477">
        <f t="shared" si="94"/>
        <v>3.3172222222222221</v>
      </c>
      <c r="AN76" s="477">
        <f t="shared" si="95"/>
        <v>11.083333333333334</v>
      </c>
      <c r="AO76" s="477">
        <f t="shared" si="96"/>
        <v>11.635555555555555</v>
      </c>
      <c r="AP76" s="477">
        <f t="shared" si="97"/>
        <v>13.848333333333334</v>
      </c>
      <c r="AQ76" s="477">
        <f t="shared" si="98"/>
        <v>14.400555555555556</v>
      </c>
      <c r="AR76" s="477">
        <f t="shared" si="99"/>
        <v>1.7066666666666668</v>
      </c>
      <c r="AS76" s="477">
        <f t="shared" si="100"/>
        <v>2.2588888888888889</v>
      </c>
      <c r="AT76" s="477">
        <f t="shared" si="101"/>
        <v>4.4716666666666667</v>
      </c>
      <c r="AU76" s="477">
        <f t="shared" si="102"/>
        <v>5.0238888888888891</v>
      </c>
      <c r="AV76" s="477">
        <f t="shared" si="103"/>
        <v>12.790000000000001</v>
      </c>
      <c r="AW76" s="477">
        <f t="shared" si="104"/>
        <v>13.342222222222222</v>
      </c>
      <c r="AX76" s="477">
        <f t="shared" si="105"/>
        <v>15.555000000000001</v>
      </c>
      <c r="AY76" s="477">
        <f t="shared" si="106"/>
        <v>16.107222222222223</v>
      </c>
      <c r="AZ76" s="477">
        <f t="shared" si="107"/>
        <v>1.7066666666666668</v>
      </c>
      <c r="BA76" s="477">
        <f t="shared" si="108"/>
        <v>2.2588888888888889</v>
      </c>
      <c r="BB76" s="477">
        <f t="shared" si="109"/>
        <v>4.4716666666666667</v>
      </c>
      <c r="BC76" s="477">
        <f t="shared" si="110"/>
        <v>5.0238888888888891</v>
      </c>
      <c r="BD76" s="477">
        <f t="shared" si="111"/>
        <v>12.790000000000001</v>
      </c>
      <c r="BE76" s="477">
        <f t="shared" si="112"/>
        <v>13.342222222222222</v>
      </c>
      <c r="BF76" s="477">
        <f t="shared" si="113"/>
        <v>15.555000000000001</v>
      </c>
      <c r="BG76" s="47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77">
        <f t="shared" si="77"/>
        <v>0</v>
      </c>
      <c r="V77" s="477">
        <f t="shared" si="78"/>
        <v>0</v>
      </c>
      <c r="W77" s="477">
        <f t="shared" si="79"/>
        <v>1.7066666666666668</v>
      </c>
      <c r="X77" s="477">
        <f t="shared" si="80"/>
        <v>16.566666666666666</v>
      </c>
      <c r="Y77" s="477">
        <f t="shared" si="81"/>
        <v>11.083333333333334</v>
      </c>
      <c r="Z77" s="477">
        <f t="shared" si="82"/>
        <v>11.083333333333334</v>
      </c>
      <c r="AA77" s="477">
        <f t="shared" si="83"/>
        <v>2.7650000000000001</v>
      </c>
      <c r="AB77" s="243"/>
      <c r="AC77" s="477">
        <f t="shared" si="84"/>
        <v>16.566666666666666</v>
      </c>
      <c r="AD77" s="477">
        <f t="shared" si="85"/>
        <v>2.7650000000000001</v>
      </c>
      <c r="AE77" s="477">
        <f t="shared" si="86"/>
        <v>19.331666666666667</v>
      </c>
      <c r="AF77" s="477">
        <f t="shared" si="87"/>
        <v>11.083333333333334</v>
      </c>
      <c r="AG77" s="477">
        <f t="shared" si="88"/>
        <v>27.65</v>
      </c>
      <c r="AH77" s="477">
        <f t="shared" si="89"/>
        <v>13.848333333333334</v>
      </c>
      <c r="AI77" s="477">
        <f t="shared" si="90"/>
        <v>30.414999999999999</v>
      </c>
      <c r="AJ77" s="477">
        <f t="shared" si="91"/>
        <v>0</v>
      </c>
      <c r="AK77" s="477">
        <f t="shared" si="92"/>
        <v>16.566666666666666</v>
      </c>
      <c r="AL77" s="477">
        <f t="shared" si="93"/>
        <v>2.7650000000000001</v>
      </c>
      <c r="AM77" s="477">
        <f t="shared" si="94"/>
        <v>19.331666666666667</v>
      </c>
      <c r="AN77" s="477">
        <f t="shared" si="95"/>
        <v>11.083333333333334</v>
      </c>
      <c r="AO77" s="477">
        <f t="shared" si="96"/>
        <v>27.65</v>
      </c>
      <c r="AP77" s="477">
        <f t="shared" si="97"/>
        <v>13.848333333333334</v>
      </c>
      <c r="AQ77" s="477">
        <f t="shared" si="98"/>
        <v>30.414999999999999</v>
      </c>
      <c r="AR77" s="477">
        <f t="shared" si="99"/>
        <v>1.7066666666666668</v>
      </c>
      <c r="AS77" s="477">
        <f t="shared" si="100"/>
        <v>18.273333333333333</v>
      </c>
      <c r="AT77" s="477">
        <f t="shared" si="101"/>
        <v>4.4716666666666667</v>
      </c>
      <c r="AU77" s="477">
        <f t="shared" si="102"/>
        <v>21.038333333333334</v>
      </c>
      <c r="AV77" s="477">
        <f t="shared" si="103"/>
        <v>12.790000000000001</v>
      </c>
      <c r="AW77" s="477">
        <f t="shared" si="104"/>
        <v>29.356666666666669</v>
      </c>
      <c r="AX77" s="477">
        <f t="shared" si="105"/>
        <v>15.555000000000001</v>
      </c>
      <c r="AY77" s="477">
        <f t="shared" si="106"/>
        <v>32.12166666666667</v>
      </c>
      <c r="AZ77" s="477">
        <f t="shared" si="107"/>
        <v>1.7066666666666668</v>
      </c>
      <c r="BA77" s="477">
        <f t="shared" si="108"/>
        <v>18.273333333333333</v>
      </c>
      <c r="BB77" s="477">
        <f t="shared" si="109"/>
        <v>4.4716666666666667</v>
      </c>
      <c r="BC77" s="477">
        <f t="shared" si="110"/>
        <v>21.038333333333334</v>
      </c>
      <c r="BD77" s="477">
        <f t="shared" si="111"/>
        <v>12.790000000000001</v>
      </c>
      <c r="BE77" s="477">
        <f t="shared" si="112"/>
        <v>29.356666666666669</v>
      </c>
      <c r="BF77" s="477">
        <f t="shared" si="113"/>
        <v>15.555000000000001</v>
      </c>
      <c r="BG77" s="47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77">
        <f t="shared" ref="U78:U109" si="127">IF(OR($N78="",$R78=""),0,U$1/64/$N78)</f>
        <v>0</v>
      </c>
      <c r="V78" s="477">
        <f t="shared" ref="V78:V109" si="128">IF(OR($N78="",$R78=""),0,V$1/64/$N78)</f>
        <v>0</v>
      </c>
      <c r="W78" s="477">
        <f t="shared" ref="W78:W109" si="129">IF($P78="",0,W$1/$P78)</f>
        <v>1.7066666666666668</v>
      </c>
      <c r="X78" s="477">
        <f t="shared" ref="X78:X109" si="130">IF($M78="",0,X$1/$M78)</f>
        <v>16.566666666666666</v>
      </c>
      <c r="Y78" s="477">
        <f t="shared" ref="Y78:Y109" si="131">IF(OR($N78="",$Q78&lt;&gt;""),0,Y$1/$N78)</f>
        <v>11.083333333333334</v>
      </c>
      <c r="Z78" s="477">
        <f t="shared" ref="Z78:Z109" si="132">IF($N78="",0,IF($R78="",1,R78/43200)*Y78)</f>
        <v>11.083333333333334</v>
      </c>
      <c r="AA78" s="477">
        <f t="shared" ref="AA78:AA109" si="133">IF($O78="",0,AA$1/$O78)</f>
        <v>2.7650000000000001</v>
      </c>
      <c r="AB78" s="243"/>
      <c r="AC78" s="477">
        <f t="shared" ref="AC78:AC109" si="134">IF(AC$3&lt;&gt;"",$W78,0)+IF(AC$4&lt;&gt;"",$U78,0)+IF(AC$5&lt;&gt;"",$Z78+IF($S78&lt;&gt;"102",$V78,0),0)+IF(AC$6&lt;&gt;"",$AA78+IF($S78="102",$V78,0),0)+IF(AC$7&lt;&gt;"",$X78,0)</f>
        <v>16.566666666666666</v>
      </c>
      <c r="AD78" s="477">
        <f t="shared" ref="AD78:AD109" si="135">IF(AD$3&lt;&gt;"",$W78,0)+IF(AD$4&lt;&gt;"",$U78,0)+IF(AD$5&lt;&gt;"",$Z78+IF($S78&lt;&gt;"102",$V78,0),0)+IF(AD$6&lt;&gt;"",$AA78+IF($S78="102",$V78,0),0)+IF(AD$7&lt;&gt;"",$X78,0)</f>
        <v>2.7650000000000001</v>
      </c>
      <c r="AE78" s="477">
        <f t="shared" ref="AE78:AE109" si="136">IF(AE$3&lt;&gt;"",$W78,0)+IF(AE$4&lt;&gt;"",$U78,0)+IF(AE$5&lt;&gt;"",$Z78+IF($S78&lt;&gt;"102",$V78,0),0)+IF(AE$6&lt;&gt;"",$AA78+IF($S78="102",$V78,0),0)+IF(AE$7&lt;&gt;"",$X78,0)</f>
        <v>19.331666666666667</v>
      </c>
      <c r="AF78" s="477">
        <f t="shared" ref="AF78:AF109" si="137">IF(AF$3&lt;&gt;"",$W78,0)+IF(AF$4&lt;&gt;"",$U78,0)+IF(AF$5&lt;&gt;"",$Z78+IF($S78&lt;&gt;"102",$V78,0),0)+IF(AF$6&lt;&gt;"",$AA78+IF($S78="102",$V78,0),0)+IF(AF$7&lt;&gt;"",$X78,0)</f>
        <v>11.083333333333334</v>
      </c>
      <c r="AG78" s="477">
        <f t="shared" ref="AG78:AG109" si="138">IF(AG$3&lt;&gt;"",$W78,0)+IF(AG$4&lt;&gt;"",$U78,0)+IF(AG$5&lt;&gt;"",$Z78+IF($S78&lt;&gt;"102",$V78,0),0)+IF(AG$6&lt;&gt;"",$AA78+IF($S78="102",$V78,0),0)+IF(AG$7&lt;&gt;"",$X78,0)</f>
        <v>27.65</v>
      </c>
      <c r="AH78" s="477">
        <f t="shared" ref="AH78:AH109" si="139">IF(AH$3&lt;&gt;"",$W78,0)+IF(AH$4&lt;&gt;"",$U78,0)+IF(AH$5&lt;&gt;"",$Z78+IF($S78&lt;&gt;"102",$V78,0),0)+IF(AH$6&lt;&gt;"",$AA78+IF($S78="102",$V78,0),0)+IF(AH$7&lt;&gt;"",$X78,0)</f>
        <v>13.848333333333334</v>
      </c>
      <c r="AI78" s="477">
        <f t="shared" ref="AI78:AI109" si="140">IF(AI$3&lt;&gt;"",$W78,0)+IF(AI$4&lt;&gt;"",$U78,0)+IF(AI$5&lt;&gt;"",$Z78+IF($S78&lt;&gt;"102",$V78,0),0)+IF(AI$6&lt;&gt;"",$AA78+IF($S78="102",$V78,0),0)+IF(AI$7&lt;&gt;"",$X78,0)</f>
        <v>30.414999999999999</v>
      </c>
      <c r="AJ78" s="477">
        <f t="shared" ref="AJ78:AJ109" si="141">IF(AJ$3&lt;&gt;"",$W78,0)+IF(AJ$4&lt;&gt;"",$U78,0)+IF(AJ$5&lt;&gt;"",$Z78+IF($S78&lt;&gt;"102",$V78,0),0)+IF(AJ$6&lt;&gt;"",$AA78+IF($S78="102",$V78,0),0)+IF(AJ$7&lt;&gt;"",$X78,0)</f>
        <v>0</v>
      </c>
      <c r="AK78" s="477">
        <f t="shared" ref="AK78:AK109" si="142">IF(AK$3&lt;&gt;"",$W78,0)+IF(AK$4&lt;&gt;"",$U78,0)+IF(AK$5&lt;&gt;"",$Z78+IF($S78&lt;&gt;"102",$V78,0),0)+IF(AK$6&lt;&gt;"",$AA78+IF($S78="102",$V78,0),0)+IF(AK$7&lt;&gt;"",$X78,0)</f>
        <v>16.566666666666666</v>
      </c>
      <c r="AL78" s="477">
        <f t="shared" ref="AL78:AL109" si="143">IF(AL$3&lt;&gt;"",$W78,0)+IF(AL$4&lt;&gt;"",$U78,0)+IF(AL$5&lt;&gt;"",$Z78+IF($S78&lt;&gt;"102",$V78,0),0)+IF(AL$6&lt;&gt;"",$AA78+IF($S78="102",$V78,0),0)+IF(AL$7&lt;&gt;"",$X78,0)</f>
        <v>2.7650000000000001</v>
      </c>
      <c r="AM78" s="477">
        <f t="shared" ref="AM78:AM109" si="144">IF(AM$3&lt;&gt;"",$W78,0)+IF(AM$4&lt;&gt;"",$U78,0)+IF(AM$5&lt;&gt;"",$Z78+IF($S78&lt;&gt;"102",$V78,0),0)+IF(AM$6&lt;&gt;"",$AA78+IF($S78="102",$V78,0),0)+IF(AM$7&lt;&gt;"",$X78,0)</f>
        <v>19.331666666666667</v>
      </c>
      <c r="AN78" s="477">
        <f t="shared" ref="AN78:AN109" si="145">IF(AN$3&lt;&gt;"",$W78,0)+IF(AN$4&lt;&gt;"",$U78,0)+IF(AN$5&lt;&gt;"",$Z78+IF($S78&lt;&gt;"102",$V78,0),0)+IF(AN$6&lt;&gt;"",$AA78+IF($S78="102",$V78,0),0)+IF(AN$7&lt;&gt;"",$X78,0)</f>
        <v>11.083333333333334</v>
      </c>
      <c r="AO78" s="477">
        <f t="shared" ref="AO78:AO109" si="146">IF(AO$3&lt;&gt;"",$W78,0)+IF(AO$4&lt;&gt;"",$U78,0)+IF(AO$5&lt;&gt;"",$Z78+IF($S78&lt;&gt;"102",$V78,0),0)+IF(AO$6&lt;&gt;"",$AA78+IF($S78="102",$V78,0),0)+IF(AO$7&lt;&gt;"",$X78,0)</f>
        <v>27.65</v>
      </c>
      <c r="AP78" s="477">
        <f t="shared" ref="AP78:AP109" si="147">IF(AP$3&lt;&gt;"",$W78,0)+IF(AP$4&lt;&gt;"",$U78,0)+IF(AP$5&lt;&gt;"",$Z78+IF($S78&lt;&gt;"102",$V78,0),0)+IF(AP$6&lt;&gt;"",$AA78+IF($S78="102",$V78,0),0)+IF(AP$7&lt;&gt;"",$X78,0)</f>
        <v>13.848333333333334</v>
      </c>
      <c r="AQ78" s="477">
        <f t="shared" ref="AQ78:AQ109" si="148">IF(AQ$3&lt;&gt;"",$W78,0)+IF(AQ$4&lt;&gt;"",$U78,0)+IF(AQ$5&lt;&gt;"",$Z78+IF($S78&lt;&gt;"102",$V78,0),0)+IF(AQ$6&lt;&gt;"",$AA78+IF($S78="102",$V78,0),0)+IF(AQ$7&lt;&gt;"",$X78,0)</f>
        <v>30.414999999999999</v>
      </c>
      <c r="AR78" s="477">
        <f t="shared" ref="AR78:AR109" si="149">IF(AR$3&lt;&gt;"",$W78,0)+IF(AR$4&lt;&gt;"",$U78,0)+IF(AR$5&lt;&gt;"",$Z78+IF($S78&lt;&gt;"102",$V78,0),0)+IF(AR$6&lt;&gt;"",$AA78+IF($S78="102",$V78,0),0)+IF(AR$7&lt;&gt;"",$X78,0)</f>
        <v>1.7066666666666668</v>
      </c>
      <c r="AS78" s="477">
        <f t="shared" ref="AS78:AS109" si="150">IF(AS$3&lt;&gt;"",$W78,0)+IF(AS$4&lt;&gt;"",$U78,0)+IF(AS$5&lt;&gt;"",$Z78+IF($S78&lt;&gt;"102",$V78,0),0)+IF(AS$6&lt;&gt;"",$AA78+IF($S78="102",$V78,0),0)+IF(AS$7&lt;&gt;"",$X78,0)</f>
        <v>18.273333333333333</v>
      </c>
      <c r="AT78" s="477">
        <f t="shared" ref="AT78:AT109" si="151">IF(AT$3&lt;&gt;"",$W78,0)+IF(AT$4&lt;&gt;"",$U78,0)+IF(AT$5&lt;&gt;"",$Z78+IF($S78&lt;&gt;"102",$V78,0),0)+IF(AT$6&lt;&gt;"",$AA78+IF($S78="102",$V78,0),0)+IF(AT$7&lt;&gt;"",$X78,0)</f>
        <v>4.4716666666666667</v>
      </c>
      <c r="AU78" s="477">
        <f t="shared" ref="AU78:AU109" si="152">IF(AU$3&lt;&gt;"",$W78,0)+IF(AU$4&lt;&gt;"",$U78,0)+IF(AU$5&lt;&gt;"",$Z78+IF($S78&lt;&gt;"102",$V78,0),0)+IF(AU$6&lt;&gt;"",$AA78+IF($S78="102",$V78,0),0)+IF(AU$7&lt;&gt;"",$X78,0)</f>
        <v>21.038333333333334</v>
      </c>
      <c r="AV78" s="477">
        <f t="shared" ref="AV78:AV109" si="153">IF(AV$3&lt;&gt;"",$W78,0)+IF(AV$4&lt;&gt;"",$U78,0)+IF(AV$5&lt;&gt;"",$Z78+IF($S78&lt;&gt;"102",$V78,0),0)+IF(AV$6&lt;&gt;"",$AA78+IF($S78="102",$V78,0),0)+IF(AV$7&lt;&gt;"",$X78,0)</f>
        <v>12.790000000000001</v>
      </c>
      <c r="AW78" s="477">
        <f t="shared" ref="AW78:AW109" si="154">IF(AW$3&lt;&gt;"",$W78,0)+IF(AW$4&lt;&gt;"",$U78,0)+IF(AW$5&lt;&gt;"",$Z78+IF($S78&lt;&gt;"102",$V78,0),0)+IF(AW$6&lt;&gt;"",$AA78+IF($S78="102",$V78,0),0)+IF(AW$7&lt;&gt;"",$X78,0)</f>
        <v>29.356666666666669</v>
      </c>
      <c r="AX78" s="477">
        <f t="shared" ref="AX78:AX109" si="155">IF(AX$3&lt;&gt;"",$W78,0)+IF(AX$4&lt;&gt;"",$U78,0)+IF(AX$5&lt;&gt;"",$Z78+IF($S78&lt;&gt;"102",$V78,0),0)+IF(AX$6&lt;&gt;"",$AA78+IF($S78="102",$V78,0),0)+IF(AX$7&lt;&gt;"",$X78,0)</f>
        <v>15.555000000000001</v>
      </c>
      <c r="AY78" s="477">
        <f t="shared" ref="AY78:AY109" si="156">IF(AY$3&lt;&gt;"",$W78,0)+IF(AY$4&lt;&gt;"",$U78,0)+IF(AY$5&lt;&gt;"",$Z78+IF($S78&lt;&gt;"102",$V78,0),0)+IF(AY$6&lt;&gt;"",$AA78+IF($S78="102",$V78,0),0)+IF(AY$7&lt;&gt;"",$X78,0)</f>
        <v>32.12166666666667</v>
      </c>
      <c r="AZ78" s="477">
        <f t="shared" ref="AZ78:AZ109" si="157">IF(AZ$3&lt;&gt;"",$W78,0)+IF(AZ$4&lt;&gt;"",$U78,0)+IF(AZ$5&lt;&gt;"",$Z78+IF($S78&lt;&gt;"102",$V78,0),0)+IF(AZ$6&lt;&gt;"",$AA78+IF($S78="102",$V78,0),0)+IF(AZ$7&lt;&gt;"",$X78,0)</f>
        <v>1.7066666666666668</v>
      </c>
      <c r="BA78" s="477">
        <f t="shared" ref="BA78:BA109" si="158">IF(BA$3&lt;&gt;"",$W78,0)+IF(BA$4&lt;&gt;"",$U78,0)+IF(BA$5&lt;&gt;"",$Z78+IF($S78&lt;&gt;"102",$V78,0),0)+IF(BA$6&lt;&gt;"",$AA78+IF($S78="102",$V78,0),0)+IF(BA$7&lt;&gt;"",$X78,0)</f>
        <v>18.273333333333333</v>
      </c>
      <c r="BB78" s="477">
        <f t="shared" ref="BB78:BB109" si="159">IF(BB$3&lt;&gt;"",$W78,0)+IF(BB$4&lt;&gt;"",$U78,0)+IF(BB$5&lt;&gt;"",$Z78+IF($S78&lt;&gt;"102",$V78,0),0)+IF(BB$6&lt;&gt;"",$AA78+IF($S78="102",$V78,0),0)+IF(BB$7&lt;&gt;"",$X78,0)</f>
        <v>4.4716666666666667</v>
      </c>
      <c r="BC78" s="477">
        <f t="shared" ref="BC78:BC109" si="160">IF(BC$3&lt;&gt;"",$W78,0)+IF(BC$4&lt;&gt;"",$U78,0)+IF(BC$5&lt;&gt;"",$Z78+IF($S78&lt;&gt;"102",$V78,0),0)+IF(BC$6&lt;&gt;"",$AA78+IF($S78="102",$V78,0),0)+IF(BC$7&lt;&gt;"",$X78,0)</f>
        <v>21.038333333333334</v>
      </c>
      <c r="BD78" s="477">
        <f t="shared" ref="BD78:BD109" si="161">IF(BD$3&lt;&gt;"",$W78,0)+IF(BD$4&lt;&gt;"",$U78,0)+IF(BD$5&lt;&gt;"",$Z78+IF($S78&lt;&gt;"102",$V78,0),0)+IF(BD$6&lt;&gt;"",$AA78+IF($S78="102",$V78,0),0)+IF(BD$7&lt;&gt;"",$X78,0)</f>
        <v>12.790000000000001</v>
      </c>
      <c r="BE78" s="477">
        <f t="shared" ref="BE78:BE109" si="162">IF(BE$3&lt;&gt;"",$W78,0)+IF(BE$4&lt;&gt;"",$U78,0)+IF(BE$5&lt;&gt;"",$Z78+IF($S78&lt;&gt;"102",$V78,0),0)+IF(BE$6&lt;&gt;"",$AA78+IF($S78="102",$V78,0),0)+IF(BE$7&lt;&gt;"",$X78,0)</f>
        <v>29.356666666666669</v>
      </c>
      <c r="BF78" s="477">
        <f t="shared" ref="BF78:BF109" si="163">IF(BF$3&lt;&gt;"",$W78,0)+IF(BF$4&lt;&gt;"",$U78,0)+IF(BF$5&lt;&gt;"",$Z78+IF($S78&lt;&gt;"102",$V78,0),0)+IF(BF$6&lt;&gt;"",$AA78+IF($S78="102",$V78,0),0)+IF(BF$7&lt;&gt;"",$X78,0)</f>
        <v>15.555000000000001</v>
      </c>
      <c r="BG78" s="47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77">
        <f t="shared" si="127"/>
        <v>0</v>
      </c>
      <c r="V79" s="477">
        <f t="shared" si="128"/>
        <v>0</v>
      </c>
      <c r="W79" s="477">
        <f t="shared" si="129"/>
        <v>0.28444444444444444</v>
      </c>
      <c r="X79" s="477">
        <f t="shared" si="130"/>
        <v>16.566666666666666</v>
      </c>
      <c r="Y79" s="477">
        <f t="shared" si="131"/>
        <v>11.083333333333334</v>
      </c>
      <c r="Z79" s="477">
        <f t="shared" si="132"/>
        <v>11.083333333333334</v>
      </c>
      <c r="AA79" s="477">
        <f t="shared" si="133"/>
        <v>2.7650000000000001</v>
      </c>
      <c r="AB79" s="243"/>
      <c r="AC79" s="477">
        <f t="shared" si="134"/>
        <v>16.566666666666666</v>
      </c>
      <c r="AD79" s="477">
        <f t="shared" si="135"/>
        <v>2.7650000000000001</v>
      </c>
      <c r="AE79" s="477">
        <f t="shared" si="136"/>
        <v>19.331666666666667</v>
      </c>
      <c r="AF79" s="477">
        <f t="shared" si="137"/>
        <v>11.083333333333334</v>
      </c>
      <c r="AG79" s="477">
        <f t="shared" si="138"/>
        <v>27.65</v>
      </c>
      <c r="AH79" s="477">
        <f t="shared" si="139"/>
        <v>13.848333333333334</v>
      </c>
      <c r="AI79" s="477">
        <f t="shared" si="140"/>
        <v>30.414999999999999</v>
      </c>
      <c r="AJ79" s="477">
        <f t="shared" si="141"/>
        <v>0</v>
      </c>
      <c r="AK79" s="477">
        <f t="shared" si="142"/>
        <v>16.566666666666666</v>
      </c>
      <c r="AL79" s="477">
        <f t="shared" si="143"/>
        <v>2.7650000000000001</v>
      </c>
      <c r="AM79" s="477">
        <f t="shared" si="144"/>
        <v>19.331666666666667</v>
      </c>
      <c r="AN79" s="477">
        <f t="shared" si="145"/>
        <v>11.083333333333334</v>
      </c>
      <c r="AO79" s="477">
        <f t="shared" si="146"/>
        <v>27.65</v>
      </c>
      <c r="AP79" s="477">
        <f t="shared" si="147"/>
        <v>13.848333333333334</v>
      </c>
      <c r="AQ79" s="477">
        <f t="shared" si="148"/>
        <v>30.414999999999999</v>
      </c>
      <c r="AR79" s="477">
        <f t="shared" si="149"/>
        <v>0.28444444444444444</v>
      </c>
      <c r="AS79" s="477">
        <f t="shared" si="150"/>
        <v>16.851111111111109</v>
      </c>
      <c r="AT79" s="477">
        <f t="shared" si="151"/>
        <v>3.0494444444444446</v>
      </c>
      <c r="AU79" s="477">
        <f t="shared" si="152"/>
        <v>19.61611111111111</v>
      </c>
      <c r="AV79" s="477">
        <f t="shared" si="153"/>
        <v>11.367777777777778</v>
      </c>
      <c r="AW79" s="477">
        <f t="shared" si="154"/>
        <v>27.934444444444445</v>
      </c>
      <c r="AX79" s="477">
        <f t="shared" si="155"/>
        <v>14.132777777777779</v>
      </c>
      <c r="AY79" s="477">
        <f t="shared" si="156"/>
        <v>30.699444444444445</v>
      </c>
      <c r="AZ79" s="477">
        <f t="shared" si="157"/>
        <v>0.28444444444444444</v>
      </c>
      <c r="BA79" s="477">
        <f t="shared" si="158"/>
        <v>16.851111111111109</v>
      </c>
      <c r="BB79" s="477">
        <f t="shared" si="159"/>
        <v>3.0494444444444446</v>
      </c>
      <c r="BC79" s="477">
        <f t="shared" si="160"/>
        <v>19.61611111111111</v>
      </c>
      <c r="BD79" s="477">
        <f t="shared" si="161"/>
        <v>11.367777777777778</v>
      </c>
      <c r="BE79" s="477">
        <f t="shared" si="162"/>
        <v>27.934444444444445</v>
      </c>
      <c r="BF79" s="477">
        <f t="shared" si="163"/>
        <v>14.132777777777779</v>
      </c>
      <c r="BG79" s="47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77">
        <f t="shared" si="127"/>
        <v>7.3437500000000003E-2</v>
      </c>
      <c r="V80" s="477">
        <f t="shared" si="128"/>
        <v>0.3046875</v>
      </c>
      <c r="W80" s="477">
        <f t="shared" si="129"/>
        <v>0.28444444444444444</v>
      </c>
      <c r="X80" s="477">
        <f t="shared" si="130"/>
        <v>16.566666666666666</v>
      </c>
      <c r="Y80" s="477">
        <f t="shared" si="131"/>
        <v>11.083333333333334</v>
      </c>
      <c r="Z80" s="477">
        <f t="shared" si="132"/>
        <v>0.15393518518518517</v>
      </c>
      <c r="AA80" s="477">
        <f t="shared" si="133"/>
        <v>2.7650000000000001</v>
      </c>
      <c r="AB80" s="243"/>
      <c r="AC80" s="477">
        <f t="shared" si="134"/>
        <v>16.566666666666666</v>
      </c>
      <c r="AD80" s="477">
        <f t="shared" si="135"/>
        <v>2.7650000000000001</v>
      </c>
      <c r="AE80" s="477">
        <f t="shared" si="136"/>
        <v>19.331666666666667</v>
      </c>
      <c r="AF80" s="477">
        <f t="shared" si="137"/>
        <v>0.45862268518518517</v>
      </c>
      <c r="AG80" s="477">
        <f t="shared" si="138"/>
        <v>17.025289351851853</v>
      </c>
      <c r="AH80" s="477">
        <f t="shared" si="139"/>
        <v>3.2236226851851852</v>
      </c>
      <c r="AI80" s="477">
        <f t="shared" si="140"/>
        <v>19.79028935185185</v>
      </c>
      <c r="AJ80" s="477">
        <f t="shared" si="141"/>
        <v>7.3437500000000003E-2</v>
      </c>
      <c r="AK80" s="477">
        <f t="shared" si="142"/>
        <v>16.640104166666667</v>
      </c>
      <c r="AL80" s="477">
        <f t="shared" si="143"/>
        <v>2.8384374999999999</v>
      </c>
      <c r="AM80" s="477">
        <f t="shared" si="144"/>
        <v>19.405104166666668</v>
      </c>
      <c r="AN80" s="477">
        <f t="shared" si="145"/>
        <v>0.53206018518518516</v>
      </c>
      <c r="AO80" s="477">
        <f t="shared" si="146"/>
        <v>17.09872685185185</v>
      </c>
      <c r="AP80" s="477">
        <f t="shared" si="147"/>
        <v>3.2970601851851855</v>
      </c>
      <c r="AQ80" s="477">
        <f t="shared" si="148"/>
        <v>19.863726851851851</v>
      </c>
      <c r="AR80" s="477">
        <f t="shared" si="149"/>
        <v>0.28444444444444444</v>
      </c>
      <c r="AS80" s="477">
        <f t="shared" si="150"/>
        <v>16.851111111111109</v>
      </c>
      <c r="AT80" s="477">
        <f t="shared" si="151"/>
        <v>3.0494444444444446</v>
      </c>
      <c r="AU80" s="477">
        <f t="shared" si="152"/>
        <v>19.61611111111111</v>
      </c>
      <c r="AV80" s="477">
        <f t="shared" si="153"/>
        <v>0.74306712962962962</v>
      </c>
      <c r="AW80" s="477">
        <f t="shared" si="154"/>
        <v>17.309733796296296</v>
      </c>
      <c r="AX80" s="477">
        <f t="shared" si="155"/>
        <v>3.5080671296296297</v>
      </c>
      <c r="AY80" s="477">
        <f t="shared" si="156"/>
        <v>20.074733796296297</v>
      </c>
      <c r="AZ80" s="477">
        <f t="shared" si="157"/>
        <v>0.35788194444444443</v>
      </c>
      <c r="BA80" s="477">
        <f t="shared" si="158"/>
        <v>16.92454861111111</v>
      </c>
      <c r="BB80" s="477">
        <f t="shared" si="159"/>
        <v>3.1228819444444444</v>
      </c>
      <c r="BC80" s="477">
        <f t="shared" si="160"/>
        <v>19.68954861111111</v>
      </c>
      <c r="BD80" s="477">
        <f t="shared" si="161"/>
        <v>0.81650462962962966</v>
      </c>
      <c r="BE80" s="477">
        <f t="shared" si="162"/>
        <v>17.383171296296297</v>
      </c>
      <c r="BF80" s="477">
        <f t="shared" si="163"/>
        <v>3.58150462962963</v>
      </c>
      <c r="BG80" s="47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77">
        <f t="shared" si="127"/>
        <v>7.3437500000000003E-2</v>
      </c>
      <c r="V81" s="477">
        <f t="shared" si="128"/>
        <v>0.3046875</v>
      </c>
      <c r="W81" s="477">
        <f t="shared" si="129"/>
        <v>0.28444444444444444</v>
      </c>
      <c r="X81" s="477">
        <f t="shared" si="130"/>
        <v>16.566666666666666</v>
      </c>
      <c r="Y81" s="477">
        <f t="shared" si="131"/>
        <v>11.083333333333334</v>
      </c>
      <c r="Z81" s="477">
        <f t="shared" si="132"/>
        <v>0.15393518518518517</v>
      </c>
      <c r="AA81" s="477">
        <f t="shared" si="133"/>
        <v>2.7650000000000001</v>
      </c>
      <c r="AB81" s="243"/>
      <c r="AC81" s="477">
        <f t="shared" si="134"/>
        <v>16.566666666666666</v>
      </c>
      <c r="AD81" s="477">
        <f t="shared" si="135"/>
        <v>3.0696875000000001</v>
      </c>
      <c r="AE81" s="477">
        <f t="shared" si="136"/>
        <v>19.636354166666667</v>
      </c>
      <c r="AF81" s="477">
        <f t="shared" si="137"/>
        <v>0.15393518518518517</v>
      </c>
      <c r="AG81" s="477">
        <f t="shared" si="138"/>
        <v>16.720601851851853</v>
      </c>
      <c r="AH81" s="477">
        <f t="shared" si="139"/>
        <v>3.2236226851851852</v>
      </c>
      <c r="AI81" s="477">
        <f t="shared" si="140"/>
        <v>19.79028935185185</v>
      </c>
      <c r="AJ81" s="477">
        <f t="shared" si="141"/>
        <v>7.3437500000000003E-2</v>
      </c>
      <c r="AK81" s="477">
        <f t="shared" si="142"/>
        <v>16.640104166666667</v>
      </c>
      <c r="AL81" s="477">
        <f t="shared" si="143"/>
        <v>3.1431249999999999</v>
      </c>
      <c r="AM81" s="477">
        <f t="shared" si="144"/>
        <v>19.709791666666668</v>
      </c>
      <c r="AN81" s="477">
        <f t="shared" si="145"/>
        <v>0.22737268518518516</v>
      </c>
      <c r="AO81" s="477">
        <f t="shared" si="146"/>
        <v>16.79403935185185</v>
      </c>
      <c r="AP81" s="477">
        <f t="shared" si="147"/>
        <v>3.2970601851851855</v>
      </c>
      <c r="AQ81" s="477">
        <f t="shared" si="148"/>
        <v>19.863726851851851</v>
      </c>
      <c r="AR81" s="477">
        <f t="shared" si="149"/>
        <v>0.28444444444444444</v>
      </c>
      <c r="AS81" s="477">
        <f t="shared" si="150"/>
        <v>16.851111111111109</v>
      </c>
      <c r="AT81" s="477">
        <f t="shared" si="151"/>
        <v>3.3541319444444446</v>
      </c>
      <c r="AU81" s="477">
        <f t="shared" si="152"/>
        <v>19.92079861111111</v>
      </c>
      <c r="AV81" s="477">
        <f t="shared" si="153"/>
        <v>0.43837962962962962</v>
      </c>
      <c r="AW81" s="477">
        <f t="shared" si="154"/>
        <v>17.005046296296296</v>
      </c>
      <c r="AX81" s="477">
        <f t="shared" si="155"/>
        <v>3.5080671296296297</v>
      </c>
      <c r="AY81" s="477">
        <f t="shared" si="156"/>
        <v>20.074733796296297</v>
      </c>
      <c r="AZ81" s="477">
        <f t="shared" si="157"/>
        <v>0.35788194444444443</v>
      </c>
      <c r="BA81" s="477">
        <f t="shared" si="158"/>
        <v>16.92454861111111</v>
      </c>
      <c r="BB81" s="477">
        <f t="shared" si="159"/>
        <v>3.4275694444444444</v>
      </c>
      <c r="BC81" s="477">
        <f t="shared" si="160"/>
        <v>19.99423611111111</v>
      </c>
      <c r="BD81" s="477">
        <f t="shared" si="161"/>
        <v>0.51181712962962966</v>
      </c>
      <c r="BE81" s="477">
        <f t="shared" si="162"/>
        <v>17.078483796296297</v>
      </c>
      <c r="BF81" s="477">
        <f t="shared" si="163"/>
        <v>3.58150462962963</v>
      </c>
      <c r="BG81" s="47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77">
        <f t="shared" si="127"/>
        <v>7.3437500000000003E-2</v>
      </c>
      <c r="V82" s="477">
        <f t="shared" si="128"/>
        <v>0.3046875</v>
      </c>
      <c r="W82" s="477">
        <f t="shared" si="129"/>
        <v>0.28444444444444444</v>
      </c>
      <c r="X82" s="477">
        <f t="shared" si="130"/>
        <v>16.566666666666666</v>
      </c>
      <c r="Y82" s="477">
        <f t="shared" si="131"/>
        <v>11.083333333333334</v>
      </c>
      <c r="Z82" s="477">
        <f t="shared" si="132"/>
        <v>0.15393518518518517</v>
      </c>
      <c r="AA82" s="477">
        <f t="shared" si="133"/>
        <v>2.7650000000000001</v>
      </c>
      <c r="AB82" s="243"/>
      <c r="AC82" s="477">
        <f t="shared" si="134"/>
        <v>16.566666666666666</v>
      </c>
      <c r="AD82" s="477">
        <f t="shared" si="135"/>
        <v>3.0696875000000001</v>
      </c>
      <c r="AE82" s="477">
        <f t="shared" si="136"/>
        <v>19.636354166666667</v>
      </c>
      <c r="AF82" s="477">
        <f t="shared" si="137"/>
        <v>0.15393518518518517</v>
      </c>
      <c r="AG82" s="477">
        <f t="shared" si="138"/>
        <v>16.720601851851853</v>
      </c>
      <c r="AH82" s="477">
        <f t="shared" si="139"/>
        <v>3.2236226851851852</v>
      </c>
      <c r="AI82" s="477">
        <f t="shared" si="140"/>
        <v>19.79028935185185</v>
      </c>
      <c r="AJ82" s="477">
        <f t="shared" si="141"/>
        <v>7.3437500000000003E-2</v>
      </c>
      <c r="AK82" s="477">
        <f t="shared" si="142"/>
        <v>16.640104166666667</v>
      </c>
      <c r="AL82" s="477">
        <f t="shared" si="143"/>
        <v>3.1431249999999999</v>
      </c>
      <c r="AM82" s="477">
        <f t="shared" si="144"/>
        <v>19.709791666666668</v>
      </c>
      <c r="AN82" s="477">
        <f t="shared" si="145"/>
        <v>0.22737268518518516</v>
      </c>
      <c r="AO82" s="477">
        <f t="shared" si="146"/>
        <v>16.79403935185185</v>
      </c>
      <c r="AP82" s="477">
        <f t="shared" si="147"/>
        <v>3.2970601851851855</v>
      </c>
      <c r="AQ82" s="477">
        <f t="shared" si="148"/>
        <v>19.863726851851851</v>
      </c>
      <c r="AR82" s="477">
        <f t="shared" si="149"/>
        <v>0.28444444444444444</v>
      </c>
      <c r="AS82" s="477">
        <f t="shared" si="150"/>
        <v>16.851111111111109</v>
      </c>
      <c r="AT82" s="477">
        <f t="shared" si="151"/>
        <v>3.3541319444444446</v>
      </c>
      <c r="AU82" s="477">
        <f t="shared" si="152"/>
        <v>19.92079861111111</v>
      </c>
      <c r="AV82" s="477">
        <f t="shared" si="153"/>
        <v>0.43837962962962962</v>
      </c>
      <c r="AW82" s="477">
        <f t="shared" si="154"/>
        <v>17.005046296296296</v>
      </c>
      <c r="AX82" s="477">
        <f t="shared" si="155"/>
        <v>3.5080671296296297</v>
      </c>
      <c r="AY82" s="477">
        <f t="shared" si="156"/>
        <v>20.074733796296297</v>
      </c>
      <c r="AZ82" s="477">
        <f t="shared" si="157"/>
        <v>0.35788194444444443</v>
      </c>
      <c r="BA82" s="477">
        <f t="shared" si="158"/>
        <v>16.92454861111111</v>
      </c>
      <c r="BB82" s="477">
        <f t="shared" si="159"/>
        <v>3.4275694444444444</v>
      </c>
      <c r="BC82" s="477">
        <f t="shared" si="160"/>
        <v>19.99423611111111</v>
      </c>
      <c r="BD82" s="477">
        <f t="shared" si="161"/>
        <v>0.51181712962962966</v>
      </c>
      <c r="BE82" s="477">
        <f t="shared" si="162"/>
        <v>17.078483796296297</v>
      </c>
      <c r="BF82" s="477">
        <f t="shared" si="163"/>
        <v>3.58150462962963</v>
      </c>
      <c r="BG82" s="47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77">
        <f t="shared" si="127"/>
        <v>0</v>
      </c>
      <c r="V83" s="477">
        <f t="shared" si="128"/>
        <v>0</v>
      </c>
      <c r="W83" s="477">
        <f t="shared" si="129"/>
        <v>0</v>
      </c>
      <c r="X83" s="477">
        <f t="shared" si="130"/>
        <v>0</v>
      </c>
      <c r="Y83" s="477">
        <f t="shared" si="131"/>
        <v>0</v>
      </c>
      <c r="Z83" s="477">
        <f t="shared" si="132"/>
        <v>0</v>
      </c>
      <c r="AA83" s="477">
        <f t="shared" si="133"/>
        <v>0</v>
      </c>
      <c r="AB83" s="243"/>
      <c r="AC83" s="477">
        <f t="shared" si="134"/>
        <v>0</v>
      </c>
      <c r="AD83" s="477">
        <f t="shared" si="135"/>
        <v>0</v>
      </c>
      <c r="AE83" s="477">
        <f t="shared" si="136"/>
        <v>0</v>
      </c>
      <c r="AF83" s="477">
        <f t="shared" si="137"/>
        <v>0</v>
      </c>
      <c r="AG83" s="477">
        <f t="shared" si="138"/>
        <v>0</v>
      </c>
      <c r="AH83" s="477">
        <f t="shared" si="139"/>
        <v>0</v>
      </c>
      <c r="AI83" s="477">
        <f t="shared" si="140"/>
        <v>0</v>
      </c>
      <c r="AJ83" s="477">
        <f t="shared" si="141"/>
        <v>0</v>
      </c>
      <c r="AK83" s="477">
        <f t="shared" si="142"/>
        <v>0</v>
      </c>
      <c r="AL83" s="477">
        <f t="shared" si="143"/>
        <v>0</v>
      </c>
      <c r="AM83" s="477">
        <f t="shared" si="144"/>
        <v>0</v>
      </c>
      <c r="AN83" s="477">
        <f t="shared" si="145"/>
        <v>0</v>
      </c>
      <c r="AO83" s="477">
        <f t="shared" si="146"/>
        <v>0</v>
      </c>
      <c r="AP83" s="477">
        <f t="shared" si="147"/>
        <v>0</v>
      </c>
      <c r="AQ83" s="477">
        <f t="shared" si="148"/>
        <v>0</v>
      </c>
      <c r="AR83" s="477">
        <f t="shared" si="149"/>
        <v>0</v>
      </c>
      <c r="AS83" s="477">
        <f t="shared" si="150"/>
        <v>0</v>
      </c>
      <c r="AT83" s="477">
        <f t="shared" si="151"/>
        <v>0</v>
      </c>
      <c r="AU83" s="477">
        <f t="shared" si="152"/>
        <v>0</v>
      </c>
      <c r="AV83" s="477">
        <f t="shared" si="153"/>
        <v>0</v>
      </c>
      <c r="AW83" s="477">
        <f t="shared" si="154"/>
        <v>0</v>
      </c>
      <c r="AX83" s="477">
        <f t="shared" si="155"/>
        <v>0</v>
      </c>
      <c r="AY83" s="477">
        <f t="shared" si="156"/>
        <v>0</v>
      </c>
      <c r="AZ83" s="477">
        <f t="shared" si="157"/>
        <v>0</v>
      </c>
      <c r="BA83" s="477">
        <f t="shared" si="158"/>
        <v>0</v>
      </c>
      <c r="BB83" s="477">
        <f t="shared" si="159"/>
        <v>0</v>
      </c>
      <c r="BC83" s="477">
        <f t="shared" si="160"/>
        <v>0</v>
      </c>
      <c r="BD83" s="477">
        <f t="shared" si="161"/>
        <v>0</v>
      </c>
      <c r="BE83" s="477">
        <f t="shared" si="162"/>
        <v>0</v>
      </c>
      <c r="BF83" s="477">
        <f t="shared" si="163"/>
        <v>0</v>
      </c>
      <c r="BG83" s="47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77">
        <f t="shared" si="127"/>
        <v>0</v>
      </c>
      <c r="V84" s="477">
        <f t="shared" si="128"/>
        <v>0</v>
      </c>
      <c r="W84" s="477">
        <f t="shared" si="129"/>
        <v>0</v>
      </c>
      <c r="X84" s="477">
        <f t="shared" si="130"/>
        <v>0</v>
      </c>
      <c r="Y84" s="477">
        <f t="shared" si="131"/>
        <v>0</v>
      </c>
      <c r="Z84" s="477">
        <f t="shared" si="132"/>
        <v>0</v>
      </c>
      <c r="AA84" s="477">
        <f t="shared" si="133"/>
        <v>0</v>
      </c>
      <c r="AB84" s="243"/>
      <c r="AC84" s="477">
        <f t="shared" si="134"/>
        <v>0</v>
      </c>
      <c r="AD84" s="477">
        <f t="shared" si="135"/>
        <v>0</v>
      </c>
      <c r="AE84" s="477">
        <f t="shared" si="136"/>
        <v>0</v>
      </c>
      <c r="AF84" s="477">
        <f t="shared" si="137"/>
        <v>0</v>
      </c>
      <c r="AG84" s="477">
        <f t="shared" si="138"/>
        <v>0</v>
      </c>
      <c r="AH84" s="477">
        <f t="shared" si="139"/>
        <v>0</v>
      </c>
      <c r="AI84" s="477">
        <f t="shared" si="140"/>
        <v>0</v>
      </c>
      <c r="AJ84" s="477">
        <f t="shared" si="141"/>
        <v>0</v>
      </c>
      <c r="AK84" s="477">
        <f t="shared" si="142"/>
        <v>0</v>
      </c>
      <c r="AL84" s="477">
        <f t="shared" si="143"/>
        <v>0</v>
      </c>
      <c r="AM84" s="477">
        <f t="shared" si="144"/>
        <v>0</v>
      </c>
      <c r="AN84" s="477">
        <f t="shared" si="145"/>
        <v>0</v>
      </c>
      <c r="AO84" s="477">
        <f t="shared" si="146"/>
        <v>0</v>
      </c>
      <c r="AP84" s="477">
        <f t="shared" si="147"/>
        <v>0</v>
      </c>
      <c r="AQ84" s="477">
        <f t="shared" si="148"/>
        <v>0</v>
      </c>
      <c r="AR84" s="477">
        <f t="shared" si="149"/>
        <v>0</v>
      </c>
      <c r="AS84" s="477">
        <f t="shared" si="150"/>
        <v>0</v>
      </c>
      <c r="AT84" s="477">
        <f t="shared" si="151"/>
        <v>0</v>
      </c>
      <c r="AU84" s="477">
        <f t="shared" si="152"/>
        <v>0</v>
      </c>
      <c r="AV84" s="477">
        <f t="shared" si="153"/>
        <v>0</v>
      </c>
      <c r="AW84" s="477">
        <f t="shared" si="154"/>
        <v>0</v>
      </c>
      <c r="AX84" s="477">
        <f t="shared" si="155"/>
        <v>0</v>
      </c>
      <c r="AY84" s="477">
        <f t="shared" si="156"/>
        <v>0</v>
      </c>
      <c r="AZ84" s="477">
        <f t="shared" si="157"/>
        <v>0</v>
      </c>
      <c r="BA84" s="477">
        <f t="shared" si="158"/>
        <v>0</v>
      </c>
      <c r="BB84" s="477">
        <f t="shared" si="159"/>
        <v>0</v>
      </c>
      <c r="BC84" s="477">
        <f t="shared" si="160"/>
        <v>0</v>
      </c>
      <c r="BD84" s="477">
        <f t="shared" si="161"/>
        <v>0</v>
      </c>
      <c r="BE84" s="477">
        <f t="shared" si="162"/>
        <v>0</v>
      </c>
      <c r="BF84" s="477">
        <f t="shared" si="163"/>
        <v>0</v>
      </c>
      <c r="BG84" s="47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77">
        <f t="shared" si="127"/>
        <v>0</v>
      </c>
      <c r="V85" s="477">
        <f t="shared" si="128"/>
        <v>0</v>
      </c>
      <c r="W85" s="477">
        <f t="shared" si="129"/>
        <v>0</v>
      </c>
      <c r="X85" s="477">
        <f t="shared" si="130"/>
        <v>0</v>
      </c>
      <c r="Y85" s="477">
        <f t="shared" si="131"/>
        <v>133</v>
      </c>
      <c r="Z85" s="477">
        <f t="shared" si="132"/>
        <v>133</v>
      </c>
      <c r="AA85" s="477">
        <f t="shared" si="133"/>
        <v>0</v>
      </c>
      <c r="AB85" s="243"/>
      <c r="AC85" s="477">
        <f t="shared" si="134"/>
        <v>0</v>
      </c>
      <c r="AD85" s="477">
        <f t="shared" si="135"/>
        <v>0</v>
      </c>
      <c r="AE85" s="477">
        <f t="shared" si="136"/>
        <v>0</v>
      </c>
      <c r="AF85" s="477">
        <f t="shared" si="137"/>
        <v>133</v>
      </c>
      <c r="AG85" s="477">
        <f t="shared" si="138"/>
        <v>133</v>
      </c>
      <c r="AH85" s="477">
        <f t="shared" si="139"/>
        <v>133</v>
      </c>
      <c r="AI85" s="477">
        <f t="shared" si="140"/>
        <v>133</v>
      </c>
      <c r="AJ85" s="477">
        <f t="shared" si="141"/>
        <v>0</v>
      </c>
      <c r="AK85" s="477">
        <f t="shared" si="142"/>
        <v>0</v>
      </c>
      <c r="AL85" s="477">
        <f t="shared" si="143"/>
        <v>0</v>
      </c>
      <c r="AM85" s="477">
        <f t="shared" si="144"/>
        <v>0</v>
      </c>
      <c r="AN85" s="477">
        <f t="shared" si="145"/>
        <v>133</v>
      </c>
      <c r="AO85" s="477">
        <f t="shared" si="146"/>
        <v>133</v>
      </c>
      <c r="AP85" s="477">
        <f t="shared" si="147"/>
        <v>133</v>
      </c>
      <c r="AQ85" s="477">
        <f t="shared" si="148"/>
        <v>133</v>
      </c>
      <c r="AR85" s="477">
        <f t="shared" si="149"/>
        <v>0</v>
      </c>
      <c r="AS85" s="477">
        <f t="shared" si="150"/>
        <v>0</v>
      </c>
      <c r="AT85" s="477">
        <f t="shared" si="151"/>
        <v>0</v>
      </c>
      <c r="AU85" s="477">
        <f t="shared" si="152"/>
        <v>0</v>
      </c>
      <c r="AV85" s="477">
        <f t="shared" si="153"/>
        <v>133</v>
      </c>
      <c r="AW85" s="477">
        <f t="shared" si="154"/>
        <v>133</v>
      </c>
      <c r="AX85" s="477">
        <f t="shared" si="155"/>
        <v>133</v>
      </c>
      <c r="AY85" s="477">
        <f t="shared" si="156"/>
        <v>133</v>
      </c>
      <c r="AZ85" s="477">
        <f t="shared" si="157"/>
        <v>0</v>
      </c>
      <c r="BA85" s="477">
        <f t="shared" si="158"/>
        <v>0</v>
      </c>
      <c r="BB85" s="477">
        <f t="shared" si="159"/>
        <v>0</v>
      </c>
      <c r="BC85" s="477">
        <f t="shared" si="160"/>
        <v>0</v>
      </c>
      <c r="BD85" s="477">
        <f t="shared" si="161"/>
        <v>133</v>
      </c>
      <c r="BE85" s="477">
        <f t="shared" si="162"/>
        <v>133</v>
      </c>
      <c r="BF85" s="477">
        <f t="shared" si="163"/>
        <v>133</v>
      </c>
      <c r="BG85" s="47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77">
        <f t="shared" si="127"/>
        <v>0</v>
      </c>
      <c r="V86" s="477">
        <f t="shared" si="128"/>
        <v>0</v>
      </c>
      <c r="W86" s="477">
        <f t="shared" si="129"/>
        <v>0</v>
      </c>
      <c r="X86" s="477">
        <f t="shared" si="130"/>
        <v>0</v>
      </c>
      <c r="Y86" s="477">
        <f t="shared" si="131"/>
        <v>133</v>
      </c>
      <c r="Z86" s="477">
        <f t="shared" si="132"/>
        <v>133</v>
      </c>
      <c r="AA86" s="477">
        <f t="shared" si="133"/>
        <v>66.36</v>
      </c>
      <c r="AB86" s="243"/>
      <c r="AC86" s="477">
        <f t="shared" si="134"/>
        <v>0</v>
      </c>
      <c r="AD86" s="477">
        <f t="shared" si="135"/>
        <v>66.36</v>
      </c>
      <c r="AE86" s="477">
        <f t="shared" si="136"/>
        <v>66.36</v>
      </c>
      <c r="AF86" s="477">
        <f t="shared" si="137"/>
        <v>133</v>
      </c>
      <c r="AG86" s="477">
        <f t="shared" si="138"/>
        <v>133</v>
      </c>
      <c r="AH86" s="477">
        <f t="shared" si="139"/>
        <v>199.36</v>
      </c>
      <c r="AI86" s="477">
        <f t="shared" si="140"/>
        <v>199.36</v>
      </c>
      <c r="AJ86" s="477">
        <f t="shared" si="141"/>
        <v>0</v>
      </c>
      <c r="AK86" s="477">
        <f t="shared" si="142"/>
        <v>0</v>
      </c>
      <c r="AL86" s="477">
        <f t="shared" si="143"/>
        <v>66.36</v>
      </c>
      <c r="AM86" s="477">
        <f t="shared" si="144"/>
        <v>66.36</v>
      </c>
      <c r="AN86" s="477">
        <f t="shared" si="145"/>
        <v>133</v>
      </c>
      <c r="AO86" s="477">
        <f t="shared" si="146"/>
        <v>133</v>
      </c>
      <c r="AP86" s="477">
        <f t="shared" si="147"/>
        <v>199.36</v>
      </c>
      <c r="AQ86" s="477">
        <f t="shared" si="148"/>
        <v>199.36</v>
      </c>
      <c r="AR86" s="477">
        <f t="shared" si="149"/>
        <v>0</v>
      </c>
      <c r="AS86" s="477">
        <f t="shared" si="150"/>
        <v>0</v>
      </c>
      <c r="AT86" s="477">
        <f t="shared" si="151"/>
        <v>66.36</v>
      </c>
      <c r="AU86" s="477">
        <f t="shared" si="152"/>
        <v>66.36</v>
      </c>
      <c r="AV86" s="477">
        <f t="shared" si="153"/>
        <v>133</v>
      </c>
      <c r="AW86" s="477">
        <f t="shared" si="154"/>
        <v>133</v>
      </c>
      <c r="AX86" s="477">
        <f t="shared" si="155"/>
        <v>199.36</v>
      </c>
      <c r="AY86" s="477">
        <f t="shared" si="156"/>
        <v>199.36</v>
      </c>
      <c r="AZ86" s="477">
        <f t="shared" si="157"/>
        <v>0</v>
      </c>
      <c r="BA86" s="477">
        <f t="shared" si="158"/>
        <v>0</v>
      </c>
      <c r="BB86" s="477">
        <f t="shared" si="159"/>
        <v>66.36</v>
      </c>
      <c r="BC86" s="477">
        <f t="shared" si="160"/>
        <v>66.36</v>
      </c>
      <c r="BD86" s="477">
        <f t="shared" si="161"/>
        <v>133</v>
      </c>
      <c r="BE86" s="477">
        <f t="shared" si="162"/>
        <v>133</v>
      </c>
      <c r="BF86" s="477">
        <f t="shared" si="163"/>
        <v>199.36</v>
      </c>
      <c r="BG86" s="47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77">
        <f t="shared" si="127"/>
        <v>0</v>
      </c>
      <c r="V87" s="477">
        <f t="shared" si="128"/>
        <v>0</v>
      </c>
      <c r="W87" s="477">
        <f t="shared" si="129"/>
        <v>0</v>
      </c>
      <c r="X87" s="477">
        <f t="shared" si="130"/>
        <v>198.8</v>
      </c>
      <c r="Y87" s="477">
        <f t="shared" si="131"/>
        <v>133</v>
      </c>
      <c r="Z87" s="477">
        <f t="shared" si="132"/>
        <v>133</v>
      </c>
      <c r="AA87" s="477">
        <f t="shared" si="133"/>
        <v>66.36</v>
      </c>
      <c r="AB87" s="243"/>
      <c r="AC87" s="477">
        <f t="shared" si="134"/>
        <v>198.8</v>
      </c>
      <c r="AD87" s="477">
        <f t="shared" si="135"/>
        <v>66.36</v>
      </c>
      <c r="AE87" s="477">
        <f t="shared" si="136"/>
        <v>265.16000000000003</v>
      </c>
      <c r="AF87" s="477">
        <f t="shared" si="137"/>
        <v>133</v>
      </c>
      <c r="AG87" s="477">
        <f t="shared" si="138"/>
        <v>331.8</v>
      </c>
      <c r="AH87" s="477">
        <f t="shared" si="139"/>
        <v>199.36</v>
      </c>
      <c r="AI87" s="477">
        <f t="shared" si="140"/>
        <v>398.16</v>
      </c>
      <c r="AJ87" s="477">
        <f t="shared" si="141"/>
        <v>0</v>
      </c>
      <c r="AK87" s="477">
        <f t="shared" si="142"/>
        <v>198.8</v>
      </c>
      <c r="AL87" s="477">
        <f t="shared" si="143"/>
        <v>66.36</v>
      </c>
      <c r="AM87" s="477">
        <f t="shared" si="144"/>
        <v>265.16000000000003</v>
      </c>
      <c r="AN87" s="477">
        <f t="shared" si="145"/>
        <v>133</v>
      </c>
      <c r="AO87" s="477">
        <f t="shared" si="146"/>
        <v>331.8</v>
      </c>
      <c r="AP87" s="477">
        <f t="shared" si="147"/>
        <v>199.36</v>
      </c>
      <c r="AQ87" s="477">
        <f t="shared" si="148"/>
        <v>398.16</v>
      </c>
      <c r="AR87" s="477">
        <f t="shared" si="149"/>
        <v>0</v>
      </c>
      <c r="AS87" s="477">
        <f t="shared" si="150"/>
        <v>198.8</v>
      </c>
      <c r="AT87" s="477">
        <f t="shared" si="151"/>
        <v>66.36</v>
      </c>
      <c r="AU87" s="477">
        <f t="shared" si="152"/>
        <v>265.16000000000003</v>
      </c>
      <c r="AV87" s="477">
        <f t="shared" si="153"/>
        <v>133</v>
      </c>
      <c r="AW87" s="477">
        <f t="shared" si="154"/>
        <v>331.8</v>
      </c>
      <c r="AX87" s="477">
        <f t="shared" si="155"/>
        <v>199.36</v>
      </c>
      <c r="AY87" s="477">
        <f t="shared" si="156"/>
        <v>398.16</v>
      </c>
      <c r="AZ87" s="477">
        <f t="shared" si="157"/>
        <v>0</v>
      </c>
      <c r="BA87" s="477">
        <f t="shared" si="158"/>
        <v>198.8</v>
      </c>
      <c r="BB87" s="477">
        <f t="shared" si="159"/>
        <v>66.36</v>
      </c>
      <c r="BC87" s="477">
        <f t="shared" si="160"/>
        <v>265.16000000000003</v>
      </c>
      <c r="BD87" s="477">
        <f t="shared" si="161"/>
        <v>133</v>
      </c>
      <c r="BE87" s="477">
        <f t="shared" si="162"/>
        <v>331.8</v>
      </c>
      <c r="BF87" s="477">
        <f t="shared" si="163"/>
        <v>199.36</v>
      </c>
      <c r="BG87" s="47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77">
        <f t="shared" si="127"/>
        <v>0</v>
      </c>
      <c r="V88" s="477">
        <f t="shared" si="128"/>
        <v>0</v>
      </c>
      <c r="W88" s="477">
        <f t="shared" si="129"/>
        <v>512</v>
      </c>
      <c r="X88" s="477">
        <f t="shared" si="130"/>
        <v>198.8</v>
      </c>
      <c r="Y88" s="477">
        <f t="shared" si="131"/>
        <v>133</v>
      </c>
      <c r="Z88" s="477">
        <f t="shared" si="132"/>
        <v>133</v>
      </c>
      <c r="AA88" s="477">
        <f t="shared" si="133"/>
        <v>66.36</v>
      </c>
      <c r="AB88" s="243"/>
      <c r="AC88" s="477">
        <f t="shared" si="134"/>
        <v>198.8</v>
      </c>
      <c r="AD88" s="477">
        <f t="shared" si="135"/>
        <v>66.36</v>
      </c>
      <c r="AE88" s="477">
        <f t="shared" si="136"/>
        <v>265.16000000000003</v>
      </c>
      <c r="AF88" s="477">
        <f t="shared" si="137"/>
        <v>133</v>
      </c>
      <c r="AG88" s="477">
        <f t="shared" si="138"/>
        <v>331.8</v>
      </c>
      <c r="AH88" s="477">
        <f t="shared" si="139"/>
        <v>199.36</v>
      </c>
      <c r="AI88" s="477">
        <f t="shared" si="140"/>
        <v>398.16</v>
      </c>
      <c r="AJ88" s="477">
        <f t="shared" si="141"/>
        <v>0</v>
      </c>
      <c r="AK88" s="477">
        <f t="shared" si="142"/>
        <v>198.8</v>
      </c>
      <c r="AL88" s="477">
        <f t="shared" si="143"/>
        <v>66.36</v>
      </c>
      <c r="AM88" s="477">
        <f t="shared" si="144"/>
        <v>265.16000000000003</v>
      </c>
      <c r="AN88" s="477">
        <f t="shared" si="145"/>
        <v>133</v>
      </c>
      <c r="AO88" s="477">
        <f t="shared" si="146"/>
        <v>331.8</v>
      </c>
      <c r="AP88" s="477">
        <f t="shared" si="147"/>
        <v>199.36</v>
      </c>
      <c r="AQ88" s="477">
        <f t="shared" si="148"/>
        <v>398.16</v>
      </c>
      <c r="AR88" s="477">
        <f t="shared" si="149"/>
        <v>512</v>
      </c>
      <c r="AS88" s="477">
        <f t="shared" si="150"/>
        <v>710.8</v>
      </c>
      <c r="AT88" s="477">
        <f t="shared" si="151"/>
        <v>578.36</v>
      </c>
      <c r="AU88" s="477">
        <f t="shared" si="152"/>
        <v>777.16000000000008</v>
      </c>
      <c r="AV88" s="477">
        <f t="shared" si="153"/>
        <v>645</v>
      </c>
      <c r="AW88" s="477">
        <f t="shared" si="154"/>
        <v>843.8</v>
      </c>
      <c r="AX88" s="477">
        <f t="shared" si="155"/>
        <v>711.36</v>
      </c>
      <c r="AY88" s="477">
        <f t="shared" si="156"/>
        <v>910.16000000000008</v>
      </c>
      <c r="AZ88" s="477">
        <f t="shared" si="157"/>
        <v>512</v>
      </c>
      <c r="BA88" s="477">
        <f t="shared" si="158"/>
        <v>710.8</v>
      </c>
      <c r="BB88" s="477">
        <f t="shared" si="159"/>
        <v>578.36</v>
      </c>
      <c r="BC88" s="477">
        <f t="shared" si="160"/>
        <v>777.16000000000008</v>
      </c>
      <c r="BD88" s="477">
        <f t="shared" si="161"/>
        <v>645</v>
      </c>
      <c r="BE88" s="477">
        <f t="shared" si="162"/>
        <v>843.8</v>
      </c>
      <c r="BF88" s="477">
        <f t="shared" si="163"/>
        <v>711.36</v>
      </c>
      <c r="BG88" s="47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77">
        <f t="shared" si="127"/>
        <v>0</v>
      </c>
      <c r="V89" s="477">
        <f t="shared" si="128"/>
        <v>0</v>
      </c>
      <c r="W89" s="477">
        <f t="shared" si="129"/>
        <v>512</v>
      </c>
      <c r="X89" s="477">
        <f t="shared" si="130"/>
        <v>198.8</v>
      </c>
      <c r="Y89" s="477">
        <f t="shared" si="131"/>
        <v>33.25</v>
      </c>
      <c r="Z89" s="477">
        <f t="shared" si="132"/>
        <v>33.25</v>
      </c>
      <c r="AA89" s="477">
        <f t="shared" si="133"/>
        <v>66.36</v>
      </c>
      <c r="AB89" s="243"/>
      <c r="AC89" s="477">
        <f t="shared" si="134"/>
        <v>198.8</v>
      </c>
      <c r="AD89" s="477">
        <f t="shared" si="135"/>
        <v>66.36</v>
      </c>
      <c r="AE89" s="477">
        <f t="shared" si="136"/>
        <v>265.16000000000003</v>
      </c>
      <c r="AF89" s="477">
        <f t="shared" si="137"/>
        <v>33.25</v>
      </c>
      <c r="AG89" s="477">
        <f t="shared" si="138"/>
        <v>232.05</v>
      </c>
      <c r="AH89" s="477">
        <f t="shared" si="139"/>
        <v>99.61</v>
      </c>
      <c r="AI89" s="477">
        <f t="shared" si="140"/>
        <v>298.41000000000003</v>
      </c>
      <c r="AJ89" s="477">
        <f t="shared" si="141"/>
        <v>0</v>
      </c>
      <c r="AK89" s="477">
        <f t="shared" si="142"/>
        <v>198.8</v>
      </c>
      <c r="AL89" s="477">
        <f t="shared" si="143"/>
        <v>66.36</v>
      </c>
      <c r="AM89" s="477">
        <f t="shared" si="144"/>
        <v>265.16000000000003</v>
      </c>
      <c r="AN89" s="477">
        <f t="shared" si="145"/>
        <v>33.25</v>
      </c>
      <c r="AO89" s="477">
        <f t="shared" si="146"/>
        <v>232.05</v>
      </c>
      <c r="AP89" s="477">
        <f t="shared" si="147"/>
        <v>99.61</v>
      </c>
      <c r="AQ89" s="477">
        <f t="shared" si="148"/>
        <v>298.41000000000003</v>
      </c>
      <c r="AR89" s="477">
        <f t="shared" si="149"/>
        <v>512</v>
      </c>
      <c r="AS89" s="477">
        <f t="shared" si="150"/>
        <v>710.8</v>
      </c>
      <c r="AT89" s="477">
        <f t="shared" si="151"/>
        <v>578.36</v>
      </c>
      <c r="AU89" s="477">
        <f t="shared" si="152"/>
        <v>777.16000000000008</v>
      </c>
      <c r="AV89" s="477">
        <f t="shared" si="153"/>
        <v>545.25</v>
      </c>
      <c r="AW89" s="477">
        <f t="shared" si="154"/>
        <v>744.05</v>
      </c>
      <c r="AX89" s="477">
        <f t="shared" si="155"/>
        <v>611.61</v>
      </c>
      <c r="AY89" s="477">
        <f t="shared" si="156"/>
        <v>810.41000000000008</v>
      </c>
      <c r="AZ89" s="477">
        <f t="shared" si="157"/>
        <v>512</v>
      </c>
      <c r="BA89" s="477">
        <f t="shared" si="158"/>
        <v>710.8</v>
      </c>
      <c r="BB89" s="477">
        <f t="shared" si="159"/>
        <v>578.36</v>
      </c>
      <c r="BC89" s="477">
        <f t="shared" si="160"/>
        <v>777.16000000000008</v>
      </c>
      <c r="BD89" s="477">
        <f t="shared" si="161"/>
        <v>545.25</v>
      </c>
      <c r="BE89" s="477">
        <f t="shared" si="162"/>
        <v>744.05</v>
      </c>
      <c r="BF89" s="477">
        <f t="shared" si="163"/>
        <v>611.61</v>
      </c>
      <c r="BG89" s="47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77">
        <f t="shared" si="127"/>
        <v>0</v>
      </c>
      <c r="V90" s="477">
        <f t="shared" si="128"/>
        <v>0</v>
      </c>
      <c r="W90" s="477">
        <f t="shared" si="129"/>
        <v>512</v>
      </c>
      <c r="X90" s="477">
        <f t="shared" si="130"/>
        <v>198.8</v>
      </c>
      <c r="Y90" s="477">
        <f t="shared" si="131"/>
        <v>33.25</v>
      </c>
      <c r="Z90" s="477">
        <f t="shared" si="132"/>
        <v>33.25</v>
      </c>
      <c r="AA90" s="477">
        <f t="shared" si="133"/>
        <v>2.7650000000000001</v>
      </c>
      <c r="AB90" s="243"/>
      <c r="AC90" s="477">
        <f t="shared" si="134"/>
        <v>198.8</v>
      </c>
      <c r="AD90" s="477">
        <f t="shared" si="135"/>
        <v>2.7650000000000001</v>
      </c>
      <c r="AE90" s="477">
        <f t="shared" si="136"/>
        <v>201.565</v>
      </c>
      <c r="AF90" s="477">
        <f t="shared" si="137"/>
        <v>33.25</v>
      </c>
      <c r="AG90" s="477">
        <f t="shared" si="138"/>
        <v>232.05</v>
      </c>
      <c r="AH90" s="477">
        <f t="shared" si="139"/>
        <v>36.015000000000001</v>
      </c>
      <c r="AI90" s="477">
        <f t="shared" si="140"/>
        <v>234.815</v>
      </c>
      <c r="AJ90" s="477">
        <f t="shared" si="141"/>
        <v>0</v>
      </c>
      <c r="AK90" s="477">
        <f t="shared" si="142"/>
        <v>198.8</v>
      </c>
      <c r="AL90" s="477">
        <f t="shared" si="143"/>
        <v>2.7650000000000001</v>
      </c>
      <c r="AM90" s="477">
        <f t="shared" si="144"/>
        <v>201.565</v>
      </c>
      <c r="AN90" s="477">
        <f t="shared" si="145"/>
        <v>33.25</v>
      </c>
      <c r="AO90" s="477">
        <f t="shared" si="146"/>
        <v>232.05</v>
      </c>
      <c r="AP90" s="477">
        <f t="shared" si="147"/>
        <v>36.015000000000001</v>
      </c>
      <c r="AQ90" s="477">
        <f t="shared" si="148"/>
        <v>234.815</v>
      </c>
      <c r="AR90" s="477">
        <f t="shared" si="149"/>
        <v>512</v>
      </c>
      <c r="AS90" s="477">
        <f t="shared" si="150"/>
        <v>710.8</v>
      </c>
      <c r="AT90" s="477">
        <f t="shared" si="151"/>
        <v>514.76499999999999</v>
      </c>
      <c r="AU90" s="477">
        <f t="shared" si="152"/>
        <v>713.56500000000005</v>
      </c>
      <c r="AV90" s="477">
        <f t="shared" si="153"/>
        <v>545.25</v>
      </c>
      <c r="AW90" s="477">
        <f t="shared" si="154"/>
        <v>744.05</v>
      </c>
      <c r="AX90" s="477">
        <f t="shared" si="155"/>
        <v>548.01499999999999</v>
      </c>
      <c r="AY90" s="477">
        <f t="shared" si="156"/>
        <v>746.81500000000005</v>
      </c>
      <c r="AZ90" s="477">
        <f t="shared" si="157"/>
        <v>512</v>
      </c>
      <c r="BA90" s="477">
        <f t="shared" si="158"/>
        <v>710.8</v>
      </c>
      <c r="BB90" s="477">
        <f t="shared" si="159"/>
        <v>514.76499999999999</v>
      </c>
      <c r="BC90" s="477">
        <f t="shared" si="160"/>
        <v>713.56500000000005</v>
      </c>
      <c r="BD90" s="477">
        <f t="shared" si="161"/>
        <v>545.25</v>
      </c>
      <c r="BE90" s="477">
        <f t="shared" si="162"/>
        <v>744.05</v>
      </c>
      <c r="BF90" s="477">
        <f t="shared" si="163"/>
        <v>548.01499999999999</v>
      </c>
      <c r="BG90" s="47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77">
        <f t="shared" si="127"/>
        <v>0</v>
      </c>
      <c r="V91" s="477">
        <f t="shared" si="128"/>
        <v>0</v>
      </c>
      <c r="W91" s="477">
        <f t="shared" si="129"/>
        <v>512</v>
      </c>
      <c r="X91" s="477">
        <f t="shared" si="130"/>
        <v>0.55222222222222217</v>
      </c>
      <c r="Y91" s="477">
        <f t="shared" si="131"/>
        <v>33.25</v>
      </c>
      <c r="Z91" s="477">
        <f t="shared" si="132"/>
        <v>33.25</v>
      </c>
      <c r="AA91" s="477">
        <f t="shared" si="133"/>
        <v>2.7650000000000001</v>
      </c>
      <c r="AB91" s="243"/>
      <c r="AC91" s="477">
        <f t="shared" si="134"/>
        <v>0.55222222222222217</v>
      </c>
      <c r="AD91" s="477">
        <f t="shared" si="135"/>
        <v>2.7650000000000001</v>
      </c>
      <c r="AE91" s="477">
        <f t="shared" si="136"/>
        <v>3.3172222222222221</v>
      </c>
      <c r="AF91" s="477">
        <f t="shared" si="137"/>
        <v>33.25</v>
      </c>
      <c r="AG91" s="477">
        <f t="shared" si="138"/>
        <v>33.80222222222222</v>
      </c>
      <c r="AH91" s="477">
        <f t="shared" si="139"/>
        <v>36.015000000000001</v>
      </c>
      <c r="AI91" s="477">
        <f t="shared" si="140"/>
        <v>36.56722222222222</v>
      </c>
      <c r="AJ91" s="477">
        <f t="shared" si="141"/>
        <v>0</v>
      </c>
      <c r="AK91" s="477">
        <f t="shared" si="142"/>
        <v>0.55222222222222217</v>
      </c>
      <c r="AL91" s="477">
        <f t="shared" si="143"/>
        <v>2.7650000000000001</v>
      </c>
      <c r="AM91" s="477">
        <f t="shared" si="144"/>
        <v>3.3172222222222221</v>
      </c>
      <c r="AN91" s="477">
        <f t="shared" si="145"/>
        <v>33.25</v>
      </c>
      <c r="AO91" s="477">
        <f t="shared" si="146"/>
        <v>33.80222222222222</v>
      </c>
      <c r="AP91" s="477">
        <f t="shared" si="147"/>
        <v>36.015000000000001</v>
      </c>
      <c r="AQ91" s="477">
        <f t="shared" si="148"/>
        <v>36.56722222222222</v>
      </c>
      <c r="AR91" s="477">
        <f t="shared" si="149"/>
        <v>512</v>
      </c>
      <c r="AS91" s="477">
        <f t="shared" si="150"/>
        <v>512.55222222222221</v>
      </c>
      <c r="AT91" s="477">
        <f t="shared" si="151"/>
        <v>514.76499999999999</v>
      </c>
      <c r="AU91" s="477">
        <f t="shared" si="152"/>
        <v>515.3172222222222</v>
      </c>
      <c r="AV91" s="477">
        <f t="shared" si="153"/>
        <v>545.25</v>
      </c>
      <c r="AW91" s="477">
        <f t="shared" si="154"/>
        <v>545.80222222222221</v>
      </c>
      <c r="AX91" s="477">
        <f t="shared" si="155"/>
        <v>548.01499999999999</v>
      </c>
      <c r="AY91" s="477">
        <f t="shared" si="156"/>
        <v>548.5672222222222</v>
      </c>
      <c r="AZ91" s="477">
        <f t="shared" si="157"/>
        <v>512</v>
      </c>
      <c r="BA91" s="477">
        <f t="shared" si="158"/>
        <v>512.55222222222221</v>
      </c>
      <c r="BB91" s="477">
        <f t="shared" si="159"/>
        <v>514.76499999999999</v>
      </c>
      <c r="BC91" s="477">
        <f t="shared" si="160"/>
        <v>515.3172222222222</v>
      </c>
      <c r="BD91" s="477">
        <f t="shared" si="161"/>
        <v>545.25</v>
      </c>
      <c r="BE91" s="477">
        <f t="shared" si="162"/>
        <v>545.80222222222221</v>
      </c>
      <c r="BF91" s="477">
        <f t="shared" si="163"/>
        <v>548.01499999999999</v>
      </c>
      <c r="BG91" s="47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77">
        <f t="shared" si="127"/>
        <v>0</v>
      </c>
      <c r="V92" s="477">
        <f t="shared" si="128"/>
        <v>0</v>
      </c>
      <c r="W92" s="477">
        <f t="shared" si="129"/>
        <v>1.7066666666666668</v>
      </c>
      <c r="X92" s="477">
        <f t="shared" si="130"/>
        <v>0.55222222222222217</v>
      </c>
      <c r="Y92" s="477">
        <f t="shared" si="131"/>
        <v>33.25</v>
      </c>
      <c r="Z92" s="477">
        <f t="shared" si="132"/>
        <v>33.25</v>
      </c>
      <c r="AA92" s="477">
        <f t="shared" si="133"/>
        <v>2.7650000000000001</v>
      </c>
      <c r="AB92" s="243"/>
      <c r="AC92" s="477">
        <f t="shared" si="134"/>
        <v>0.55222222222222217</v>
      </c>
      <c r="AD92" s="477">
        <f t="shared" si="135"/>
        <v>2.7650000000000001</v>
      </c>
      <c r="AE92" s="477">
        <f t="shared" si="136"/>
        <v>3.3172222222222221</v>
      </c>
      <c r="AF92" s="477">
        <f t="shared" si="137"/>
        <v>33.25</v>
      </c>
      <c r="AG92" s="477">
        <f t="shared" si="138"/>
        <v>33.80222222222222</v>
      </c>
      <c r="AH92" s="477">
        <f t="shared" si="139"/>
        <v>36.015000000000001</v>
      </c>
      <c r="AI92" s="477">
        <f t="shared" si="140"/>
        <v>36.56722222222222</v>
      </c>
      <c r="AJ92" s="477">
        <f t="shared" si="141"/>
        <v>0</v>
      </c>
      <c r="AK92" s="477">
        <f t="shared" si="142"/>
        <v>0.55222222222222217</v>
      </c>
      <c r="AL92" s="477">
        <f t="shared" si="143"/>
        <v>2.7650000000000001</v>
      </c>
      <c r="AM92" s="477">
        <f t="shared" si="144"/>
        <v>3.3172222222222221</v>
      </c>
      <c r="AN92" s="477">
        <f t="shared" si="145"/>
        <v>33.25</v>
      </c>
      <c r="AO92" s="477">
        <f t="shared" si="146"/>
        <v>33.80222222222222</v>
      </c>
      <c r="AP92" s="477">
        <f t="shared" si="147"/>
        <v>36.015000000000001</v>
      </c>
      <c r="AQ92" s="477">
        <f t="shared" si="148"/>
        <v>36.56722222222222</v>
      </c>
      <c r="AR92" s="477">
        <f t="shared" si="149"/>
        <v>1.7066666666666668</v>
      </c>
      <c r="AS92" s="477">
        <f t="shared" si="150"/>
        <v>2.2588888888888889</v>
      </c>
      <c r="AT92" s="477">
        <f t="shared" si="151"/>
        <v>4.4716666666666667</v>
      </c>
      <c r="AU92" s="477">
        <f t="shared" si="152"/>
        <v>5.0238888888888891</v>
      </c>
      <c r="AV92" s="477">
        <f t="shared" si="153"/>
        <v>34.956666666666663</v>
      </c>
      <c r="AW92" s="477">
        <f t="shared" si="154"/>
        <v>35.508888888888883</v>
      </c>
      <c r="AX92" s="477">
        <f t="shared" si="155"/>
        <v>37.721666666666664</v>
      </c>
      <c r="AY92" s="477">
        <f t="shared" si="156"/>
        <v>38.273888888888884</v>
      </c>
      <c r="AZ92" s="477">
        <f t="shared" si="157"/>
        <v>1.7066666666666668</v>
      </c>
      <c r="BA92" s="477">
        <f t="shared" si="158"/>
        <v>2.2588888888888889</v>
      </c>
      <c r="BB92" s="477">
        <f t="shared" si="159"/>
        <v>4.4716666666666667</v>
      </c>
      <c r="BC92" s="477">
        <f t="shared" si="160"/>
        <v>5.0238888888888891</v>
      </c>
      <c r="BD92" s="477">
        <f t="shared" si="161"/>
        <v>34.956666666666663</v>
      </c>
      <c r="BE92" s="477">
        <f t="shared" si="162"/>
        <v>35.508888888888883</v>
      </c>
      <c r="BF92" s="477">
        <f t="shared" si="163"/>
        <v>37.721666666666664</v>
      </c>
      <c r="BG92" s="47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77">
        <f t="shared" si="127"/>
        <v>0</v>
      </c>
      <c r="V93" s="477">
        <f t="shared" si="128"/>
        <v>0</v>
      </c>
      <c r="W93" s="477">
        <f t="shared" si="129"/>
        <v>1.7066666666666668</v>
      </c>
      <c r="X93" s="477">
        <f t="shared" si="130"/>
        <v>0.55222222222222217</v>
      </c>
      <c r="Y93" s="477">
        <f t="shared" si="131"/>
        <v>11.083333333333334</v>
      </c>
      <c r="Z93" s="477">
        <f t="shared" si="132"/>
        <v>11.083333333333334</v>
      </c>
      <c r="AA93" s="477">
        <f t="shared" si="133"/>
        <v>2.7650000000000001</v>
      </c>
      <c r="AB93" s="243"/>
      <c r="AC93" s="477">
        <f t="shared" si="134"/>
        <v>0.55222222222222217</v>
      </c>
      <c r="AD93" s="477">
        <f t="shared" si="135"/>
        <v>2.7650000000000001</v>
      </c>
      <c r="AE93" s="477">
        <f t="shared" si="136"/>
        <v>3.3172222222222221</v>
      </c>
      <c r="AF93" s="477">
        <f t="shared" si="137"/>
        <v>11.083333333333334</v>
      </c>
      <c r="AG93" s="477">
        <f t="shared" si="138"/>
        <v>11.635555555555555</v>
      </c>
      <c r="AH93" s="477">
        <f t="shared" si="139"/>
        <v>13.848333333333334</v>
      </c>
      <c r="AI93" s="477">
        <f t="shared" si="140"/>
        <v>14.400555555555556</v>
      </c>
      <c r="AJ93" s="477">
        <f t="shared" si="141"/>
        <v>0</v>
      </c>
      <c r="AK93" s="477">
        <f t="shared" si="142"/>
        <v>0.55222222222222217</v>
      </c>
      <c r="AL93" s="477">
        <f t="shared" si="143"/>
        <v>2.7650000000000001</v>
      </c>
      <c r="AM93" s="477">
        <f t="shared" si="144"/>
        <v>3.3172222222222221</v>
      </c>
      <c r="AN93" s="477">
        <f t="shared" si="145"/>
        <v>11.083333333333334</v>
      </c>
      <c r="AO93" s="477">
        <f t="shared" si="146"/>
        <v>11.635555555555555</v>
      </c>
      <c r="AP93" s="477">
        <f t="shared" si="147"/>
        <v>13.848333333333334</v>
      </c>
      <c r="AQ93" s="477">
        <f t="shared" si="148"/>
        <v>14.400555555555556</v>
      </c>
      <c r="AR93" s="477">
        <f t="shared" si="149"/>
        <v>1.7066666666666668</v>
      </c>
      <c r="AS93" s="477">
        <f t="shared" si="150"/>
        <v>2.2588888888888889</v>
      </c>
      <c r="AT93" s="477">
        <f t="shared" si="151"/>
        <v>4.4716666666666667</v>
      </c>
      <c r="AU93" s="477">
        <f t="shared" si="152"/>
        <v>5.0238888888888891</v>
      </c>
      <c r="AV93" s="477">
        <f t="shared" si="153"/>
        <v>12.790000000000001</v>
      </c>
      <c r="AW93" s="477">
        <f t="shared" si="154"/>
        <v>13.342222222222222</v>
      </c>
      <c r="AX93" s="477">
        <f t="shared" si="155"/>
        <v>15.555000000000001</v>
      </c>
      <c r="AY93" s="477">
        <f t="shared" si="156"/>
        <v>16.107222222222223</v>
      </c>
      <c r="AZ93" s="477">
        <f t="shared" si="157"/>
        <v>1.7066666666666668</v>
      </c>
      <c r="BA93" s="477">
        <f t="shared" si="158"/>
        <v>2.2588888888888889</v>
      </c>
      <c r="BB93" s="477">
        <f t="shared" si="159"/>
        <v>4.4716666666666667</v>
      </c>
      <c r="BC93" s="477">
        <f t="shared" si="160"/>
        <v>5.0238888888888891</v>
      </c>
      <c r="BD93" s="477">
        <f t="shared" si="161"/>
        <v>12.790000000000001</v>
      </c>
      <c r="BE93" s="477">
        <f t="shared" si="162"/>
        <v>13.342222222222222</v>
      </c>
      <c r="BF93" s="477">
        <f t="shared" si="163"/>
        <v>15.555000000000001</v>
      </c>
      <c r="BG93" s="47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77">
        <f t="shared" si="127"/>
        <v>0</v>
      </c>
      <c r="V94" s="477">
        <f t="shared" si="128"/>
        <v>0</v>
      </c>
      <c r="W94" s="477">
        <f t="shared" si="129"/>
        <v>1.7066666666666668</v>
      </c>
      <c r="X94" s="477">
        <f t="shared" si="130"/>
        <v>16.566666666666666</v>
      </c>
      <c r="Y94" s="477">
        <f t="shared" si="131"/>
        <v>11.083333333333334</v>
      </c>
      <c r="Z94" s="477">
        <f t="shared" si="132"/>
        <v>11.083333333333334</v>
      </c>
      <c r="AA94" s="477">
        <f t="shared" si="133"/>
        <v>2.7650000000000001</v>
      </c>
      <c r="AB94" s="243"/>
      <c r="AC94" s="477">
        <f t="shared" si="134"/>
        <v>16.566666666666666</v>
      </c>
      <c r="AD94" s="477">
        <f t="shared" si="135"/>
        <v>2.7650000000000001</v>
      </c>
      <c r="AE94" s="477">
        <f t="shared" si="136"/>
        <v>19.331666666666667</v>
      </c>
      <c r="AF94" s="477">
        <f t="shared" si="137"/>
        <v>11.083333333333334</v>
      </c>
      <c r="AG94" s="477">
        <f t="shared" si="138"/>
        <v>27.65</v>
      </c>
      <c r="AH94" s="477">
        <f t="shared" si="139"/>
        <v>13.848333333333334</v>
      </c>
      <c r="AI94" s="477">
        <f t="shared" si="140"/>
        <v>30.414999999999999</v>
      </c>
      <c r="AJ94" s="477">
        <f t="shared" si="141"/>
        <v>0</v>
      </c>
      <c r="AK94" s="477">
        <f t="shared" si="142"/>
        <v>16.566666666666666</v>
      </c>
      <c r="AL94" s="477">
        <f t="shared" si="143"/>
        <v>2.7650000000000001</v>
      </c>
      <c r="AM94" s="477">
        <f t="shared" si="144"/>
        <v>19.331666666666667</v>
      </c>
      <c r="AN94" s="477">
        <f t="shared" si="145"/>
        <v>11.083333333333334</v>
      </c>
      <c r="AO94" s="477">
        <f t="shared" si="146"/>
        <v>27.65</v>
      </c>
      <c r="AP94" s="477">
        <f t="shared" si="147"/>
        <v>13.848333333333334</v>
      </c>
      <c r="AQ94" s="477">
        <f t="shared" si="148"/>
        <v>30.414999999999999</v>
      </c>
      <c r="AR94" s="477">
        <f t="shared" si="149"/>
        <v>1.7066666666666668</v>
      </c>
      <c r="AS94" s="477">
        <f t="shared" si="150"/>
        <v>18.273333333333333</v>
      </c>
      <c r="AT94" s="477">
        <f t="shared" si="151"/>
        <v>4.4716666666666667</v>
      </c>
      <c r="AU94" s="477">
        <f t="shared" si="152"/>
        <v>21.038333333333334</v>
      </c>
      <c r="AV94" s="477">
        <f t="shared" si="153"/>
        <v>12.790000000000001</v>
      </c>
      <c r="AW94" s="477">
        <f t="shared" si="154"/>
        <v>29.356666666666669</v>
      </c>
      <c r="AX94" s="477">
        <f t="shared" si="155"/>
        <v>15.555000000000001</v>
      </c>
      <c r="AY94" s="477">
        <f t="shared" si="156"/>
        <v>32.12166666666667</v>
      </c>
      <c r="AZ94" s="477">
        <f t="shared" si="157"/>
        <v>1.7066666666666668</v>
      </c>
      <c r="BA94" s="477">
        <f t="shared" si="158"/>
        <v>18.273333333333333</v>
      </c>
      <c r="BB94" s="477">
        <f t="shared" si="159"/>
        <v>4.4716666666666667</v>
      </c>
      <c r="BC94" s="477">
        <f t="shared" si="160"/>
        <v>21.038333333333334</v>
      </c>
      <c r="BD94" s="477">
        <f t="shared" si="161"/>
        <v>12.790000000000001</v>
      </c>
      <c r="BE94" s="477">
        <f t="shared" si="162"/>
        <v>29.356666666666669</v>
      </c>
      <c r="BF94" s="477">
        <f t="shared" si="163"/>
        <v>15.555000000000001</v>
      </c>
      <c r="BG94" s="47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77">
        <f t="shared" si="127"/>
        <v>0</v>
      </c>
      <c r="V95" s="477">
        <f t="shared" si="128"/>
        <v>0</v>
      </c>
      <c r="W95" s="477">
        <f t="shared" si="129"/>
        <v>1.7066666666666668</v>
      </c>
      <c r="X95" s="477">
        <f t="shared" si="130"/>
        <v>16.566666666666666</v>
      </c>
      <c r="Y95" s="477">
        <f t="shared" si="131"/>
        <v>11.083333333333334</v>
      </c>
      <c r="Z95" s="477">
        <f t="shared" si="132"/>
        <v>11.083333333333334</v>
      </c>
      <c r="AA95" s="477">
        <f t="shared" si="133"/>
        <v>2.7650000000000001</v>
      </c>
      <c r="AB95" s="243"/>
      <c r="AC95" s="477">
        <f t="shared" si="134"/>
        <v>16.566666666666666</v>
      </c>
      <c r="AD95" s="477">
        <f t="shared" si="135"/>
        <v>2.7650000000000001</v>
      </c>
      <c r="AE95" s="477">
        <f t="shared" si="136"/>
        <v>19.331666666666667</v>
      </c>
      <c r="AF95" s="477">
        <f t="shared" si="137"/>
        <v>11.083333333333334</v>
      </c>
      <c r="AG95" s="477">
        <f t="shared" si="138"/>
        <v>27.65</v>
      </c>
      <c r="AH95" s="477">
        <f t="shared" si="139"/>
        <v>13.848333333333334</v>
      </c>
      <c r="AI95" s="477">
        <f t="shared" si="140"/>
        <v>30.414999999999999</v>
      </c>
      <c r="AJ95" s="477">
        <f t="shared" si="141"/>
        <v>0</v>
      </c>
      <c r="AK95" s="477">
        <f t="shared" si="142"/>
        <v>16.566666666666666</v>
      </c>
      <c r="AL95" s="477">
        <f t="shared" si="143"/>
        <v>2.7650000000000001</v>
      </c>
      <c r="AM95" s="477">
        <f t="shared" si="144"/>
        <v>19.331666666666667</v>
      </c>
      <c r="AN95" s="477">
        <f t="shared" si="145"/>
        <v>11.083333333333334</v>
      </c>
      <c r="AO95" s="477">
        <f t="shared" si="146"/>
        <v>27.65</v>
      </c>
      <c r="AP95" s="477">
        <f t="shared" si="147"/>
        <v>13.848333333333334</v>
      </c>
      <c r="AQ95" s="477">
        <f t="shared" si="148"/>
        <v>30.414999999999999</v>
      </c>
      <c r="AR95" s="477">
        <f t="shared" si="149"/>
        <v>1.7066666666666668</v>
      </c>
      <c r="AS95" s="477">
        <f t="shared" si="150"/>
        <v>18.273333333333333</v>
      </c>
      <c r="AT95" s="477">
        <f t="shared" si="151"/>
        <v>4.4716666666666667</v>
      </c>
      <c r="AU95" s="477">
        <f t="shared" si="152"/>
        <v>21.038333333333334</v>
      </c>
      <c r="AV95" s="477">
        <f t="shared" si="153"/>
        <v>12.790000000000001</v>
      </c>
      <c r="AW95" s="477">
        <f t="shared" si="154"/>
        <v>29.356666666666669</v>
      </c>
      <c r="AX95" s="477">
        <f t="shared" si="155"/>
        <v>15.555000000000001</v>
      </c>
      <c r="AY95" s="477">
        <f t="shared" si="156"/>
        <v>32.12166666666667</v>
      </c>
      <c r="AZ95" s="477">
        <f t="shared" si="157"/>
        <v>1.7066666666666668</v>
      </c>
      <c r="BA95" s="477">
        <f t="shared" si="158"/>
        <v>18.273333333333333</v>
      </c>
      <c r="BB95" s="477">
        <f t="shared" si="159"/>
        <v>4.4716666666666667</v>
      </c>
      <c r="BC95" s="477">
        <f t="shared" si="160"/>
        <v>21.038333333333334</v>
      </c>
      <c r="BD95" s="477">
        <f t="shared" si="161"/>
        <v>12.790000000000001</v>
      </c>
      <c r="BE95" s="477">
        <f t="shared" si="162"/>
        <v>29.356666666666669</v>
      </c>
      <c r="BF95" s="477">
        <f t="shared" si="163"/>
        <v>15.555000000000001</v>
      </c>
      <c r="BG95" s="47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77">
        <f t="shared" si="127"/>
        <v>0</v>
      </c>
      <c r="V96" s="477">
        <f t="shared" si="128"/>
        <v>0</v>
      </c>
      <c r="W96" s="477">
        <f t="shared" si="129"/>
        <v>0.28444444444444444</v>
      </c>
      <c r="X96" s="477">
        <f t="shared" si="130"/>
        <v>16.566666666666666</v>
      </c>
      <c r="Y96" s="477">
        <f t="shared" si="131"/>
        <v>11.083333333333334</v>
      </c>
      <c r="Z96" s="477">
        <f t="shared" si="132"/>
        <v>11.083333333333334</v>
      </c>
      <c r="AA96" s="477">
        <f t="shared" si="133"/>
        <v>2.7650000000000001</v>
      </c>
      <c r="AB96" s="243"/>
      <c r="AC96" s="477">
        <f t="shared" si="134"/>
        <v>16.566666666666666</v>
      </c>
      <c r="AD96" s="477">
        <f t="shared" si="135"/>
        <v>2.7650000000000001</v>
      </c>
      <c r="AE96" s="477">
        <f t="shared" si="136"/>
        <v>19.331666666666667</v>
      </c>
      <c r="AF96" s="477">
        <f t="shared" si="137"/>
        <v>11.083333333333334</v>
      </c>
      <c r="AG96" s="477">
        <f t="shared" si="138"/>
        <v>27.65</v>
      </c>
      <c r="AH96" s="477">
        <f t="shared" si="139"/>
        <v>13.848333333333334</v>
      </c>
      <c r="AI96" s="477">
        <f t="shared" si="140"/>
        <v>30.414999999999999</v>
      </c>
      <c r="AJ96" s="477">
        <f t="shared" si="141"/>
        <v>0</v>
      </c>
      <c r="AK96" s="477">
        <f t="shared" si="142"/>
        <v>16.566666666666666</v>
      </c>
      <c r="AL96" s="477">
        <f t="shared" si="143"/>
        <v>2.7650000000000001</v>
      </c>
      <c r="AM96" s="477">
        <f t="shared" si="144"/>
        <v>19.331666666666667</v>
      </c>
      <c r="AN96" s="477">
        <f t="shared" si="145"/>
        <v>11.083333333333334</v>
      </c>
      <c r="AO96" s="477">
        <f t="shared" si="146"/>
        <v>27.65</v>
      </c>
      <c r="AP96" s="477">
        <f t="shared" si="147"/>
        <v>13.848333333333334</v>
      </c>
      <c r="AQ96" s="477">
        <f t="shared" si="148"/>
        <v>30.414999999999999</v>
      </c>
      <c r="AR96" s="477">
        <f t="shared" si="149"/>
        <v>0.28444444444444444</v>
      </c>
      <c r="AS96" s="477">
        <f t="shared" si="150"/>
        <v>16.851111111111109</v>
      </c>
      <c r="AT96" s="477">
        <f t="shared" si="151"/>
        <v>3.0494444444444446</v>
      </c>
      <c r="AU96" s="477">
        <f t="shared" si="152"/>
        <v>19.61611111111111</v>
      </c>
      <c r="AV96" s="477">
        <f t="shared" si="153"/>
        <v>11.367777777777778</v>
      </c>
      <c r="AW96" s="477">
        <f t="shared" si="154"/>
        <v>27.934444444444445</v>
      </c>
      <c r="AX96" s="477">
        <f t="shared" si="155"/>
        <v>14.132777777777779</v>
      </c>
      <c r="AY96" s="477">
        <f t="shared" si="156"/>
        <v>30.699444444444445</v>
      </c>
      <c r="AZ96" s="477">
        <f t="shared" si="157"/>
        <v>0.28444444444444444</v>
      </c>
      <c r="BA96" s="477">
        <f t="shared" si="158"/>
        <v>16.851111111111109</v>
      </c>
      <c r="BB96" s="477">
        <f t="shared" si="159"/>
        <v>3.0494444444444446</v>
      </c>
      <c r="BC96" s="477">
        <f t="shared" si="160"/>
        <v>19.61611111111111</v>
      </c>
      <c r="BD96" s="477">
        <f t="shared" si="161"/>
        <v>11.367777777777778</v>
      </c>
      <c r="BE96" s="477">
        <f t="shared" si="162"/>
        <v>27.934444444444445</v>
      </c>
      <c r="BF96" s="477">
        <f t="shared" si="163"/>
        <v>14.132777777777779</v>
      </c>
      <c r="BG96" s="47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77">
        <f t="shared" si="127"/>
        <v>7.3437500000000003E-2</v>
      </c>
      <c r="V97" s="477">
        <f t="shared" si="128"/>
        <v>0.3046875</v>
      </c>
      <c r="W97" s="477">
        <f t="shared" si="129"/>
        <v>0.28444444444444444</v>
      </c>
      <c r="X97" s="477">
        <f t="shared" si="130"/>
        <v>16.566666666666666</v>
      </c>
      <c r="Y97" s="477">
        <f t="shared" si="131"/>
        <v>11.083333333333334</v>
      </c>
      <c r="Z97" s="477">
        <f t="shared" si="132"/>
        <v>0.15393518518518517</v>
      </c>
      <c r="AA97" s="477">
        <f t="shared" si="133"/>
        <v>2.7650000000000001</v>
      </c>
      <c r="AB97" s="243"/>
      <c r="AC97" s="477">
        <f t="shared" si="134"/>
        <v>16.566666666666666</v>
      </c>
      <c r="AD97" s="477">
        <f t="shared" si="135"/>
        <v>2.7650000000000001</v>
      </c>
      <c r="AE97" s="477">
        <f t="shared" si="136"/>
        <v>19.331666666666667</v>
      </c>
      <c r="AF97" s="477">
        <f t="shared" si="137"/>
        <v>0.45862268518518517</v>
      </c>
      <c r="AG97" s="477">
        <f t="shared" si="138"/>
        <v>17.025289351851853</v>
      </c>
      <c r="AH97" s="477">
        <f t="shared" si="139"/>
        <v>3.2236226851851852</v>
      </c>
      <c r="AI97" s="477">
        <f t="shared" si="140"/>
        <v>19.79028935185185</v>
      </c>
      <c r="AJ97" s="477">
        <f t="shared" si="141"/>
        <v>7.3437500000000003E-2</v>
      </c>
      <c r="AK97" s="477">
        <f t="shared" si="142"/>
        <v>16.640104166666667</v>
      </c>
      <c r="AL97" s="477">
        <f t="shared" si="143"/>
        <v>2.8384374999999999</v>
      </c>
      <c r="AM97" s="477">
        <f t="shared" si="144"/>
        <v>19.405104166666668</v>
      </c>
      <c r="AN97" s="477">
        <f t="shared" si="145"/>
        <v>0.53206018518518516</v>
      </c>
      <c r="AO97" s="477">
        <f t="shared" si="146"/>
        <v>17.09872685185185</v>
      </c>
      <c r="AP97" s="477">
        <f t="shared" si="147"/>
        <v>3.2970601851851855</v>
      </c>
      <c r="AQ97" s="477">
        <f t="shared" si="148"/>
        <v>19.863726851851851</v>
      </c>
      <c r="AR97" s="477">
        <f t="shared" si="149"/>
        <v>0.28444444444444444</v>
      </c>
      <c r="AS97" s="477">
        <f t="shared" si="150"/>
        <v>16.851111111111109</v>
      </c>
      <c r="AT97" s="477">
        <f t="shared" si="151"/>
        <v>3.0494444444444446</v>
      </c>
      <c r="AU97" s="477">
        <f t="shared" si="152"/>
        <v>19.61611111111111</v>
      </c>
      <c r="AV97" s="477">
        <f t="shared" si="153"/>
        <v>0.74306712962962962</v>
      </c>
      <c r="AW97" s="477">
        <f t="shared" si="154"/>
        <v>17.309733796296296</v>
      </c>
      <c r="AX97" s="477">
        <f t="shared" si="155"/>
        <v>3.5080671296296297</v>
      </c>
      <c r="AY97" s="477">
        <f t="shared" si="156"/>
        <v>20.074733796296297</v>
      </c>
      <c r="AZ97" s="477">
        <f t="shared" si="157"/>
        <v>0.35788194444444443</v>
      </c>
      <c r="BA97" s="477">
        <f t="shared" si="158"/>
        <v>16.92454861111111</v>
      </c>
      <c r="BB97" s="477">
        <f t="shared" si="159"/>
        <v>3.1228819444444444</v>
      </c>
      <c r="BC97" s="477">
        <f t="shared" si="160"/>
        <v>19.68954861111111</v>
      </c>
      <c r="BD97" s="477">
        <f t="shared" si="161"/>
        <v>0.81650462962962966</v>
      </c>
      <c r="BE97" s="477">
        <f t="shared" si="162"/>
        <v>17.383171296296297</v>
      </c>
      <c r="BF97" s="477">
        <f t="shared" si="163"/>
        <v>3.58150462962963</v>
      </c>
      <c r="BG97" s="47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77">
        <f t="shared" si="127"/>
        <v>7.3437500000000003E-2</v>
      </c>
      <c r="V98" s="477">
        <f t="shared" si="128"/>
        <v>0.3046875</v>
      </c>
      <c r="W98" s="477">
        <f t="shared" si="129"/>
        <v>0.28444444444444444</v>
      </c>
      <c r="X98" s="477">
        <f t="shared" si="130"/>
        <v>16.566666666666666</v>
      </c>
      <c r="Y98" s="477">
        <f t="shared" si="131"/>
        <v>11.083333333333334</v>
      </c>
      <c r="Z98" s="477">
        <f t="shared" si="132"/>
        <v>0.15393518518518517</v>
      </c>
      <c r="AA98" s="477">
        <f t="shared" si="133"/>
        <v>2.7650000000000001</v>
      </c>
      <c r="AB98" s="243"/>
      <c r="AC98" s="477">
        <f t="shared" si="134"/>
        <v>16.566666666666666</v>
      </c>
      <c r="AD98" s="477">
        <f t="shared" si="135"/>
        <v>3.0696875000000001</v>
      </c>
      <c r="AE98" s="477">
        <f t="shared" si="136"/>
        <v>19.636354166666667</v>
      </c>
      <c r="AF98" s="477">
        <f t="shared" si="137"/>
        <v>0.15393518518518517</v>
      </c>
      <c r="AG98" s="477">
        <f t="shared" si="138"/>
        <v>16.720601851851853</v>
      </c>
      <c r="AH98" s="477">
        <f t="shared" si="139"/>
        <v>3.2236226851851852</v>
      </c>
      <c r="AI98" s="477">
        <f t="shared" si="140"/>
        <v>19.79028935185185</v>
      </c>
      <c r="AJ98" s="477">
        <f t="shared" si="141"/>
        <v>7.3437500000000003E-2</v>
      </c>
      <c r="AK98" s="477">
        <f t="shared" si="142"/>
        <v>16.640104166666667</v>
      </c>
      <c r="AL98" s="477">
        <f t="shared" si="143"/>
        <v>3.1431249999999999</v>
      </c>
      <c r="AM98" s="477">
        <f t="shared" si="144"/>
        <v>19.709791666666668</v>
      </c>
      <c r="AN98" s="477">
        <f t="shared" si="145"/>
        <v>0.22737268518518516</v>
      </c>
      <c r="AO98" s="477">
        <f t="shared" si="146"/>
        <v>16.79403935185185</v>
      </c>
      <c r="AP98" s="477">
        <f t="shared" si="147"/>
        <v>3.2970601851851855</v>
      </c>
      <c r="AQ98" s="477">
        <f t="shared" si="148"/>
        <v>19.863726851851851</v>
      </c>
      <c r="AR98" s="477">
        <f t="shared" si="149"/>
        <v>0.28444444444444444</v>
      </c>
      <c r="AS98" s="477">
        <f t="shared" si="150"/>
        <v>16.851111111111109</v>
      </c>
      <c r="AT98" s="477">
        <f t="shared" si="151"/>
        <v>3.3541319444444446</v>
      </c>
      <c r="AU98" s="477">
        <f t="shared" si="152"/>
        <v>19.92079861111111</v>
      </c>
      <c r="AV98" s="477">
        <f t="shared" si="153"/>
        <v>0.43837962962962962</v>
      </c>
      <c r="AW98" s="477">
        <f t="shared" si="154"/>
        <v>17.005046296296296</v>
      </c>
      <c r="AX98" s="477">
        <f t="shared" si="155"/>
        <v>3.5080671296296297</v>
      </c>
      <c r="AY98" s="477">
        <f t="shared" si="156"/>
        <v>20.074733796296297</v>
      </c>
      <c r="AZ98" s="477">
        <f t="shared" si="157"/>
        <v>0.35788194444444443</v>
      </c>
      <c r="BA98" s="477">
        <f t="shared" si="158"/>
        <v>16.92454861111111</v>
      </c>
      <c r="BB98" s="477">
        <f t="shared" si="159"/>
        <v>3.4275694444444444</v>
      </c>
      <c r="BC98" s="477">
        <f t="shared" si="160"/>
        <v>19.99423611111111</v>
      </c>
      <c r="BD98" s="477">
        <f t="shared" si="161"/>
        <v>0.51181712962962966</v>
      </c>
      <c r="BE98" s="477">
        <f t="shared" si="162"/>
        <v>17.078483796296297</v>
      </c>
      <c r="BF98" s="477">
        <f t="shared" si="163"/>
        <v>3.58150462962963</v>
      </c>
      <c r="BG98" s="47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77">
        <f t="shared" si="127"/>
        <v>7.3437500000000003E-2</v>
      </c>
      <c r="V99" s="477">
        <f t="shared" si="128"/>
        <v>0.3046875</v>
      </c>
      <c r="W99" s="477">
        <f t="shared" si="129"/>
        <v>0.28444444444444444</v>
      </c>
      <c r="X99" s="477">
        <f t="shared" si="130"/>
        <v>16.566666666666666</v>
      </c>
      <c r="Y99" s="477">
        <f t="shared" si="131"/>
        <v>11.083333333333334</v>
      </c>
      <c r="Z99" s="477">
        <f t="shared" si="132"/>
        <v>0.15393518518518517</v>
      </c>
      <c r="AA99" s="477">
        <f t="shared" si="133"/>
        <v>2.7650000000000001</v>
      </c>
      <c r="AB99" s="243"/>
      <c r="AC99" s="477">
        <f t="shared" si="134"/>
        <v>16.566666666666666</v>
      </c>
      <c r="AD99" s="477">
        <f t="shared" si="135"/>
        <v>3.0696875000000001</v>
      </c>
      <c r="AE99" s="477">
        <f t="shared" si="136"/>
        <v>19.636354166666667</v>
      </c>
      <c r="AF99" s="477">
        <f t="shared" si="137"/>
        <v>0.15393518518518517</v>
      </c>
      <c r="AG99" s="477">
        <f t="shared" si="138"/>
        <v>16.720601851851853</v>
      </c>
      <c r="AH99" s="477">
        <f t="shared" si="139"/>
        <v>3.2236226851851852</v>
      </c>
      <c r="AI99" s="477">
        <f t="shared" si="140"/>
        <v>19.79028935185185</v>
      </c>
      <c r="AJ99" s="477">
        <f t="shared" si="141"/>
        <v>7.3437500000000003E-2</v>
      </c>
      <c r="AK99" s="477">
        <f t="shared" si="142"/>
        <v>16.640104166666667</v>
      </c>
      <c r="AL99" s="477">
        <f t="shared" si="143"/>
        <v>3.1431249999999999</v>
      </c>
      <c r="AM99" s="477">
        <f t="shared" si="144"/>
        <v>19.709791666666668</v>
      </c>
      <c r="AN99" s="477">
        <f t="shared" si="145"/>
        <v>0.22737268518518516</v>
      </c>
      <c r="AO99" s="477">
        <f t="shared" si="146"/>
        <v>16.79403935185185</v>
      </c>
      <c r="AP99" s="477">
        <f t="shared" si="147"/>
        <v>3.2970601851851855</v>
      </c>
      <c r="AQ99" s="477">
        <f t="shared" si="148"/>
        <v>19.863726851851851</v>
      </c>
      <c r="AR99" s="477">
        <f t="shared" si="149"/>
        <v>0.28444444444444444</v>
      </c>
      <c r="AS99" s="477">
        <f t="shared" si="150"/>
        <v>16.851111111111109</v>
      </c>
      <c r="AT99" s="477">
        <f t="shared" si="151"/>
        <v>3.3541319444444446</v>
      </c>
      <c r="AU99" s="477">
        <f t="shared" si="152"/>
        <v>19.92079861111111</v>
      </c>
      <c r="AV99" s="477">
        <f t="shared" si="153"/>
        <v>0.43837962962962962</v>
      </c>
      <c r="AW99" s="477">
        <f t="shared" si="154"/>
        <v>17.005046296296296</v>
      </c>
      <c r="AX99" s="477">
        <f t="shared" si="155"/>
        <v>3.5080671296296297</v>
      </c>
      <c r="AY99" s="477">
        <f t="shared" si="156"/>
        <v>20.074733796296297</v>
      </c>
      <c r="AZ99" s="477">
        <f t="shared" si="157"/>
        <v>0.35788194444444443</v>
      </c>
      <c r="BA99" s="477">
        <f t="shared" si="158"/>
        <v>16.92454861111111</v>
      </c>
      <c r="BB99" s="477">
        <f t="shared" si="159"/>
        <v>3.4275694444444444</v>
      </c>
      <c r="BC99" s="477">
        <f t="shared" si="160"/>
        <v>19.99423611111111</v>
      </c>
      <c r="BD99" s="477">
        <f t="shared" si="161"/>
        <v>0.51181712962962966</v>
      </c>
      <c r="BE99" s="477">
        <f t="shared" si="162"/>
        <v>17.078483796296297</v>
      </c>
      <c r="BF99" s="477">
        <f t="shared" si="163"/>
        <v>3.58150462962963</v>
      </c>
      <c r="BG99" s="47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77">
        <f t="shared" si="127"/>
        <v>0</v>
      </c>
      <c r="V100" s="477">
        <f t="shared" si="128"/>
        <v>0</v>
      </c>
      <c r="W100" s="477">
        <f t="shared" si="129"/>
        <v>0</v>
      </c>
      <c r="X100" s="477">
        <f t="shared" si="130"/>
        <v>0</v>
      </c>
      <c r="Y100" s="477">
        <f t="shared" si="131"/>
        <v>0</v>
      </c>
      <c r="Z100" s="477">
        <f t="shared" si="132"/>
        <v>0</v>
      </c>
      <c r="AA100" s="477">
        <f t="shared" si="133"/>
        <v>0</v>
      </c>
      <c r="AB100" s="243"/>
      <c r="AC100" s="477">
        <f t="shared" si="134"/>
        <v>0</v>
      </c>
      <c r="AD100" s="477">
        <f t="shared" si="135"/>
        <v>0</v>
      </c>
      <c r="AE100" s="477">
        <f t="shared" si="136"/>
        <v>0</v>
      </c>
      <c r="AF100" s="477">
        <f t="shared" si="137"/>
        <v>0</v>
      </c>
      <c r="AG100" s="477">
        <f t="shared" si="138"/>
        <v>0</v>
      </c>
      <c r="AH100" s="477">
        <f t="shared" si="139"/>
        <v>0</v>
      </c>
      <c r="AI100" s="477">
        <f t="shared" si="140"/>
        <v>0</v>
      </c>
      <c r="AJ100" s="477">
        <f t="shared" si="141"/>
        <v>0</v>
      </c>
      <c r="AK100" s="477">
        <f t="shared" si="142"/>
        <v>0</v>
      </c>
      <c r="AL100" s="477">
        <f t="shared" si="143"/>
        <v>0</v>
      </c>
      <c r="AM100" s="477">
        <f t="shared" si="144"/>
        <v>0</v>
      </c>
      <c r="AN100" s="477">
        <f t="shared" si="145"/>
        <v>0</v>
      </c>
      <c r="AO100" s="477">
        <f t="shared" si="146"/>
        <v>0</v>
      </c>
      <c r="AP100" s="477">
        <f t="shared" si="147"/>
        <v>0</v>
      </c>
      <c r="AQ100" s="477">
        <f t="shared" si="148"/>
        <v>0</v>
      </c>
      <c r="AR100" s="477">
        <f t="shared" si="149"/>
        <v>0</v>
      </c>
      <c r="AS100" s="477">
        <f t="shared" si="150"/>
        <v>0</v>
      </c>
      <c r="AT100" s="477">
        <f t="shared" si="151"/>
        <v>0</v>
      </c>
      <c r="AU100" s="477">
        <f t="shared" si="152"/>
        <v>0</v>
      </c>
      <c r="AV100" s="477">
        <f t="shared" si="153"/>
        <v>0</v>
      </c>
      <c r="AW100" s="477">
        <f t="shared" si="154"/>
        <v>0</v>
      </c>
      <c r="AX100" s="477">
        <f t="shared" si="155"/>
        <v>0</v>
      </c>
      <c r="AY100" s="477">
        <f t="shared" si="156"/>
        <v>0</v>
      </c>
      <c r="AZ100" s="477">
        <f t="shared" si="157"/>
        <v>0</v>
      </c>
      <c r="BA100" s="477">
        <f t="shared" si="158"/>
        <v>0</v>
      </c>
      <c r="BB100" s="477">
        <f t="shared" si="159"/>
        <v>0</v>
      </c>
      <c r="BC100" s="477">
        <f t="shared" si="160"/>
        <v>0</v>
      </c>
      <c r="BD100" s="477">
        <f t="shared" si="161"/>
        <v>0</v>
      </c>
      <c r="BE100" s="477">
        <f t="shared" si="162"/>
        <v>0</v>
      </c>
      <c r="BF100" s="477">
        <f t="shared" si="163"/>
        <v>0</v>
      </c>
      <c r="BG100" s="47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77">
        <f t="shared" si="127"/>
        <v>0</v>
      </c>
      <c r="V101" s="477">
        <f t="shared" si="128"/>
        <v>0</v>
      </c>
      <c r="W101" s="477">
        <f t="shared" si="129"/>
        <v>0</v>
      </c>
      <c r="X101" s="477">
        <f t="shared" si="130"/>
        <v>0</v>
      </c>
      <c r="Y101" s="477">
        <f t="shared" si="131"/>
        <v>0</v>
      </c>
      <c r="Z101" s="477">
        <f t="shared" si="132"/>
        <v>0</v>
      </c>
      <c r="AA101" s="477">
        <f t="shared" si="133"/>
        <v>0</v>
      </c>
      <c r="AB101" s="243"/>
      <c r="AC101" s="477">
        <f t="shared" si="134"/>
        <v>0</v>
      </c>
      <c r="AD101" s="477">
        <f t="shared" si="135"/>
        <v>0</v>
      </c>
      <c r="AE101" s="477">
        <f t="shared" si="136"/>
        <v>0</v>
      </c>
      <c r="AF101" s="477">
        <f t="shared" si="137"/>
        <v>0</v>
      </c>
      <c r="AG101" s="477">
        <f t="shared" si="138"/>
        <v>0</v>
      </c>
      <c r="AH101" s="477">
        <f t="shared" si="139"/>
        <v>0</v>
      </c>
      <c r="AI101" s="477">
        <f t="shared" si="140"/>
        <v>0</v>
      </c>
      <c r="AJ101" s="477">
        <f t="shared" si="141"/>
        <v>0</v>
      </c>
      <c r="AK101" s="477">
        <f t="shared" si="142"/>
        <v>0</v>
      </c>
      <c r="AL101" s="477">
        <f t="shared" si="143"/>
        <v>0</v>
      </c>
      <c r="AM101" s="477">
        <f t="shared" si="144"/>
        <v>0</v>
      </c>
      <c r="AN101" s="477">
        <f t="shared" si="145"/>
        <v>0</v>
      </c>
      <c r="AO101" s="477">
        <f t="shared" si="146"/>
        <v>0</v>
      </c>
      <c r="AP101" s="477">
        <f t="shared" si="147"/>
        <v>0</v>
      </c>
      <c r="AQ101" s="477">
        <f t="shared" si="148"/>
        <v>0</v>
      </c>
      <c r="AR101" s="477">
        <f t="shared" si="149"/>
        <v>0</v>
      </c>
      <c r="AS101" s="477">
        <f t="shared" si="150"/>
        <v>0</v>
      </c>
      <c r="AT101" s="477">
        <f t="shared" si="151"/>
        <v>0</v>
      </c>
      <c r="AU101" s="477">
        <f t="shared" si="152"/>
        <v>0</v>
      </c>
      <c r="AV101" s="477">
        <f t="shared" si="153"/>
        <v>0</v>
      </c>
      <c r="AW101" s="477">
        <f t="shared" si="154"/>
        <v>0</v>
      </c>
      <c r="AX101" s="477">
        <f t="shared" si="155"/>
        <v>0</v>
      </c>
      <c r="AY101" s="477">
        <f t="shared" si="156"/>
        <v>0</v>
      </c>
      <c r="AZ101" s="477">
        <f t="shared" si="157"/>
        <v>0</v>
      </c>
      <c r="BA101" s="477">
        <f t="shared" si="158"/>
        <v>0</v>
      </c>
      <c r="BB101" s="477">
        <f t="shared" si="159"/>
        <v>0</v>
      </c>
      <c r="BC101" s="477">
        <f t="shared" si="160"/>
        <v>0</v>
      </c>
      <c r="BD101" s="477">
        <f t="shared" si="161"/>
        <v>0</v>
      </c>
      <c r="BE101" s="477">
        <f t="shared" si="162"/>
        <v>0</v>
      </c>
      <c r="BF101" s="477">
        <f t="shared" si="163"/>
        <v>0</v>
      </c>
      <c r="BG101" s="47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77">
        <f t="shared" si="127"/>
        <v>0</v>
      </c>
      <c r="V102" s="477">
        <f t="shared" si="128"/>
        <v>0</v>
      </c>
      <c r="W102" s="477">
        <f t="shared" si="129"/>
        <v>0</v>
      </c>
      <c r="X102" s="477">
        <f t="shared" si="130"/>
        <v>0</v>
      </c>
      <c r="Y102" s="477">
        <f t="shared" si="131"/>
        <v>133</v>
      </c>
      <c r="Z102" s="477">
        <f t="shared" si="132"/>
        <v>133</v>
      </c>
      <c r="AA102" s="477">
        <f t="shared" si="133"/>
        <v>0</v>
      </c>
      <c r="AB102" s="243"/>
      <c r="AC102" s="477">
        <f t="shared" si="134"/>
        <v>0</v>
      </c>
      <c r="AD102" s="477">
        <f t="shared" si="135"/>
        <v>0</v>
      </c>
      <c r="AE102" s="477">
        <f t="shared" si="136"/>
        <v>0</v>
      </c>
      <c r="AF102" s="477">
        <f t="shared" si="137"/>
        <v>133</v>
      </c>
      <c r="AG102" s="477">
        <f t="shared" si="138"/>
        <v>133</v>
      </c>
      <c r="AH102" s="477">
        <f t="shared" si="139"/>
        <v>133</v>
      </c>
      <c r="AI102" s="477">
        <f t="shared" si="140"/>
        <v>133</v>
      </c>
      <c r="AJ102" s="477">
        <f t="shared" si="141"/>
        <v>0</v>
      </c>
      <c r="AK102" s="477">
        <f t="shared" si="142"/>
        <v>0</v>
      </c>
      <c r="AL102" s="477">
        <f t="shared" si="143"/>
        <v>0</v>
      </c>
      <c r="AM102" s="477">
        <f t="shared" si="144"/>
        <v>0</v>
      </c>
      <c r="AN102" s="477">
        <f t="shared" si="145"/>
        <v>133</v>
      </c>
      <c r="AO102" s="477">
        <f t="shared" si="146"/>
        <v>133</v>
      </c>
      <c r="AP102" s="477">
        <f t="shared" si="147"/>
        <v>133</v>
      </c>
      <c r="AQ102" s="477">
        <f t="shared" si="148"/>
        <v>133</v>
      </c>
      <c r="AR102" s="477">
        <f t="shared" si="149"/>
        <v>0</v>
      </c>
      <c r="AS102" s="477">
        <f t="shared" si="150"/>
        <v>0</v>
      </c>
      <c r="AT102" s="477">
        <f t="shared" si="151"/>
        <v>0</v>
      </c>
      <c r="AU102" s="477">
        <f t="shared" si="152"/>
        <v>0</v>
      </c>
      <c r="AV102" s="477">
        <f t="shared" si="153"/>
        <v>133</v>
      </c>
      <c r="AW102" s="477">
        <f t="shared" si="154"/>
        <v>133</v>
      </c>
      <c r="AX102" s="477">
        <f t="shared" si="155"/>
        <v>133</v>
      </c>
      <c r="AY102" s="477">
        <f t="shared" si="156"/>
        <v>133</v>
      </c>
      <c r="AZ102" s="477">
        <f t="shared" si="157"/>
        <v>0</v>
      </c>
      <c r="BA102" s="477">
        <f t="shared" si="158"/>
        <v>0</v>
      </c>
      <c r="BB102" s="477">
        <f t="shared" si="159"/>
        <v>0</v>
      </c>
      <c r="BC102" s="477">
        <f t="shared" si="160"/>
        <v>0</v>
      </c>
      <c r="BD102" s="477">
        <f t="shared" si="161"/>
        <v>133</v>
      </c>
      <c r="BE102" s="477">
        <f t="shared" si="162"/>
        <v>133</v>
      </c>
      <c r="BF102" s="477">
        <f t="shared" si="163"/>
        <v>133</v>
      </c>
      <c r="BG102" s="47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77">
        <f t="shared" si="127"/>
        <v>0</v>
      </c>
      <c r="V103" s="477">
        <f t="shared" si="128"/>
        <v>0</v>
      </c>
      <c r="W103" s="477">
        <f t="shared" si="129"/>
        <v>0</v>
      </c>
      <c r="X103" s="477">
        <f t="shared" si="130"/>
        <v>0</v>
      </c>
      <c r="Y103" s="477">
        <f t="shared" si="131"/>
        <v>133</v>
      </c>
      <c r="Z103" s="477">
        <f t="shared" si="132"/>
        <v>133</v>
      </c>
      <c r="AA103" s="477">
        <f t="shared" si="133"/>
        <v>66.36</v>
      </c>
      <c r="AB103" s="243"/>
      <c r="AC103" s="477">
        <f t="shared" si="134"/>
        <v>0</v>
      </c>
      <c r="AD103" s="477">
        <f t="shared" si="135"/>
        <v>66.36</v>
      </c>
      <c r="AE103" s="477">
        <f t="shared" si="136"/>
        <v>66.36</v>
      </c>
      <c r="AF103" s="477">
        <f t="shared" si="137"/>
        <v>133</v>
      </c>
      <c r="AG103" s="477">
        <f t="shared" si="138"/>
        <v>133</v>
      </c>
      <c r="AH103" s="477">
        <f t="shared" si="139"/>
        <v>199.36</v>
      </c>
      <c r="AI103" s="477">
        <f t="shared" si="140"/>
        <v>199.36</v>
      </c>
      <c r="AJ103" s="477">
        <f t="shared" si="141"/>
        <v>0</v>
      </c>
      <c r="AK103" s="477">
        <f t="shared" si="142"/>
        <v>0</v>
      </c>
      <c r="AL103" s="477">
        <f t="shared" si="143"/>
        <v>66.36</v>
      </c>
      <c r="AM103" s="477">
        <f t="shared" si="144"/>
        <v>66.36</v>
      </c>
      <c r="AN103" s="477">
        <f t="shared" si="145"/>
        <v>133</v>
      </c>
      <c r="AO103" s="477">
        <f t="shared" si="146"/>
        <v>133</v>
      </c>
      <c r="AP103" s="477">
        <f t="shared" si="147"/>
        <v>199.36</v>
      </c>
      <c r="AQ103" s="477">
        <f t="shared" si="148"/>
        <v>199.36</v>
      </c>
      <c r="AR103" s="477">
        <f t="shared" si="149"/>
        <v>0</v>
      </c>
      <c r="AS103" s="477">
        <f t="shared" si="150"/>
        <v>0</v>
      </c>
      <c r="AT103" s="477">
        <f t="shared" si="151"/>
        <v>66.36</v>
      </c>
      <c r="AU103" s="477">
        <f t="shared" si="152"/>
        <v>66.36</v>
      </c>
      <c r="AV103" s="477">
        <f t="shared" si="153"/>
        <v>133</v>
      </c>
      <c r="AW103" s="477">
        <f t="shared" si="154"/>
        <v>133</v>
      </c>
      <c r="AX103" s="477">
        <f t="shared" si="155"/>
        <v>199.36</v>
      </c>
      <c r="AY103" s="477">
        <f t="shared" si="156"/>
        <v>199.36</v>
      </c>
      <c r="AZ103" s="477">
        <f t="shared" si="157"/>
        <v>0</v>
      </c>
      <c r="BA103" s="477">
        <f t="shared" si="158"/>
        <v>0</v>
      </c>
      <c r="BB103" s="477">
        <f t="shared" si="159"/>
        <v>66.36</v>
      </c>
      <c r="BC103" s="477">
        <f t="shared" si="160"/>
        <v>66.36</v>
      </c>
      <c r="BD103" s="477">
        <f t="shared" si="161"/>
        <v>133</v>
      </c>
      <c r="BE103" s="477">
        <f t="shared" si="162"/>
        <v>133</v>
      </c>
      <c r="BF103" s="477">
        <f t="shared" si="163"/>
        <v>199.36</v>
      </c>
      <c r="BG103" s="47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77">
        <f t="shared" si="127"/>
        <v>0</v>
      </c>
      <c r="V104" s="477">
        <f t="shared" si="128"/>
        <v>0</v>
      </c>
      <c r="W104" s="477">
        <f t="shared" si="129"/>
        <v>0</v>
      </c>
      <c r="X104" s="477">
        <f t="shared" si="130"/>
        <v>198.8</v>
      </c>
      <c r="Y104" s="477">
        <f t="shared" si="131"/>
        <v>133</v>
      </c>
      <c r="Z104" s="477">
        <f t="shared" si="132"/>
        <v>133</v>
      </c>
      <c r="AA104" s="477">
        <f t="shared" si="133"/>
        <v>66.36</v>
      </c>
      <c r="AB104" s="243"/>
      <c r="AC104" s="477">
        <f t="shared" si="134"/>
        <v>198.8</v>
      </c>
      <c r="AD104" s="477">
        <f t="shared" si="135"/>
        <v>66.36</v>
      </c>
      <c r="AE104" s="477">
        <f t="shared" si="136"/>
        <v>265.16000000000003</v>
      </c>
      <c r="AF104" s="477">
        <f t="shared" si="137"/>
        <v>133</v>
      </c>
      <c r="AG104" s="477">
        <f t="shared" si="138"/>
        <v>331.8</v>
      </c>
      <c r="AH104" s="477">
        <f t="shared" si="139"/>
        <v>199.36</v>
      </c>
      <c r="AI104" s="477">
        <f t="shared" si="140"/>
        <v>398.16</v>
      </c>
      <c r="AJ104" s="477">
        <f t="shared" si="141"/>
        <v>0</v>
      </c>
      <c r="AK104" s="477">
        <f t="shared" si="142"/>
        <v>198.8</v>
      </c>
      <c r="AL104" s="477">
        <f t="shared" si="143"/>
        <v>66.36</v>
      </c>
      <c r="AM104" s="477">
        <f t="shared" si="144"/>
        <v>265.16000000000003</v>
      </c>
      <c r="AN104" s="477">
        <f t="shared" si="145"/>
        <v>133</v>
      </c>
      <c r="AO104" s="477">
        <f t="shared" si="146"/>
        <v>331.8</v>
      </c>
      <c r="AP104" s="477">
        <f t="shared" si="147"/>
        <v>199.36</v>
      </c>
      <c r="AQ104" s="477">
        <f t="shared" si="148"/>
        <v>398.16</v>
      </c>
      <c r="AR104" s="477">
        <f t="shared" si="149"/>
        <v>0</v>
      </c>
      <c r="AS104" s="477">
        <f t="shared" si="150"/>
        <v>198.8</v>
      </c>
      <c r="AT104" s="477">
        <f t="shared" si="151"/>
        <v>66.36</v>
      </c>
      <c r="AU104" s="477">
        <f t="shared" si="152"/>
        <v>265.16000000000003</v>
      </c>
      <c r="AV104" s="477">
        <f t="shared" si="153"/>
        <v>133</v>
      </c>
      <c r="AW104" s="477">
        <f t="shared" si="154"/>
        <v>331.8</v>
      </c>
      <c r="AX104" s="477">
        <f t="shared" si="155"/>
        <v>199.36</v>
      </c>
      <c r="AY104" s="477">
        <f t="shared" si="156"/>
        <v>398.16</v>
      </c>
      <c r="AZ104" s="477">
        <f t="shared" si="157"/>
        <v>0</v>
      </c>
      <c r="BA104" s="477">
        <f t="shared" si="158"/>
        <v>198.8</v>
      </c>
      <c r="BB104" s="477">
        <f t="shared" si="159"/>
        <v>66.36</v>
      </c>
      <c r="BC104" s="477">
        <f t="shared" si="160"/>
        <v>265.16000000000003</v>
      </c>
      <c r="BD104" s="477">
        <f t="shared" si="161"/>
        <v>133</v>
      </c>
      <c r="BE104" s="477">
        <f t="shared" si="162"/>
        <v>331.8</v>
      </c>
      <c r="BF104" s="477">
        <f t="shared" si="163"/>
        <v>199.36</v>
      </c>
      <c r="BG104" s="47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77">
        <f t="shared" si="127"/>
        <v>0</v>
      </c>
      <c r="V105" s="477">
        <f t="shared" si="128"/>
        <v>0</v>
      </c>
      <c r="W105" s="477">
        <f t="shared" si="129"/>
        <v>512</v>
      </c>
      <c r="X105" s="477">
        <f t="shared" si="130"/>
        <v>198.8</v>
      </c>
      <c r="Y105" s="477">
        <f t="shared" si="131"/>
        <v>133</v>
      </c>
      <c r="Z105" s="477">
        <f t="shared" si="132"/>
        <v>133</v>
      </c>
      <c r="AA105" s="477">
        <f t="shared" si="133"/>
        <v>66.36</v>
      </c>
      <c r="AB105" s="243"/>
      <c r="AC105" s="477">
        <f t="shared" si="134"/>
        <v>198.8</v>
      </c>
      <c r="AD105" s="477">
        <f t="shared" si="135"/>
        <v>66.36</v>
      </c>
      <c r="AE105" s="477">
        <f t="shared" si="136"/>
        <v>265.16000000000003</v>
      </c>
      <c r="AF105" s="477">
        <f t="shared" si="137"/>
        <v>133</v>
      </c>
      <c r="AG105" s="477">
        <f t="shared" si="138"/>
        <v>331.8</v>
      </c>
      <c r="AH105" s="477">
        <f t="shared" si="139"/>
        <v>199.36</v>
      </c>
      <c r="AI105" s="477">
        <f t="shared" si="140"/>
        <v>398.16</v>
      </c>
      <c r="AJ105" s="477">
        <f t="shared" si="141"/>
        <v>0</v>
      </c>
      <c r="AK105" s="477">
        <f t="shared" si="142"/>
        <v>198.8</v>
      </c>
      <c r="AL105" s="477">
        <f t="shared" si="143"/>
        <v>66.36</v>
      </c>
      <c r="AM105" s="477">
        <f t="shared" si="144"/>
        <v>265.16000000000003</v>
      </c>
      <c r="AN105" s="477">
        <f t="shared" si="145"/>
        <v>133</v>
      </c>
      <c r="AO105" s="477">
        <f t="shared" si="146"/>
        <v>331.8</v>
      </c>
      <c r="AP105" s="477">
        <f t="shared" si="147"/>
        <v>199.36</v>
      </c>
      <c r="AQ105" s="477">
        <f t="shared" si="148"/>
        <v>398.16</v>
      </c>
      <c r="AR105" s="477">
        <f t="shared" si="149"/>
        <v>512</v>
      </c>
      <c r="AS105" s="477">
        <f t="shared" si="150"/>
        <v>710.8</v>
      </c>
      <c r="AT105" s="477">
        <f t="shared" si="151"/>
        <v>578.36</v>
      </c>
      <c r="AU105" s="477">
        <f t="shared" si="152"/>
        <v>777.16000000000008</v>
      </c>
      <c r="AV105" s="477">
        <f t="shared" si="153"/>
        <v>645</v>
      </c>
      <c r="AW105" s="477">
        <f t="shared" si="154"/>
        <v>843.8</v>
      </c>
      <c r="AX105" s="477">
        <f t="shared" si="155"/>
        <v>711.36</v>
      </c>
      <c r="AY105" s="477">
        <f t="shared" si="156"/>
        <v>910.16000000000008</v>
      </c>
      <c r="AZ105" s="477">
        <f t="shared" si="157"/>
        <v>512</v>
      </c>
      <c r="BA105" s="477">
        <f t="shared" si="158"/>
        <v>710.8</v>
      </c>
      <c r="BB105" s="477">
        <f t="shared" si="159"/>
        <v>578.36</v>
      </c>
      <c r="BC105" s="477">
        <f t="shared" si="160"/>
        <v>777.16000000000008</v>
      </c>
      <c r="BD105" s="477">
        <f t="shared" si="161"/>
        <v>645</v>
      </c>
      <c r="BE105" s="477">
        <f t="shared" si="162"/>
        <v>843.8</v>
      </c>
      <c r="BF105" s="477">
        <f t="shared" si="163"/>
        <v>711.36</v>
      </c>
      <c r="BG105" s="47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77">
        <f t="shared" si="127"/>
        <v>0</v>
      </c>
      <c r="V106" s="477">
        <f t="shared" si="128"/>
        <v>0</v>
      </c>
      <c r="W106" s="477">
        <f t="shared" si="129"/>
        <v>512</v>
      </c>
      <c r="X106" s="477">
        <f t="shared" si="130"/>
        <v>198.8</v>
      </c>
      <c r="Y106" s="477">
        <f t="shared" si="131"/>
        <v>33.25</v>
      </c>
      <c r="Z106" s="477">
        <f t="shared" si="132"/>
        <v>33.25</v>
      </c>
      <c r="AA106" s="477">
        <f t="shared" si="133"/>
        <v>66.36</v>
      </c>
      <c r="AB106" s="243"/>
      <c r="AC106" s="477">
        <f t="shared" si="134"/>
        <v>198.8</v>
      </c>
      <c r="AD106" s="477">
        <f t="shared" si="135"/>
        <v>66.36</v>
      </c>
      <c r="AE106" s="477">
        <f t="shared" si="136"/>
        <v>265.16000000000003</v>
      </c>
      <c r="AF106" s="477">
        <f t="shared" si="137"/>
        <v>33.25</v>
      </c>
      <c r="AG106" s="477">
        <f t="shared" si="138"/>
        <v>232.05</v>
      </c>
      <c r="AH106" s="477">
        <f t="shared" si="139"/>
        <v>99.61</v>
      </c>
      <c r="AI106" s="477">
        <f t="shared" si="140"/>
        <v>298.41000000000003</v>
      </c>
      <c r="AJ106" s="477">
        <f t="shared" si="141"/>
        <v>0</v>
      </c>
      <c r="AK106" s="477">
        <f t="shared" si="142"/>
        <v>198.8</v>
      </c>
      <c r="AL106" s="477">
        <f t="shared" si="143"/>
        <v>66.36</v>
      </c>
      <c r="AM106" s="477">
        <f t="shared" si="144"/>
        <v>265.16000000000003</v>
      </c>
      <c r="AN106" s="477">
        <f t="shared" si="145"/>
        <v>33.25</v>
      </c>
      <c r="AO106" s="477">
        <f t="shared" si="146"/>
        <v>232.05</v>
      </c>
      <c r="AP106" s="477">
        <f t="shared" si="147"/>
        <v>99.61</v>
      </c>
      <c r="AQ106" s="477">
        <f t="shared" si="148"/>
        <v>298.41000000000003</v>
      </c>
      <c r="AR106" s="477">
        <f t="shared" si="149"/>
        <v>512</v>
      </c>
      <c r="AS106" s="477">
        <f t="shared" si="150"/>
        <v>710.8</v>
      </c>
      <c r="AT106" s="477">
        <f t="shared" si="151"/>
        <v>578.36</v>
      </c>
      <c r="AU106" s="477">
        <f t="shared" si="152"/>
        <v>777.16000000000008</v>
      </c>
      <c r="AV106" s="477">
        <f t="shared" si="153"/>
        <v>545.25</v>
      </c>
      <c r="AW106" s="477">
        <f t="shared" si="154"/>
        <v>744.05</v>
      </c>
      <c r="AX106" s="477">
        <f t="shared" si="155"/>
        <v>611.61</v>
      </c>
      <c r="AY106" s="477">
        <f t="shared" si="156"/>
        <v>810.41000000000008</v>
      </c>
      <c r="AZ106" s="477">
        <f t="shared" si="157"/>
        <v>512</v>
      </c>
      <c r="BA106" s="477">
        <f t="shared" si="158"/>
        <v>710.8</v>
      </c>
      <c r="BB106" s="477">
        <f t="shared" si="159"/>
        <v>578.36</v>
      </c>
      <c r="BC106" s="477">
        <f t="shared" si="160"/>
        <v>777.16000000000008</v>
      </c>
      <c r="BD106" s="477">
        <f t="shared" si="161"/>
        <v>545.25</v>
      </c>
      <c r="BE106" s="477">
        <f t="shared" si="162"/>
        <v>744.05</v>
      </c>
      <c r="BF106" s="477">
        <f t="shared" si="163"/>
        <v>611.61</v>
      </c>
      <c r="BG106" s="47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77">
        <f t="shared" si="127"/>
        <v>0</v>
      </c>
      <c r="V107" s="477">
        <f t="shared" si="128"/>
        <v>0</v>
      </c>
      <c r="W107" s="477">
        <f t="shared" si="129"/>
        <v>512</v>
      </c>
      <c r="X107" s="477">
        <f t="shared" si="130"/>
        <v>198.8</v>
      </c>
      <c r="Y107" s="477">
        <f t="shared" si="131"/>
        <v>33.25</v>
      </c>
      <c r="Z107" s="477">
        <f t="shared" si="132"/>
        <v>33.25</v>
      </c>
      <c r="AA107" s="477">
        <f t="shared" si="133"/>
        <v>2.7650000000000001</v>
      </c>
      <c r="AB107" s="243"/>
      <c r="AC107" s="477">
        <f t="shared" si="134"/>
        <v>198.8</v>
      </c>
      <c r="AD107" s="477">
        <f t="shared" si="135"/>
        <v>2.7650000000000001</v>
      </c>
      <c r="AE107" s="477">
        <f t="shared" si="136"/>
        <v>201.565</v>
      </c>
      <c r="AF107" s="477">
        <f t="shared" si="137"/>
        <v>33.25</v>
      </c>
      <c r="AG107" s="477">
        <f t="shared" si="138"/>
        <v>232.05</v>
      </c>
      <c r="AH107" s="477">
        <f t="shared" si="139"/>
        <v>36.015000000000001</v>
      </c>
      <c r="AI107" s="477">
        <f t="shared" si="140"/>
        <v>234.815</v>
      </c>
      <c r="AJ107" s="477">
        <f t="shared" si="141"/>
        <v>0</v>
      </c>
      <c r="AK107" s="477">
        <f t="shared" si="142"/>
        <v>198.8</v>
      </c>
      <c r="AL107" s="477">
        <f t="shared" si="143"/>
        <v>2.7650000000000001</v>
      </c>
      <c r="AM107" s="477">
        <f t="shared" si="144"/>
        <v>201.565</v>
      </c>
      <c r="AN107" s="477">
        <f t="shared" si="145"/>
        <v>33.25</v>
      </c>
      <c r="AO107" s="477">
        <f t="shared" si="146"/>
        <v>232.05</v>
      </c>
      <c r="AP107" s="477">
        <f t="shared" si="147"/>
        <v>36.015000000000001</v>
      </c>
      <c r="AQ107" s="477">
        <f t="shared" si="148"/>
        <v>234.815</v>
      </c>
      <c r="AR107" s="477">
        <f t="shared" si="149"/>
        <v>512</v>
      </c>
      <c r="AS107" s="477">
        <f t="shared" si="150"/>
        <v>710.8</v>
      </c>
      <c r="AT107" s="477">
        <f t="shared" si="151"/>
        <v>514.76499999999999</v>
      </c>
      <c r="AU107" s="477">
        <f t="shared" si="152"/>
        <v>713.56500000000005</v>
      </c>
      <c r="AV107" s="477">
        <f t="shared" si="153"/>
        <v>545.25</v>
      </c>
      <c r="AW107" s="477">
        <f t="shared" si="154"/>
        <v>744.05</v>
      </c>
      <c r="AX107" s="477">
        <f t="shared" si="155"/>
        <v>548.01499999999999</v>
      </c>
      <c r="AY107" s="477">
        <f t="shared" si="156"/>
        <v>746.81500000000005</v>
      </c>
      <c r="AZ107" s="477">
        <f t="shared" si="157"/>
        <v>512</v>
      </c>
      <c r="BA107" s="477">
        <f t="shared" si="158"/>
        <v>710.8</v>
      </c>
      <c r="BB107" s="477">
        <f t="shared" si="159"/>
        <v>514.76499999999999</v>
      </c>
      <c r="BC107" s="477">
        <f t="shared" si="160"/>
        <v>713.56500000000005</v>
      </c>
      <c r="BD107" s="477">
        <f t="shared" si="161"/>
        <v>545.25</v>
      </c>
      <c r="BE107" s="477">
        <f t="shared" si="162"/>
        <v>744.05</v>
      </c>
      <c r="BF107" s="477">
        <f t="shared" si="163"/>
        <v>548.01499999999999</v>
      </c>
      <c r="BG107" s="47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77">
        <f t="shared" si="127"/>
        <v>0</v>
      </c>
      <c r="V108" s="477">
        <f t="shared" si="128"/>
        <v>0</v>
      </c>
      <c r="W108" s="477">
        <f t="shared" si="129"/>
        <v>512</v>
      </c>
      <c r="X108" s="477">
        <f t="shared" si="130"/>
        <v>0.55222222222222217</v>
      </c>
      <c r="Y108" s="477">
        <f t="shared" si="131"/>
        <v>33.25</v>
      </c>
      <c r="Z108" s="477">
        <f t="shared" si="132"/>
        <v>33.25</v>
      </c>
      <c r="AA108" s="477">
        <f t="shared" si="133"/>
        <v>2.7650000000000001</v>
      </c>
      <c r="AB108" s="243"/>
      <c r="AC108" s="477">
        <f t="shared" si="134"/>
        <v>0.55222222222222217</v>
      </c>
      <c r="AD108" s="477">
        <f t="shared" si="135"/>
        <v>2.7650000000000001</v>
      </c>
      <c r="AE108" s="477">
        <f t="shared" si="136"/>
        <v>3.3172222222222221</v>
      </c>
      <c r="AF108" s="477">
        <f t="shared" si="137"/>
        <v>33.25</v>
      </c>
      <c r="AG108" s="477">
        <f t="shared" si="138"/>
        <v>33.80222222222222</v>
      </c>
      <c r="AH108" s="477">
        <f t="shared" si="139"/>
        <v>36.015000000000001</v>
      </c>
      <c r="AI108" s="477">
        <f t="shared" si="140"/>
        <v>36.56722222222222</v>
      </c>
      <c r="AJ108" s="477">
        <f t="shared" si="141"/>
        <v>0</v>
      </c>
      <c r="AK108" s="477">
        <f t="shared" si="142"/>
        <v>0.55222222222222217</v>
      </c>
      <c r="AL108" s="477">
        <f t="shared" si="143"/>
        <v>2.7650000000000001</v>
      </c>
      <c r="AM108" s="477">
        <f t="shared" si="144"/>
        <v>3.3172222222222221</v>
      </c>
      <c r="AN108" s="477">
        <f t="shared" si="145"/>
        <v>33.25</v>
      </c>
      <c r="AO108" s="477">
        <f t="shared" si="146"/>
        <v>33.80222222222222</v>
      </c>
      <c r="AP108" s="477">
        <f t="shared" si="147"/>
        <v>36.015000000000001</v>
      </c>
      <c r="AQ108" s="477">
        <f t="shared" si="148"/>
        <v>36.56722222222222</v>
      </c>
      <c r="AR108" s="477">
        <f t="shared" si="149"/>
        <v>512</v>
      </c>
      <c r="AS108" s="477">
        <f t="shared" si="150"/>
        <v>512.55222222222221</v>
      </c>
      <c r="AT108" s="477">
        <f t="shared" si="151"/>
        <v>514.76499999999999</v>
      </c>
      <c r="AU108" s="477">
        <f t="shared" si="152"/>
        <v>515.3172222222222</v>
      </c>
      <c r="AV108" s="477">
        <f t="shared" si="153"/>
        <v>545.25</v>
      </c>
      <c r="AW108" s="477">
        <f t="shared" si="154"/>
        <v>545.80222222222221</v>
      </c>
      <c r="AX108" s="477">
        <f t="shared" si="155"/>
        <v>548.01499999999999</v>
      </c>
      <c r="AY108" s="477">
        <f t="shared" si="156"/>
        <v>548.5672222222222</v>
      </c>
      <c r="AZ108" s="477">
        <f t="shared" si="157"/>
        <v>512</v>
      </c>
      <c r="BA108" s="477">
        <f t="shared" si="158"/>
        <v>512.55222222222221</v>
      </c>
      <c r="BB108" s="477">
        <f t="shared" si="159"/>
        <v>514.76499999999999</v>
      </c>
      <c r="BC108" s="477">
        <f t="shared" si="160"/>
        <v>515.3172222222222</v>
      </c>
      <c r="BD108" s="477">
        <f t="shared" si="161"/>
        <v>545.25</v>
      </c>
      <c r="BE108" s="477">
        <f t="shared" si="162"/>
        <v>545.80222222222221</v>
      </c>
      <c r="BF108" s="477">
        <f t="shared" si="163"/>
        <v>548.01499999999999</v>
      </c>
      <c r="BG108" s="47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77">
        <f t="shared" si="127"/>
        <v>0</v>
      </c>
      <c r="V109" s="477">
        <f t="shared" si="128"/>
        <v>0</v>
      </c>
      <c r="W109" s="477">
        <f t="shared" si="129"/>
        <v>1.7066666666666668</v>
      </c>
      <c r="X109" s="477">
        <f t="shared" si="130"/>
        <v>0.55222222222222217</v>
      </c>
      <c r="Y109" s="477">
        <f t="shared" si="131"/>
        <v>33.25</v>
      </c>
      <c r="Z109" s="477">
        <f t="shared" si="132"/>
        <v>33.25</v>
      </c>
      <c r="AA109" s="477">
        <f t="shared" si="133"/>
        <v>2.7650000000000001</v>
      </c>
      <c r="AB109" s="243"/>
      <c r="AC109" s="477">
        <f t="shared" si="134"/>
        <v>0.55222222222222217</v>
      </c>
      <c r="AD109" s="477">
        <f t="shared" si="135"/>
        <v>2.7650000000000001</v>
      </c>
      <c r="AE109" s="477">
        <f t="shared" si="136"/>
        <v>3.3172222222222221</v>
      </c>
      <c r="AF109" s="477">
        <f t="shared" si="137"/>
        <v>33.25</v>
      </c>
      <c r="AG109" s="477">
        <f t="shared" si="138"/>
        <v>33.80222222222222</v>
      </c>
      <c r="AH109" s="477">
        <f t="shared" si="139"/>
        <v>36.015000000000001</v>
      </c>
      <c r="AI109" s="477">
        <f t="shared" si="140"/>
        <v>36.56722222222222</v>
      </c>
      <c r="AJ109" s="477">
        <f t="shared" si="141"/>
        <v>0</v>
      </c>
      <c r="AK109" s="477">
        <f t="shared" si="142"/>
        <v>0.55222222222222217</v>
      </c>
      <c r="AL109" s="477">
        <f t="shared" si="143"/>
        <v>2.7650000000000001</v>
      </c>
      <c r="AM109" s="477">
        <f t="shared" si="144"/>
        <v>3.3172222222222221</v>
      </c>
      <c r="AN109" s="477">
        <f t="shared" si="145"/>
        <v>33.25</v>
      </c>
      <c r="AO109" s="477">
        <f t="shared" si="146"/>
        <v>33.80222222222222</v>
      </c>
      <c r="AP109" s="477">
        <f t="shared" si="147"/>
        <v>36.015000000000001</v>
      </c>
      <c r="AQ109" s="477">
        <f t="shared" si="148"/>
        <v>36.56722222222222</v>
      </c>
      <c r="AR109" s="477">
        <f t="shared" si="149"/>
        <v>1.7066666666666668</v>
      </c>
      <c r="AS109" s="477">
        <f t="shared" si="150"/>
        <v>2.2588888888888889</v>
      </c>
      <c r="AT109" s="477">
        <f t="shared" si="151"/>
        <v>4.4716666666666667</v>
      </c>
      <c r="AU109" s="477">
        <f t="shared" si="152"/>
        <v>5.0238888888888891</v>
      </c>
      <c r="AV109" s="477">
        <f t="shared" si="153"/>
        <v>34.956666666666663</v>
      </c>
      <c r="AW109" s="477">
        <f t="shared" si="154"/>
        <v>35.508888888888883</v>
      </c>
      <c r="AX109" s="477">
        <f t="shared" si="155"/>
        <v>37.721666666666664</v>
      </c>
      <c r="AY109" s="477">
        <f t="shared" si="156"/>
        <v>38.273888888888884</v>
      </c>
      <c r="AZ109" s="477">
        <f t="shared" si="157"/>
        <v>1.7066666666666668</v>
      </c>
      <c r="BA109" s="477">
        <f t="shared" si="158"/>
        <v>2.2588888888888889</v>
      </c>
      <c r="BB109" s="477">
        <f t="shared" si="159"/>
        <v>4.4716666666666667</v>
      </c>
      <c r="BC109" s="477">
        <f t="shared" si="160"/>
        <v>5.0238888888888891</v>
      </c>
      <c r="BD109" s="477">
        <f t="shared" si="161"/>
        <v>34.956666666666663</v>
      </c>
      <c r="BE109" s="477">
        <f t="shared" si="162"/>
        <v>35.508888888888883</v>
      </c>
      <c r="BF109" s="477">
        <f t="shared" si="163"/>
        <v>37.721666666666664</v>
      </c>
      <c r="BG109" s="47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77">
        <f t="shared" ref="U110:U141" si="177">IF(OR($N110="",$R110=""),0,U$1/64/$N110)</f>
        <v>0</v>
      </c>
      <c r="V110" s="477">
        <f t="shared" ref="V110:V141" si="178">IF(OR($N110="",$R110=""),0,V$1/64/$N110)</f>
        <v>0</v>
      </c>
      <c r="W110" s="477">
        <f t="shared" ref="W110:W141" si="179">IF($P110="",0,W$1/$P110)</f>
        <v>1.7066666666666668</v>
      </c>
      <c r="X110" s="477">
        <f t="shared" ref="X110:X141" si="180">IF($M110="",0,X$1/$M110)</f>
        <v>0.55222222222222217</v>
      </c>
      <c r="Y110" s="477">
        <f t="shared" ref="Y110:Y141" si="181">IF(OR($N110="",$Q110&lt;&gt;""),0,Y$1/$N110)</f>
        <v>11.083333333333334</v>
      </c>
      <c r="Z110" s="477">
        <f t="shared" ref="Z110:Z141" si="182">IF($N110="",0,IF($R110="",1,R110/43200)*Y110)</f>
        <v>11.083333333333334</v>
      </c>
      <c r="AA110" s="477">
        <f t="shared" ref="AA110:AA141" si="183">IF($O110="",0,AA$1/$O110)</f>
        <v>2.7650000000000001</v>
      </c>
      <c r="AB110" s="243"/>
      <c r="AC110" s="477">
        <f t="shared" ref="AC110:AC141" si="184">IF(AC$3&lt;&gt;"",$W110,0)+IF(AC$4&lt;&gt;"",$U110,0)+IF(AC$5&lt;&gt;"",$Z110+IF($S110&lt;&gt;"102",$V110,0),0)+IF(AC$6&lt;&gt;"",$AA110+IF($S110="102",$V110,0),0)+IF(AC$7&lt;&gt;"",$X110,0)</f>
        <v>0.55222222222222217</v>
      </c>
      <c r="AD110" s="477">
        <f t="shared" ref="AD110:AD141" si="185">IF(AD$3&lt;&gt;"",$W110,0)+IF(AD$4&lt;&gt;"",$U110,0)+IF(AD$5&lt;&gt;"",$Z110+IF($S110&lt;&gt;"102",$V110,0),0)+IF(AD$6&lt;&gt;"",$AA110+IF($S110="102",$V110,0),0)+IF(AD$7&lt;&gt;"",$X110,0)</f>
        <v>2.7650000000000001</v>
      </c>
      <c r="AE110" s="477">
        <f t="shared" ref="AE110:AE141" si="186">IF(AE$3&lt;&gt;"",$W110,0)+IF(AE$4&lt;&gt;"",$U110,0)+IF(AE$5&lt;&gt;"",$Z110+IF($S110&lt;&gt;"102",$V110,0),0)+IF(AE$6&lt;&gt;"",$AA110+IF($S110="102",$V110,0),0)+IF(AE$7&lt;&gt;"",$X110,0)</f>
        <v>3.3172222222222221</v>
      </c>
      <c r="AF110" s="477">
        <f t="shared" ref="AF110:AF141" si="187">IF(AF$3&lt;&gt;"",$W110,0)+IF(AF$4&lt;&gt;"",$U110,0)+IF(AF$5&lt;&gt;"",$Z110+IF($S110&lt;&gt;"102",$V110,0),0)+IF(AF$6&lt;&gt;"",$AA110+IF($S110="102",$V110,0),0)+IF(AF$7&lt;&gt;"",$X110,0)</f>
        <v>11.083333333333334</v>
      </c>
      <c r="AG110" s="477">
        <f t="shared" ref="AG110:AG141" si="188">IF(AG$3&lt;&gt;"",$W110,0)+IF(AG$4&lt;&gt;"",$U110,0)+IF(AG$5&lt;&gt;"",$Z110+IF($S110&lt;&gt;"102",$V110,0),0)+IF(AG$6&lt;&gt;"",$AA110+IF($S110="102",$V110,0),0)+IF(AG$7&lt;&gt;"",$X110,0)</f>
        <v>11.635555555555555</v>
      </c>
      <c r="AH110" s="477">
        <f t="shared" ref="AH110:AH141" si="189">IF(AH$3&lt;&gt;"",$W110,0)+IF(AH$4&lt;&gt;"",$U110,0)+IF(AH$5&lt;&gt;"",$Z110+IF($S110&lt;&gt;"102",$V110,0),0)+IF(AH$6&lt;&gt;"",$AA110+IF($S110="102",$V110,0),0)+IF(AH$7&lt;&gt;"",$X110,0)</f>
        <v>13.848333333333334</v>
      </c>
      <c r="AI110" s="477">
        <f t="shared" ref="AI110:AI141" si="190">IF(AI$3&lt;&gt;"",$W110,0)+IF(AI$4&lt;&gt;"",$U110,0)+IF(AI$5&lt;&gt;"",$Z110+IF($S110&lt;&gt;"102",$V110,0),0)+IF(AI$6&lt;&gt;"",$AA110+IF($S110="102",$V110,0),0)+IF(AI$7&lt;&gt;"",$X110,0)</f>
        <v>14.400555555555556</v>
      </c>
      <c r="AJ110" s="477">
        <f t="shared" ref="AJ110:AJ141" si="191">IF(AJ$3&lt;&gt;"",$W110,0)+IF(AJ$4&lt;&gt;"",$U110,0)+IF(AJ$5&lt;&gt;"",$Z110+IF($S110&lt;&gt;"102",$V110,0),0)+IF(AJ$6&lt;&gt;"",$AA110+IF($S110="102",$V110,0),0)+IF(AJ$7&lt;&gt;"",$X110,0)</f>
        <v>0</v>
      </c>
      <c r="AK110" s="477">
        <f t="shared" ref="AK110:AK141" si="192">IF(AK$3&lt;&gt;"",$W110,0)+IF(AK$4&lt;&gt;"",$U110,0)+IF(AK$5&lt;&gt;"",$Z110+IF($S110&lt;&gt;"102",$V110,0),0)+IF(AK$6&lt;&gt;"",$AA110+IF($S110="102",$V110,0),0)+IF(AK$7&lt;&gt;"",$X110,0)</f>
        <v>0.55222222222222217</v>
      </c>
      <c r="AL110" s="477">
        <f t="shared" ref="AL110:AL141" si="193">IF(AL$3&lt;&gt;"",$W110,0)+IF(AL$4&lt;&gt;"",$U110,0)+IF(AL$5&lt;&gt;"",$Z110+IF($S110&lt;&gt;"102",$V110,0),0)+IF(AL$6&lt;&gt;"",$AA110+IF($S110="102",$V110,0),0)+IF(AL$7&lt;&gt;"",$X110,0)</f>
        <v>2.7650000000000001</v>
      </c>
      <c r="AM110" s="477">
        <f t="shared" ref="AM110:AM141" si="194">IF(AM$3&lt;&gt;"",$W110,0)+IF(AM$4&lt;&gt;"",$U110,0)+IF(AM$5&lt;&gt;"",$Z110+IF($S110&lt;&gt;"102",$V110,0),0)+IF(AM$6&lt;&gt;"",$AA110+IF($S110="102",$V110,0),0)+IF(AM$7&lt;&gt;"",$X110,0)</f>
        <v>3.3172222222222221</v>
      </c>
      <c r="AN110" s="477">
        <f t="shared" ref="AN110:AN141" si="195">IF(AN$3&lt;&gt;"",$W110,0)+IF(AN$4&lt;&gt;"",$U110,0)+IF(AN$5&lt;&gt;"",$Z110+IF($S110&lt;&gt;"102",$V110,0),0)+IF(AN$6&lt;&gt;"",$AA110+IF($S110="102",$V110,0),0)+IF(AN$7&lt;&gt;"",$X110,0)</f>
        <v>11.083333333333334</v>
      </c>
      <c r="AO110" s="477">
        <f t="shared" ref="AO110:AO141" si="196">IF(AO$3&lt;&gt;"",$W110,0)+IF(AO$4&lt;&gt;"",$U110,0)+IF(AO$5&lt;&gt;"",$Z110+IF($S110&lt;&gt;"102",$V110,0),0)+IF(AO$6&lt;&gt;"",$AA110+IF($S110="102",$V110,0),0)+IF(AO$7&lt;&gt;"",$X110,0)</f>
        <v>11.635555555555555</v>
      </c>
      <c r="AP110" s="477">
        <f t="shared" ref="AP110:AP141" si="197">IF(AP$3&lt;&gt;"",$W110,0)+IF(AP$4&lt;&gt;"",$U110,0)+IF(AP$5&lt;&gt;"",$Z110+IF($S110&lt;&gt;"102",$V110,0),0)+IF(AP$6&lt;&gt;"",$AA110+IF($S110="102",$V110,0),0)+IF(AP$7&lt;&gt;"",$X110,0)</f>
        <v>13.848333333333334</v>
      </c>
      <c r="AQ110" s="477">
        <f t="shared" ref="AQ110:AQ141" si="198">IF(AQ$3&lt;&gt;"",$W110,0)+IF(AQ$4&lt;&gt;"",$U110,0)+IF(AQ$5&lt;&gt;"",$Z110+IF($S110&lt;&gt;"102",$V110,0),0)+IF(AQ$6&lt;&gt;"",$AA110+IF($S110="102",$V110,0),0)+IF(AQ$7&lt;&gt;"",$X110,0)</f>
        <v>14.400555555555556</v>
      </c>
      <c r="AR110" s="477">
        <f t="shared" ref="AR110:AR141" si="199">IF(AR$3&lt;&gt;"",$W110,0)+IF(AR$4&lt;&gt;"",$U110,0)+IF(AR$5&lt;&gt;"",$Z110+IF($S110&lt;&gt;"102",$V110,0),0)+IF(AR$6&lt;&gt;"",$AA110+IF($S110="102",$V110,0),0)+IF(AR$7&lt;&gt;"",$X110,0)</f>
        <v>1.7066666666666668</v>
      </c>
      <c r="AS110" s="477">
        <f t="shared" ref="AS110:AS141" si="200">IF(AS$3&lt;&gt;"",$W110,0)+IF(AS$4&lt;&gt;"",$U110,0)+IF(AS$5&lt;&gt;"",$Z110+IF($S110&lt;&gt;"102",$V110,0),0)+IF(AS$6&lt;&gt;"",$AA110+IF($S110="102",$V110,0),0)+IF(AS$7&lt;&gt;"",$X110,0)</f>
        <v>2.2588888888888889</v>
      </c>
      <c r="AT110" s="477">
        <f t="shared" ref="AT110:AT141" si="201">IF(AT$3&lt;&gt;"",$W110,0)+IF(AT$4&lt;&gt;"",$U110,0)+IF(AT$5&lt;&gt;"",$Z110+IF($S110&lt;&gt;"102",$V110,0),0)+IF(AT$6&lt;&gt;"",$AA110+IF($S110="102",$V110,0),0)+IF(AT$7&lt;&gt;"",$X110,0)</f>
        <v>4.4716666666666667</v>
      </c>
      <c r="AU110" s="477">
        <f t="shared" ref="AU110:AU141" si="202">IF(AU$3&lt;&gt;"",$W110,0)+IF(AU$4&lt;&gt;"",$U110,0)+IF(AU$5&lt;&gt;"",$Z110+IF($S110&lt;&gt;"102",$V110,0),0)+IF(AU$6&lt;&gt;"",$AA110+IF($S110="102",$V110,0),0)+IF(AU$7&lt;&gt;"",$X110,0)</f>
        <v>5.0238888888888891</v>
      </c>
      <c r="AV110" s="477">
        <f t="shared" ref="AV110:AV141" si="203">IF(AV$3&lt;&gt;"",$W110,0)+IF(AV$4&lt;&gt;"",$U110,0)+IF(AV$5&lt;&gt;"",$Z110+IF($S110&lt;&gt;"102",$V110,0),0)+IF(AV$6&lt;&gt;"",$AA110+IF($S110="102",$V110,0),0)+IF(AV$7&lt;&gt;"",$X110,0)</f>
        <v>12.790000000000001</v>
      </c>
      <c r="AW110" s="477">
        <f t="shared" ref="AW110:AW141" si="204">IF(AW$3&lt;&gt;"",$W110,0)+IF(AW$4&lt;&gt;"",$U110,0)+IF(AW$5&lt;&gt;"",$Z110+IF($S110&lt;&gt;"102",$V110,0),0)+IF(AW$6&lt;&gt;"",$AA110+IF($S110="102",$V110,0),0)+IF(AW$7&lt;&gt;"",$X110,0)</f>
        <v>13.342222222222222</v>
      </c>
      <c r="AX110" s="477">
        <f t="shared" ref="AX110:AX141" si="205">IF(AX$3&lt;&gt;"",$W110,0)+IF(AX$4&lt;&gt;"",$U110,0)+IF(AX$5&lt;&gt;"",$Z110+IF($S110&lt;&gt;"102",$V110,0),0)+IF(AX$6&lt;&gt;"",$AA110+IF($S110="102",$V110,0),0)+IF(AX$7&lt;&gt;"",$X110,0)</f>
        <v>15.555000000000001</v>
      </c>
      <c r="AY110" s="477">
        <f t="shared" ref="AY110:AY141" si="206">IF(AY$3&lt;&gt;"",$W110,0)+IF(AY$4&lt;&gt;"",$U110,0)+IF(AY$5&lt;&gt;"",$Z110+IF($S110&lt;&gt;"102",$V110,0),0)+IF(AY$6&lt;&gt;"",$AA110+IF($S110="102",$V110,0),0)+IF(AY$7&lt;&gt;"",$X110,0)</f>
        <v>16.107222222222223</v>
      </c>
      <c r="AZ110" s="477">
        <f t="shared" ref="AZ110:AZ141" si="207">IF(AZ$3&lt;&gt;"",$W110,0)+IF(AZ$4&lt;&gt;"",$U110,0)+IF(AZ$5&lt;&gt;"",$Z110+IF($S110&lt;&gt;"102",$V110,0),0)+IF(AZ$6&lt;&gt;"",$AA110+IF($S110="102",$V110,0),0)+IF(AZ$7&lt;&gt;"",$X110,0)</f>
        <v>1.7066666666666668</v>
      </c>
      <c r="BA110" s="477">
        <f t="shared" ref="BA110:BA141" si="208">IF(BA$3&lt;&gt;"",$W110,0)+IF(BA$4&lt;&gt;"",$U110,0)+IF(BA$5&lt;&gt;"",$Z110+IF($S110&lt;&gt;"102",$V110,0),0)+IF(BA$6&lt;&gt;"",$AA110+IF($S110="102",$V110,0),0)+IF(BA$7&lt;&gt;"",$X110,0)</f>
        <v>2.2588888888888889</v>
      </c>
      <c r="BB110" s="477">
        <f t="shared" ref="BB110:BB141" si="209">IF(BB$3&lt;&gt;"",$W110,0)+IF(BB$4&lt;&gt;"",$U110,0)+IF(BB$5&lt;&gt;"",$Z110+IF($S110&lt;&gt;"102",$V110,0),0)+IF(BB$6&lt;&gt;"",$AA110+IF($S110="102",$V110,0),0)+IF(BB$7&lt;&gt;"",$X110,0)</f>
        <v>4.4716666666666667</v>
      </c>
      <c r="BC110" s="477">
        <f t="shared" ref="BC110:BC141" si="210">IF(BC$3&lt;&gt;"",$W110,0)+IF(BC$4&lt;&gt;"",$U110,0)+IF(BC$5&lt;&gt;"",$Z110+IF($S110&lt;&gt;"102",$V110,0),0)+IF(BC$6&lt;&gt;"",$AA110+IF($S110="102",$V110,0),0)+IF(BC$7&lt;&gt;"",$X110,0)</f>
        <v>5.0238888888888891</v>
      </c>
      <c r="BD110" s="477">
        <f t="shared" ref="BD110:BD141" si="211">IF(BD$3&lt;&gt;"",$W110,0)+IF(BD$4&lt;&gt;"",$U110,0)+IF(BD$5&lt;&gt;"",$Z110+IF($S110&lt;&gt;"102",$V110,0),0)+IF(BD$6&lt;&gt;"",$AA110+IF($S110="102",$V110,0),0)+IF(BD$7&lt;&gt;"",$X110,0)</f>
        <v>12.790000000000001</v>
      </c>
      <c r="BE110" s="477">
        <f t="shared" ref="BE110:BE141" si="212">IF(BE$3&lt;&gt;"",$W110,0)+IF(BE$4&lt;&gt;"",$U110,0)+IF(BE$5&lt;&gt;"",$Z110+IF($S110&lt;&gt;"102",$V110,0),0)+IF(BE$6&lt;&gt;"",$AA110+IF($S110="102",$V110,0),0)+IF(BE$7&lt;&gt;"",$X110,0)</f>
        <v>13.342222222222222</v>
      </c>
      <c r="BF110" s="477">
        <f t="shared" ref="BF110:BF141" si="213">IF(BF$3&lt;&gt;"",$W110,0)+IF(BF$4&lt;&gt;"",$U110,0)+IF(BF$5&lt;&gt;"",$Z110+IF($S110&lt;&gt;"102",$V110,0),0)+IF(BF$6&lt;&gt;"",$AA110+IF($S110="102",$V110,0),0)+IF(BF$7&lt;&gt;"",$X110,0)</f>
        <v>15.555000000000001</v>
      </c>
      <c r="BG110" s="47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77">
        <f t="shared" si="177"/>
        <v>0</v>
      </c>
      <c r="V111" s="477">
        <f t="shared" si="178"/>
        <v>0</v>
      </c>
      <c r="W111" s="477">
        <f t="shared" si="179"/>
        <v>1.7066666666666668</v>
      </c>
      <c r="X111" s="477">
        <f t="shared" si="180"/>
        <v>16.566666666666666</v>
      </c>
      <c r="Y111" s="477">
        <f t="shared" si="181"/>
        <v>11.083333333333334</v>
      </c>
      <c r="Z111" s="477">
        <f t="shared" si="182"/>
        <v>11.083333333333334</v>
      </c>
      <c r="AA111" s="477">
        <f t="shared" si="183"/>
        <v>2.7650000000000001</v>
      </c>
      <c r="AB111" s="243"/>
      <c r="AC111" s="477">
        <f t="shared" si="184"/>
        <v>16.566666666666666</v>
      </c>
      <c r="AD111" s="477">
        <f t="shared" si="185"/>
        <v>2.7650000000000001</v>
      </c>
      <c r="AE111" s="477">
        <f t="shared" si="186"/>
        <v>19.331666666666667</v>
      </c>
      <c r="AF111" s="477">
        <f t="shared" si="187"/>
        <v>11.083333333333334</v>
      </c>
      <c r="AG111" s="477">
        <f t="shared" si="188"/>
        <v>27.65</v>
      </c>
      <c r="AH111" s="477">
        <f t="shared" si="189"/>
        <v>13.848333333333334</v>
      </c>
      <c r="AI111" s="477">
        <f t="shared" si="190"/>
        <v>30.414999999999999</v>
      </c>
      <c r="AJ111" s="477">
        <f t="shared" si="191"/>
        <v>0</v>
      </c>
      <c r="AK111" s="477">
        <f t="shared" si="192"/>
        <v>16.566666666666666</v>
      </c>
      <c r="AL111" s="477">
        <f t="shared" si="193"/>
        <v>2.7650000000000001</v>
      </c>
      <c r="AM111" s="477">
        <f t="shared" si="194"/>
        <v>19.331666666666667</v>
      </c>
      <c r="AN111" s="477">
        <f t="shared" si="195"/>
        <v>11.083333333333334</v>
      </c>
      <c r="AO111" s="477">
        <f t="shared" si="196"/>
        <v>27.65</v>
      </c>
      <c r="AP111" s="477">
        <f t="shared" si="197"/>
        <v>13.848333333333334</v>
      </c>
      <c r="AQ111" s="477">
        <f t="shared" si="198"/>
        <v>30.414999999999999</v>
      </c>
      <c r="AR111" s="477">
        <f t="shared" si="199"/>
        <v>1.7066666666666668</v>
      </c>
      <c r="AS111" s="477">
        <f t="shared" si="200"/>
        <v>18.273333333333333</v>
      </c>
      <c r="AT111" s="477">
        <f t="shared" si="201"/>
        <v>4.4716666666666667</v>
      </c>
      <c r="AU111" s="477">
        <f t="shared" si="202"/>
        <v>21.038333333333334</v>
      </c>
      <c r="AV111" s="477">
        <f t="shared" si="203"/>
        <v>12.790000000000001</v>
      </c>
      <c r="AW111" s="477">
        <f t="shared" si="204"/>
        <v>29.356666666666669</v>
      </c>
      <c r="AX111" s="477">
        <f t="shared" si="205"/>
        <v>15.555000000000001</v>
      </c>
      <c r="AY111" s="477">
        <f t="shared" si="206"/>
        <v>32.12166666666667</v>
      </c>
      <c r="AZ111" s="477">
        <f t="shared" si="207"/>
        <v>1.7066666666666668</v>
      </c>
      <c r="BA111" s="477">
        <f t="shared" si="208"/>
        <v>18.273333333333333</v>
      </c>
      <c r="BB111" s="477">
        <f t="shared" si="209"/>
        <v>4.4716666666666667</v>
      </c>
      <c r="BC111" s="477">
        <f t="shared" si="210"/>
        <v>21.038333333333334</v>
      </c>
      <c r="BD111" s="477">
        <f t="shared" si="211"/>
        <v>12.790000000000001</v>
      </c>
      <c r="BE111" s="477">
        <f t="shared" si="212"/>
        <v>29.356666666666669</v>
      </c>
      <c r="BF111" s="477">
        <f t="shared" si="213"/>
        <v>15.555000000000001</v>
      </c>
      <c r="BG111" s="47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77">
        <f t="shared" si="177"/>
        <v>0</v>
      </c>
      <c r="V112" s="477">
        <f t="shared" si="178"/>
        <v>0</v>
      </c>
      <c r="W112" s="477">
        <f t="shared" si="179"/>
        <v>1.7066666666666668</v>
      </c>
      <c r="X112" s="477">
        <f t="shared" si="180"/>
        <v>16.566666666666666</v>
      </c>
      <c r="Y112" s="477">
        <f t="shared" si="181"/>
        <v>11.083333333333334</v>
      </c>
      <c r="Z112" s="477">
        <f t="shared" si="182"/>
        <v>11.083333333333334</v>
      </c>
      <c r="AA112" s="477">
        <f t="shared" si="183"/>
        <v>2.7650000000000001</v>
      </c>
      <c r="AB112" s="243"/>
      <c r="AC112" s="477">
        <f t="shared" si="184"/>
        <v>16.566666666666666</v>
      </c>
      <c r="AD112" s="477">
        <f t="shared" si="185"/>
        <v>2.7650000000000001</v>
      </c>
      <c r="AE112" s="477">
        <f t="shared" si="186"/>
        <v>19.331666666666667</v>
      </c>
      <c r="AF112" s="477">
        <f t="shared" si="187"/>
        <v>11.083333333333334</v>
      </c>
      <c r="AG112" s="477">
        <f t="shared" si="188"/>
        <v>27.65</v>
      </c>
      <c r="AH112" s="477">
        <f t="shared" si="189"/>
        <v>13.848333333333334</v>
      </c>
      <c r="AI112" s="477">
        <f t="shared" si="190"/>
        <v>30.414999999999999</v>
      </c>
      <c r="AJ112" s="477">
        <f t="shared" si="191"/>
        <v>0</v>
      </c>
      <c r="AK112" s="477">
        <f t="shared" si="192"/>
        <v>16.566666666666666</v>
      </c>
      <c r="AL112" s="477">
        <f t="shared" si="193"/>
        <v>2.7650000000000001</v>
      </c>
      <c r="AM112" s="477">
        <f t="shared" si="194"/>
        <v>19.331666666666667</v>
      </c>
      <c r="AN112" s="477">
        <f t="shared" si="195"/>
        <v>11.083333333333334</v>
      </c>
      <c r="AO112" s="477">
        <f t="shared" si="196"/>
        <v>27.65</v>
      </c>
      <c r="AP112" s="477">
        <f t="shared" si="197"/>
        <v>13.848333333333334</v>
      </c>
      <c r="AQ112" s="477">
        <f t="shared" si="198"/>
        <v>30.414999999999999</v>
      </c>
      <c r="AR112" s="477">
        <f t="shared" si="199"/>
        <v>1.7066666666666668</v>
      </c>
      <c r="AS112" s="477">
        <f t="shared" si="200"/>
        <v>18.273333333333333</v>
      </c>
      <c r="AT112" s="477">
        <f t="shared" si="201"/>
        <v>4.4716666666666667</v>
      </c>
      <c r="AU112" s="477">
        <f t="shared" si="202"/>
        <v>21.038333333333334</v>
      </c>
      <c r="AV112" s="477">
        <f t="shared" si="203"/>
        <v>12.790000000000001</v>
      </c>
      <c r="AW112" s="477">
        <f t="shared" si="204"/>
        <v>29.356666666666669</v>
      </c>
      <c r="AX112" s="477">
        <f t="shared" si="205"/>
        <v>15.555000000000001</v>
      </c>
      <c r="AY112" s="477">
        <f t="shared" si="206"/>
        <v>32.12166666666667</v>
      </c>
      <c r="AZ112" s="477">
        <f t="shared" si="207"/>
        <v>1.7066666666666668</v>
      </c>
      <c r="BA112" s="477">
        <f t="shared" si="208"/>
        <v>18.273333333333333</v>
      </c>
      <c r="BB112" s="477">
        <f t="shared" si="209"/>
        <v>4.4716666666666667</v>
      </c>
      <c r="BC112" s="477">
        <f t="shared" si="210"/>
        <v>21.038333333333334</v>
      </c>
      <c r="BD112" s="477">
        <f t="shared" si="211"/>
        <v>12.790000000000001</v>
      </c>
      <c r="BE112" s="477">
        <f t="shared" si="212"/>
        <v>29.356666666666669</v>
      </c>
      <c r="BF112" s="477">
        <f t="shared" si="213"/>
        <v>15.555000000000001</v>
      </c>
      <c r="BG112" s="47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77">
        <f t="shared" si="177"/>
        <v>0</v>
      </c>
      <c r="V113" s="477">
        <f t="shared" si="178"/>
        <v>0</v>
      </c>
      <c r="W113" s="477">
        <f t="shared" si="179"/>
        <v>0.28444444444444444</v>
      </c>
      <c r="X113" s="477">
        <f t="shared" si="180"/>
        <v>16.566666666666666</v>
      </c>
      <c r="Y113" s="477">
        <f t="shared" si="181"/>
        <v>11.083333333333334</v>
      </c>
      <c r="Z113" s="477">
        <f t="shared" si="182"/>
        <v>11.083333333333334</v>
      </c>
      <c r="AA113" s="477">
        <f t="shared" si="183"/>
        <v>2.7650000000000001</v>
      </c>
      <c r="AB113" s="243"/>
      <c r="AC113" s="477">
        <f t="shared" si="184"/>
        <v>16.566666666666666</v>
      </c>
      <c r="AD113" s="477">
        <f t="shared" si="185"/>
        <v>2.7650000000000001</v>
      </c>
      <c r="AE113" s="477">
        <f t="shared" si="186"/>
        <v>19.331666666666667</v>
      </c>
      <c r="AF113" s="477">
        <f t="shared" si="187"/>
        <v>11.083333333333334</v>
      </c>
      <c r="AG113" s="477">
        <f t="shared" si="188"/>
        <v>27.65</v>
      </c>
      <c r="AH113" s="477">
        <f t="shared" si="189"/>
        <v>13.848333333333334</v>
      </c>
      <c r="AI113" s="477">
        <f t="shared" si="190"/>
        <v>30.414999999999999</v>
      </c>
      <c r="AJ113" s="477">
        <f t="shared" si="191"/>
        <v>0</v>
      </c>
      <c r="AK113" s="477">
        <f t="shared" si="192"/>
        <v>16.566666666666666</v>
      </c>
      <c r="AL113" s="477">
        <f t="shared" si="193"/>
        <v>2.7650000000000001</v>
      </c>
      <c r="AM113" s="477">
        <f t="shared" si="194"/>
        <v>19.331666666666667</v>
      </c>
      <c r="AN113" s="477">
        <f t="shared" si="195"/>
        <v>11.083333333333334</v>
      </c>
      <c r="AO113" s="477">
        <f t="shared" si="196"/>
        <v>27.65</v>
      </c>
      <c r="AP113" s="477">
        <f t="shared" si="197"/>
        <v>13.848333333333334</v>
      </c>
      <c r="AQ113" s="477">
        <f t="shared" si="198"/>
        <v>30.414999999999999</v>
      </c>
      <c r="AR113" s="477">
        <f t="shared" si="199"/>
        <v>0.28444444444444444</v>
      </c>
      <c r="AS113" s="477">
        <f t="shared" si="200"/>
        <v>16.851111111111109</v>
      </c>
      <c r="AT113" s="477">
        <f t="shared" si="201"/>
        <v>3.0494444444444446</v>
      </c>
      <c r="AU113" s="477">
        <f t="shared" si="202"/>
        <v>19.61611111111111</v>
      </c>
      <c r="AV113" s="477">
        <f t="shared" si="203"/>
        <v>11.367777777777778</v>
      </c>
      <c r="AW113" s="477">
        <f t="shared" si="204"/>
        <v>27.934444444444445</v>
      </c>
      <c r="AX113" s="477">
        <f t="shared" si="205"/>
        <v>14.132777777777779</v>
      </c>
      <c r="AY113" s="477">
        <f t="shared" si="206"/>
        <v>30.699444444444445</v>
      </c>
      <c r="AZ113" s="477">
        <f t="shared" si="207"/>
        <v>0.28444444444444444</v>
      </c>
      <c r="BA113" s="477">
        <f t="shared" si="208"/>
        <v>16.851111111111109</v>
      </c>
      <c r="BB113" s="477">
        <f t="shared" si="209"/>
        <v>3.0494444444444446</v>
      </c>
      <c r="BC113" s="477">
        <f t="shared" si="210"/>
        <v>19.61611111111111</v>
      </c>
      <c r="BD113" s="477">
        <f t="shared" si="211"/>
        <v>11.367777777777778</v>
      </c>
      <c r="BE113" s="477">
        <f t="shared" si="212"/>
        <v>27.934444444444445</v>
      </c>
      <c r="BF113" s="477">
        <f t="shared" si="213"/>
        <v>14.132777777777779</v>
      </c>
      <c r="BG113" s="47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77">
        <f t="shared" si="177"/>
        <v>7.3437500000000003E-2</v>
      </c>
      <c r="V114" s="477">
        <f t="shared" si="178"/>
        <v>0.3046875</v>
      </c>
      <c r="W114" s="477">
        <f t="shared" si="179"/>
        <v>0.28444444444444444</v>
      </c>
      <c r="X114" s="477">
        <f t="shared" si="180"/>
        <v>16.566666666666666</v>
      </c>
      <c r="Y114" s="477">
        <f t="shared" si="181"/>
        <v>11.083333333333334</v>
      </c>
      <c r="Z114" s="477">
        <f t="shared" si="182"/>
        <v>0.15393518518518517</v>
      </c>
      <c r="AA114" s="477">
        <f t="shared" si="183"/>
        <v>2.7650000000000001</v>
      </c>
      <c r="AB114" s="243"/>
      <c r="AC114" s="477">
        <f t="shared" si="184"/>
        <v>16.566666666666666</v>
      </c>
      <c r="AD114" s="477">
        <f t="shared" si="185"/>
        <v>2.7650000000000001</v>
      </c>
      <c r="AE114" s="477">
        <f t="shared" si="186"/>
        <v>19.331666666666667</v>
      </c>
      <c r="AF114" s="477">
        <f t="shared" si="187"/>
        <v>0.45862268518518517</v>
      </c>
      <c r="AG114" s="477">
        <f t="shared" si="188"/>
        <v>17.025289351851853</v>
      </c>
      <c r="AH114" s="477">
        <f t="shared" si="189"/>
        <v>3.2236226851851852</v>
      </c>
      <c r="AI114" s="477">
        <f t="shared" si="190"/>
        <v>19.79028935185185</v>
      </c>
      <c r="AJ114" s="477">
        <f t="shared" si="191"/>
        <v>7.3437500000000003E-2</v>
      </c>
      <c r="AK114" s="477">
        <f t="shared" si="192"/>
        <v>16.640104166666667</v>
      </c>
      <c r="AL114" s="477">
        <f t="shared" si="193"/>
        <v>2.8384374999999999</v>
      </c>
      <c r="AM114" s="477">
        <f t="shared" si="194"/>
        <v>19.405104166666668</v>
      </c>
      <c r="AN114" s="477">
        <f t="shared" si="195"/>
        <v>0.53206018518518516</v>
      </c>
      <c r="AO114" s="477">
        <f t="shared" si="196"/>
        <v>17.09872685185185</v>
      </c>
      <c r="AP114" s="477">
        <f t="shared" si="197"/>
        <v>3.2970601851851855</v>
      </c>
      <c r="AQ114" s="477">
        <f t="shared" si="198"/>
        <v>19.863726851851851</v>
      </c>
      <c r="AR114" s="477">
        <f t="shared" si="199"/>
        <v>0.28444444444444444</v>
      </c>
      <c r="AS114" s="477">
        <f t="shared" si="200"/>
        <v>16.851111111111109</v>
      </c>
      <c r="AT114" s="477">
        <f t="shared" si="201"/>
        <v>3.0494444444444446</v>
      </c>
      <c r="AU114" s="477">
        <f t="shared" si="202"/>
        <v>19.61611111111111</v>
      </c>
      <c r="AV114" s="477">
        <f t="shared" si="203"/>
        <v>0.74306712962962962</v>
      </c>
      <c r="AW114" s="477">
        <f t="shared" si="204"/>
        <v>17.309733796296296</v>
      </c>
      <c r="AX114" s="477">
        <f t="shared" si="205"/>
        <v>3.5080671296296297</v>
      </c>
      <c r="AY114" s="477">
        <f t="shared" si="206"/>
        <v>20.074733796296297</v>
      </c>
      <c r="AZ114" s="477">
        <f t="shared" si="207"/>
        <v>0.35788194444444443</v>
      </c>
      <c r="BA114" s="477">
        <f t="shared" si="208"/>
        <v>16.92454861111111</v>
      </c>
      <c r="BB114" s="477">
        <f t="shared" si="209"/>
        <v>3.1228819444444444</v>
      </c>
      <c r="BC114" s="477">
        <f t="shared" si="210"/>
        <v>19.68954861111111</v>
      </c>
      <c r="BD114" s="477">
        <f t="shared" si="211"/>
        <v>0.81650462962962966</v>
      </c>
      <c r="BE114" s="477">
        <f t="shared" si="212"/>
        <v>17.383171296296297</v>
      </c>
      <c r="BF114" s="477">
        <f t="shared" si="213"/>
        <v>3.58150462962963</v>
      </c>
      <c r="BG114" s="47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77">
        <f t="shared" si="177"/>
        <v>7.3437500000000003E-2</v>
      </c>
      <c r="V115" s="477">
        <f t="shared" si="178"/>
        <v>0.3046875</v>
      </c>
      <c r="W115" s="477">
        <f t="shared" si="179"/>
        <v>0.28444444444444444</v>
      </c>
      <c r="X115" s="477">
        <f t="shared" si="180"/>
        <v>16.566666666666666</v>
      </c>
      <c r="Y115" s="477">
        <f t="shared" si="181"/>
        <v>11.083333333333334</v>
      </c>
      <c r="Z115" s="477">
        <f t="shared" si="182"/>
        <v>0.15393518518518517</v>
      </c>
      <c r="AA115" s="477">
        <f t="shared" si="183"/>
        <v>2.7650000000000001</v>
      </c>
      <c r="AB115" s="243"/>
      <c r="AC115" s="477">
        <f t="shared" si="184"/>
        <v>16.566666666666666</v>
      </c>
      <c r="AD115" s="477">
        <f t="shared" si="185"/>
        <v>3.0696875000000001</v>
      </c>
      <c r="AE115" s="477">
        <f t="shared" si="186"/>
        <v>19.636354166666667</v>
      </c>
      <c r="AF115" s="477">
        <f t="shared" si="187"/>
        <v>0.15393518518518517</v>
      </c>
      <c r="AG115" s="477">
        <f t="shared" si="188"/>
        <v>16.720601851851853</v>
      </c>
      <c r="AH115" s="477">
        <f t="shared" si="189"/>
        <v>3.2236226851851852</v>
      </c>
      <c r="AI115" s="477">
        <f t="shared" si="190"/>
        <v>19.79028935185185</v>
      </c>
      <c r="AJ115" s="477">
        <f t="shared" si="191"/>
        <v>7.3437500000000003E-2</v>
      </c>
      <c r="AK115" s="477">
        <f t="shared" si="192"/>
        <v>16.640104166666667</v>
      </c>
      <c r="AL115" s="477">
        <f t="shared" si="193"/>
        <v>3.1431249999999999</v>
      </c>
      <c r="AM115" s="477">
        <f t="shared" si="194"/>
        <v>19.709791666666668</v>
      </c>
      <c r="AN115" s="477">
        <f t="shared" si="195"/>
        <v>0.22737268518518516</v>
      </c>
      <c r="AO115" s="477">
        <f t="shared" si="196"/>
        <v>16.79403935185185</v>
      </c>
      <c r="AP115" s="477">
        <f t="shared" si="197"/>
        <v>3.2970601851851855</v>
      </c>
      <c r="AQ115" s="477">
        <f t="shared" si="198"/>
        <v>19.863726851851851</v>
      </c>
      <c r="AR115" s="477">
        <f t="shared" si="199"/>
        <v>0.28444444444444444</v>
      </c>
      <c r="AS115" s="477">
        <f t="shared" si="200"/>
        <v>16.851111111111109</v>
      </c>
      <c r="AT115" s="477">
        <f t="shared" si="201"/>
        <v>3.3541319444444446</v>
      </c>
      <c r="AU115" s="477">
        <f t="shared" si="202"/>
        <v>19.92079861111111</v>
      </c>
      <c r="AV115" s="477">
        <f t="shared" si="203"/>
        <v>0.43837962962962962</v>
      </c>
      <c r="AW115" s="477">
        <f t="shared" si="204"/>
        <v>17.005046296296296</v>
      </c>
      <c r="AX115" s="477">
        <f t="shared" si="205"/>
        <v>3.5080671296296297</v>
      </c>
      <c r="AY115" s="477">
        <f t="shared" si="206"/>
        <v>20.074733796296297</v>
      </c>
      <c r="AZ115" s="477">
        <f t="shared" si="207"/>
        <v>0.35788194444444443</v>
      </c>
      <c r="BA115" s="477">
        <f t="shared" si="208"/>
        <v>16.92454861111111</v>
      </c>
      <c r="BB115" s="477">
        <f t="shared" si="209"/>
        <v>3.4275694444444444</v>
      </c>
      <c r="BC115" s="477">
        <f t="shared" si="210"/>
        <v>19.99423611111111</v>
      </c>
      <c r="BD115" s="477">
        <f t="shared" si="211"/>
        <v>0.51181712962962966</v>
      </c>
      <c r="BE115" s="477">
        <f t="shared" si="212"/>
        <v>17.078483796296297</v>
      </c>
      <c r="BF115" s="477">
        <f t="shared" si="213"/>
        <v>3.58150462962963</v>
      </c>
      <c r="BG115" s="47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77">
        <f t="shared" si="177"/>
        <v>7.3437500000000003E-2</v>
      </c>
      <c r="V116" s="477">
        <f t="shared" si="178"/>
        <v>0.3046875</v>
      </c>
      <c r="W116" s="477">
        <f t="shared" si="179"/>
        <v>0.28444444444444444</v>
      </c>
      <c r="X116" s="477">
        <f t="shared" si="180"/>
        <v>16.566666666666666</v>
      </c>
      <c r="Y116" s="477">
        <f t="shared" si="181"/>
        <v>11.083333333333334</v>
      </c>
      <c r="Z116" s="477">
        <f t="shared" si="182"/>
        <v>0.15393518518518517</v>
      </c>
      <c r="AA116" s="477">
        <f t="shared" si="183"/>
        <v>2.7650000000000001</v>
      </c>
      <c r="AB116" s="243"/>
      <c r="AC116" s="477">
        <f t="shared" si="184"/>
        <v>16.566666666666666</v>
      </c>
      <c r="AD116" s="477">
        <f t="shared" si="185"/>
        <v>3.0696875000000001</v>
      </c>
      <c r="AE116" s="477">
        <f t="shared" si="186"/>
        <v>19.636354166666667</v>
      </c>
      <c r="AF116" s="477">
        <f t="shared" si="187"/>
        <v>0.15393518518518517</v>
      </c>
      <c r="AG116" s="477">
        <f t="shared" si="188"/>
        <v>16.720601851851853</v>
      </c>
      <c r="AH116" s="477">
        <f t="shared" si="189"/>
        <v>3.2236226851851852</v>
      </c>
      <c r="AI116" s="477">
        <f t="shared" si="190"/>
        <v>19.79028935185185</v>
      </c>
      <c r="AJ116" s="477">
        <f t="shared" si="191"/>
        <v>7.3437500000000003E-2</v>
      </c>
      <c r="AK116" s="477">
        <f t="shared" si="192"/>
        <v>16.640104166666667</v>
      </c>
      <c r="AL116" s="477">
        <f t="shared" si="193"/>
        <v>3.1431249999999999</v>
      </c>
      <c r="AM116" s="477">
        <f t="shared" si="194"/>
        <v>19.709791666666668</v>
      </c>
      <c r="AN116" s="477">
        <f t="shared" si="195"/>
        <v>0.22737268518518516</v>
      </c>
      <c r="AO116" s="477">
        <f t="shared" si="196"/>
        <v>16.79403935185185</v>
      </c>
      <c r="AP116" s="477">
        <f t="shared" si="197"/>
        <v>3.2970601851851855</v>
      </c>
      <c r="AQ116" s="477">
        <f t="shared" si="198"/>
        <v>19.863726851851851</v>
      </c>
      <c r="AR116" s="477">
        <f t="shared" si="199"/>
        <v>0.28444444444444444</v>
      </c>
      <c r="AS116" s="477">
        <f t="shared" si="200"/>
        <v>16.851111111111109</v>
      </c>
      <c r="AT116" s="477">
        <f t="shared" si="201"/>
        <v>3.3541319444444446</v>
      </c>
      <c r="AU116" s="477">
        <f t="shared" si="202"/>
        <v>19.92079861111111</v>
      </c>
      <c r="AV116" s="477">
        <f t="shared" si="203"/>
        <v>0.43837962962962962</v>
      </c>
      <c r="AW116" s="477">
        <f t="shared" si="204"/>
        <v>17.005046296296296</v>
      </c>
      <c r="AX116" s="477">
        <f t="shared" si="205"/>
        <v>3.5080671296296297</v>
      </c>
      <c r="AY116" s="477">
        <f t="shared" si="206"/>
        <v>20.074733796296297</v>
      </c>
      <c r="AZ116" s="477">
        <f t="shared" si="207"/>
        <v>0.35788194444444443</v>
      </c>
      <c r="BA116" s="477">
        <f t="shared" si="208"/>
        <v>16.92454861111111</v>
      </c>
      <c r="BB116" s="477">
        <f t="shared" si="209"/>
        <v>3.4275694444444444</v>
      </c>
      <c r="BC116" s="477">
        <f t="shared" si="210"/>
        <v>19.99423611111111</v>
      </c>
      <c r="BD116" s="477">
        <f t="shared" si="211"/>
        <v>0.51181712962962966</v>
      </c>
      <c r="BE116" s="477">
        <f t="shared" si="212"/>
        <v>17.078483796296297</v>
      </c>
      <c r="BF116" s="477">
        <f t="shared" si="213"/>
        <v>3.58150462962963</v>
      </c>
      <c r="BG116" s="47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77">
        <f t="shared" si="177"/>
        <v>0</v>
      </c>
      <c r="V117" s="477">
        <f t="shared" si="178"/>
        <v>0</v>
      </c>
      <c r="W117" s="477">
        <f t="shared" si="179"/>
        <v>0</v>
      </c>
      <c r="X117" s="477">
        <f t="shared" si="180"/>
        <v>0</v>
      </c>
      <c r="Y117" s="477">
        <f t="shared" si="181"/>
        <v>0</v>
      </c>
      <c r="Z117" s="477">
        <f t="shared" si="182"/>
        <v>0</v>
      </c>
      <c r="AA117" s="477">
        <f t="shared" si="183"/>
        <v>0</v>
      </c>
      <c r="AB117" s="243"/>
      <c r="AC117" s="477">
        <f t="shared" si="184"/>
        <v>0</v>
      </c>
      <c r="AD117" s="477">
        <f t="shared" si="185"/>
        <v>0</v>
      </c>
      <c r="AE117" s="477">
        <f t="shared" si="186"/>
        <v>0</v>
      </c>
      <c r="AF117" s="477">
        <f t="shared" si="187"/>
        <v>0</v>
      </c>
      <c r="AG117" s="477">
        <f t="shared" si="188"/>
        <v>0</v>
      </c>
      <c r="AH117" s="477">
        <f t="shared" si="189"/>
        <v>0</v>
      </c>
      <c r="AI117" s="477">
        <f t="shared" si="190"/>
        <v>0</v>
      </c>
      <c r="AJ117" s="477">
        <f t="shared" si="191"/>
        <v>0</v>
      </c>
      <c r="AK117" s="477">
        <f t="shared" si="192"/>
        <v>0</v>
      </c>
      <c r="AL117" s="477">
        <f t="shared" si="193"/>
        <v>0</v>
      </c>
      <c r="AM117" s="477">
        <f t="shared" si="194"/>
        <v>0</v>
      </c>
      <c r="AN117" s="477">
        <f t="shared" si="195"/>
        <v>0</v>
      </c>
      <c r="AO117" s="477">
        <f t="shared" si="196"/>
        <v>0</v>
      </c>
      <c r="AP117" s="477">
        <f t="shared" si="197"/>
        <v>0</v>
      </c>
      <c r="AQ117" s="477">
        <f t="shared" si="198"/>
        <v>0</v>
      </c>
      <c r="AR117" s="477">
        <f t="shared" si="199"/>
        <v>0</v>
      </c>
      <c r="AS117" s="477">
        <f t="shared" si="200"/>
        <v>0</v>
      </c>
      <c r="AT117" s="477">
        <f t="shared" si="201"/>
        <v>0</v>
      </c>
      <c r="AU117" s="477">
        <f t="shared" si="202"/>
        <v>0</v>
      </c>
      <c r="AV117" s="477">
        <f t="shared" si="203"/>
        <v>0</v>
      </c>
      <c r="AW117" s="477">
        <f t="shared" si="204"/>
        <v>0</v>
      </c>
      <c r="AX117" s="477">
        <f t="shared" si="205"/>
        <v>0</v>
      </c>
      <c r="AY117" s="477">
        <f t="shared" si="206"/>
        <v>0</v>
      </c>
      <c r="AZ117" s="477">
        <f t="shared" si="207"/>
        <v>0</v>
      </c>
      <c r="BA117" s="477">
        <f t="shared" si="208"/>
        <v>0</v>
      </c>
      <c r="BB117" s="477">
        <f t="shared" si="209"/>
        <v>0</v>
      </c>
      <c r="BC117" s="477">
        <f t="shared" si="210"/>
        <v>0</v>
      </c>
      <c r="BD117" s="477">
        <f t="shared" si="211"/>
        <v>0</v>
      </c>
      <c r="BE117" s="477">
        <f t="shared" si="212"/>
        <v>0</v>
      </c>
      <c r="BF117" s="477">
        <f t="shared" si="213"/>
        <v>0</v>
      </c>
      <c r="BG117" s="47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77">
        <f t="shared" si="177"/>
        <v>0</v>
      </c>
      <c r="V118" s="477">
        <f t="shared" si="178"/>
        <v>0</v>
      </c>
      <c r="W118" s="477">
        <f t="shared" si="179"/>
        <v>0</v>
      </c>
      <c r="X118" s="477">
        <f t="shared" si="180"/>
        <v>0</v>
      </c>
      <c r="Y118" s="477">
        <f t="shared" si="181"/>
        <v>0</v>
      </c>
      <c r="Z118" s="477">
        <f t="shared" si="182"/>
        <v>0</v>
      </c>
      <c r="AA118" s="477">
        <f t="shared" si="183"/>
        <v>0</v>
      </c>
      <c r="AB118" s="243"/>
      <c r="AC118" s="477">
        <f t="shared" si="184"/>
        <v>0</v>
      </c>
      <c r="AD118" s="477">
        <f t="shared" si="185"/>
        <v>0</v>
      </c>
      <c r="AE118" s="477">
        <f t="shared" si="186"/>
        <v>0</v>
      </c>
      <c r="AF118" s="477">
        <f t="shared" si="187"/>
        <v>0</v>
      </c>
      <c r="AG118" s="477">
        <f t="shared" si="188"/>
        <v>0</v>
      </c>
      <c r="AH118" s="477">
        <f t="shared" si="189"/>
        <v>0</v>
      </c>
      <c r="AI118" s="477">
        <f t="shared" si="190"/>
        <v>0</v>
      </c>
      <c r="AJ118" s="477">
        <f t="shared" si="191"/>
        <v>0</v>
      </c>
      <c r="AK118" s="477">
        <f t="shared" si="192"/>
        <v>0</v>
      </c>
      <c r="AL118" s="477">
        <f t="shared" si="193"/>
        <v>0</v>
      </c>
      <c r="AM118" s="477">
        <f t="shared" si="194"/>
        <v>0</v>
      </c>
      <c r="AN118" s="477">
        <f t="shared" si="195"/>
        <v>0</v>
      </c>
      <c r="AO118" s="477">
        <f t="shared" si="196"/>
        <v>0</v>
      </c>
      <c r="AP118" s="477">
        <f t="shared" si="197"/>
        <v>0</v>
      </c>
      <c r="AQ118" s="477">
        <f t="shared" si="198"/>
        <v>0</v>
      </c>
      <c r="AR118" s="477">
        <f t="shared" si="199"/>
        <v>0</v>
      </c>
      <c r="AS118" s="477">
        <f t="shared" si="200"/>
        <v>0</v>
      </c>
      <c r="AT118" s="477">
        <f t="shared" si="201"/>
        <v>0</v>
      </c>
      <c r="AU118" s="477">
        <f t="shared" si="202"/>
        <v>0</v>
      </c>
      <c r="AV118" s="477">
        <f t="shared" si="203"/>
        <v>0</v>
      </c>
      <c r="AW118" s="477">
        <f t="shared" si="204"/>
        <v>0</v>
      </c>
      <c r="AX118" s="477">
        <f t="shared" si="205"/>
        <v>0</v>
      </c>
      <c r="AY118" s="477">
        <f t="shared" si="206"/>
        <v>0</v>
      </c>
      <c r="AZ118" s="477">
        <f t="shared" si="207"/>
        <v>0</v>
      </c>
      <c r="BA118" s="477">
        <f t="shared" si="208"/>
        <v>0</v>
      </c>
      <c r="BB118" s="477">
        <f t="shared" si="209"/>
        <v>0</v>
      </c>
      <c r="BC118" s="477">
        <f t="shared" si="210"/>
        <v>0</v>
      </c>
      <c r="BD118" s="477">
        <f t="shared" si="211"/>
        <v>0</v>
      </c>
      <c r="BE118" s="477">
        <f t="shared" si="212"/>
        <v>0</v>
      </c>
      <c r="BF118" s="477">
        <f t="shared" si="213"/>
        <v>0</v>
      </c>
      <c r="BG118" s="47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77">
        <f t="shared" si="177"/>
        <v>0</v>
      </c>
      <c r="V119" s="477">
        <f t="shared" si="178"/>
        <v>0</v>
      </c>
      <c r="W119" s="477">
        <f t="shared" si="179"/>
        <v>0</v>
      </c>
      <c r="X119" s="477">
        <f t="shared" si="180"/>
        <v>0</v>
      </c>
      <c r="Y119" s="477">
        <f t="shared" si="181"/>
        <v>133</v>
      </c>
      <c r="Z119" s="477">
        <f t="shared" si="182"/>
        <v>133</v>
      </c>
      <c r="AA119" s="477">
        <f t="shared" si="183"/>
        <v>0</v>
      </c>
      <c r="AB119" s="243"/>
      <c r="AC119" s="477">
        <f t="shared" si="184"/>
        <v>0</v>
      </c>
      <c r="AD119" s="477">
        <f t="shared" si="185"/>
        <v>0</v>
      </c>
      <c r="AE119" s="477">
        <f t="shared" si="186"/>
        <v>0</v>
      </c>
      <c r="AF119" s="477">
        <f t="shared" si="187"/>
        <v>133</v>
      </c>
      <c r="AG119" s="477">
        <f t="shared" si="188"/>
        <v>133</v>
      </c>
      <c r="AH119" s="477">
        <f t="shared" si="189"/>
        <v>133</v>
      </c>
      <c r="AI119" s="477">
        <f t="shared" si="190"/>
        <v>133</v>
      </c>
      <c r="AJ119" s="477">
        <f t="shared" si="191"/>
        <v>0</v>
      </c>
      <c r="AK119" s="477">
        <f t="shared" si="192"/>
        <v>0</v>
      </c>
      <c r="AL119" s="477">
        <f t="shared" si="193"/>
        <v>0</v>
      </c>
      <c r="AM119" s="477">
        <f t="shared" si="194"/>
        <v>0</v>
      </c>
      <c r="AN119" s="477">
        <f t="shared" si="195"/>
        <v>133</v>
      </c>
      <c r="AO119" s="477">
        <f t="shared" si="196"/>
        <v>133</v>
      </c>
      <c r="AP119" s="477">
        <f t="shared" si="197"/>
        <v>133</v>
      </c>
      <c r="AQ119" s="477">
        <f t="shared" si="198"/>
        <v>133</v>
      </c>
      <c r="AR119" s="477">
        <f t="shared" si="199"/>
        <v>0</v>
      </c>
      <c r="AS119" s="477">
        <f t="shared" si="200"/>
        <v>0</v>
      </c>
      <c r="AT119" s="477">
        <f t="shared" si="201"/>
        <v>0</v>
      </c>
      <c r="AU119" s="477">
        <f t="shared" si="202"/>
        <v>0</v>
      </c>
      <c r="AV119" s="477">
        <f t="shared" si="203"/>
        <v>133</v>
      </c>
      <c r="AW119" s="477">
        <f t="shared" si="204"/>
        <v>133</v>
      </c>
      <c r="AX119" s="477">
        <f t="shared" si="205"/>
        <v>133</v>
      </c>
      <c r="AY119" s="477">
        <f t="shared" si="206"/>
        <v>133</v>
      </c>
      <c r="AZ119" s="477">
        <f t="shared" si="207"/>
        <v>0</v>
      </c>
      <c r="BA119" s="477">
        <f t="shared" si="208"/>
        <v>0</v>
      </c>
      <c r="BB119" s="477">
        <f t="shared" si="209"/>
        <v>0</v>
      </c>
      <c r="BC119" s="477">
        <f t="shared" si="210"/>
        <v>0</v>
      </c>
      <c r="BD119" s="477">
        <f t="shared" si="211"/>
        <v>133</v>
      </c>
      <c r="BE119" s="477">
        <f t="shared" si="212"/>
        <v>133</v>
      </c>
      <c r="BF119" s="477">
        <f t="shared" si="213"/>
        <v>133</v>
      </c>
      <c r="BG119" s="47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77">
        <f t="shared" si="177"/>
        <v>0</v>
      </c>
      <c r="V120" s="477">
        <f t="shared" si="178"/>
        <v>0</v>
      </c>
      <c r="W120" s="477">
        <f t="shared" si="179"/>
        <v>0</v>
      </c>
      <c r="X120" s="477">
        <f t="shared" si="180"/>
        <v>0</v>
      </c>
      <c r="Y120" s="477">
        <f t="shared" si="181"/>
        <v>133</v>
      </c>
      <c r="Z120" s="477">
        <f t="shared" si="182"/>
        <v>133</v>
      </c>
      <c r="AA120" s="477">
        <f t="shared" si="183"/>
        <v>66.36</v>
      </c>
      <c r="AB120" s="243"/>
      <c r="AC120" s="477">
        <f t="shared" si="184"/>
        <v>0</v>
      </c>
      <c r="AD120" s="477">
        <f t="shared" si="185"/>
        <v>66.36</v>
      </c>
      <c r="AE120" s="477">
        <f t="shared" si="186"/>
        <v>66.36</v>
      </c>
      <c r="AF120" s="477">
        <f t="shared" si="187"/>
        <v>133</v>
      </c>
      <c r="AG120" s="477">
        <f t="shared" si="188"/>
        <v>133</v>
      </c>
      <c r="AH120" s="477">
        <f t="shared" si="189"/>
        <v>199.36</v>
      </c>
      <c r="AI120" s="477">
        <f t="shared" si="190"/>
        <v>199.36</v>
      </c>
      <c r="AJ120" s="477">
        <f t="shared" si="191"/>
        <v>0</v>
      </c>
      <c r="AK120" s="477">
        <f t="shared" si="192"/>
        <v>0</v>
      </c>
      <c r="AL120" s="477">
        <f t="shared" si="193"/>
        <v>66.36</v>
      </c>
      <c r="AM120" s="477">
        <f t="shared" si="194"/>
        <v>66.36</v>
      </c>
      <c r="AN120" s="477">
        <f t="shared" si="195"/>
        <v>133</v>
      </c>
      <c r="AO120" s="477">
        <f t="shared" si="196"/>
        <v>133</v>
      </c>
      <c r="AP120" s="477">
        <f t="shared" si="197"/>
        <v>199.36</v>
      </c>
      <c r="AQ120" s="477">
        <f t="shared" si="198"/>
        <v>199.36</v>
      </c>
      <c r="AR120" s="477">
        <f t="shared" si="199"/>
        <v>0</v>
      </c>
      <c r="AS120" s="477">
        <f t="shared" si="200"/>
        <v>0</v>
      </c>
      <c r="AT120" s="477">
        <f t="shared" si="201"/>
        <v>66.36</v>
      </c>
      <c r="AU120" s="477">
        <f t="shared" si="202"/>
        <v>66.36</v>
      </c>
      <c r="AV120" s="477">
        <f t="shared" si="203"/>
        <v>133</v>
      </c>
      <c r="AW120" s="477">
        <f t="shared" si="204"/>
        <v>133</v>
      </c>
      <c r="AX120" s="477">
        <f t="shared" si="205"/>
        <v>199.36</v>
      </c>
      <c r="AY120" s="477">
        <f t="shared" si="206"/>
        <v>199.36</v>
      </c>
      <c r="AZ120" s="477">
        <f t="shared" si="207"/>
        <v>0</v>
      </c>
      <c r="BA120" s="477">
        <f t="shared" si="208"/>
        <v>0</v>
      </c>
      <c r="BB120" s="477">
        <f t="shared" si="209"/>
        <v>66.36</v>
      </c>
      <c r="BC120" s="477">
        <f t="shared" si="210"/>
        <v>66.36</v>
      </c>
      <c r="BD120" s="477">
        <f t="shared" si="211"/>
        <v>133</v>
      </c>
      <c r="BE120" s="477">
        <f t="shared" si="212"/>
        <v>133</v>
      </c>
      <c r="BF120" s="477">
        <f t="shared" si="213"/>
        <v>199.36</v>
      </c>
      <c r="BG120" s="47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77">
        <f t="shared" si="177"/>
        <v>0</v>
      </c>
      <c r="V121" s="477">
        <f t="shared" si="178"/>
        <v>0</v>
      </c>
      <c r="W121" s="477">
        <f t="shared" si="179"/>
        <v>0</v>
      </c>
      <c r="X121" s="477">
        <f t="shared" si="180"/>
        <v>198.8</v>
      </c>
      <c r="Y121" s="477">
        <f t="shared" si="181"/>
        <v>133</v>
      </c>
      <c r="Z121" s="477">
        <f t="shared" si="182"/>
        <v>133</v>
      </c>
      <c r="AA121" s="477">
        <f t="shared" si="183"/>
        <v>66.36</v>
      </c>
      <c r="AB121" s="243"/>
      <c r="AC121" s="477">
        <f t="shared" si="184"/>
        <v>198.8</v>
      </c>
      <c r="AD121" s="477">
        <f t="shared" si="185"/>
        <v>66.36</v>
      </c>
      <c r="AE121" s="477">
        <f t="shared" si="186"/>
        <v>265.16000000000003</v>
      </c>
      <c r="AF121" s="477">
        <f t="shared" si="187"/>
        <v>133</v>
      </c>
      <c r="AG121" s="477">
        <f t="shared" si="188"/>
        <v>331.8</v>
      </c>
      <c r="AH121" s="477">
        <f t="shared" si="189"/>
        <v>199.36</v>
      </c>
      <c r="AI121" s="477">
        <f t="shared" si="190"/>
        <v>398.16</v>
      </c>
      <c r="AJ121" s="477">
        <f t="shared" si="191"/>
        <v>0</v>
      </c>
      <c r="AK121" s="477">
        <f t="shared" si="192"/>
        <v>198.8</v>
      </c>
      <c r="AL121" s="477">
        <f t="shared" si="193"/>
        <v>66.36</v>
      </c>
      <c r="AM121" s="477">
        <f t="shared" si="194"/>
        <v>265.16000000000003</v>
      </c>
      <c r="AN121" s="477">
        <f t="shared" si="195"/>
        <v>133</v>
      </c>
      <c r="AO121" s="477">
        <f t="shared" si="196"/>
        <v>331.8</v>
      </c>
      <c r="AP121" s="477">
        <f t="shared" si="197"/>
        <v>199.36</v>
      </c>
      <c r="AQ121" s="477">
        <f t="shared" si="198"/>
        <v>398.16</v>
      </c>
      <c r="AR121" s="477">
        <f t="shared" si="199"/>
        <v>0</v>
      </c>
      <c r="AS121" s="477">
        <f t="shared" si="200"/>
        <v>198.8</v>
      </c>
      <c r="AT121" s="477">
        <f t="shared" si="201"/>
        <v>66.36</v>
      </c>
      <c r="AU121" s="477">
        <f t="shared" si="202"/>
        <v>265.16000000000003</v>
      </c>
      <c r="AV121" s="477">
        <f t="shared" si="203"/>
        <v>133</v>
      </c>
      <c r="AW121" s="477">
        <f t="shared" si="204"/>
        <v>331.8</v>
      </c>
      <c r="AX121" s="477">
        <f t="shared" si="205"/>
        <v>199.36</v>
      </c>
      <c r="AY121" s="477">
        <f t="shared" si="206"/>
        <v>398.16</v>
      </c>
      <c r="AZ121" s="477">
        <f t="shared" si="207"/>
        <v>0</v>
      </c>
      <c r="BA121" s="477">
        <f t="shared" si="208"/>
        <v>198.8</v>
      </c>
      <c r="BB121" s="477">
        <f t="shared" si="209"/>
        <v>66.36</v>
      </c>
      <c r="BC121" s="477">
        <f t="shared" si="210"/>
        <v>265.16000000000003</v>
      </c>
      <c r="BD121" s="477">
        <f t="shared" si="211"/>
        <v>133</v>
      </c>
      <c r="BE121" s="477">
        <f t="shared" si="212"/>
        <v>331.8</v>
      </c>
      <c r="BF121" s="477">
        <f t="shared" si="213"/>
        <v>199.36</v>
      </c>
      <c r="BG121" s="47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77">
        <f t="shared" si="177"/>
        <v>0</v>
      </c>
      <c r="V122" s="477">
        <f t="shared" si="178"/>
        <v>0</v>
      </c>
      <c r="W122" s="477">
        <f t="shared" si="179"/>
        <v>512</v>
      </c>
      <c r="X122" s="477">
        <f t="shared" si="180"/>
        <v>198.8</v>
      </c>
      <c r="Y122" s="477">
        <f t="shared" si="181"/>
        <v>133</v>
      </c>
      <c r="Z122" s="477">
        <f t="shared" si="182"/>
        <v>133</v>
      </c>
      <c r="AA122" s="477">
        <f t="shared" si="183"/>
        <v>66.36</v>
      </c>
      <c r="AB122" s="243"/>
      <c r="AC122" s="477">
        <f t="shared" si="184"/>
        <v>198.8</v>
      </c>
      <c r="AD122" s="477">
        <f t="shared" si="185"/>
        <v>66.36</v>
      </c>
      <c r="AE122" s="477">
        <f t="shared" si="186"/>
        <v>265.16000000000003</v>
      </c>
      <c r="AF122" s="477">
        <f t="shared" si="187"/>
        <v>133</v>
      </c>
      <c r="AG122" s="477">
        <f t="shared" si="188"/>
        <v>331.8</v>
      </c>
      <c r="AH122" s="477">
        <f t="shared" si="189"/>
        <v>199.36</v>
      </c>
      <c r="AI122" s="477">
        <f t="shared" si="190"/>
        <v>398.16</v>
      </c>
      <c r="AJ122" s="477">
        <f t="shared" si="191"/>
        <v>0</v>
      </c>
      <c r="AK122" s="477">
        <f t="shared" si="192"/>
        <v>198.8</v>
      </c>
      <c r="AL122" s="477">
        <f t="shared" si="193"/>
        <v>66.36</v>
      </c>
      <c r="AM122" s="477">
        <f t="shared" si="194"/>
        <v>265.16000000000003</v>
      </c>
      <c r="AN122" s="477">
        <f t="shared" si="195"/>
        <v>133</v>
      </c>
      <c r="AO122" s="477">
        <f t="shared" si="196"/>
        <v>331.8</v>
      </c>
      <c r="AP122" s="477">
        <f t="shared" si="197"/>
        <v>199.36</v>
      </c>
      <c r="AQ122" s="477">
        <f t="shared" si="198"/>
        <v>398.16</v>
      </c>
      <c r="AR122" s="477">
        <f t="shared" si="199"/>
        <v>512</v>
      </c>
      <c r="AS122" s="477">
        <f t="shared" si="200"/>
        <v>710.8</v>
      </c>
      <c r="AT122" s="477">
        <f t="shared" si="201"/>
        <v>578.36</v>
      </c>
      <c r="AU122" s="477">
        <f t="shared" si="202"/>
        <v>777.16000000000008</v>
      </c>
      <c r="AV122" s="477">
        <f t="shared" si="203"/>
        <v>645</v>
      </c>
      <c r="AW122" s="477">
        <f t="shared" si="204"/>
        <v>843.8</v>
      </c>
      <c r="AX122" s="477">
        <f t="shared" si="205"/>
        <v>711.36</v>
      </c>
      <c r="AY122" s="477">
        <f t="shared" si="206"/>
        <v>910.16000000000008</v>
      </c>
      <c r="AZ122" s="477">
        <f t="shared" si="207"/>
        <v>512</v>
      </c>
      <c r="BA122" s="477">
        <f t="shared" si="208"/>
        <v>710.8</v>
      </c>
      <c r="BB122" s="477">
        <f t="shared" si="209"/>
        <v>578.36</v>
      </c>
      <c r="BC122" s="477">
        <f t="shared" si="210"/>
        <v>777.16000000000008</v>
      </c>
      <c r="BD122" s="477">
        <f t="shared" si="211"/>
        <v>645</v>
      </c>
      <c r="BE122" s="477">
        <f t="shared" si="212"/>
        <v>843.8</v>
      </c>
      <c r="BF122" s="477">
        <f t="shared" si="213"/>
        <v>711.36</v>
      </c>
      <c r="BG122" s="47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77">
        <f t="shared" si="177"/>
        <v>0</v>
      </c>
      <c r="V123" s="477">
        <f t="shared" si="178"/>
        <v>0</v>
      </c>
      <c r="W123" s="477">
        <f t="shared" si="179"/>
        <v>512</v>
      </c>
      <c r="X123" s="477">
        <f t="shared" si="180"/>
        <v>198.8</v>
      </c>
      <c r="Y123" s="477">
        <f t="shared" si="181"/>
        <v>33.25</v>
      </c>
      <c r="Z123" s="477">
        <f t="shared" si="182"/>
        <v>33.25</v>
      </c>
      <c r="AA123" s="477">
        <f t="shared" si="183"/>
        <v>66.36</v>
      </c>
      <c r="AB123" s="243"/>
      <c r="AC123" s="477">
        <f t="shared" si="184"/>
        <v>198.8</v>
      </c>
      <c r="AD123" s="477">
        <f t="shared" si="185"/>
        <v>66.36</v>
      </c>
      <c r="AE123" s="477">
        <f t="shared" si="186"/>
        <v>265.16000000000003</v>
      </c>
      <c r="AF123" s="477">
        <f t="shared" si="187"/>
        <v>33.25</v>
      </c>
      <c r="AG123" s="477">
        <f t="shared" si="188"/>
        <v>232.05</v>
      </c>
      <c r="AH123" s="477">
        <f t="shared" si="189"/>
        <v>99.61</v>
      </c>
      <c r="AI123" s="477">
        <f t="shared" si="190"/>
        <v>298.41000000000003</v>
      </c>
      <c r="AJ123" s="477">
        <f t="shared" si="191"/>
        <v>0</v>
      </c>
      <c r="AK123" s="477">
        <f t="shared" si="192"/>
        <v>198.8</v>
      </c>
      <c r="AL123" s="477">
        <f t="shared" si="193"/>
        <v>66.36</v>
      </c>
      <c r="AM123" s="477">
        <f t="shared" si="194"/>
        <v>265.16000000000003</v>
      </c>
      <c r="AN123" s="477">
        <f t="shared" si="195"/>
        <v>33.25</v>
      </c>
      <c r="AO123" s="477">
        <f t="shared" si="196"/>
        <v>232.05</v>
      </c>
      <c r="AP123" s="477">
        <f t="shared" si="197"/>
        <v>99.61</v>
      </c>
      <c r="AQ123" s="477">
        <f t="shared" si="198"/>
        <v>298.41000000000003</v>
      </c>
      <c r="AR123" s="477">
        <f t="shared" si="199"/>
        <v>512</v>
      </c>
      <c r="AS123" s="477">
        <f t="shared" si="200"/>
        <v>710.8</v>
      </c>
      <c r="AT123" s="477">
        <f t="shared" si="201"/>
        <v>578.36</v>
      </c>
      <c r="AU123" s="477">
        <f t="shared" si="202"/>
        <v>777.16000000000008</v>
      </c>
      <c r="AV123" s="477">
        <f t="shared" si="203"/>
        <v>545.25</v>
      </c>
      <c r="AW123" s="477">
        <f t="shared" si="204"/>
        <v>744.05</v>
      </c>
      <c r="AX123" s="477">
        <f t="shared" si="205"/>
        <v>611.61</v>
      </c>
      <c r="AY123" s="477">
        <f t="shared" si="206"/>
        <v>810.41000000000008</v>
      </c>
      <c r="AZ123" s="477">
        <f t="shared" si="207"/>
        <v>512</v>
      </c>
      <c r="BA123" s="477">
        <f t="shared" si="208"/>
        <v>710.8</v>
      </c>
      <c r="BB123" s="477">
        <f t="shared" si="209"/>
        <v>578.36</v>
      </c>
      <c r="BC123" s="477">
        <f t="shared" si="210"/>
        <v>777.16000000000008</v>
      </c>
      <c r="BD123" s="477">
        <f t="shared" si="211"/>
        <v>545.25</v>
      </c>
      <c r="BE123" s="477">
        <f t="shared" si="212"/>
        <v>744.05</v>
      </c>
      <c r="BF123" s="477">
        <f t="shared" si="213"/>
        <v>611.61</v>
      </c>
      <c r="BG123" s="47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77">
        <f t="shared" si="177"/>
        <v>0</v>
      </c>
      <c r="V124" s="477">
        <f t="shared" si="178"/>
        <v>0</v>
      </c>
      <c r="W124" s="477">
        <f t="shared" si="179"/>
        <v>512</v>
      </c>
      <c r="X124" s="477">
        <f t="shared" si="180"/>
        <v>198.8</v>
      </c>
      <c r="Y124" s="477">
        <f t="shared" si="181"/>
        <v>33.25</v>
      </c>
      <c r="Z124" s="477">
        <f t="shared" si="182"/>
        <v>33.25</v>
      </c>
      <c r="AA124" s="477">
        <f t="shared" si="183"/>
        <v>2.7650000000000001</v>
      </c>
      <c r="AB124" s="243"/>
      <c r="AC124" s="477">
        <f t="shared" si="184"/>
        <v>198.8</v>
      </c>
      <c r="AD124" s="477">
        <f t="shared" si="185"/>
        <v>2.7650000000000001</v>
      </c>
      <c r="AE124" s="477">
        <f t="shared" si="186"/>
        <v>201.565</v>
      </c>
      <c r="AF124" s="477">
        <f t="shared" si="187"/>
        <v>33.25</v>
      </c>
      <c r="AG124" s="477">
        <f t="shared" si="188"/>
        <v>232.05</v>
      </c>
      <c r="AH124" s="477">
        <f t="shared" si="189"/>
        <v>36.015000000000001</v>
      </c>
      <c r="AI124" s="477">
        <f t="shared" si="190"/>
        <v>234.815</v>
      </c>
      <c r="AJ124" s="477">
        <f t="shared" si="191"/>
        <v>0</v>
      </c>
      <c r="AK124" s="477">
        <f t="shared" si="192"/>
        <v>198.8</v>
      </c>
      <c r="AL124" s="477">
        <f t="shared" si="193"/>
        <v>2.7650000000000001</v>
      </c>
      <c r="AM124" s="477">
        <f t="shared" si="194"/>
        <v>201.565</v>
      </c>
      <c r="AN124" s="477">
        <f t="shared" si="195"/>
        <v>33.25</v>
      </c>
      <c r="AO124" s="477">
        <f t="shared" si="196"/>
        <v>232.05</v>
      </c>
      <c r="AP124" s="477">
        <f t="shared" si="197"/>
        <v>36.015000000000001</v>
      </c>
      <c r="AQ124" s="477">
        <f t="shared" si="198"/>
        <v>234.815</v>
      </c>
      <c r="AR124" s="477">
        <f t="shared" si="199"/>
        <v>512</v>
      </c>
      <c r="AS124" s="477">
        <f t="shared" si="200"/>
        <v>710.8</v>
      </c>
      <c r="AT124" s="477">
        <f t="shared" si="201"/>
        <v>514.76499999999999</v>
      </c>
      <c r="AU124" s="477">
        <f t="shared" si="202"/>
        <v>713.56500000000005</v>
      </c>
      <c r="AV124" s="477">
        <f t="shared" si="203"/>
        <v>545.25</v>
      </c>
      <c r="AW124" s="477">
        <f t="shared" si="204"/>
        <v>744.05</v>
      </c>
      <c r="AX124" s="477">
        <f t="shared" si="205"/>
        <v>548.01499999999999</v>
      </c>
      <c r="AY124" s="477">
        <f t="shared" si="206"/>
        <v>746.81500000000005</v>
      </c>
      <c r="AZ124" s="477">
        <f t="shared" si="207"/>
        <v>512</v>
      </c>
      <c r="BA124" s="477">
        <f t="shared" si="208"/>
        <v>710.8</v>
      </c>
      <c r="BB124" s="477">
        <f t="shared" si="209"/>
        <v>514.76499999999999</v>
      </c>
      <c r="BC124" s="477">
        <f t="shared" si="210"/>
        <v>713.56500000000005</v>
      </c>
      <c r="BD124" s="477">
        <f t="shared" si="211"/>
        <v>545.25</v>
      </c>
      <c r="BE124" s="477">
        <f t="shared" si="212"/>
        <v>744.05</v>
      </c>
      <c r="BF124" s="477">
        <f t="shared" si="213"/>
        <v>548.01499999999999</v>
      </c>
      <c r="BG124" s="47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77">
        <f t="shared" si="177"/>
        <v>0</v>
      </c>
      <c r="V125" s="477">
        <f t="shared" si="178"/>
        <v>0</v>
      </c>
      <c r="W125" s="477">
        <f t="shared" si="179"/>
        <v>512</v>
      </c>
      <c r="X125" s="477">
        <f t="shared" si="180"/>
        <v>0.55222222222222217</v>
      </c>
      <c r="Y125" s="477">
        <f t="shared" si="181"/>
        <v>33.25</v>
      </c>
      <c r="Z125" s="477">
        <f t="shared" si="182"/>
        <v>33.25</v>
      </c>
      <c r="AA125" s="477">
        <f t="shared" si="183"/>
        <v>2.7650000000000001</v>
      </c>
      <c r="AB125" s="243"/>
      <c r="AC125" s="477">
        <f t="shared" si="184"/>
        <v>0.55222222222222217</v>
      </c>
      <c r="AD125" s="477">
        <f t="shared" si="185"/>
        <v>2.7650000000000001</v>
      </c>
      <c r="AE125" s="477">
        <f t="shared" si="186"/>
        <v>3.3172222222222221</v>
      </c>
      <c r="AF125" s="477">
        <f t="shared" si="187"/>
        <v>33.25</v>
      </c>
      <c r="AG125" s="477">
        <f t="shared" si="188"/>
        <v>33.80222222222222</v>
      </c>
      <c r="AH125" s="477">
        <f t="shared" si="189"/>
        <v>36.015000000000001</v>
      </c>
      <c r="AI125" s="477">
        <f t="shared" si="190"/>
        <v>36.56722222222222</v>
      </c>
      <c r="AJ125" s="477">
        <f t="shared" si="191"/>
        <v>0</v>
      </c>
      <c r="AK125" s="477">
        <f t="shared" si="192"/>
        <v>0.55222222222222217</v>
      </c>
      <c r="AL125" s="477">
        <f t="shared" si="193"/>
        <v>2.7650000000000001</v>
      </c>
      <c r="AM125" s="477">
        <f t="shared" si="194"/>
        <v>3.3172222222222221</v>
      </c>
      <c r="AN125" s="477">
        <f t="shared" si="195"/>
        <v>33.25</v>
      </c>
      <c r="AO125" s="477">
        <f t="shared" si="196"/>
        <v>33.80222222222222</v>
      </c>
      <c r="AP125" s="477">
        <f t="shared" si="197"/>
        <v>36.015000000000001</v>
      </c>
      <c r="AQ125" s="477">
        <f t="shared" si="198"/>
        <v>36.56722222222222</v>
      </c>
      <c r="AR125" s="477">
        <f t="shared" si="199"/>
        <v>512</v>
      </c>
      <c r="AS125" s="477">
        <f t="shared" si="200"/>
        <v>512.55222222222221</v>
      </c>
      <c r="AT125" s="477">
        <f t="shared" si="201"/>
        <v>514.76499999999999</v>
      </c>
      <c r="AU125" s="477">
        <f t="shared" si="202"/>
        <v>515.3172222222222</v>
      </c>
      <c r="AV125" s="477">
        <f t="shared" si="203"/>
        <v>545.25</v>
      </c>
      <c r="AW125" s="477">
        <f t="shared" si="204"/>
        <v>545.80222222222221</v>
      </c>
      <c r="AX125" s="477">
        <f t="shared" si="205"/>
        <v>548.01499999999999</v>
      </c>
      <c r="AY125" s="477">
        <f t="shared" si="206"/>
        <v>548.5672222222222</v>
      </c>
      <c r="AZ125" s="477">
        <f t="shared" si="207"/>
        <v>512</v>
      </c>
      <c r="BA125" s="477">
        <f t="shared" si="208"/>
        <v>512.55222222222221</v>
      </c>
      <c r="BB125" s="477">
        <f t="shared" si="209"/>
        <v>514.76499999999999</v>
      </c>
      <c r="BC125" s="477">
        <f t="shared" si="210"/>
        <v>515.3172222222222</v>
      </c>
      <c r="BD125" s="477">
        <f t="shared" si="211"/>
        <v>545.25</v>
      </c>
      <c r="BE125" s="477">
        <f t="shared" si="212"/>
        <v>545.80222222222221</v>
      </c>
      <c r="BF125" s="477">
        <f t="shared" si="213"/>
        <v>548.01499999999999</v>
      </c>
      <c r="BG125" s="47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77">
        <f t="shared" si="177"/>
        <v>0</v>
      </c>
      <c r="V126" s="477">
        <f t="shared" si="178"/>
        <v>0</v>
      </c>
      <c r="W126" s="477">
        <f t="shared" si="179"/>
        <v>1.7066666666666668</v>
      </c>
      <c r="X126" s="477">
        <f t="shared" si="180"/>
        <v>0.55222222222222217</v>
      </c>
      <c r="Y126" s="477">
        <f t="shared" si="181"/>
        <v>33.25</v>
      </c>
      <c r="Z126" s="477">
        <f t="shared" si="182"/>
        <v>33.25</v>
      </c>
      <c r="AA126" s="477">
        <f t="shared" si="183"/>
        <v>2.7650000000000001</v>
      </c>
      <c r="AB126" s="243"/>
      <c r="AC126" s="477">
        <f t="shared" si="184"/>
        <v>0.55222222222222217</v>
      </c>
      <c r="AD126" s="477">
        <f t="shared" si="185"/>
        <v>2.7650000000000001</v>
      </c>
      <c r="AE126" s="477">
        <f t="shared" si="186"/>
        <v>3.3172222222222221</v>
      </c>
      <c r="AF126" s="477">
        <f t="shared" si="187"/>
        <v>33.25</v>
      </c>
      <c r="AG126" s="477">
        <f t="shared" si="188"/>
        <v>33.80222222222222</v>
      </c>
      <c r="AH126" s="477">
        <f t="shared" si="189"/>
        <v>36.015000000000001</v>
      </c>
      <c r="AI126" s="477">
        <f t="shared" si="190"/>
        <v>36.56722222222222</v>
      </c>
      <c r="AJ126" s="477">
        <f t="shared" si="191"/>
        <v>0</v>
      </c>
      <c r="AK126" s="477">
        <f t="shared" si="192"/>
        <v>0.55222222222222217</v>
      </c>
      <c r="AL126" s="477">
        <f t="shared" si="193"/>
        <v>2.7650000000000001</v>
      </c>
      <c r="AM126" s="477">
        <f t="shared" si="194"/>
        <v>3.3172222222222221</v>
      </c>
      <c r="AN126" s="477">
        <f t="shared" si="195"/>
        <v>33.25</v>
      </c>
      <c r="AO126" s="477">
        <f t="shared" si="196"/>
        <v>33.80222222222222</v>
      </c>
      <c r="AP126" s="477">
        <f t="shared" si="197"/>
        <v>36.015000000000001</v>
      </c>
      <c r="AQ126" s="477">
        <f t="shared" si="198"/>
        <v>36.56722222222222</v>
      </c>
      <c r="AR126" s="477">
        <f t="shared" si="199"/>
        <v>1.7066666666666668</v>
      </c>
      <c r="AS126" s="477">
        <f t="shared" si="200"/>
        <v>2.2588888888888889</v>
      </c>
      <c r="AT126" s="477">
        <f t="shared" si="201"/>
        <v>4.4716666666666667</v>
      </c>
      <c r="AU126" s="477">
        <f t="shared" si="202"/>
        <v>5.0238888888888891</v>
      </c>
      <c r="AV126" s="477">
        <f t="shared" si="203"/>
        <v>34.956666666666663</v>
      </c>
      <c r="AW126" s="477">
        <f t="shared" si="204"/>
        <v>35.508888888888883</v>
      </c>
      <c r="AX126" s="477">
        <f t="shared" si="205"/>
        <v>37.721666666666664</v>
      </c>
      <c r="AY126" s="477">
        <f t="shared" si="206"/>
        <v>38.273888888888884</v>
      </c>
      <c r="AZ126" s="477">
        <f t="shared" si="207"/>
        <v>1.7066666666666668</v>
      </c>
      <c r="BA126" s="477">
        <f t="shared" si="208"/>
        <v>2.2588888888888889</v>
      </c>
      <c r="BB126" s="477">
        <f t="shared" si="209"/>
        <v>4.4716666666666667</v>
      </c>
      <c r="BC126" s="477">
        <f t="shared" si="210"/>
        <v>5.0238888888888891</v>
      </c>
      <c r="BD126" s="477">
        <f t="shared" si="211"/>
        <v>34.956666666666663</v>
      </c>
      <c r="BE126" s="477">
        <f t="shared" si="212"/>
        <v>35.508888888888883</v>
      </c>
      <c r="BF126" s="477">
        <f t="shared" si="213"/>
        <v>37.721666666666664</v>
      </c>
      <c r="BG126" s="47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77">
        <f t="shared" si="177"/>
        <v>0</v>
      </c>
      <c r="V127" s="477">
        <f t="shared" si="178"/>
        <v>0</v>
      </c>
      <c r="W127" s="477">
        <f t="shared" si="179"/>
        <v>1.7066666666666668</v>
      </c>
      <c r="X127" s="477">
        <f t="shared" si="180"/>
        <v>0.55222222222222217</v>
      </c>
      <c r="Y127" s="477">
        <f t="shared" si="181"/>
        <v>7.3888888888888893</v>
      </c>
      <c r="Z127" s="477">
        <f t="shared" si="182"/>
        <v>7.3888888888888893</v>
      </c>
      <c r="AA127" s="477">
        <f t="shared" si="183"/>
        <v>2.7650000000000001</v>
      </c>
      <c r="AB127" s="243"/>
      <c r="AC127" s="477">
        <f t="shared" si="184"/>
        <v>0.55222222222222217</v>
      </c>
      <c r="AD127" s="477">
        <f t="shared" si="185"/>
        <v>2.7650000000000001</v>
      </c>
      <c r="AE127" s="477">
        <f t="shared" si="186"/>
        <v>3.3172222222222221</v>
      </c>
      <c r="AF127" s="477">
        <f t="shared" si="187"/>
        <v>7.3888888888888893</v>
      </c>
      <c r="AG127" s="477">
        <f t="shared" si="188"/>
        <v>7.9411111111111117</v>
      </c>
      <c r="AH127" s="477">
        <f t="shared" si="189"/>
        <v>10.15388888888889</v>
      </c>
      <c r="AI127" s="477">
        <f t="shared" si="190"/>
        <v>10.706111111111111</v>
      </c>
      <c r="AJ127" s="477">
        <f t="shared" si="191"/>
        <v>0</v>
      </c>
      <c r="AK127" s="477">
        <f t="shared" si="192"/>
        <v>0.55222222222222217</v>
      </c>
      <c r="AL127" s="477">
        <f t="shared" si="193"/>
        <v>2.7650000000000001</v>
      </c>
      <c r="AM127" s="477">
        <f t="shared" si="194"/>
        <v>3.3172222222222221</v>
      </c>
      <c r="AN127" s="477">
        <f t="shared" si="195"/>
        <v>7.3888888888888893</v>
      </c>
      <c r="AO127" s="477">
        <f t="shared" si="196"/>
        <v>7.9411111111111117</v>
      </c>
      <c r="AP127" s="477">
        <f t="shared" si="197"/>
        <v>10.15388888888889</v>
      </c>
      <c r="AQ127" s="477">
        <f t="shared" si="198"/>
        <v>10.706111111111111</v>
      </c>
      <c r="AR127" s="477">
        <f t="shared" si="199"/>
        <v>1.7066666666666668</v>
      </c>
      <c r="AS127" s="477">
        <f t="shared" si="200"/>
        <v>2.2588888888888889</v>
      </c>
      <c r="AT127" s="477">
        <f t="shared" si="201"/>
        <v>4.4716666666666667</v>
      </c>
      <c r="AU127" s="477">
        <f t="shared" si="202"/>
        <v>5.0238888888888891</v>
      </c>
      <c r="AV127" s="477">
        <f t="shared" si="203"/>
        <v>9.0955555555555563</v>
      </c>
      <c r="AW127" s="477">
        <f t="shared" si="204"/>
        <v>9.6477777777777778</v>
      </c>
      <c r="AX127" s="477">
        <f t="shared" si="205"/>
        <v>11.860555555555557</v>
      </c>
      <c r="AY127" s="477">
        <f t="shared" si="206"/>
        <v>12.412777777777778</v>
      </c>
      <c r="AZ127" s="477">
        <f t="shared" si="207"/>
        <v>1.7066666666666668</v>
      </c>
      <c r="BA127" s="477">
        <f t="shared" si="208"/>
        <v>2.2588888888888889</v>
      </c>
      <c r="BB127" s="477">
        <f t="shared" si="209"/>
        <v>4.4716666666666667</v>
      </c>
      <c r="BC127" s="477">
        <f t="shared" si="210"/>
        <v>5.0238888888888891</v>
      </c>
      <c r="BD127" s="477">
        <f t="shared" si="211"/>
        <v>9.0955555555555563</v>
      </c>
      <c r="BE127" s="477">
        <f t="shared" si="212"/>
        <v>9.6477777777777778</v>
      </c>
      <c r="BF127" s="477">
        <f t="shared" si="213"/>
        <v>11.860555555555557</v>
      </c>
      <c r="BG127" s="47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77">
        <f t="shared" si="177"/>
        <v>0</v>
      </c>
      <c r="V128" s="477">
        <f t="shared" si="178"/>
        <v>0</v>
      </c>
      <c r="W128" s="477">
        <f t="shared" si="179"/>
        <v>1.7066666666666668</v>
      </c>
      <c r="X128" s="477">
        <f t="shared" si="180"/>
        <v>11.044444444444444</v>
      </c>
      <c r="Y128" s="477">
        <f t="shared" si="181"/>
        <v>7.3888888888888893</v>
      </c>
      <c r="Z128" s="477">
        <f t="shared" si="182"/>
        <v>7.3888888888888893</v>
      </c>
      <c r="AA128" s="477">
        <f t="shared" si="183"/>
        <v>2.7650000000000001</v>
      </c>
      <c r="AB128" s="243"/>
      <c r="AC128" s="477">
        <f t="shared" si="184"/>
        <v>11.044444444444444</v>
      </c>
      <c r="AD128" s="477">
        <f t="shared" si="185"/>
        <v>2.7650000000000001</v>
      </c>
      <c r="AE128" s="477">
        <f t="shared" si="186"/>
        <v>13.809444444444445</v>
      </c>
      <c r="AF128" s="477">
        <f t="shared" si="187"/>
        <v>7.3888888888888893</v>
      </c>
      <c r="AG128" s="477">
        <f t="shared" si="188"/>
        <v>18.433333333333334</v>
      </c>
      <c r="AH128" s="477">
        <f t="shared" si="189"/>
        <v>10.15388888888889</v>
      </c>
      <c r="AI128" s="477">
        <f t="shared" si="190"/>
        <v>21.198333333333334</v>
      </c>
      <c r="AJ128" s="477">
        <f t="shared" si="191"/>
        <v>0</v>
      </c>
      <c r="AK128" s="477">
        <f t="shared" si="192"/>
        <v>11.044444444444444</v>
      </c>
      <c r="AL128" s="477">
        <f t="shared" si="193"/>
        <v>2.7650000000000001</v>
      </c>
      <c r="AM128" s="477">
        <f t="shared" si="194"/>
        <v>13.809444444444445</v>
      </c>
      <c r="AN128" s="477">
        <f t="shared" si="195"/>
        <v>7.3888888888888893</v>
      </c>
      <c r="AO128" s="477">
        <f t="shared" si="196"/>
        <v>18.433333333333334</v>
      </c>
      <c r="AP128" s="477">
        <f t="shared" si="197"/>
        <v>10.15388888888889</v>
      </c>
      <c r="AQ128" s="477">
        <f t="shared" si="198"/>
        <v>21.198333333333334</v>
      </c>
      <c r="AR128" s="477">
        <f t="shared" si="199"/>
        <v>1.7066666666666668</v>
      </c>
      <c r="AS128" s="477">
        <f t="shared" si="200"/>
        <v>12.751111111111111</v>
      </c>
      <c r="AT128" s="477">
        <f t="shared" si="201"/>
        <v>4.4716666666666667</v>
      </c>
      <c r="AU128" s="477">
        <f t="shared" si="202"/>
        <v>15.516111111111112</v>
      </c>
      <c r="AV128" s="477">
        <f t="shared" si="203"/>
        <v>9.0955555555555563</v>
      </c>
      <c r="AW128" s="477">
        <f t="shared" si="204"/>
        <v>20.14</v>
      </c>
      <c r="AX128" s="477">
        <f t="shared" si="205"/>
        <v>11.860555555555557</v>
      </c>
      <c r="AY128" s="477">
        <f t="shared" si="206"/>
        <v>22.905000000000001</v>
      </c>
      <c r="AZ128" s="477">
        <f t="shared" si="207"/>
        <v>1.7066666666666668</v>
      </c>
      <c r="BA128" s="477">
        <f t="shared" si="208"/>
        <v>12.751111111111111</v>
      </c>
      <c r="BB128" s="477">
        <f t="shared" si="209"/>
        <v>4.4716666666666667</v>
      </c>
      <c r="BC128" s="477">
        <f t="shared" si="210"/>
        <v>15.516111111111112</v>
      </c>
      <c r="BD128" s="477">
        <f t="shared" si="211"/>
        <v>9.0955555555555563</v>
      </c>
      <c r="BE128" s="477">
        <f t="shared" si="212"/>
        <v>20.14</v>
      </c>
      <c r="BF128" s="477">
        <f t="shared" si="213"/>
        <v>11.860555555555557</v>
      </c>
      <c r="BG128" s="47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77">
        <f t="shared" si="177"/>
        <v>0</v>
      </c>
      <c r="V129" s="477">
        <f t="shared" si="178"/>
        <v>0</v>
      </c>
      <c r="W129" s="477">
        <f t="shared" si="179"/>
        <v>1.7066666666666668</v>
      </c>
      <c r="X129" s="477">
        <f t="shared" si="180"/>
        <v>11.044444444444444</v>
      </c>
      <c r="Y129" s="477">
        <f t="shared" si="181"/>
        <v>7.3888888888888893</v>
      </c>
      <c r="Z129" s="477">
        <f t="shared" si="182"/>
        <v>7.3888888888888893</v>
      </c>
      <c r="AA129" s="477">
        <f t="shared" si="183"/>
        <v>2.7650000000000001</v>
      </c>
      <c r="AB129" s="243"/>
      <c r="AC129" s="477">
        <f t="shared" si="184"/>
        <v>11.044444444444444</v>
      </c>
      <c r="AD129" s="477">
        <f t="shared" si="185"/>
        <v>2.7650000000000001</v>
      </c>
      <c r="AE129" s="477">
        <f t="shared" si="186"/>
        <v>13.809444444444445</v>
      </c>
      <c r="AF129" s="477">
        <f t="shared" si="187"/>
        <v>7.3888888888888893</v>
      </c>
      <c r="AG129" s="477">
        <f t="shared" si="188"/>
        <v>18.433333333333334</v>
      </c>
      <c r="AH129" s="477">
        <f t="shared" si="189"/>
        <v>10.15388888888889</v>
      </c>
      <c r="AI129" s="477">
        <f t="shared" si="190"/>
        <v>21.198333333333334</v>
      </c>
      <c r="AJ129" s="477">
        <f t="shared" si="191"/>
        <v>0</v>
      </c>
      <c r="AK129" s="477">
        <f t="shared" si="192"/>
        <v>11.044444444444444</v>
      </c>
      <c r="AL129" s="477">
        <f t="shared" si="193"/>
        <v>2.7650000000000001</v>
      </c>
      <c r="AM129" s="477">
        <f t="shared" si="194"/>
        <v>13.809444444444445</v>
      </c>
      <c r="AN129" s="477">
        <f t="shared" si="195"/>
        <v>7.3888888888888893</v>
      </c>
      <c r="AO129" s="477">
        <f t="shared" si="196"/>
        <v>18.433333333333334</v>
      </c>
      <c r="AP129" s="477">
        <f t="shared" si="197"/>
        <v>10.15388888888889</v>
      </c>
      <c r="AQ129" s="477">
        <f t="shared" si="198"/>
        <v>21.198333333333334</v>
      </c>
      <c r="AR129" s="477">
        <f t="shared" si="199"/>
        <v>1.7066666666666668</v>
      </c>
      <c r="AS129" s="477">
        <f t="shared" si="200"/>
        <v>12.751111111111111</v>
      </c>
      <c r="AT129" s="477">
        <f t="shared" si="201"/>
        <v>4.4716666666666667</v>
      </c>
      <c r="AU129" s="477">
        <f t="shared" si="202"/>
        <v>15.516111111111112</v>
      </c>
      <c r="AV129" s="477">
        <f t="shared" si="203"/>
        <v>9.0955555555555563</v>
      </c>
      <c r="AW129" s="477">
        <f t="shared" si="204"/>
        <v>20.14</v>
      </c>
      <c r="AX129" s="477">
        <f t="shared" si="205"/>
        <v>11.860555555555557</v>
      </c>
      <c r="AY129" s="477">
        <f t="shared" si="206"/>
        <v>22.905000000000001</v>
      </c>
      <c r="AZ129" s="477">
        <f t="shared" si="207"/>
        <v>1.7066666666666668</v>
      </c>
      <c r="BA129" s="477">
        <f t="shared" si="208"/>
        <v>12.751111111111111</v>
      </c>
      <c r="BB129" s="477">
        <f t="shared" si="209"/>
        <v>4.4716666666666667</v>
      </c>
      <c r="BC129" s="477">
        <f t="shared" si="210"/>
        <v>15.516111111111112</v>
      </c>
      <c r="BD129" s="477">
        <f t="shared" si="211"/>
        <v>9.0955555555555563</v>
      </c>
      <c r="BE129" s="477">
        <f t="shared" si="212"/>
        <v>20.14</v>
      </c>
      <c r="BF129" s="477">
        <f t="shared" si="213"/>
        <v>11.860555555555557</v>
      </c>
      <c r="BG129" s="47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77">
        <f t="shared" si="177"/>
        <v>0</v>
      </c>
      <c r="V130" s="477">
        <f t="shared" si="178"/>
        <v>0</v>
      </c>
      <c r="W130" s="477">
        <f t="shared" si="179"/>
        <v>0.28444444444444444</v>
      </c>
      <c r="X130" s="477">
        <f t="shared" si="180"/>
        <v>11.044444444444444</v>
      </c>
      <c r="Y130" s="477">
        <f t="shared" si="181"/>
        <v>7.3888888888888893</v>
      </c>
      <c r="Z130" s="477">
        <f t="shared" si="182"/>
        <v>7.3888888888888893</v>
      </c>
      <c r="AA130" s="477">
        <f t="shared" si="183"/>
        <v>2.7650000000000001</v>
      </c>
      <c r="AB130" s="243"/>
      <c r="AC130" s="477">
        <f t="shared" si="184"/>
        <v>11.044444444444444</v>
      </c>
      <c r="AD130" s="477">
        <f t="shared" si="185"/>
        <v>2.7650000000000001</v>
      </c>
      <c r="AE130" s="477">
        <f t="shared" si="186"/>
        <v>13.809444444444445</v>
      </c>
      <c r="AF130" s="477">
        <f t="shared" si="187"/>
        <v>7.3888888888888893</v>
      </c>
      <c r="AG130" s="477">
        <f t="shared" si="188"/>
        <v>18.433333333333334</v>
      </c>
      <c r="AH130" s="477">
        <f t="shared" si="189"/>
        <v>10.15388888888889</v>
      </c>
      <c r="AI130" s="477">
        <f t="shared" si="190"/>
        <v>21.198333333333334</v>
      </c>
      <c r="AJ130" s="477">
        <f t="shared" si="191"/>
        <v>0</v>
      </c>
      <c r="AK130" s="477">
        <f t="shared" si="192"/>
        <v>11.044444444444444</v>
      </c>
      <c r="AL130" s="477">
        <f t="shared" si="193"/>
        <v>2.7650000000000001</v>
      </c>
      <c r="AM130" s="477">
        <f t="shared" si="194"/>
        <v>13.809444444444445</v>
      </c>
      <c r="AN130" s="477">
        <f t="shared" si="195"/>
        <v>7.3888888888888893</v>
      </c>
      <c r="AO130" s="477">
        <f t="shared" si="196"/>
        <v>18.433333333333334</v>
      </c>
      <c r="AP130" s="477">
        <f t="shared" si="197"/>
        <v>10.15388888888889</v>
      </c>
      <c r="AQ130" s="477">
        <f t="shared" si="198"/>
        <v>21.198333333333334</v>
      </c>
      <c r="AR130" s="477">
        <f t="shared" si="199"/>
        <v>0.28444444444444444</v>
      </c>
      <c r="AS130" s="477">
        <f t="shared" si="200"/>
        <v>11.328888888888889</v>
      </c>
      <c r="AT130" s="477">
        <f t="shared" si="201"/>
        <v>3.0494444444444446</v>
      </c>
      <c r="AU130" s="477">
        <f t="shared" si="202"/>
        <v>14.093888888888889</v>
      </c>
      <c r="AV130" s="477">
        <f t="shared" si="203"/>
        <v>7.6733333333333338</v>
      </c>
      <c r="AW130" s="477">
        <f t="shared" si="204"/>
        <v>18.717777777777776</v>
      </c>
      <c r="AX130" s="477">
        <f t="shared" si="205"/>
        <v>10.438333333333334</v>
      </c>
      <c r="AY130" s="477">
        <f t="shared" si="206"/>
        <v>21.482777777777777</v>
      </c>
      <c r="AZ130" s="477">
        <f t="shared" si="207"/>
        <v>0.28444444444444444</v>
      </c>
      <c r="BA130" s="477">
        <f t="shared" si="208"/>
        <v>11.328888888888889</v>
      </c>
      <c r="BB130" s="477">
        <f t="shared" si="209"/>
        <v>3.0494444444444446</v>
      </c>
      <c r="BC130" s="477">
        <f t="shared" si="210"/>
        <v>14.093888888888889</v>
      </c>
      <c r="BD130" s="477">
        <f t="shared" si="211"/>
        <v>7.6733333333333338</v>
      </c>
      <c r="BE130" s="477">
        <f t="shared" si="212"/>
        <v>18.717777777777776</v>
      </c>
      <c r="BF130" s="477">
        <f t="shared" si="213"/>
        <v>10.438333333333334</v>
      </c>
      <c r="BG130" s="47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77">
        <f t="shared" si="177"/>
        <v>0</v>
      </c>
      <c r="V131" s="477">
        <f t="shared" si="178"/>
        <v>0</v>
      </c>
      <c r="W131" s="477">
        <f t="shared" si="179"/>
        <v>0.28444444444444444</v>
      </c>
      <c r="X131" s="477">
        <f t="shared" si="180"/>
        <v>11.044444444444444</v>
      </c>
      <c r="Y131" s="477">
        <f t="shared" si="181"/>
        <v>7.3888888888888893</v>
      </c>
      <c r="Z131" s="477">
        <f t="shared" si="182"/>
        <v>7.3888888888888893</v>
      </c>
      <c r="AA131" s="477">
        <f t="shared" si="183"/>
        <v>2.7650000000000001</v>
      </c>
      <c r="AB131" s="243"/>
      <c r="AC131" s="477">
        <f t="shared" si="184"/>
        <v>11.044444444444444</v>
      </c>
      <c r="AD131" s="477">
        <f t="shared" si="185"/>
        <v>2.7650000000000001</v>
      </c>
      <c r="AE131" s="477">
        <f t="shared" si="186"/>
        <v>13.809444444444445</v>
      </c>
      <c r="AF131" s="477">
        <f t="shared" si="187"/>
        <v>7.3888888888888893</v>
      </c>
      <c r="AG131" s="477">
        <f t="shared" si="188"/>
        <v>18.433333333333334</v>
      </c>
      <c r="AH131" s="477">
        <f t="shared" si="189"/>
        <v>10.15388888888889</v>
      </c>
      <c r="AI131" s="477">
        <f t="shared" si="190"/>
        <v>21.198333333333334</v>
      </c>
      <c r="AJ131" s="477">
        <f t="shared" si="191"/>
        <v>0</v>
      </c>
      <c r="AK131" s="477">
        <f t="shared" si="192"/>
        <v>11.044444444444444</v>
      </c>
      <c r="AL131" s="477">
        <f t="shared" si="193"/>
        <v>2.7650000000000001</v>
      </c>
      <c r="AM131" s="477">
        <f t="shared" si="194"/>
        <v>13.809444444444445</v>
      </c>
      <c r="AN131" s="477">
        <f t="shared" si="195"/>
        <v>7.3888888888888893</v>
      </c>
      <c r="AO131" s="477">
        <f t="shared" si="196"/>
        <v>18.433333333333334</v>
      </c>
      <c r="AP131" s="477">
        <f t="shared" si="197"/>
        <v>10.15388888888889</v>
      </c>
      <c r="AQ131" s="477">
        <f t="shared" si="198"/>
        <v>21.198333333333334</v>
      </c>
      <c r="AR131" s="477">
        <f t="shared" si="199"/>
        <v>0.28444444444444444</v>
      </c>
      <c r="AS131" s="477">
        <f t="shared" si="200"/>
        <v>11.328888888888889</v>
      </c>
      <c r="AT131" s="477">
        <f t="shared" si="201"/>
        <v>3.0494444444444446</v>
      </c>
      <c r="AU131" s="477">
        <f t="shared" si="202"/>
        <v>14.093888888888889</v>
      </c>
      <c r="AV131" s="477">
        <f t="shared" si="203"/>
        <v>7.6733333333333338</v>
      </c>
      <c r="AW131" s="477">
        <f t="shared" si="204"/>
        <v>18.717777777777776</v>
      </c>
      <c r="AX131" s="477">
        <f t="shared" si="205"/>
        <v>10.438333333333334</v>
      </c>
      <c r="AY131" s="477">
        <f t="shared" si="206"/>
        <v>21.482777777777777</v>
      </c>
      <c r="AZ131" s="477">
        <f t="shared" si="207"/>
        <v>0.28444444444444444</v>
      </c>
      <c r="BA131" s="477">
        <f t="shared" si="208"/>
        <v>11.328888888888889</v>
      </c>
      <c r="BB131" s="477">
        <f t="shared" si="209"/>
        <v>3.0494444444444446</v>
      </c>
      <c r="BC131" s="477">
        <f t="shared" si="210"/>
        <v>14.093888888888889</v>
      </c>
      <c r="BD131" s="477">
        <f t="shared" si="211"/>
        <v>7.6733333333333338</v>
      </c>
      <c r="BE131" s="477">
        <f t="shared" si="212"/>
        <v>18.717777777777776</v>
      </c>
      <c r="BF131" s="477">
        <f t="shared" si="213"/>
        <v>10.438333333333334</v>
      </c>
      <c r="BG131" s="47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77">
        <f t="shared" si="177"/>
        <v>0</v>
      </c>
      <c r="V132" s="477">
        <f t="shared" si="178"/>
        <v>0</v>
      </c>
      <c r="W132" s="477">
        <f t="shared" si="179"/>
        <v>0.28444444444444444</v>
      </c>
      <c r="X132" s="477">
        <f t="shared" si="180"/>
        <v>11.044444444444444</v>
      </c>
      <c r="Y132" s="477">
        <f t="shared" si="181"/>
        <v>0</v>
      </c>
      <c r="Z132" s="477">
        <f t="shared" si="182"/>
        <v>0</v>
      </c>
      <c r="AA132" s="477">
        <f t="shared" si="183"/>
        <v>2.7650000000000001</v>
      </c>
      <c r="AB132" s="243"/>
      <c r="AC132" s="477">
        <f t="shared" si="184"/>
        <v>11.044444444444444</v>
      </c>
      <c r="AD132" s="477">
        <f t="shared" si="185"/>
        <v>2.7650000000000001</v>
      </c>
      <c r="AE132" s="477">
        <f t="shared" si="186"/>
        <v>13.809444444444445</v>
      </c>
      <c r="AF132" s="477">
        <f t="shared" si="187"/>
        <v>0</v>
      </c>
      <c r="AG132" s="477">
        <f t="shared" si="188"/>
        <v>11.044444444444444</v>
      </c>
      <c r="AH132" s="477">
        <f t="shared" si="189"/>
        <v>2.7650000000000001</v>
      </c>
      <c r="AI132" s="477">
        <f t="shared" si="190"/>
        <v>13.809444444444445</v>
      </c>
      <c r="AJ132" s="477">
        <f t="shared" si="191"/>
        <v>0</v>
      </c>
      <c r="AK132" s="477">
        <f t="shared" si="192"/>
        <v>11.044444444444444</v>
      </c>
      <c r="AL132" s="477">
        <f t="shared" si="193"/>
        <v>2.7650000000000001</v>
      </c>
      <c r="AM132" s="477">
        <f t="shared" si="194"/>
        <v>13.809444444444445</v>
      </c>
      <c r="AN132" s="477">
        <f t="shared" si="195"/>
        <v>0</v>
      </c>
      <c r="AO132" s="477">
        <f t="shared" si="196"/>
        <v>11.044444444444444</v>
      </c>
      <c r="AP132" s="477">
        <f t="shared" si="197"/>
        <v>2.7650000000000001</v>
      </c>
      <c r="AQ132" s="477">
        <f t="shared" si="198"/>
        <v>13.809444444444445</v>
      </c>
      <c r="AR132" s="477">
        <f t="shared" si="199"/>
        <v>0.28444444444444444</v>
      </c>
      <c r="AS132" s="477">
        <f t="shared" si="200"/>
        <v>11.328888888888889</v>
      </c>
      <c r="AT132" s="477">
        <f t="shared" si="201"/>
        <v>3.0494444444444446</v>
      </c>
      <c r="AU132" s="477">
        <f t="shared" si="202"/>
        <v>14.093888888888889</v>
      </c>
      <c r="AV132" s="477">
        <f t="shared" si="203"/>
        <v>0.28444444444444444</v>
      </c>
      <c r="AW132" s="477">
        <f t="shared" si="204"/>
        <v>11.328888888888889</v>
      </c>
      <c r="AX132" s="477">
        <f t="shared" si="205"/>
        <v>3.0494444444444446</v>
      </c>
      <c r="AY132" s="477">
        <f t="shared" si="206"/>
        <v>14.093888888888889</v>
      </c>
      <c r="AZ132" s="477">
        <f t="shared" si="207"/>
        <v>0.28444444444444444</v>
      </c>
      <c r="BA132" s="477">
        <f t="shared" si="208"/>
        <v>11.328888888888889</v>
      </c>
      <c r="BB132" s="477">
        <f t="shared" si="209"/>
        <v>3.0494444444444446</v>
      </c>
      <c r="BC132" s="477">
        <f t="shared" si="210"/>
        <v>14.093888888888889</v>
      </c>
      <c r="BD132" s="477">
        <f t="shared" si="211"/>
        <v>0.28444444444444444</v>
      </c>
      <c r="BE132" s="477">
        <f t="shared" si="212"/>
        <v>11.328888888888889</v>
      </c>
      <c r="BF132" s="477">
        <f t="shared" si="213"/>
        <v>3.0494444444444446</v>
      </c>
      <c r="BG132" s="47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77">
        <f t="shared" si="177"/>
        <v>2.9375</v>
      </c>
      <c r="V133" s="477">
        <f t="shared" si="178"/>
        <v>12.1875</v>
      </c>
      <c r="W133" s="477">
        <f t="shared" si="179"/>
        <v>0.28444444444444444</v>
      </c>
      <c r="X133" s="477">
        <f t="shared" si="180"/>
        <v>11.044444444444444</v>
      </c>
      <c r="Y133" s="477">
        <f t="shared" si="181"/>
        <v>443.33333333333331</v>
      </c>
      <c r="Z133" s="477">
        <f t="shared" si="182"/>
        <v>443.33333333333331</v>
      </c>
      <c r="AA133" s="477">
        <f t="shared" si="183"/>
        <v>2.7650000000000001</v>
      </c>
      <c r="AB133" s="243"/>
      <c r="AC133" s="477">
        <f t="shared" si="184"/>
        <v>11.044444444444444</v>
      </c>
      <c r="AD133" s="477">
        <f t="shared" si="185"/>
        <v>14.952500000000001</v>
      </c>
      <c r="AE133" s="477">
        <f t="shared" si="186"/>
        <v>25.996944444444445</v>
      </c>
      <c r="AF133" s="477">
        <f t="shared" si="187"/>
        <v>443.33333333333331</v>
      </c>
      <c r="AG133" s="477">
        <f t="shared" si="188"/>
        <v>454.37777777777774</v>
      </c>
      <c r="AH133" s="477">
        <f t="shared" si="189"/>
        <v>458.2858333333333</v>
      </c>
      <c r="AI133" s="477">
        <f t="shared" si="190"/>
        <v>469.33027777777772</v>
      </c>
      <c r="AJ133" s="477">
        <f t="shared" si="191"/>
        <v>2.9375</v>
      </c>
      <c r="AK133" s="477">
        <f t="shared" si="192"/>
        <v>13.981944444444444</v>
      </c>
      <c r="AL133" s="477">
        <f t="shared" si="193"/>
        <v>17.89</v>
      </c>
      <c r="AM133" s="477">
        <f t="shared" si="194"/>
        <v>28.934444444444445</v>
      </c>
      <c r="AN133" s="477">
        <f t="shared" si="195"/>
        <v>446.27083333333331</v>
      </c>
      <c r="AO133" s="477">
        <f t="shared" si="196"/>
        <v>457.31527777777774</v>
      </c>
      <c r="AP133" s="477">
        <f t="shared" si="197"/>
        <v>461.2233333333333</v>
      </c>
      <c r="AQ133" s="477">
        <f t="shared" si="198"/>
        <v>472.26777777777772</v>
      </c>
      <c r="AR133" s="477">
        <f t="shared" si="199"/>
        <v>0.28444444444444444</v>
      </c>
      <c r="AS133" s="477">
        <f t="shared" si="200"/>
        <v>11.328888888888889</v>
      </c>
      <c r="AT133" s="477">
        <f t="shared" si="201"/>
        <v>15.236944444444445</v>
      </c>
      <c r="AU133" s="477">
        <f t="shared" si="202"/>
        <v>26.281388888888891</v>
      </c>
      <c r="AV133" s="477">
        <f t="shared" si="203"/>
        <v>443.61777777777775</v>
      </c>
      <c r="AW133" s="477">
        <f t="shared" si="204"/>
        <v>454.66222222222217</v>
      </c>
      <c r="AX133" s="477">
        <f t="shared" si="205"/>
        <v>458.57027777777773</v>
      </c>
      <c r="AY133" s="477">
        <f t="shared" si="206"/>
        <v>469.61472222222216</v>
      </c>
      <c r="AZ133" s="477">
        <f t="shared" si="207"/>
        <v>3.2219444444444445</v>
      </c>
      <c r="BA133" s="477">
        <f t="shared" si="208"/>
        <v>14.266388888888889</v>
      </c>
      <c r="BB133" s="477">
        <f t="shared" si="209"/>
        <v>18.174444444444447</v>
      </c>
      <c r="BC133" s="477">
        <f t="shared" si="210"/>
        <v>29.218888888888891</v>
      </c>
      <c r="BD133" s="477">
        <f t="shared" si="211"/>
        <v>446.55527777777775</v>
      </c>
      <c r="BE133" s="477">
        <f t="shared" si="212"/>
        <v>457.59972222222217</v>
      </c>
      <c r="BF133" s="477">
        <f t="shared" si="213"/>
        <v>461.50777777777773</v>
      </c>
      <c r="BG133" s="47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77">
        <f t="shared" si="177"/>
        <v>0</v>
      </c>
      <c r="V134" s="477">
        <f>IF(OR($N134="",$R134=""),0,V$1/64/$N134)</f>
        <v>0</v>
      </c>
      <c r="W134" s="477">
        <f t="shared" si="179"/>
        <v>0.28444444444444444</v>
      </c>
      <c r="X134" s="477">
        <f t="shared" si="180"/>
        <v>11.044444444444444</v>
      </c>
      <c r="Y134" s="477">
        <f t="shared" si="181"/>
        <v>0</v>
      </c>
      <c r="Z134" s="477">
        <f t="shared" si="182"/>
        <v>0</v>
      </c>
      <c r="AA134" s="477">
        <f t="shared" si="183"/>
        <v>2.7650000000000001</v>
      </c>
      <c r="AB134" s="243"/>
      <c r="AC134" s="477">
        <f t="shared" si="184"/>
        <v>11.044444444444444</v>
      </c>
      <c r="AD134" s="477">
        <f t="shared" si="185"/>
        <v>2.7650000000000001</v>
      </c>
      <c r="AE134" s="477">
        <f t="shared" si="186"/>
        <v>13.809444444444445</v>
      </c>
      <c r="AF134" s="477">
        <f t="shared" si="187"/>
        <v>0</v>
      </c>
      <c r="AG134" s="477">
        <f t="shared" si="188"/>
        <v>11.044444444444444</v>
      </c>
      <c r="AH134" s="477">
        <f t="shared" si="189"/>
        <v>2.7650000000000001</v>
      </c>
      <c r="AI134" s="477">
        <f t="shared" si="190"/>
        <v>13.809444444444445</v>
      </c>
      <c r="AJ134" s="477">
        <f t="shared" si="191"/>
        <v>0</v>
      </c>
      <c r="AK134" s="477">
        <f t="shared" si="192"/>
        <v>11.044444444444444</v>
      </c>
      <c r="AL134" s="477">
        <f t="shared" si="193"/>
        <v>2.7650000000000001</v>
      </c>
      <c r="AM134" s="477">
        <f t="shared" si="194"/>
        <v>13.809444444444445</v>
      </c>
      <c r="AN134" s="477">
        <f t="shared" si="195"/>
        <v>0</v>
      </c>
      <c r="AO134" s="477">
        <f t="shared" si="196"/>
        <v>11.044444444444444</v>
      </c>
      <c r="AP134" s="477">
        <f t="shared" si="197"/>
        <v>2.7650000000000001</v>
      </c>
      <c r="AQ134" s="477">
        <f t="shared" si="198"/>
        <v>13.809444444444445</v>
      </c>
      <c r="AR134" s="477">
        <f t="shared" si="199"/>
        <v>0.28444444444444444</v>
      </c>
      <c r="AS134" s="477">
        <f t="shared" si="200"/>
        <v>11.328888888888889</v>
      </c>
      <c r="AT134" s="477">
        <f t="shared" si="201"/>
        <v>3.0494444444444446</v>
      </c>
      <c r="AU134" s="477">
        <f t="shared" si="202"/>
        <v>14.093888888888889</v>
      </c>
      <c r="AV134" s="477">
        <f t="shared" si="203"/>
        <v>0.28444444444444444</v>
      </c>
      <c r="AW134" s="477">
        <f t="shared" si="204"/>
        <v>11.328888888888889</v>
      </c>
      <c r="AX134" s="477">
        <f t="shared" si="205"/>
        <v>3.0494444444444446</v>
      </c>
      <c r="AY134" s="477">
        <f t="shared" si="206"/>
        <v>14.093888888888889</v>
      </c>
      <c r="AZ134" s="477">
        <f t="shared" si="207"/>
        <v>0.28444444444444444</v>
      </c>
      <c r="BA134" s="477">
        <f t="shared" si="208"/>
        <v>11.328888888888889</v>
      </c>
      <c r="BB134" s="477">
        <f t="shared" si="209"/>
        <v>3.0494444444444446</v>
      </c>
      <c r="BC134" s="477">
        <f t="shared" si="210"/>
        <v>14.093888888888889</v>
      </c>
      <c r="BD134" s="477">
        <f t="shared" si="211"/>
        <v>0.28444444444444444</v>
      </c>
      <c r="BE134" s="477">
        <f t="shared" si="212"/>
        <v>11.328888888888889</v>
      </c>
      <c r="BF134" s="477">
        <f t="shared" si="213"/>
        <v>3.0494444444444446</v>
      </c>
      <c r="BG134" s="47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77">
        <f t="shared" si="177"/>
        <v>0</v>
      </c>
      <c r="V135" s="477">
        <f t="shared" si="178"/>
        <v>0</v>
      </c>
      <c r="W135" s="477">
        <f t="shared" si="179"/>
        <v>0.28444444444444444</v>
      </c>
      <c r="X135" s="477">
        <f t="shared" si="180"/>
        <v>11.044444444444444</v>
      </c>
      <c r="Y135" s="477">
        <f t="shared" si="181"/>
        <v>0</v>
      </c>
      <c r="Z135" s="477">
        <f t="shared" si="182"/>
        <v>0</v>
      </c>
      <c r="AA135" s="477">
        <f t="shared" si="183"/>
        <v>2.7650000000000001</v>
      </c>
      <c r="AB135" s="243"/>
      <c r="AC135" s="477">
        <f t="shared" si="184"/>
        <v>11.044444444444444</v>
      </c>
      <c r="AD135" s="477">
        <f t="shared" si="185"/>
        <v>2.7650000000000001</v>
      </c>
      <c r="AE135" s="477">
        <f t="shared" si="186"/>
        <v>13.809444444444445</v>
      </c>
      <c r="AF135" s="477">
        <f t="shared" si="187"/>
        <v>0</v>
      </c>
      <c r="AG135" s="477">
        <f t="shared" si="188"/>
        <v>11.044444444444444</v>
      </c>
      <c r="AH135" s="477">
        <f t="shared" si="189"/>
        <v>2.7650000000000001</v>
      </c>
      <c r="AI135" s="477">
        <f t="shared" si="190"/>
        <v>13.809444444444445</v>
      </c>
      <c r="AJ135" s="477">
        <f t="shared" si="191"/>
        <v>0</v>
      </c>
      <c r="AK135" s="477">
        <f t="shared" si="192"/>
        <v>11.044444444444444</v>
      </c>
      <c r="AL135" s="477">
        <f t="shared" si="193"/>
        <v>2.7650000000000001</v>
      </c>
      <c r="AM135" s="477">
        <f t="shared" si="194"/>
        <v>13.809444444444445</v>
      </c>
      <c r="AN135" s="477">
        <f t="shared" si="195"/>
        <v>0</v>
      </c>
      <c r="AO135" s="477">
        <f t="shared" si="196"/>
        <v>11.044444444444444</v>
      </c>
      <c r="AP135" s="477">
        <f t="shared" si="197"/>
        <v>2.7650000000000001</v>
      </c>
      <c r="AQ135" s="477">
        <f t="shared" si="198"/>
        <v>13.809444444444445</v>
      </c>
      <c r="AR135" s="477">
        <f t="shared" si="199"/>
        <v>0.28444444444444444</v>
      </c>
      <c r="AS135" s="477">
        <f t="shared" si="200"/>
        <v>11.328888888888889</v>
      </c>
      <c r="AT135" s="477">
        <f t="shared" si="201"/>
        <v>3.0494444444444446</v>
      </c>
      <c r="AU135" s="477">
        <f t="shared" si="202"/>
        <v>14.093888888888889</v>
      </c>
      <c r="AV135" s="477">
        <f t="shared" si="203"/>
        <v>0.28444444444444444</v>
      </c>
      <c r="AW135" s="477">
        <f t="shared" si="204"/>
        <v>11.328888888888889</v>
      </c>
      <c r="AX135" s="477">
        <f t="shared" si="205"/>
        <v>3.0494444444444446</v>
      </c>
      <c r="AY135" s="477">
        <f t="shared" si="206"/>
        <v>14.093888888888889</v>
      </c>
      <c r="AZ135" s="477">
        <f t="shared" si="207"/>
        <v>0.28444444444444444</v>
      </c>
      <c r="BA135" s="477">
        <f t="shared" si="208"/>
        <v>11.328888888888889</v>
      </c>
      <c r="BB135" s="477">
        <f t="shared" si="209"/>
        <v>3.0494444444444446</v>
      </c>
      <c r="BC135" s="477">
        <f t="shared" si="210"/>
        <v>14.093888888888889</v>
      </c>
      <c r="BD135" s="477">
        <f t="shared" si="211"/>
        <v>0.28444444444444444</v>
      </c>
      <c r="BE135" s="477">
        <f t="shared" si="212"/>
        <v>11.328888888888889</v>
      </c>
      <c r="BF135" s="477">
        <f t="shared" si="213"/>
        <v>3.0494444444444446</v>
      </c>
      <c r="BG135" s="47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77">
        <f t="shared" si="177"/>
        <v>0</v>
      </c>
      <c r="V136" s="477">
        <f t="shared" si="178"/>
        <v>0</v>
      </c>
      <c r="W136" s="477">
        <f t="shared" si="179"/>
        <v>0.28444444444444444</v>
      </c>
      <c r="X136" s="477">
        <f t="shared" si="180"/>
        <v>5.5222222222222221</v>
      </c>
      <c r="Y136" s="477">
        <f t="shared" si="181"/>
        <v>0</v>
      </c>
      <c r="Z136" s="477">
        <f t="shared" si="182"/>
        <v>0</v>
      </c>
      <c r="AA136" s="477">
        <f t="shared" si="183"/>
        <v>2.7650000000000001</v>
      </c>
      <c r="AB136" s="243"/>
      <c r="AC136" s="477">
        <f t="shared" si="184"/>
        <v>5.5222222222222221</v>
      </c>
      <c r="AD136" s="477">
        <f t="shared" si="185"/>
        <v>2.7650000000000001</v>
      </c>
      <c r="AE136" s="477">
        <f t="shared" si="186"/>
        <v>8.2872222222222227</v>
      </c>
      <c r="AF136" s="477">
        <f t="shared" si="187"/>
        <v>0</v>
      </c>
      <c r="AG136" s="477">
        <f t="shared" si="188"/>
        <v>5.5222222222222221</v>
      </c>
      <c r="AH136" s="477">
        <f t="shared" si="189"/>
        <v>2.7650000000000001</v>
      </c>
      <c r="AI136" s="477">
        <f t="shared" si="190"/>
        <v>8.2872222222222227</v>
      </c>
      <c r="AJ136" s="477">
        <f t="shared" si="191"/>
        <v>0</v>
      </c>
      <c r="AK136" s="477">
        <f t="shared" si="192"/>
        <v>5.5222222222222221</v>
      </c>
      <c r="AL136" s="477">
        <f t="shared" si="193"/>
        <v>2.7650000000000001</v>
      </c>
      <c r="AM136" s="477">
        <f t="shared" si="194"/>
        <v>8.2872222222222227</v>
      </c>
      <c r="AN136" s="477">
        <f t="shared" si="195"/>
        <v>0</v>
      </c>
      <c r="AO136" s="477">
        <f t="shared" si="196"/>
        <v>5.5222222222222221</v>
      </c>
      <c r="AP136" s="477">
        <f t="shared" si="197"/>
        <v>2.7650000000000001</v>
      </c>
      <c r="AQ136" s="477">
        <f t="shared" si="198"/>
        <v>8.2872222222222227</v>
      </c>
      <c r="AR136" s="477">
        <f t="shared" si="199"/>
        <v>0.28444444444444444</v>
      </c>
      <c r="AS136" s="477">
        <f t="shared" si="200"/>
        <v>5.8066666666666666</v>
      </c>
      <c r="AT136" s="477">
        <f t="shared" si="201"/>
        <v>3.0494444444444446</v>
      </c>
      <c r="AU136" s="477">
        <f t="shared" si="202"/>
        <v>8.5716666666666672</v>
      </c>
      <c r="AV136" s="477">
        <f t="shared" si="203"/>
        <v>0.28444444444444444</v>
      </c>
      <c r="AW136" s="477">
        <f t="shared" si="204"/>
        <v>5.8066666666666666</v>
      </c>
      <c r="AX136" s="477">
        <f t="shared" si="205"/>
        <v>3.0494444444444446</v>
      </c>
      <c r="AY136" s="477">
        <f t="shared" si="206"/>
        <v>8.5716666666666672</v>
      </c>
      <c r="AZ136" s="477">
        <f t="shared" si="207"/>
        <v>0.28444444444444444</v>
      </c>
      <c r="BA136" s="477">
        <f t="shared" si="208"/>
        <v>5.8066666666666666</v>
      </c>
      <c r="BB136" s="477">
        <f t="shared" si="209"/>
        <v>3.0494444444444446</v>
      </c>
      <c r="BC136" s="477">
        <f t="shared" si="210"/>
        <v>8.5716666666666672</v>
      </c>
      <c r="BD136" s="477">
        <f t="shared" si="211"/>
        <v>0.28444444444444444</v>
      </c>
      <c r="BE136" s="477">
        <f t="shared" si="212"/>
        <v>5.8066666666666666</v>
      </c>
      <c r="BF136" s="477">
        <f t="shared" si="213"/>
        <v>3.0494444444444446</v>
      </c>
      <c r="BG136" s="47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77">
        <f t="shared" si="177"/>
        <v>0</v>
      </c>
      <c r="V137" s="477">
        <f t="shared" si="178"/>
        <v>0</v>
      </c>
      <c r="W137" s="477">
        <f t="shared" si="179"/>
        <v>0.28444444444444444</v>
      </c>
      <c r="X137" s="477">
        <f t="shared" si="180"/>
        <v>5.5222222222222221</v>
      </c>
      <c r="Y137" s="477">
        <f t="shared" si="181"/>
        <v>0</v>
      </c>
      <c r="Z137" s="477">
        <f t="shared" si="182"/>
        <v>0</v>
      </c>
      <c r="AA137" s="477">
        <f t="shared" si="183"/>
        <v>22.12</v>
      </c>
      <c r="AB137" s="243"/>
      <c r="AC137" s="477">
        <f t="shared" si="184"/>
        <v>5.5222222222222221</v>
      </c>
      <c r="AD137" s="477">
        <f t="shared" si="185"/>
        <v>22.12</v>
      </c>
      <c r="AE137" s="477">
        <f t="shared" si="186"/>
        <v>27.642222222222223</v>
      </c>
      <c r="AF137" s="477">
        <f t="shared" si="187"/>
        <v>0</v>
      </c>
      <c r="AG137" s="477">
        <f t="shared" si="188"/>
        <v>5.5222222222222221</v>
      </c>
      <c r="AH137" s="477">
        <f t="shared" si="189"/>
        <v>22.12</v>
      </c>
      <c r="AI137" s="477">
        <f t="shared" si="190"/>
        <v>27.642222222222223</v>
      </c>
      <c r="AJ137" s="477">
        <f t="shared" si="191"/>
        <v>0</v>
      </c>
      <c r="AK137" s="477">
        <f t="shared" si="192"/>
        <v>5.5222222222222221</v>
      </c>
      <c r="AL137" s="477">
        <f t="shared" si="193"/>
        <v>22.12</v>
      </c>
      <c r="AM137" s="477">
        <f t="shared" si="194"/>
        <v>27.642222222222223</v>
      </c>
      <c r="AN137" s="477">
        <f t="shared" si="195"/>
        <v>0</v>
      </c>
      <c r="AO137" s="477">
        <f t="shared" si="196"/>
        <v>5.5222222222222221</v>
      </c>
      <c r="AP137" s="477">
        <f t="shared" si="197"/>
        <v>22.12</v>
      </c>
      <c r="AQ137" s="477">
        <f t="shared" si="198"/>
        <v>27.642222222222223</v>
      </c>
      <c r="AR137" s="477">
        <f t="shared" si="199"/>
        <v>0.28444444444444444</v>
      </c>
      <c r="AS137" s="477">
        <f t="shared" si="200"/>
        <v>5.8066666666666666</v>
      </c>
      <c r="AT137" s="477">
        <f t="shared" si="201"/>
        <v>22.404444444444444</v>
      </c>
      <c r="AU137" s="477">
        <f t="shared" si="202"/>
        <v>27.926666666666666</v>
      </c>
      <c r="AV137" s="477">
        <f t="shared" si="203"/>
        <v>0.28444444444444444</v>
      </c>
      <c r="AW137" s="477">
        <f t="shared" si="204"/>
        <v>5.8066666666666666</v>
      </c>
      <c r="AX137" s="477">
        <f t="shared" si="205"/>
        <v>22.404444444444444</v>
      </c>
      <c r="AY137" s="477">
        <f t="shared" si="206"/>
        <v>27.926666666666666</v>
      </c>
      <c r="AZ137" s="477">
        <f t="shared" si="207"/>
        <v>0.28444444444444444</v>
      </c>
      <c r="BA137" s="477">
        <f t="shared" si="208"/>
        <v>5.8066666666666666</v>
      </c>
      <c r="BB137" s="477">
        <f t="shared" si="209"/>
        <v>22.404444444444444</v>
      </c>
      <c r="BC137" s="477">
        <f t="shared" si="210"/>
        <v>27.926666666666666</v>
      </c>
      <c r="BD137" s="477">
        <f t="shared" si="211"/>
        <v>0.28444444444444444</v>
      </c>
      <c r="BE137" s="477">
        <f t="shared" si="212"/>
        <v>5.8066666666666666</v>
      </c>
      <c r="BF137" s="477">
        <f t="shared" si="213"/>
        <v>22.404444444444444</v>
      </c>
      <c r="BG137" s="47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77">
        <f t="shared" si="177"/>
        <v>0</v>
      </c>
      <c r="V138" s="477">
        <f t="shared" si="178"/>
        <v>0</v>
      </c>
      <c r="W138" s="477">
        <f t="shared" si="179"/>
        <v>0.28444444444444444</v>
      </c>
      <c r="X138" s="477">
        <f t="shared" si="180"/>
        <v>5.5222222222222221</v>
      </c>
      <c r="Y138" s="477">
        <f t="shared" si="181"/>
        <v>0</v>
      </c>
      <c r="Z138" s="477">
        <f t="shared" si="182"/>
        <v>0</v>
      </c>
      <c r="AA138" s="477">
        <f t="shared" si="183"/>
        <v>22.12</v>
      </c>
      <c r="AB138" s="243"/>
      <c r="AC138" s="477">
        <f t="shared" si="184"/>
        <v>5.5222222222222221</v>
      </c>
      <c r="AD138" s="477">
        <f t="shared" si="185"/>
        <v>22.12</v>
      </c>
      <c r="AE138" s="477">
        <f t="shared" si="186"/>
        <v>27.642222222222223</v>
      </c>
      <c r="AF138" s="477">
        <f t="shared" si="187"/>
        <v>0</v>
      </c>
      <c r="AG138" s="477">
        <f t="shared" si="188"/>
        <v>5.5222222222222221</v>
      </c>
      <c r="AH138" s="477">
        <f t="shared" si="189"/>
        <v>22.12</v>
      </c>
      <c r="AI138" s="477">
        <f t="shared" si="190"/>
        <v>27.642222222222223</v>
      </c>
      <c r="AJ138" s="477">
        <f t="shared" si="191"/>
        <v>0</v>
      </c>
      <c r="AK138" s="477">
        <f t="shared" si="192"/>
        <v>5.5222222222222221</v>
      </c>
      <c r="AL138" s="477">
        <f t="shared" si="193"/>
        <v>22.12</v>
      </c>
      <c r="AM138" s="477">
        <f t="shared" si="194"/>
        <v>27.642222222222223</v>
      </c>
      <c r="AN138" s="477">
        <f t="shared" si="195"/>
        <v>0</v>
      </c>
      <c r="AO138" s="477">
        <f t="shared" si="196"/>
        <v>5.5222222222222221</v>
      </c>
      <c r="AP138" s="477">
        <f t="shared" si="197"/>
        <v>22.12</v>
      </c>
      <c r="AQ138" s="477">
        <f t="shared" si="198"/>
        <v>27.642222222222223</v>
      </c>
      <c r="AR138" s="477">
        <f t="shared" si="199"/>
        <v>0.28444444444444444</v>
      </c>
      <c r="AS138" s="477">
        <f t="shared" si="200"/>
        <v>5.8066666666666666</v>
      </c>
      <c r="AT138" s="477">
        <f t="shared" si="201"/>
        <v>22.404444444444444</v>
      </c>
      <c r="AU138" s="477">
        <f t="shared" si="202"/>
        <v>27.926666666666666</v>
      </c>
      <c r="AV138" s="477">
        <f t="shared" si="203"/>
        <v>0.28444444444444444</v>
      </c>
      <c r="AW138" s="477">
        <f t="shared" si="204"/>
        <v>5.8066666666666666</v>
      </c>
      <c r="AX138" s="477">
        <f t="shared" si="205"/>
        <v>22.404444444444444</v>
      </c>
      <c r="AY138" s="477">
        <f t="shared" si="206"/>
        <v>27.926666666666666</v>
      </c>
      <c r="AZ138" s="477">
        <f t="shared" si="207"/>
        <v>0.28444444444444444</v>
      </c>
      <c r="BA138" s="477">
        <f t="shared" si="208"/>
        <v>5.8066666666666666</v>
      </c>
      <c r="BB138" s="477">
        <f t="shared" si="209"/>
        <v>22.404444444444444</v>
      </c>
      <c r="BC138" s="477">
        <f t="shared" si="210"/>
        <v>27.926666666666666</v>
      </c>
      <c r="BD138" s="477">
        <f t="shared" si="211"/>
        <v>0.28444444444444444</v>
      </c>
      <c r="BE138" s="477">
        <f t="shared" si="212"/>
        <v>5.8066666666666666</v>
      </c>
      <c r="BF138" s="477">
        <f t="shared" si="213"/>
        <v>22.404444444444444</v>
      </c>
      <c r="BG138" s="47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77">
        <f t="shared" si="177"/>
        <v>0</v>
      </c>
      <c r="V139" s="477">
        <f t="shared" si="178"/>
        <v>0</v>
      </c>
      <c r="W139" s="477">
        <f t="shared" si="179"/>
        <v>0.28444444444444444</v>
      </c>
      <c r="X139" s="477">
        <f t="shared" si="180"/>
        <v>5.5222222222222221</v>
      </c>
      <c r="Y139" s="477">
        <f t="shared" si="181"/>
        <v>0</v>
      </c>
      <c r="Z139" s="477">
        <f t="shared" si="182"/>
        <v>0</v>
      </c>
      <c r="AA139" s="477">
        <f t="shared" si="183"/>
        <v>22.12</v>
      </c>
      <c r="AB139" s="243"/>
      <c r="AC139" s="477">
        <f t="shared" si="184"/>
        <v>5.5222222222222221</v>
      </c>
      <c r="AD139" s="477">
        <f t="shared" si="185"/>
        <v>22.12</v>
      </c>
      <c r="AE139" s="477">
        <f t="shared" si="186"/>
        <v>27.642222222222223</v>
      </c>
      <c r="AF139" s="477">
        <f t="shared" si="187"/>
        <v>0</v>
      </c>
      <c r="AG139" s="477">
        <f t="shared" si="188"/>
        <v>5.5222222222222221</v>
      </c>
      <c r="AH139" s="477">
        <f t="shared" si="189"/>
        <v>22.12</v>
      </c>
      <c r="AI139" s="477">
        <f t="shared" si="190"/>
        <v>27.642222222222223</v>
      </c>
      <c r="AJ139" s="477">
        <f t="shared" si="191"/>
        <v>0</v>
      </c>
      <c r="AK139" s="477">
        <f t="shared" si="192"/>
        <v>5.5222222222222221</v>
      </c>
      <c r="AL139" s="477">
        <f t="shared" si="193"/>
        <v>22.12</v>
      </c>
      <c r="AM139" s="477">
        <f t="shared" si="194"/>
        <v>27.642222222222223</v>
      </c>
      <c r="AN139" s="477">
        <f t="shared" si="195"/>
        <v>0</v>
      </c>
      <c r="AO139" s="477">
        <f t="shared" si="196"/>
        <v>5.5222222222222221</v>
      </c>
      <c r="AP139" s="477">
        <f t="shared" si="197"/>
        <v>22.12</v>
      </c>
      <c r="AQ139" s="477">
        <f t="shared" si="198"/>
        <v>27.642222222222223</v>
      </c>
      <c r="AR139" s="477">
        <f t="shared" si="199"/>
        <v>0.28444444444444444</v>
      </c>
      <c r="AS139" s="477">
        <f t="shared" si="200"/>
        <v>5.8066666666666666</v>
      </c>
      <c r="AT139" s="477">
        <f t="shared" si="201"/>
        <v>22.404444444444444</v>
      </c>
      <c r="AU139" s="477">
        <f t="shared" si="202"/>
        <v>27.926666666666666</v>
      </c>
      <c r="AV139" s="477">
        <f t="shared" si="203"/>
        <v>0.28444444444444444</v>
      </c>
      <c r="AW139" s="477">
        <f t="shared" si="204"/>
        <v>5.8066666666666666</v>
      </c>
      <c r="AX139" s="477">
        <f t="shared" si="205"/>
        <v>22.404444444444444</v>
      </c>
      <c r="AY139" s="477">
        <f t="shared" si="206"/>
        <v>27.926666666666666</v>
      </c>
      <c r="AZ139" s="477">
        <f t="shared" si="207"/>
        <v>0.28444444444444444</v>
      </c>
      <c r="BA139" s="477">
        <f t="shared" si="208"/>
        <v>5.8066666666666666</v>
      </c>
      <c r="BB139" s="477">
        <f t="shared" si="209"/>
        <v>22.404444444444444</v>
      </c>
      <c r="BC139" s="477">
        <f t="shared" si="210"/>
        <v>27.926666666666666</v>
      </c>
      <c r="BD139" s="477">
        <f t="shared" si="211"/>
        <v>0.28444444444444444</v>
      </c>
      <c r="BE139" s="477">
        <f t="shared" si="212"/>
        <v>5.8066666666666666</v>
      </c>
      <c r="BF139" s="477">
        <f t="shared" si="213"/>
        <v>22.404444444444444</v>
      </c>
      <c r="BG139" s="47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77">
        <f t="shared" si="177"/>
        <v>4.40625</v>
      </c>
      <c r="V140" s="477">
        <f>IF(OR($N140="",$R140=""),0,V$1/64/$N140)</f>
        <v>18.28125</v>
      </c>
      <c r="W140" s="477">
        <f t="shared" si="179"/>
        <v>0.28444444444444444</v>
      </c>
      <c r="X140" s="477">
        <f t="shared" si="180"/>
        <v>5.5222222222222221</v>
      </c>
      <c r="Y140" s="477">
        <f t="shared" si="181"/>
        <v>665</v>
      </c>
      <c r="Z140" s="477">
        <f t="shared" si="182"/>
        <v>4.6180555555555554</v>
      </c>
      <c r="AA140" s="477">
        <f t="shared" si="183"/>
        <v>22.12</v>
      </c>
      <c r="AB140" s="243"/>
      <c r="AC140" s="477">
        <f t="shared" si="184"/>
        <v>5.5222222222222221</v>
      </c>
      <c r="AD140" s="477">
        <f t="shared" si="185"/>
        <v>40.401250000000005</v>
      </c>
      <c r="AE140" s="477">
        <f t="shared" si="186"/>
        <v>45.92347222222223</v>
      </c>
      <c r="AF140" s="477">
        <f t="shared" si="187"/>
        <v>4.6180555555555554</v>
      </c>
      <c r="AG140" s="477">
        <f t="shared" si="188"/>
        <v>10.140277777777778</v>
      </c>
      <c r="AH140" s="477">
        <f t="shared" si="189"/>
        <v>45.019305555555562</v>
      </c>
      <c r="AI140" s="477">
        <f t="shared" si="190"/>
        <v>50.541527777777787</v>
      </c>
      <c r="AJ140" s="477">
        <f t="shared" si="191"/>
        <v>4.40625</v>
      </c>
      <c r="AK140" s="477">
        <f t="shared" si="192"/>
        <v>9.9284722222222221</v>
      </c>
      <c r="AL140" s="477">
        <f t="shared" si="193"/>
        <v>44.807500000000005</v>
      </c>
      <c r="AM140" s="477">
        <f t="shared" si="194"/>
        <v>50.32972222222223</v>
      </c>
      <c r="AN140" s="477">
        <f t="shared" si="195"/>
        <v>9.0243055555555554</v>
      </c>
      <c r="AO140" s="477">
        <f t="shared" si="196"/>
        <v>14.546527777777778</v>
      </c>
      <c r="AP140" s="477">
        <f t="shared" si="197"/>
        <v>49.425555555555562</v>
      </c>
      <c r="AQ140" s="477">
        <f t="shared" si="198"/>
        <v>54.947777777777787</v>
      </c>
      <c r="AR140" s="477">
        <f t="shared" si="199"/>
        <v>0.28444444444444444</v>
      </c>
      <c r="AS140" s="477">
        <f t="shared" si="200"/>
        <v>5.8066666666666666</v>
      </c>
      <c r="AT140" s="477">
        <f t="shared" si="201"/>
        <v>40.685694444444451</v>
      </c>
      <c r="AU140" s="477">
        <f t="shared" si="202"/>
        <v>46.207916666666677</v>
      </c>
      <c r="AV140" s="477">
        <f t="shared" si="203"/>
        <v>4.9024999999999999</v>
      </c>
      <c r="AW140" s="477">
        <f t="shared" si="204"/>
        <v>10.424722222222222</v>
      </c>
      <c r="AX140" s="477">
        <f t="shared" si="205"/>
        <v>45.303750000000008</v>
      </c>
      <c r="AY140" s="477">
        <f t="shared" si="206"/>
        <v>50.825972222222234</v>
      </c>
      <c r="AZ140" s="477">
        <f t="shared" si="207"/>
        <v>4.6906944444444445</v>
      </c>
      <c r="BA140" s="477">
        <f t="shared" si="208"/>
        <v>10.212916666666667</v>
      </c>
      <c r="BB140" s="477">
        <f t="shared" si="209"/>
        <v>45.091944444444451</v>
      </c>
      <c r="BC140" s="477">
        <f t="shared" si="210"/>
        <v>50.614166666666677</v>
      </c>
      <c r="BD140" s="477">
        <f t="shared" si="211"/>
        <v>9.3087499999999999</v>
      </c>
      <c r="BE140" s="477">
        <f t="shared" si="212"/>
        <v>14.830972222222222</v>
      </c>
      <c r="BF140" s="477">
        <f t="shared" si="213"/>
        <v>49.710000000000008</v>
      </c>
      <c r="BG140" s="47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77">
        <f t="shared" si="177"/>
        <v>4.40625</v>
      </c>
      <c r="V141" s="477">
        <f t="shared" si="178"/>
        <v>18.28125</v>
      </c>
      <c r="W141" s="477">
        <f t="shared" si="179"/>
        <v>0.28444444444444444</v>
      </c>
      <c r="X141" s="477">
        <f t="shared" si="180"/>
        <v>5.5222222222222221</v>
      </c>
      <c r="Y141" s="477">
        <f t="shared" si="181"/>
        <v>665</v>
      </c>
      <c r="Z141" s="477">
        <f t="shared" si="182"/>
        <v>4.6180555555555554</v>
      </c>
      <c r="AA141" s="477">
        <f t="shared" si="183"/>
        <v>22.12</v>
      </c>
      <c r="AB141" s="243"/>
      <c r="AC141" s="477">
        <f t="shared" si="184"/>
        <v>5.5222222222222221</v>
      </c>
      <c r="AD141" s="477">
        <f t="shared" si="185"/>
        <v>40.401250000000005</v>
      </c>
      <c r="AE141" s="477">
        <f t="shared" si="186"/>
        <v>45.92347222222223</v>
      </c>
      <c r="AF141" s="477">
        <f t="shared" si="187"/>
        <v>4.6180555555555554</v>
      </c>
      <c r="AG141" s="477">
        <f t="shared" si="188"/>
        <v>10.140277777777778</v>
      </c>
      <c r="AH141" s="477">
        <f t="shared" si="189"/>
        <v>45.019305555555562</v>
      </c>
      <c r="AI141" s="477">
        <f t="shared" si="190"/>
        <v>50.541527777777787</v>
      </c>
      <c r="AJ141" s="477">
        <f t="shared" si="191"/>
        <v>4.40625</v>
      </c>
      <c r="AK141" s="477">
        <f t="shared" si="192"/>
        <v>9.9284722222222221</v>
      </c>
      <c r="AL141" s="477">
        <f t="shared" si="193"/>
        <v>44.807500000000005</v>
      </c>
      <c r="AM141" s="477">
        <f t="shared" si="194"/>
        <v>50.32972222222223</v>
      </c>
      <c r="AN141" s="477">
        <f t="shared" si="195"/>
        <v>9.0243055555555554</v>
      </c>
      <c r="AO141" s="477">
        <f t="shared" si="196"/>
        <v>14.546527777777778</v>
      </c>
      <c r="AP141" s="477">
        <f t="shared" si="197"/>
        <v>49.425555555555562</v>
      </c>
      <c r="AQ141" s="477">
        <f t="shared" si="198"/>
        <v>54.947777777777787</v>
      </c>
      <c r="AR141" s="477">
        <f t="shared" si="199"/>
        <v>0.28444444444444444</v>
      </c>
      <c r="AS141" s="477">
        <f t="shared" si="200"/>
        <v>5.8066666666666666</v>
      </c>
      <c r="AT141" s="477">
        <f t="shared" si="201"/>
        <v>40.685694444444451</v>
      </c>
      <c r="AU141" s="477">
        <f t="shared" si="202"/>
        <v>46.207916666666677</v>
      </c>
      <c r="AV141" s="477">
        <f t="shared" si="203"/>
        <v>4.9024999999999999</v>
      </c>
      <c r="AW141" s="477">
        <f t="shared" si="204"/>
        <v>10.424722222222222</v>
      </c>
      <c r="AX141" s="477">
        <f t="shared" si="205"/>
        <v>45.303750000000008</v>
      </c>
      <c r="AY141" s="477">
        <f t="shared" si="206"/>
        <v>50.825972222222234</v>
      </c>
      <c r="AZ141" s="477">
        <f t="shared" si="207"/>
        <v>4.6906944444444445</v>
      </c>
      <c r="BA141" s="477">
        <f t="shared" si="208"/>
        <v>10.212916666666667</v>
      </c>
      <c r="BB141" s="477">
        <f t="shared" si="209"/>
        <v>45.091944444444451</v>
      </c>
      <c r="BC141" s="477">
        <f t="shared" si="210"/>
        <v>50.614166666666677</v>
      </c>
      <c r="BD141" s="477">
        <f t="shared" si="211"/>
        <v>9.3087499999999999</v>
      </c>
      <c r="BE141" s="477">
        <f t="shared" si="212"/>
        <v>14.830972222222222</v>
      </c>
      <c r="BF141" s="477">
        <f t="shared" si="213"/>
        <v>49.710000000000008</v>
      </c>
      <c r="BG141" s="47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77">
        <f t="shared" ref="U142:U173" si="227">IF(OR($N142="",$R142=""),0,U$1/64/$N142)</f>
        <v>0</v>
      </c>
      <c r="V142" s="477">
        <f t="shared" ref="V142:V173" si="228">IF(OR($N142="",$R142=""),0,V$1/64/$N142)</f>
        <v>0</v>
      </c>
      <c r="W142" s="477">
        <f t="shared" ref="W142:W173" si="229">IF($P142="",0,W$1/$P142)</f>
        <v>0</v>
      </c>
      <c r="X142" s="477">
        <f t="shared" ref="X142:X173" si="230">IF($M142="",0,X$1/$M142)</f>
        <v>0</v>
      </c>
      <c r="Y142" s="477">
        <f t="shared" ref="Y142:Y173" si="231">IF(OR($N142="",$Q142&lt;&gt;""),0,Y$1/$N142)</f>
        <v>0</v>
      </c>
      <c r="Z142" s="477">
        <f t="shared" ref="Z142:Z173" si="232">IF($N142="",0,IF($R142="",1,R142/43200)*Y142)</f>
        <v>0</v>
      </c>
      <c r="AA142" s="477">
        <f t="shared" ref="AA142:AA173" si="233">IF($O142="",0,AA$1/$O142)</f>
        <v>0</v>
      </c>
      <c r="AB142" s="243"/>
      <c r="AC142" s="477">
        <f t="shared" ref="AC142:AC173" si="234">IF(AC$3&lt;&gt;"",$W142,0)+IF(AC$4&lt;&gt;"",$U142,0)+IF(AC$5&lt;&gt;"",$Z142+IF($S142&lt;&gt;"102",$V142,0),0)+IF(AC$6&lt;&gt;"",$AA142+IF($S142="102",$V142,0),0)+IF(AC$7&lt;&gt;"",$X142,0)</f>
        <v>0</v>
      </c>
      <c r="AD142" s="477">
        <f t="shared" ref="AD142:AD173" si="235">IF(AD$3&lt;&gt;"",$W142,0)+IF(AD$4&lt;&gt;"",$U142,0)+IF(AD$5&lt;&gt;"",$Z142+IF($S142&lt;&gt;"102",$V142,0),0)+IF(AD$6&lt;&gt;"",$AA142+IF($S142="102",$V142,0),0)+IF(AD$7&lt;&gt;"",$X142,0)</f>
        <v>0</v>
      </c>
      <c r="AE142" s="477">
        <f t="shared" ref="AE142:AE173" si="236">IF(AE$3&lt;&gt;"",$W142,0)+IF(AE$4&lt;&gt;"",$U142,0)+IF(AE$5&lt;&gt;"",$Z142+IF($S142&lt;&gt;"102",$V142,0),0)+IF(AE$6&lt;&gt;"",$AA142+IF($S142="102",$V142,0),0)+IF(AE$7&lt;&gt;"",$X142,0)</f>
        <v>0</v>
      </c>
      <c r="AF142" s="477">
        <f t="shared" ref="AF142:AF173" si="237">IF(AF$3&lt;&gt;"",$W142,0)+IF(AF$4&lt;&gt;"",$U142,0)+IF(AF$5&lt;&gt;"",$Z142+IF($S142&lt;&gt;"102",$V142,0),0)+IF(AF$6&lt;&gt;"",$AA142+IF($S142="102",$V142,0),0)+IF(AF$7&lt;&gt;"",$X142,0)</f>
        <v>0</v>
      </c>
      <c r="AG142" s="477">
        <f t="shared" ref="AG142:AG173" si="238">IF(AG$3&lt;&gt;"",$W142,0)+IF(AG$4&lt;&gt;"",$U142,0)+IF(AG$5&lt;&gt;"",$Z142+IF($S142&lt;&gt;"102",$V142,0),0)+IF(AG$6&lt;&gt;"",$AA142+IF($S142="102",$V142,0),0)+IF(AG$7&lt;&gt;"",$X142,0)</f>
        <v>0</v>
      </c>
      <c r="AH142" s="477">
        <f t="shared" ref="AH142:AH173" si="239">IF(AH$3&lt;&gt;"",$W142,0)+IF(AH$4&lt;&gt;"",$U142,0)+IF(AH$5&lt;&gt;"",$Z142+IF($S142&lt;&gt;"102",$V142,0),0)+IF(AH$6&lt;&gt;"",$AA142+IF($S142="102",$V142,0),0)+IF(AH$7&lt;&gt;"",$X142,0)</f>
        <v>0</v>
      </c>
      <c r="AI142" s="477">
        <f t="shared" ref="AI142:AI173" si="240">IF(AI$3&lt;&gt;"",$W142,0)+IF(AI$4&lt;&gt;"",$U142,0)+IF(AI$5&lt;&gt;"",$Z142+IF($S142&lt;&gt;"102",$V142,0),0)+IF(AI$6&lt;&gt;"",$AA142+IF($S142="102",$V142,0),0)+IF(AI$7&lt;&gt;"",$X142,0)</f>
        <v>0</v>
      </c>
      <c r="AJ142" s="477">
        <f t="shared" ref="AJ142:AJ173" si="241">IF(AJ$3&lt;&gt;"",$W142,0)+IF(AJ$4&lt;&gt;"",$U142,0)+IF(AJ$5&lt;&gt;"",$Z142+IF($S142&lt;&gt;"102",$V142,0),0)+IF(AJ$6&lt;&gt;"",$AA142+IF($S142="102",$V142,0),0)+IF(AJ$7&lt;&gt;"",$X142,0)</f>
        <v>0</v>
      </c>
      <c r="AK142" s="477">
        <f t="shared" ref="AK142:AK173" si="242">IF(AK$3&lt;&gt;"",$W142,0)+IF(AK$4&lt;&gt;"",$U142,0)+IF(AK$5&lt;&gt;"",$Z142+IF($S142&lt;&gt;"102",$V142,0),0)+IF(AK$6&lt;&gt;"",$AA142+IF($S142="102",$V142,0),0)+IF(AK$7&lt;&gt;"",$X142,0)</f>
        <v>0</v>
      </c>
      <c r="AL142" s="477">
        <f t="shared" ref="AL142:AL173" si="243">IF(AL$3&lt;&gt;"",$W142,0)+IF(AL$4&lt;&gt;"",$U142,0)+IF(AL$5&lt;&gt;"",$Z142+IF($S142&lt;&gt;"102",$V142,0),0)+IF(AL$6&lt;&gt;"",$AA142+IF($S142="102",$V142,0),0)+IF(AL$7&lt;&gt;"",$X142,0)</f>
        <v>0</v>
      </c>
      <c r="AM142" s="477">
        <f t="shared" ref="AM142:AM173" si="244">IF(AM$3&lt;&gt;"",$W142,0)+IF(AM$4&lt;&gt;"",$U142,0)+IF(AM$5&lt;&gt;"",$Z142+IF($S142&lt;&gt;"102",$V142,0),0)+IF(AM$6&lt;&gt;"",$AA142+IF($S142="102",$V142,0),0)+IF(AM$7&lt;&gt;"",$X142,0)</f>
        <v>0</v>
      </c>
      <c r="AN142" s="477">
        <f t="shared" ref="AN142:AN173" si="245">IF(AN$3&lt;&gt;"",$W142,0)+IF(AN$4&lt;&gt;"",$U142,0)+IF(AN$5&lt;&gt;"",$Z142+IF($S142&lt;&gt;"102",$V142,0),0)+IF(AN$6&lt;&gt;"",$AA142+IF($S142="102",$V142,0),0)+IF(AN$7&lt;&gt;"",$X142,0)</f>
        <v>0</v>
      </c>
      <c r="AO142" s="477">
        <f t="shared" ref="AO142:AO173" si="246">IF(AO$3&lt;&gt;"",$W142,0)+IF(AO$4&lt;&gt;"",$U142,0)+IF(AO$5&lt;&gt;"",$Z142+IF($S142&lt;&gt;"102",$V142,0),0)+IF(AO$6&lt;&gt;"",$AA142+IF($S142="102",$V142,0),0)+IF(AO$7&lt;&gt;"",$X142,0)</f>
        <v>0</v>
      </c>
      <c r="AP142" s="477">
        <f t="shared" ref="AP142:AP173" si="247">IF(AP$3&lt;&gt;"",$W142,0)+IF(AP$4&lt;&gt;"",$U142,0)+IF(AP$5&lt;&gt;"",$Z142+IF($S142&lt;&gt;"102",$V142,0),0)+IF(AP$6&lt;&gt;"",$AA142+IF($S142="102",$V142,0),0)+IF(AP$7&lt;&gt;"",$X142,0)</f>
        <v>0</v>
      </c>
      <c r="AQ142" s="477">
        <f t="shared" ref="AQ142:AQ173" si="248">IF(AQ$3&lt;&gt;"",$W142,0)+IF(AQ$4&lt;&gt;"",$U142,0)+IF(AQ$5&lt;&gt;"",$Z142+IF($S142&lt;&gt;"102",$V142,0),0)+IF(AQ$6&lt;&gt;"",$AA142+IF($S142="102",$V142,0),0)+IF(AQ$7&lt;&gt;"",$X142,0)</f>
        <v>0</v>
      </c>
      <c r="AR142" s="477">
        <f t="shared" ref="AR142:AR173" si="249">IF(AR$3&lt;&gt;"",$W142,0)+IF(AR$4&lt;&gt;"",$U142,0)+IF(AR$5&lt;&gt;"",$Z142+IF($S142&lt;&gt;"102",$V142,0),0)+IF(AR$6&lt;&gt;"",$AA142+IF($S142="102",$V142,0),0)+IF(AR$7&lt;&gt;"",$X142,0)</f>
        <v>0</v>
      </c>
      <c r="AS142" s="477">
        <f t="shared" ref="AS142:AS173" si="250">IF(AS$3&lt;&gt;"",$W142,0)+IF(AS$4&lt;&gt;"",$U142,0)+IF(AS$5&lt;&gt;"",$Z142+IF($S142&lt;&gt;"102",$V142,0),0)+IF(AS$6&lt;&gt;"",$AA142+IF($S142="102",$V142,0),0)+IF(AS$7&lt;&gt;"",$X142,0)</f>
        <v>0</v>
      </c>
      <c r="AT142" s="477">
        <f t="shared" ref="AT142:AT173" si="251">IF(AT$3&lt;&gt;"",$W142,0)+IF(AT$4&lt;&gt;"",$U142,0)+IF(AT$5&lt;&gt;"",$Z142+IF($S142&lt;&gt;"102",$V142,0),0)+IF(AT$6&lt;&gt;"",$AA142+IF($S142="102",$V142,0),0)+IF(AT$7&lt;&gt;"",$X142,0)</f>
        <v>0</v>
      </c>
      <c r="AU142" s="477">
        <f t="shared" ref="AU142:AU173" si="252">IF(AU$3&lt;&gt;"",$W142,0)+IF(AU$4&lt;&gt;"",$U142,0)+IF(AU$5&lt;&gt;"",$Z142+IF($S142&lt;&gt;"102",$V142,0),0)+IF(AU$6&lt;&gt;"",$AA142+IF($S142="102",$V142,0),0)+IF(AU$7&lt;&gt;"",$X142,0)</f>
        <v>0</v>
      </c>
      <c r="AV142" s="477">
        <f t="shared" ref="AV142:AV173" si="253">IF(AV$3&lt;&gt;"",$W142,0)+IF(AV$4&lt;&gt;"",$U142,0)+IF(AV$5&lt;&gt;"",$Z142+IF($S142&lt;&gt;"102",$V142,0),0)+IF(AV$6&lt;&gt;"",$AA142+IF($S142="102",$V142,0),0)+IF(AV$7&lt;&gt;"",$X142,0)</f>
        <v>0</v>
      </c>
      <c r="AW142" s="477">
        <f t="shared" ref="AW142:AW173" si="254">IF(AW$3&lt;&gt;"",$W142,0)+IF(AW$4&lt;&gt;"",$U142,0)+IF(AW$5&lt;&gt;"",$Z142+IF($S142&lt;&gt;"102",$V142,0),0)+IF(AW$6&lt;&gt;"",$AA142+IF($S142="102",$V142,0),0)+IF(AW$7&lt;&gt;"",$X142,0)</f>
        <v>0</v>
      </c>
      <c r="AX142" s="477">
        <f t="shared" ref="AX142:AX173" si="255">IF(AX$3&lt;&gt;"",$W142,0)+IF(AX$4&lt;&gt;"",$U142,0)+IF(AX$5&lt;&gt;"",$Z142+IF($S142&lt;&gt;"102",$V142,0),0)+IF(AX$6&lt;&gt;"",$AA142+IF($S142="102",$V142,0),0)+IF(AX$7&lt;&gt;"",$X142,0)</f>
        <v>0</v>
      </c>
      <c r="AY142" s="477">
        <f t="shared" ref="AY142:AY173" si="256">IF(AY$3&lt;&gt;"",$W142,0)+IF(AY$4&lt;&gt;"",$U142,0)+IF(AY$5&lt;&gt;"",$Z142+IF($S142&lt;&gt;"102",$V142,0),0)+IF(AY$6&lt;&gt;"",$AA142+IF($S142="102",$V142,0),0)+IF(AY$7&lt;&gt;"",$X142,0)</f>
        <v>0</v>
      </c>
      <c r="AZ142" s="477">
        <f t="shared" ref="AZ142:AZ173" si="257">IF(AZ$3&lt;&gt;"",$W142,0)+IF(AZ$4&lt;&gt;"",$U142,0)+IF(AZ$5&lt;&gt;"",$Z142+IF($S142&lt;&gt;"102",$V142,0),0)+IF(AZ$6&lt;&gt;"",$AA142+IF($S142="102",$V142,0),0)+IF(AZ$7&lt;&gt;"",$X142,0)</f>
        <v>0</v>
      </c>
      <c r="BA142" s="477">
        <f t="shared" ref="BA142:BA173" si="258">IF(BA$3&lt;&gt;"",$W142,0)+IF(BA$4&lt;&gt;"",$U142,0)+IF(BA$5&lt;&gt;"",$Z142+IF($S142&lt;&gt;"102",$V142,0),0)+IF(BA$6&lt;&gt;"",$AA142+IF($S142="102",$V142,0),0)+IF(BA$7&lt;&gt;"",$X142,0)</f>
        <v>0</v>
      </c>
      <c r="BB142" s="477">
        <f t="shared" ref="BB142:BB173" si="259">IF(BB$3&lt;&gt;"",$W142,0)+IF(BB$4&lt;&gt;"",$U142,0)+IF(BB$5&lt;&gt;"",$Z142+IF($S142&lt;&gt;"102",$V142,0),0)+IF(BB$6&lt;&gt;"",$AA142+IF($S142="102",$V142,0),0)+IF(BB$7&lt;&gt;"",$X142,0)</f>
        <v>0</v>
      </c>
      <c r="BC142" s="477">
        <f t="shared" ref="BC142:BC173" si="260">IF(BC$3&lt;&gt;"",$W142,0)+IF(BC$4&lt;&gt;"",$U142,0)+IF(BC$5&lt;&gt;"",$Z142+IF($S142&lt;&gt;"102",$V142,0),0)+IF(BC$6&lt;&gt;"",$AA142+IF($S142="102",$V142,0),0)+IF(BC$7&lt;&gt;"",$X142,0)</f>
        <v>0</v>
      </c>
      <c r="BD142" s="477">
        <f t="shared" ref="BD142:BD173" si="261">IF(BD$3&lt;&gt;"",$W142,0)+IF(BD$4&lt;&gt;"",$U142,0)+IF(BD$5&lt;&gt;"",$Z142+IF($S142&lt;&gt;"102",$V142,0),0)+IF(BD$6&lt;&gt;"",$AA142+IF($S142="102",$V142,0),0)+IF(BD$7&lt;&gt;"",$X142,0)</f>
        <v>0</v>
      </c>
      <c r="BE142" s="477">
        <f t="shared" ref="BE142:BE173" si="262">IF(BE$3&lt;&gt;"",$W142,0)+IF(BE$4&lt;&gt;"",$U142,0)+IF(BE$5&lt;&gt;"",$Z142+IF($S142&lt;&gt;"102",$V142,0),0)+IF(BE$6&lt;&gt;"",$AA142+IF($S142="102",$V142,0),0)+IF(BE$7&lt;&gt;"",$X142,0)</f>
        <v>0</v>
      </c>
      <c r="BF142" s="477">
        <f t="shared" ref="BF142:BF173" si="263">IF(BF$3&lt;&gt;"",$W142,0)+IF(BF$4&lt;&gt;"",$U142,0)+IF(BF$5&lt;&gt;"",$Z142+IF($S142&lt;&gt;"102",$V142,0),0)+IF(BF$6&lt;&gt;"",$AA142+IF($S142="102",$V142,0),0)+IF(BF$7&lt;&gt;"",$X142,0)</f>
        <v>0</v>
      </c>
      <c r="BG142" s="47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77">
        <f t="shared" si="227"/>
        <v>0</v>
      </c>
      <c r="V143" s="477">
        <f t="shared" si="228"/>
        <v>0</v>
      </c>
      <c r="W143" s="477">
        <f t="shared" si="229"/>
        <v>0</v>
      </c>
      <c r="X143" s="477">
        <f t="shared" si="230"/>
        <v>0</v>
      </c>
      <c r="Y143" s="477">
        <f t="shared" si="231"/>
        <v>0</v>
      </c>
      <c r="Z143" s="477">
        <f t="shared" si="232"/>
        <v>0</v>
      </c>
      <c r="AA143" s="477">
        <f t="shared" si="233"/>
        <v>0</v>
      </c>
      <c r="AB143" s="243"/>
      <c r="AC143" s="477">
        <f t="shared" si="234"/>
        <v>0</v>
      </c>
      <c r="AD143" s="477">
        <f t="shared" si="235"/>
        <v>0</v>
      </c>
      <c r="AE143" s="477">
        <f t="shared" si="236"/>
        <v>0</v>
      </c>
      <c r="AF143" s="477">
        <f t="shared" si="237"/>
        <v>0</v>
      </c>
      <c r="AG143" s="477">
        <f t="shared" si="238"/>
        <v>0</v>
      </c>
      <c r="AH143" s="477">
        <f t="shared" si="239"/>
        <v>0</v>
      </c>
      <c r="AI143" s="477">
        <f t="shared" si="240"/>
        <v>0</v>
      </c>
      <c r="AJ143" s="477">
        <f t="shared" si="241"/>
        <v>0</v>
      </c>
      <c r="AK143" s="477">
        <f t="shared" si="242"/>
        <v>0</v>
      </c>
      <c r="AL143" s="477">
        <f t="shared" si="243"/>
        <v>0</v>
      </c>
      <c r="AM143" s="477">
        <f t="shared" si="244"/>
        <v>0</v>
      </c>
      <c r="AN143" s="477">
        <f t="shared" si="245"/>
        <v>0</v>
      </c>
      <c r="AO143" s="477">
        <f t="shared" si="246"/>
        <v>0</v>
      </c>
      <c r="AP143" s="477">
        <f t="shared" si="247"/>
        <v>0</v>
      </c>
      <c r="AQ143" s="477">
        <f t="shared" si="248"/>
        <v>0</v>
      </c>
      <c r="AR143" s="477">
        <f t="shared" si="249"/>
        <v>0</v>
      </c>
      <c r="AS143" s="477">
        <f t="shared" si="250"/>
        <v>0</v>
      </c>
      <c r="AT143" s="477">
        <f t="shared" si="251"/>
        <v>0</v>
      </c>
      <c r="AU143" s="477">
        <f t="shared" si="252"/>
        <v>0</v>
      </c>
      <c r="AV143" s="477">
        <f t="shared" si="253"/>
        <v>0</v>
      </c>
      <c r="AW143" s="477">
        <f t="shared" si="254"/>
        <v>0</v>
      </c>
      <c r="AX143" s="477">
        <f t="shared" si="255"/>
        <v>0</v>
      </c>
      <c r="AY143" s="477">
        <f t="shared" si="256"/>
        <v>0</v>
      </c>
      <c r="AZ143" s="477">
        <f t="shared" si="257"/>
        <v>0</v>
      </c>
      <c r="BA143" s="477">
        <f t="shared" si="258"/>
        <v>0</v>
      </c>
      <c r="BB143" s="477">
        <f t="shared" si="259"/>
        <v>0</v>
      </c>
      <c r="BC143" s="477">
        <f t="shared" si="260"/>
        <v>0</v>
      </c>
      <c r="BD143" s="477">
        <f t="shared" si="261"/>
        <v>0</v>
      </c>
      <c r="BE143" s="477">
        <f t="shared" si="262"/>
        <v>0</v>
      </c>
      <c r="BF143" s="477">
        <f t="shared" si="263"/>
        <v>0</v>
      </c>
      <c r="BG143" s="47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77">
        <f t="shared" si="227"/>
        <v>0</v>
      </c>
      <c r="V144" s="477">
        <f t="shared" si="228"/>
        <v>0</v>
      </c>
      <c r="W144" s="477">
        <f t="shared" si="229"/>
        <v>0</v>
      </c>
      <c r="X144" s="477">
        <f t="shared" si="230"/>
        <v>0</v>
      </c>
      <c r="Y144" s="477">
        <f t="shared" si="231"/>
        <v>133</v>
      </c>
      <c r="Z144" s="477">
        <f t="shared" si="232"/>
        <v>133</v>
      </c>
      <c r="AA144" s="477">
        <f t="shared" si="233"/>
        <v>0</v>
      </c>
      <c r="AB144" s="243"/>
      <c r="AC144" s="477">
        <f t="shared" si="234"/>
        <v>0</v>
      </c>
      <c r="AD144" s="477">
        <f t="shared" si="235"/>
        <v>0</v>
      </c>
      <c r="AE144" s="477">
        <f t="shared" si="236"/>
        <v>0</v>
      </c>
      <c r="AF144" s="477">
        <f t="shared" si="237"/>
        <v>133</v>
      </c>
      <c r="AG144" s="477">
        <f t="shared" si="238"/>
        <v>133</v>
      </c>
      <c r="AH144" s="477">
        <f t="shared" si="239"/>
        <v>133</v>
      </c>
      <c r="AI144" s="477">
        <f t="shared" si="240"/>
        <v>133</v>
      </c>
      <c r="AJ144" s="477">
        <f t="shared" si="241"/>
        <v>0</v>
      </c>
      <c r="AK144" s="477">
        <f t="shared" si="242"/>
        <v>0</v>
      </c>
      <c r="AL144" s="477">
        <f t="shared" si="243"/>
        <v>0</v>
      </c>
      <c r="AM144" s="477">
        <f t="shared" si="244"/>
        <v>0</v>
      </c>
      <c r="AN144" s="477">
        <f t="shared" si="245"/>
        <v>133</v>
      </c>
      <c r="AO144" s="477">
        <f t="shared" si="246"/>
        <v>133</v>
      </c>
      <c r="AP144" s="477">
        <f t="shared" si="247"/>
        <v>133</v>
      </c>
      <c r="AQ144" s="477">
        <f t="shared" si="248"/>
        <v>133</v>
      </c>
      <c r="AR144" s="477">
        <f t="shared" si="249"/>
        <v>0</v>
      </c>
      <c r="AS144" s="477">
        <f t="shared" si="250"/>
        <v>0</v>
      </c>
      <c r="AT144" s="477">
        <f t="shared" si="251"/>
        <v>0</v>
      </c>
      <c r="AU144" s="477">
        <f t="shared" si="252"/>
        <v>0</v>
      </c>
      <c r="AV144" s="477">
        <f t="shared" si="253"/>
        <v>133</v>
      </c>
      <c r="AW144" s="477">
        <f t="shared" si="254"/>
        <v>133</v>
      </c>
      <c r="AX144" s="477">
        <f t="shared" si="255"/>
        <v>133</v>
      </c>
      <c r="AY144" s="477">
        <f t="shared" si="256"/>
        <v>133</v>
      </c>
      <c r="AZ144" s="477">
        <f t="shared" si="257"/>
        <v>0</v>
      </c>
      <c r="BA144" s="477">
        <f t="shared" si="258"/>
        <v>0</v>
      </c>
      <c r="BB144" s="477">
        <f t="shared" si="259"/>
        <v>0</v>
      </c>
      <c r="BC144" s="477">
        <f t="shared" si="260"/>
        <v>0</v>
      </c>
      <c r="BD144" s="477">
        <f t="shared" si="261"/>
        <v>133</v>
      </c>
      <c r="BE144" s="477">
        <f t="shared" si="262"/>
        <v>133</v>
      </c>
      <c r="BF144" s="477">
        <f t="shared" si="263"/>
        <v>133</v>
      </c>
      <c r="BG144" s="47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77">
        <f t="shared" si="227"/>
        <v>0</v>
      </c>
      <c r="V145" s="477">
        <f t="shared" si="228"/>
        <v>0</v>
      </c>
      <c r="W145" s="477">
        <f t="shared" si="229"/>
        <v>0</v>
      </c>
      <c r="X145" s="477">
        <f t="shared" si="230"/>
        <v>0</v>
      </c>
      <c r="Y145" s="477">
        <f t="shared" si="231"/>
        <v>133</v>
      </c>
      <c r="Z145" s="477">
        <f t="shared" si="232"/>
        <v>133</v>
      </c>
      <c r="AA145" s="477">
        <f t="shared" si="233"/>
        <v>66.36</v>
      </c>
      <c r="AB145" s="243"/>
      <c r="AC145" s="477">
        <f t="shared" si="234"/>
        <v>0</v>
      </c>
      <c r="AD145" s="477">
        <f t="shared" si="235"/>
        <v>66.36</v>
      </c>
      <c r="AE145" s="477">
        <f t="shared" si="236"/>
        <v>66.36</v>
      </c>
      <c r="AF145" s="477">
        <f t="shared" si="237"/>
        <v>133</v>
      </c>
      <c r="AG145" s="477">
        <f t="shared" si="238"/>
        <v>133</v>
      </c>
      <c r="AH145" s="477">
        <f t="shared" si="239"/>
        <v>199.36</v>
      </c>
      <c r="AI145" s="477">
        <f t="shared" si="240"/>
        <v>199.36</v>
      </c>
      <c r="AJ145" s="477">
        <f t="shared" si="241"/>
        <v>0</v>
      </c>
      <c r="AK145" s="477">
        <f t="shared" si="242"/>
        <v>0</v>
      </c>
      <c r="AL145" s="477">
        <f t="shared" si="243"/>
        <v>66.36</v>
      </c>
      <c r="AM145" s="477">
        <f t="shared" si="244"/>
        <v>66.36</v>
      </c>
      <c r="AN145" s="477">
        <f t="shared" si="245"/>
        <v>133</v>
      </c>
      <c r="AO145" s="477">
        <f t="shared" si="246"/>
        <v>133</v>
      </c>
      <c r="AP145" s="477">
        <f t="shared" si="247"/>
        <v>199.36</v>
      </c>
      <c r="AQ145" s="477">
        <f t="shared" si="248"/>
        <v>199.36</v>
      </c>
      <c r="AR145" s="477">
        <f t="shared" si="249"/>
        <v>0</v>
      </c>
      <c r="AS145" s="477">
        <f t="shared" si="250"/>
        <v>0</v>
      </c>
      <c r="AT145" s="477">
        <f t="shared" si="251"/>
        <v>66.36</v>
      </c>
      <c r="AU145" s="477">
        <f t="shared" si="252"/>
        <v>66.36</v>
      </c>
      <c r="AV145" s="477">
        <f t="shared" si="253"/>
        <v>133</v>
      </c>
      <c r="AW145" s="477">
        <f t="shared" si="254"/>
        <v>133</v>
      </c>
      <c r="AX145" s="477">
        <f t="shared" si="255"/>
        <v>199.36</v>
      </c>
      <c r="AY145" s="477">
        <f t="shared" si="256"/>
        <v>199.36</v>
      </c>
      <c r="AZ145" s="477">
        <f t="shared" si="257"/>
        <v>0</v>
      </c>
      <c r="BA145" s="477">
        <f t="shared" si="258"/>
        <v>0</v>
      </c>
      <c r="BB145" s="477">
        <f t="shared" si="259"/>
        <v>66.36</v>
      </c>
      <c r="BC145" s="477">
        <f t="shared" si="260"/>
        <v>66.36</v>
      </c>
      <c r="BD145" s="477">
        <f t="shared" si="261"/>
        <v>133</v>
      </c>
      <c r="BE145" s="477">
        <f t="shared" si="262"/>
        <v>133</v>
      </c>
      <c r="BF145" s="477">
        <f t="shared" si="263"/>
        <v>199.36</v>
      </c>
      <c r="BG145" s="47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77">
        <f t="shared" si="227"/>
        <v>0</v>
      </c>
      <c r="V146" s="477">
        <f t="shared" si="228"/>
        <v>0</v>
      </c>
      <c r="W146" s="477">
        <f t="shared" si="229"/>
        <v>0</v>
      </c>
      <c r="X146" s="477">
        <f t="shared" si="230"/>
        <v>198.8</v>
      </c>
      <c r="Y146" s="477">
        <f t="shared" si="231"/>
        <v>133</v>
      </c>
      <c r="Z146" s="477">
        <f t="shared" si="232"/>
        <v>133</v>
      </c>
      <c r="AA146" s="477">
        <f t="shared" si="233"/>
        <v>66.36</v>
      </c>
      <c r="AB146" s="243"/>
      <c r="AC146" s="477">
        <f t="shared" si="234"/>
        <v>198.8</v>
      </c>
      <c r="AD146" s="477">
        <f t="shared" si="235"/>
        <v>66.36</v>
      </c>
      <c r="AE146" s="477">
        <f t="shared" si="236"/>
        <v>265.16000000000003</v>
      </c>
      <c r="AF146" s="477">
        <f t="shared" si="237"/>
        <v>133</v>
      </c>
      <c r="AG146" s="477">
        <f t="shared" si="238"/>
        <v>331.8</v>
      </c>
      <c r="AH146" s="477">
        <f t="shared" si="239"/>
        <v>199.36</v>
      </c>
      <c r="AI146" s="477">
        <f t="shared" si="240"/>
        <v>398.16</v>
      </c>
      <c r="AJ146" s="477">
        <f t="shared" si="241"/>
        <v>0</v>
      </c>
      <c r="AK146" s="477">
        <f t="shared" si="242"/>
        <v>198.8</v>
      </c>
      <c r="AL146" s="477">
        <f t="shared" si="243"/>
        <v>66.36</v>
      </c>
      <c r="AM146" s="477">
        <f t="shared" si="244"/>
        <v>265.16000000000003</v>
      </c>
      <c r="AN146" s="477">
        <f t="shared" si="245"/>
        <v>133</v>
      </c>
      <c r="AO146" s="477">
        <f t="shared" si="246"/>
        <v>331.8</v>
      </c>
      <c r="AP146" s="477">
        <f t="shared" si="247"/>
        <v>199.36</v>
      </c>
      <c r="AQ146" s="477">
        <f t="shared" si="248"/>
        <v>398.16</v>
      </c>
      <c r="AR146" s="477">
        <f t="shared" si="249"/>
        <v>0</v>
      </c>
      <c r="AS146" s="477">
        <f t="shared" si="250"/>
        <v>198.8</v>
      </c>
      <c r="AT146" s="477">
        <f t="shared" si="251"/>
        <v>66.36</v>
      </c>
      <c r="AU146" s="477">
        <f t="shared" si="252"/>
        <v>265.16000000000003</v>
      </c>
      <c r="AV146" s="477">
        <f t="shared" si="253"/>
        <v>133</v>
      </c>
      <c r="AW146" s="477">
        <f t="shared" si="254"/>
        <v>331.8</v>
      </c>
      <c r="AX146" s="477">
        <f t="shared" si="255"/>
        <v>199.36</v>
      </c>
      <c r="AY146" s="477">
        <f t="shared" si="256"/>
        <v>398.16</v>
      </c>
      <c r="AZ146" s="477">
        <f t="shared" si="257"/>
        <v>0</v>
      </c>
      <c r="BA146" s="477">
        <f t="shared" si="258"/>
        <v>198.8</v>
      </c>
      <c r="BB146" s="477">
        <f t="shared" si="259"/>
        <v>66.36</v>
      </c>
      <c r="BC146" s="477">
        <f t="shared" si="260"/>
        <v>265.16000000000003</v>
      </c>
      <c r="BD146" s="477">
        <f t="shared" si="261"/>
        <v>133</v>
      </c>
      <c r="BE146" s="477">
        <f t="shared" si="262"/>
        <v>331.8</v>
      </c>
      <c r="BF146" s="477">
        <f t="shared" si="263"/>
        <v>199.36</v>
      </c>
      <c r="BG146" s="47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77">
        <f t="shared" si="227"/>
        <v>0</v>
      </c>
      <c r="V147" s="477">
        <f t="shared" si="228"/>
        <v>0</v>
      </c>
      <c r="W147" s="477">
        <f t="shared" si="229"/>
        <v>512</v>
      </c>
      <c r="X147" s="477">
        <f t="shared" si="230"/>
        <v>198.8</v>
      </c>
      <c r="Y147" s="477">
        <f t="shared" si="231"/>
        <v>133</v>
      </c>
      <c r="Z147" s="477">
        <f t="shared" si="232"/>
        <v>133</v>
      </c>
      <c r="AA147" s="477">
        <f t="shared" si="233"/>
        <v>66.36</v>
      </c>
      <c r="AB147" s="243"/>
      <c r="AC147" s="477">
        <f t="shared" si="234"/>
        <v>198.8</v>
      </c>
      <c r="AD147" s="477">
        <f t="shared" si="235"/>
        <v>66.36</v>
      </c>
      <c r="AE147" s="477">
        <f t="shared" si="236"/>
        <v>265.16000000000003</v>
      </c>
      <c r="AF147" s="477">
        <f t="shared" si="237"/>
        <v>133</v>
      </c>
      <c r="AG147" s="477">
        <f t="shared" si="238"/>
        <v>331.8</v>
      </c>
      <c r="AH147" s="477">
        <f t="shared" si="239"/>
        <v>199.36</v>
      </c>
      <c r="AI147" s="477">
        <f t="shared" si="240"/>
        <v>398.16</v>
      </c>
      <c r="AJ147" s="477">
        <f t="shared" si="241"/>
        <v>0</v>
      </c>
      <c r="AK147" s="477">
        <f t="shared" si="242"/>
        <v>198.8</v>
      </c>
      <c r="AL147" s="477">
        <f t="shared" si="243"/>
        <v>66.36</v>
      </c>
      <c r="AM147" s="477">
        <f t="shared" si="244"/>
        <v>265.16000000000003</v>
      </c>
      <c r="AN147" s="477">
        <f t="shared" si="245"/>
        <v>133</v>
      </c>
      <c r="AO147" s="477">
        <f t="shared" si="246"/>
        <v>331.8</v>
      </c>
      <c r="AP147" s="477">
        <f t="shared" si="247"/>
        <v>199.36</v>
      </c>
      <c r="AQ147" s="477">
        <f t="shared" si="248"/>
        <v>398.16</v>
      </c>
      <c r="AR147" s="477">
        <f t="shared" si="249"/>
        <v>512</v>
      </c>
      <c r="AS147" s="477">
        <f t="shared" si="250"/>
        <v>710.8</v>
      </c>
      <c r="AT147" s="477">
        <f t="shared" si="251"/>
        <v>578.36</v>
      </c>
      <c r="AU147" s="477">
        <f t="shared" si="252"/>
        <v>777.16000000000008</v>
      </c>
      <c r="AV147" s="477">
        <f t="shared" si="253"/>
        <v>645</v>
      </c>
      <c r="AW147" s="477">
        <f t="shared" si="254"/>
        <v>843.8</v>
      </c>
      <c r="AX147" s="477">
        <f t="shared" si="255"/>
        <v>711.36</v>
      </c>
      <c r="AY147" s="477">
        <f t="shared" si="256"/>
        <v>910.16000000000008</v>
      </c>
      <c r="AZ147" s="477">
        <f t="shared" si="257"/>
        <v>512</v>
      </c>
      <c r="BA147" s="477">
        <f t="shared" si="258"/>
        <v>710.8</v>
      </c>
      <c r="BB147" s="477">
        <f t="shared" si="259"/>
        <v>578.36</v>
      </c>
      <c r="BC147" s="477">
        <f t="shared" si="260"/>
        <v>777.16000000000008</v>
      </c>
      <c r="BD147" s="477">
        <f t="shared" si="261"/>
        <v>645</v>
      </c>
      <c r="BE147" s="477">
        <f t="shared" si="262"/>
        <v>843.8</v>
      </c>
      <c r="BF147" s="477">
        <f t="shared" si="263"/>
        <v>711.36</v>
      </c>
      <c r="BG147" s="47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77">
        <f t="shared" si="227"/>
        <v>0</v>
      </c>
      <c r="V148" s="477">
        <f t="shared" si="228"/>
        <v>0</v>
      </c>
      <c r="W148" s="477">
        <f t="shared" si="229"/>
        <v>512</v>
      </c>
      <c r="X148" s="477">
        <f t="shared" si="230"/>
        <v>198.8</v>
      </c>
      <c r="Y148" s="477">
        <f t="shared" si="231"/>
        <v>33.25</v>
      </c>
      <c r="Z148" s="477">
        <f t="shared" si="232"/>
        <v>33.25</v>
      </c>
      <c r="AA148" s="477">
        <f t="shared" si="233"/>
        <v>66.36</v>
      </c>
      <c r="AB148" s="243"/>
      <c r="AC148" s="477">
        <f t="shared" si="234"/>
        <v>198.8</v>
      </c>
      <c r="AD148" s="477">
        <f t="shared" si="235"/>
        <v>66.36</v>
      </c>
      <c r="AE148" s="477">
        <f t="shared" si="236"/>
        <v>265.16000000000003</v>
      </c>
      <c r="AF148" s="477">
        <f t="shared" si="237"/>
        <v>33.25</v>
      </c>
      <c r="AG148" s="477">
        <f t="shared" si="238"/>
        <v>232.05</v>
      </c>
      <c r="AH148" s="477">
        <f t="shared" si="239"/>
        <v>99.61</v>
      </c>
      <c r="AI148" s="477">
        <f t="shared" si="240"/>
        <v>298.41000000000003</v>
      </c>
      <c r="AJ148" s="477">
        <f t="shared" si="241"/>
        <v>0</v>
      </c>
      <c r="AK148" s="477">
        <f t="shared" si="242"/>
        <v>198.8</v>
      </c>
      <c r="AL148" s="477">
        <f t="shared" si="243"/>
        <v>66.36</v>
      </c>
      <c r="AM148" s="477">
        <f t="shared" si="244"/>
        <v>265.16000000000003</v>
      </c>
      <c r="AN148" s="477">
        <f t="shared" si="245"/>
        <v>33.25</v>
      </c>
      <c r="AO148" s="477">
        <f t="shared" si="246"/>
        <v>232.05</v>
      </c>
      <c r="AP148" s="477">
        <f t="shared" si="247"/>
        <v>99.61</v>
      </c>
      <c r="AQ148" s="477">
        <f t="shared" si="248"/>
        <v>298.41000000000003</v>
      </c>
      <c r="AR148" s="477">
        <f t="shared" si="249"/>
        <v>512</v>
      </c>
      <c r="AS148" s="477">
        <f t="shared" si="250"/>
        <v>710.8</v>
      </c>
      <c r="AT148" s="477">
        <f t="shared" si="251"/>
        <v>578.36</v>
      </c>
      <c r="AU148" s="477">
        <f t="shared" si="252"/>
        <v>777.16000000000008</v>
      </c>
      <c r="AV148" s="477">
        <f t="shared" si="253"/>
        <v>545.25</v>
      </c>
      <c r="AW148" s="477">
        <f t="shared" si="254"/>
        <v>744.05</v>
      </c>
      <c r="AX148" s="477">
        <f t="shared" si="255"/>
        <v>611.61</v>
      </c>
      <c r="AY148" s="477">
        <f t="shared" si="256"/>
        <v>810.41000000000008</v>
      </c>
      <c r="AZ148" s="477">
        <f t="shared" si="257"/>
        <v>512</v>
      </c>
      <c r="BA148" s="477">
        <f t="shared" si="258"/>
        <v>710.8</v>
      </c>
      <c r="BB148" s="477">
        <f t="shared" si="259"/>
        <v>578.36</v>
      </c>
      <c r="BC148" s="477">
        <f t="shared" si="260"/>
        <v>777.16000000000008</v>
      </c>
      <c r="BD148" s="477">
        <f t="shared" si="261"/>
        <v>545.25</v>
      </c>
      <c r="BE148" s="477">
        <f t="shared" si="262"/>
        <v>744.05</v>
      </c>
      <c r="BF148" s="477">
        <f t="shared" si="263"/>
        <v>611.61</v>
      </c>
      <c r="BG148" s="47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77">
        <f t="shared" si="227"/>
        <v>0</v>
      </c>
      <c r="V149" s="477">
        <f t="shared" si="228"/>
        <v>0</v>
      </c>
      <c r="W149" s="477">
        <f t="shared" si="229"/>
        <v>512</v>
      </c>
      <c r="X149" s="477">
        <f t="shared" si="230"/>
        <v>198.8</v>
      </c>
      <c r="Y149" s="477">
        <f t="shared" si="231"/>
        <v>33.25</v>
      </c>
      <c r="Z149" s="477">
        <f t="shared" si="232"/>
        <v>33.25</v>
      </c>
      <c r="AA149" s="477">
        <f t="shared" si="233"/>
        <v>2.7650000000000001</v>
      </c>
      <c r="AB149" s="243"/>
      <c r="AC149" s="477">
        <f t="shared" si="234"/>
        <v>198.8</v>
      </c>
      <c r="AD149" s="477">
        <f t="shared" si="235"/>
        <v>2.7650000000000001</v>
      </c>
      <c r="AE149" s="477">
        <f t="shared" si="236"/>
        <v>201.565</v>
      </c>
      <c r="AF149" s="477">
        <f t="shared" si="237"/>
        <v>33.25</v>
      </c>
      <c r="AG149" s="477">
        <f t="shared" si="238"/>
        <v>232.05</v>
      </c>
      <c r="AH149" s="477">
        <f t="shared" si="239"/>
        <v>36.015000000000001</v>
      </c>
      <c r="AI149" s="477">
        <f t="shared" si="240"/>
        <v>234.815</v>
      </c>
      <c r="AJ149" s="477">
        <f t="shared" si="241"/>
        <v>0</v>
      </c>
      <c r="AK149" s="477">
        <f t="shared" si="242"/>
        <v>198.8</v>
      </c>
      <c r="AL149" s="477">
        <f t="shared" si="243"/>
        <v>2.7650000000000001</v>
      </c>
      <c r="AM149" s="477">
        <f t="shared" si="244"/>
        <v>201.565</v>
      </c>
      <c r="AN149" s="477">
        <f t="shared" si="245"/>
        <v>33.25</v>
      </c>
      <c r="AO149" s="477">
        <f t="shared" si="246"/>
        <v>232.05</v>
      </c>
      <c r="AP149" s="477">
        <f t="shared" si="247"/>
        <v>36.015000000000001</v>
      </c>
      <c r="AQ149" s="477">
        <f t="shared" si="248"/>
        <v>234.815</v>
      </c>
      <c r="AR149" s="477">
        <f t="shared" si="249"/>
        <v>512</v>
      </c>
      <c r="AS149" s="477">
        <f t="shared" si="250"/>
        <v>710.8</v>
      </c>
      <c r="AT149" s="477">
        <f t="shared" si="251"/>
        <v>514.76499999999999</v>
      </c>
      <c r="AU149" s="477">
        <f t="shared" si="252"/>
        <v>713.56500000000005</v>
      </c>
      <c r="AV149" s="477">
        <f t="shared" si="253"/>
        <v>545.25</v>
      </c>
      <c r="AW149" s="477">
        <f t="shared" si="254"/>
        <v>744.05</v>
      </c>
      <c r="AX149" s="477">
        <f t="shared" si="255"/>
        <v>548.01499999999999</v>
      </c>
      <c r="AY149" s="477">
        <f t="shared" si="256"/>
        <v>746.81500000000005</v>
      </c>
      <c r="AZ149" s="477">
        <f t="shared" si="257"/>
        <v>512</v>
      </c>
      <c r="BA149" s="477">
        <f t="shared" si="258"/>
        <v>710.8</v>
      </c>
      <c r="BB149" s="477">
        <f t="shared" si="259"/>
        <v>514.76499999999999</v>
      </c>
      <c r="BC149" s="477">
        <f t="shared" si="260"/>
        <v>713.56500000000005</v>
      </c>
      <c r="BD149" s="477">
        <f t="shared" si="261"/>
        <v>545.25</v>
      </c>
      <c r="BE149" s="477">
        <f t="shared" si="262"/>
        <v>744.05</v>
      </c>
      <c r="BF149" s="477">
        <f t="shared" si="263"/>
        <v>548.01499999999999</v>
      </c>
      <c r="BG149" s="47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77">
        <f t="shared" si="227"/>
        <v>0</v>
      </c>
      <c r="V150" s="477">
        <f t="shared" si="228"/>
        <v>0</v>
      </c>
      <c r="W150" s="477">
        <f t="shared" si="229"/>
        <v>512</v>
      </c>
      <c r="X150" s="477">
        <f t="shared" si="230"/>
        <v>0.55222222222222217</v>
      </c>
      <c r="Y150" s="477">
        <f t="shared" si="231"/>
        <v>33.25</v>
      </c>
      <c r="Z150" s="477">
        <f t="shared" si="232"/>
        <v>33.25</v>
      </c>
      <c r="AA150" s="477">
        <f t="shared" si="233"/>
        <v>2.7650000000000001</v>
      </c>
      <c r="AB150" s="243"/>
      <c r="AC150" s="477">
        <f t="shared" si="234"/>
        <v>0.55222222222222217</v>
      </c>
      <c r="AD150" s="477">
        <f t="shared" si="235"/>
        <v>2.7650000000000001</v>
      </c>
      <c r="AE150" s="477">
        <f t="shared" si="236"/>
        <v>3.3172222222222221</v>
      </c>
      <c r="AF150" s="477">
        <f t="shared" si="237"/>
        <v>33.25</v>
      </c>
      <c r="AG150" s="477">
        <f t="shared" si="238"/>
        <v>33.80222222222222</v>
      </c>
      <c r="AH150" s="477">
        <f t="shared" si="239"/>
        <v>36.015000000000001</v>
      </c>
      <c r="AI150" s="477">
        <f t="shared" si="240"/>
        <v>36.56722222222222</v>
      </c>
      <c r="AJ150" s="477">
        <f t="shared" si="241"/>
        <v>0</v>
      </c>
      <c r="AK150" s="477">
        <f t="shared" si="242"/>
        <v>0.55222222222222217</v>
      </c>
      <c r="AL150" s="477">
        <f t="shared" si="243"/>
        <v>2.7650000000000001</v>
      </c>
      <c r="AM150" s="477">
        <f t="shared" si="244"/>
        <v>3.3172222222222221</v>
      </c>
      <c r="AN150" s="477">
        <f t="shared" si="245"/>
        <v>33.25</v>
      </c>
      <c r="AO150" s="477">
        <f t="shared" si="246"/>
        <v>33.80222222222222</v>
      </c>
      <c r="AP150" s="477">
        <f t="shared" si="247"/>
        <v>36.015000000000001</v>
      </c>
      <c r="AQ150" s="477">
        <f t="shared" si="248"/>
        <v>36.56722222222222</v>
      </c>
      <c r="AR150" s="477">
        <f t="shared" si="249"/>
        <v>512</v>
      </c>
      <c r="AS150" s="477">
        <f t="shared" si="250"/>
        <v>512.55222222222221</v>
      </c>
      <c r="AT150" s="477">
        <f t="shared" si="251"/>
        <v>514.76499999999999</v>
      </c>
      <c r="AU150" s="477">
        <f t="shared" si="252"/>
        <v>515.3172222222222</v>
      </c>
      <c r="AV150" s="477">
        <f t="shared" si="253"/>
        <v>545.25</v>
      </c>
      <c r="AW150" s="477">
        <f t="shared" si="254"/>
        <v>545.80222222222221</v>
      </c>
      <c r="AX150" s="477">
        <f t="shared" si="255"/>
        <v>548.01499999999999</v>
      </c>
      <c r="AY150" s="477">
        <f t="shared" si="256"/>
        <v>548.5672222222222</v>
      </c>
      <c r="AZ150" s="477">
        <f t="shared" si="257"/>
        <v>512</v>
      </c>
      <c r="BA150" s="477">
        <f t="shared" si="258"/>
        <v>512.55222222222221</v>
      </c>
      <c r="BB150" s="477">
        <f t="shared" si="259"/>
        <v>514.76499999999999</v>
      </c>
      <c r="BC150" s="477">
        <f t="shared" si="260"/>
        <v>515.3172222222222</v>
      </c>
      <c r="BD150" s="477">
        <f t="shared" si="261"/>
        <v>545.25</v>
      </c>
      <c r="BE150" s="477">
        <f t="shared" si="262"/>
        <v>545.80222222222221</v>
      </c>
      <c r="BF150" s="477">
        <f t="shared" si="263"/>
        <v>548.01499999999999</v>
      </c>
      <c r="BG150" s="47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77">
        <f t="shared" si="227"/>
        <v>0</v>
      </c>
      <c r="V151" s="477">
        <f t="shared" si="228"/>
        <v>0</v>
      </c>
      <c r="W151" s="477">
        <f t="shared" si="229"/>
        <v>1.7066666666666668</v>
      </c>
      <c r="X151" s="477">
        <f t="shared" si="230"/>
        <v>0.55222222222222217</v>
      </c>
      <c r="Y151" s="477">
        <f t="shared" si="231"/>
        <v>33.25</v>
      </c>
      <c r="Z151" s="477">
        <f t="shared" si="232"/>
        <v>33.25</v>
      </c>
      <c r="AA151" s="477">
        <f t="shared" si="233"/>
        <v>2.7650000000000001</v>
      </c>
      <c r="AB151" s="243"/>
      <c r="AC151" s="477">
        <f t="shared" si="234"/>
        <v>0.55222222222222217</v>
      </c>
      <c r="AD151" s="477">
        <f t="shared" si="235"/>
        <v>2.7650000000000001</v>
      </c>
      <c r="AE151" s="477">
        <f t="shared" si="236"/>
        <v>3.3172222222222221</v>
      </c>
      <c r="AF151" s="477">
        <f t="shared" si="237"/>
        <v>33.25</v>
      </c>
      <c r="AG151" s="477">
        <f t="shared" si="238"/>
        <v>33.80222222222222</v>
      </c>
      <c r="AH151" s="477">
        <f t="shared" si="239"/>
        <v>36.015000000000001</v>
      </c>
      <c r="AI151" s="477">
        <f t="shared" si="240"/>
        <v>36.56722222222222</v>
      </c>
      <c r="AJ151" s="477">
        <f t="shared" si="241"/>
        <v>0</v>
      </c>
      <c r="AK151" s="477">
        <f t="shared" si="242"/>
        <v>0.55222222222222217</v>
      </c>
      <c r="AL151" s="477">
        <f t="shared" si="243"/>
        <v>2.7650000000000001</v>
      </c>
      <c r="AM151" s="477">
        <f t="shared" si="244"/>
        <v>3.3172222222222221</v>
      </c>
      <c r="AN151" s="477">
        <f t="shared" si="245"/>
        <v>33.25</v>
      </c>
      <c r="AO151" s="477">
        <f t="shared" si="246"/>
        <v>33.80222222222222</v>
      </c>
      <c r="AP151" s="477">
        <f t="shared" si="247"/>
        <v>36.015000000000001</v>
      </c>
      <c r="AQ151" s="477">
        <f t="shared" si="248"/>
        <v>36.56722222222222</v>
      </c>
      <c r="AR151" s="477">
        <f t="shared" si="249"/>
        <v>1.7066666666666668</v>
      </c>
      <c r="AS151" s="477">
        <f t="shared" si="250"/>
        <v>2.2588888888888889</v>
      </c>
      <c r="AT151" s="477">
        <f t="shared" si="251"/>
        <v>4.4716666666666667</v>
      </c>
      <c r="AU151" s="477">
        <f t="shared" si="252"/>
        <v>5.0238888888888891</v>
      </c>
      <c r="AV151" s="477">
        <f t="shared" si="253"/>
        <v>34.956666666666663</v>
      </c>
      <c r="AW151" s="477">
        <f t="shared" si="254"/>
        <v>35.508888888888883</v>
      </c>
      <c r="AX151" s="477">
        <f t="shared" si="255"/>
        <v>37.721666666666664</v>
      </c>
      <c r="AY151" s="477">
        <f t="shared" si="256"/>
        <v>38.273888888888884</v>
      </c>
      <c r="AZ151" s="477">
        <f t="shared" si="257"/>
        <v>1.7066666666666668</v>
      </c>
      <c r="BA151" s="477">
        <f t="shared" si="258"/>
        <v>2.2588888888888889</v>
      </c>
      <c r="BB151" s="477">
        <f t="shared" si="259"/>
        <v>4.4716666666666667</v>
      </c>
      <c r="BC151" s="477">
        <f t="shared" si="260"/>
        <v>5.0238888888888891</v>
      </c>
      <c r="BD151" s="477">
        <f t="shared" si="261"/>
        <v>34.956666666666663</v>
      </c>
      <c r="BE151" s="477">
        <f t="shared" si="262"/>
        <v>35.508888888888883</v>
      </c>
      <c r="BF151" s="477">
        <f t="shared" si="263"/>
        <v>37.721666666666664</v>
      </c>
      <c r="BG151" s="47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77">
        <f t="shared" si="227"/>
        <v>0</v>
      </c>
      <c r="V152" s="477">
        <f t="shared" si="228"/>
        <v>0</v>
      </c>
      <c r="W152" s="477">
        <f t="shared" si="229"/>
        <v>1.7066666666666668</v>
      </c>
      <c r="X152" s="477">
        <f t="shared" si="230"/>
        <v>0.55222222222222217</v>
      </c>
      <c r="Y152" s="477">
        <f t="shared" si="231"/>
        <v>3.6944444444444446</v>
      </c>
      <c r="Z152" s="477">
        <f t="shared" si="232"/>
        <v>3.6944444444444446</v>
      </c>
      <c r="AA152" s="477">
        <f t="shared" si="233"/>
        <v>2.7650000000000001</v>
      </c>
      <c r="AB152" s="243"/>
      <c r="AC152" s="477">
        <f t="shared" si="234"/>
        <v>0.55222222222222217</v>
      </c>
      <c r="AD152" s="477">
        <f t="shared" si="235"/>
        <v>2.7650000000000001</v>
      </c>
      <c r="AE152" s="477">
        <f t="shared" si="236"/>
        <v>3.3172222222222221</v>
      </c>
      <c r="AF152" s="477">
        <f t="shared" si="237"/>
        <v>3.6944444444444446</v>
      </c>
      <c r="AG152" s="477">
        <f t="shared" si="238"/>
        <v>4.246666666666667</v>
      </c>
      <c r="AH152" s="477">
        <f t="shared" si="239"/>
        <v>6.4594444444444452</v>
      </c>
      <c r="AI152" s="477">
        <f t="shared" si="240"/>
        <v>7.0116666666666676</v>
      </c>
      <c r="AJ152" s="477">
        <f t="shared" si="241"/>
        <v>0</v>
      </c>
      <c r="AK152" s="477">
        <f t="shared" si="242"/>
        <v>0.55222222222222217</v>
      </c>
      <c r="AL152" s="477">
        <f t="shared" si="243"/>
        <v>2.7650000000000001</v>
      </c>
      <c r="AM152" s="477">
        <f t="shared" si="244"/>
        <v>3.3172222222222221</v>
      </c>
      <c r="AN152" s="477">
        <f t="shared" si="245"/>
        <v>3.6944444444444446</v>
      </c>
      <c r="AO152" s="477">
        <f t="shared" si="246"/>
        <v>4.246666666666667</v>
      </c>
      <c r="AP152" s="477">
        <f t="shared" si="247"/>
        <v>6.4594444444444452</v>
      </c>
      <c r="AQ152" s="477">
        <f t="shared" si="248"/>
        <v>7.0116666666666676</v>
      </c>
      <c r="AR152" s="477">
        <f t="shared" si="249"/>
        <v>1.7066666666666668</v>
      </c>
      <c r="AS152" s="477">
        <f t="shared" si="250"/>
        <v>2.2588888888888889</v>
      </c>
      <c r="AT152" s="477">
        <f t="shared" si="251"/>
        <v>4.4716666666666667</v>
      </c>
      <c r="AU152" s="477">
        <f t="shared" si="252"/>
        <v>5.0238888888888891</v>
      </c>
      <c r="AV152" s="477">
        <f t="shared" si="253"/>
        <v>5.4011111111111116</v>
      </c>
      <c r="AW152" s="477">
        <f t="shared" si="254"/>
        <v>5.953333333333334</v>
      </c>
      <c r="AX152" s="477">
        <f t="shared" si="255"/>
        <v>8.1661111111111122</v>
      </c>
      <c r="AY152" s="477">
        <f t="shared" si="256"/>
        <v>8.7183333333333337</v>
      </c>
      <c r="AZ152" s="477">
        <f t="shared" si="257"/>
        <v>1.7066666666666668</v>
      </c>
      <c r="BA152" s="477">
        <f t="shared" si="258"/>
        <v>2.2588888888888889</v>
      </c>
      <c r="BB152" s="477">
        <f t="shared" si="259"/>
        <v>4.4716666666666667</v>
      </c>
      <c r="BC152" s="477">
        <f t="shared" si="260"/>
        <v>5.0238888888888891</v>
      </c>
      <c r="BD152" s="477">
        <f t="shared" si="261"/>
        <v>5.4011111111111116</v>
      </c>
      <c r="BE152" s="477">
        <f t="shared" si="262"/>
        <v>5.953333333333334</v>
      </c>
      <c r="BF152" s="477">
        <f t="shared" si="263"/>
        <v>8.1661111111111122</v>
      </c>
      <c r="BG152" s="47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77">
        <f t="shared" si="227"/>
        <v>0</v>
      </c>
      <c r="V153" s="477">
        <f t="shared" si="228"/>
        <v>0</v>
      </c>
      <c r="W153" s="477">
        <f t="shared" si="229"/>
        <v>1.7066666666666668</v>
      </c>
      <c r="X153" s="477">
        <f t="shared" si="230"/>
        <v>5.5222222222222221</v>
      </c>
      <c r="Y153" s="477">
        <f t="shared" si="231"/>
        <v>3.6944444444444446</v>
      </c>
      <c r="Z153" s="477">
        <f t="shared" si="232"/>
        <v>3.6944444444444446</v>
      </c>
      <c r="AA153" s="477">
        <f t="shared" si="233"/>
        <v>2.7650000000000001</v>
      </c>
      <c r="AB153" s="243"/>
      <c r="AC153" s="477">
        <f t="shared" si="234"/>
        <v>5.5222222222222221</v>
      </c>
      <c r="AD153" s="477">
        <f t="shared" si="235"/>
        <v>2.7650000000000001</v>
      </c>
      <c r="AE153" s="477">
        <f t="shared" si="236"/>
        <v>8.2872222222222227</v>
      </c>
      <c r="AF153" s="477">
        <f t="shared" si="237"/>
        <v>3.6944444444444446</v>
      </c>
      <c r="AG153" s="477">
        <f t="shared" si="238"/>
        <v>9.2166666666666668</v>
      </c>
      <c r="AH153" s="477">
        <f t="shared" si="239"/>
        <v>6.4594444444444452</v>
      </c>
      <c r="AI153" s="477">
        <f t="shared" si="240"/>
        <v>11.981666666666667</v>
      </c>
      <c r="AJ153" s="477">
        <f t="shared" si="241"/>
        <v>0</v>
      </c>
      <c r="AK153" s="477">
        <f t="shared" si="242"/>
        <v>5.5222222222222221</v>
      </c>
      <c r="AL153" s="477">
        <f t="shared" si="243"/>
        <v>2.7650000000000001</v>
      </c>
      <c r="AM153" s="477">
        <f t="shared" si="244"/>
        <v>8.2872222222222227</v>
      </c>
      <c r="AN153" s="477">
        <f t="shared" si="245"/>
        <v>3.6944444444444446</v>
      </c>
      <c r="AO153" s="477">
        <f t="shared" si="246"/>
        <v>9.2166666666666668</v>
      </c>
      <c r="AP153" s="477">
        <f t="shared" si="247"/>
        <v>6.4594444444444452</v>
      </c>
      <c r="AQ153" s="477">
        <f t="shared" si="248"/>
        <v>11.981666666666667</v>
      </c>
      <c r="AR153" s="477">
        <f t="shared" si="249"/>
        <v>1.7066666666666668</v>
      </c>
      <c r="AS153" s="477">
        <f t="shared" si="250"/>
        <v>7.2288888888888891</v>
      </c>
      <c r="AT153" s="477">
        <f t="shared" si="251"/>
        <v>4.4716666666666667</v>
      </c>
      <c r="AU153" s="477">
        <f t="shared" si="252"/>
        <v>9.9938888888888897</v>
      </c>
      <c r="AV153" s="477">
        <f t="shared" si="253"/>
        <v>5.4011111111111116</v>
      </c>
      <c r="AW153" s="477">
        <f t="shared" si="254"/>
        <v>10.923333333333334</v>
      </c>
      <c r="AX153" s="477">
        <f t="shared" si="255"/>
        <v>8.1661111111111122</v>
      </c>
      <c r="AY153" s="477">
        <f t="shared" si="256"/>
        <v>13.688333333333334</v>
      </c>
      <c r="AZ153" s="477">
        <f t="shared" si="257"/>
        <v>1.7066666666666668</v>
      </c>
      <c r="BA153" s="477">
        <f t="shared" si="258"/>
        <v>7.2288888888888891</v>
      </c>
      <c r="BB153" s="477">
        <f t="shared" si="259"/>
        <v>4.4716666666666667</v>
      </c>
      <c r="BC153" s="477">
        <f t="shared" si="260"/>
        <v>9.9938888888888897</v>
      </c>
      <c r="BD153" s="477">
        <f t="shared" si="261"/>
        <v>5.4011111111111116</v>
      </c>
      <c r="BE153" s="477">
        <f t="shared" si="262"/>
        <v>10.923333333333334</v>
      </c>
      <c r="BF153" s="477">
        <f t="shared" si="263"/>
        <v>8.1661111111111122</v>
      </c>
      <c r="BG153" s="47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77">
        <f t="shared" si="227"/>
        <v>0</v>
      </c>
      <c r="V154" s="477">
        <f t="shared" si="228"/>
        <v>0</v>
      </c>
      <c r="W154" s="477">
        <f t="shared" si="229"/>
        <v>1.7066666666666668</v>
      </c>
      <c r="X154" s="477">
        <f t="shared" si="230"/>
        <v>5.5222222222222221</v>
      </c>
      <c r="Y154" s="477">
        <f t="shared" si="231"/>
        <v>3.6944444444444446</v>
      </c>
      <c r="Z154" s="477">
        <f t="shared" si="232"/>
        <v>3.6944444444444446</v>
      </c>
      <c r="AA154" s="477">
        <f t="shared" si="233"/>
        <v>22.12</v>
      </c>
      <c r="AB154" s="243"/>
      <c r="AC154" s="477">
        <f t="shared" si="234"/>
        <v>5.5222222222222221</v>
      </c>
      <c r="AD154" s="477">
        <f t="shared" si="235"/>
        <v>22.12</v>
      </c>
      <c r="AE154" s="477">
        <f t="shared" si="236"/>
        <v>27.642222222222223</v>
      </c>
      <c r="AF154" s="477">
        <f t="shared" si="237"/>
        <v>3.6944444444444446</v>
      </c>
      <c r="AG154" s="477">
        <f t="shared" si="238"/>
        <v>9.2166666666666668</v>
      </c>
      <c r="AH154" s="477">
        <f t="shared" si="239"/>
        <v>25.814444444444447</v>
      </c>
      <c r="AI154" s="477">
        <f t="shared" si="240"/>
        <v>31.33666666666667</v>
      </c>
      <c r="AJ154" s="477">
        <f t="shared" si="241"/>
        <v>0</v>
      </c>
      <c r="AK154" s="477">
        <f t="shared" si="242"/>
        <v>5.5222222222222221</v>
      </c>
      <c r="AL154" s="477">
        <f t="shared" si="243"/>
        <v>22.12</v>
      </c>
      <c r="AM154" s="477">
        <f t="shared" si="244"/>
        <v>27.642222222222223</v>
      </c>
      <c r="AN154" s="477">
        <f t="shared" si="245"/>
        <v>3.6944444444444446</v>
      </c>
      <c r="AO154" s="477">
        <f t="shared" si="246"/>
        <v>9.2166666666666668</v>
      </c>
      <c r="AP154" s="477">
        <f t="shared" si="247"/>
        <v>25.814444444444447</v>
      </c>
      <c r="AQ154" s="477">
        <f t="shared" si="248"/>
        <v>31.33666666666667</v>
      </c>
      <c r="AR154" s="477">
        <f t="shared" si="249"/>
        <v>1.7066666666666668</v>
      </c>
      <c r="AS154" s="477">
        <f t="shared" si="250"/>
        <v>7.2288888888888891</v>
      </c>
      <c r="AT154" s="477">
        <f t="shared" si="251"/>
        <v>23.826666666666668</v>
      </c>
      <c r="AU154" s="477">
        <f t="shared" si="252"/>
        <v>29.34888888888889</v>
      </c>
      <c r="AV154" s="477">
        <f t="shared" si="253"/>
        <v>5.4011111111111116</v>
      </c>
      <c r="AW154" s="477">
        <f t="shared" si="254"/>
        <v>10.923333333333334</v>
      </c>
      <c r="AX154" s="477">
        <f t="shared" si="255"/>
        <v>27.521111111111111</v>
      </c>
      <c r="AY154" s="477">
        <f t="shared" si="256"/>
        <v>33.043333333333337</v>
      </c>
      <c r="AZ154" s="477">
        <f t="shared" si="257"/>
        <v>1.7066666666666668</v>
      </c>
      <c r="BA154" s="477">
        <f t="shared" si="258"/>
        <v>7.2288888888888891</v>
      </c>
      <c r="BB154" s="477">
        <f t="shared" si="259"/>
        <v>23.826666666666668</v>
      </c>
      <c r="BC154" s="477">
        <f t="shared" si="260"/>
        <v>29.34888888888889</v>
      </c>
      <c r="BD154" s="477">
        <f t="shared" si="261"/>
        <v>5.4011111111111116</v>
      </c>
      <c r="BE154" s="477">
        <f t="shared" si="262"/>
        <v>10.923333333333334</v>
      </c>
      <c r="BF154" s="477">
        <f t="shared" si="263"/>
        <v>27.521111111111111</v>
      </c>
      <c r="BG154" s="47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77">
        <f t="shared" si="227"/>
        <v>0</v>
      </c>
      <c r="V155" s="477">
        <f t="shared" si="228"/>
        <v>0</v>
      </c>
      <c r="W155" s="477">
        <f t="shared" si="229"/>
        <v>0.28444444444444444</v>
      </c>
      <c r="X155" s="477">
        <f t="shared" si="230"/>
        <v>5.5222222222222221</v>
      </c>
      <c r="Y155" s="477">
        <f t="shared" si="231"/>
        <v>3.6944444444444446</v>
      </c>
      <c r="Z155" s="477">
        <f t="shared" si="232"/>
        <v>3.6944444444444446</v>
      </c>
      <c r="AA155" s="477">
        <f t="shared" si="233"/>
        <v>22.12</v>
      </c>
      <c r="AB155" s="243"/>
      <c r="AC155" s="477">
        <f t="shared" si="234"/>
        <v>5.5222222222222221</v>
      </c>
      <c r="AD155" s="477">
        <f t="shared" si="235"/>
        <v>22.12</v>
      </c>
      <c r="AE155" s="477">
        <f t="shared" si="236"/>
        <v>27.642222222222223</v>
      </c>
      <c r="AF155" s="477">
        <f t="shared" si="237"/>
        <v>3.6944444444444446</v>
      </c>
      <c r="AG155" s="477">
        <f t="shared" si="238"/>
        <v>9.2166666666666668</v>
      </c>
      <c r="AH155" s="477">
        <f t="shared" si="239"/>
        <v>25.814444444444447</v>
      </c>
      <c r="AI155" s="477">
        <f t="shared" si="240"/>
        <v>31.33666666666667</v>
      </c>
      <c r="AJ155" s="477">
        <f t="shared" si="241"/>
        <v>0</v>
      </c>
      <c r="AK155" s="477">
        <f t="shared" si="242"/>
        <v>5.5222222222222221</v>
      </c>
      <c r="AL155" s="477">
        <f t="shared" si="243"/>
        <v>22.12</v>
      </c>
      <c r="AM155" s="477">
        <f t="shared" si="244"/>
        <v>27.642222222222223</v>
      </c>
      <c r="AN155" s="477">
        <f t="shared" si="245"/>
        <v>3.6944444444444446</v>
      </c>
      <c r="AO155" s="477">
        <f t="shared" si="246"/>
        <v>9.2166666666666668</v>
      </c>
      <c r="AP155" s="477">
        <f t="shared" si="247"/>
        <v>25.814444444444447</v>
      </c>
      <c r="AQ155" s="477">
        <f t="shared" si="248"/>
        <v>31.33666666666667</v>
      </c>
      <c r="AR155" s="477">
        <f t="shared" si="249"/>
        <v>0.28444444444444444</v>
      </c>
      <c r="AS155" s="477">
        <f t="shared" si="250"/>
        <v>5.8066666666666666</v>
      </c>
      <c r="AT155" s="477">
        <f t="shared" si="251"/>
        <v>22.404444444444444</v>
      </c>
      <c r="AU155" s="477">
        <f t="shared" si="252"/>
        <v>27.926666666666666</v>
      </c>
      <c r="AV155" s="477">
        <f t="shared" si="253"/>
        <v>3.9788888888888891</v>
      </c>
      <c r="AW155" s="477">
        <f t="shared" si="254"/>
        <v>9.5011111111111113</v>
      </c>
      <c r="AX155" s="477">
        <f t="shared" si="255"/>
        <v>26.09888888888889</v>
      </c>
      <c r="AY155" s="477">
        <f t="shared" si="256"/>
        <v>31.621111111111112</v>
      </c>
      <c r="AZ155" s="477">
        <f t="shared" si="257"/>
        <v>0.28444444444444444</v>
      </c>
      <c r="BA155" s="477">
        <f t="shared" si="258"/>
        <v>5.8066666666666666</v>
      </c>
      <c r="BB155" s="477">
        <f t="shared" si="259"/>
        <v>22.404444444444444</v>
      </c>
      <c r="BC155" s="477">
        <f t="shared" si="260"/>
        <v>27.926666666666666</v>
      </c>
      <c r="BD155" s="477">
        <f t="shared" si="261"/>
        <v>3.9788888888888891</v>
      </c>
      <c r="BE155" s="477">
        <f t="shared" si="262"/>
        <v>9.5011111111111113</v>
      </c>
      <c r="BF155" s="477">
        <f t="shared" si="263"/>
        <v>26.09888888888889</v>
      </c>
      <c r="BG155" s="47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77">
        <f t="shared" si="227"/>
        <v>0</v>
      </c>
      <c r="V156" s="477">
        <f t="shared" si="228"/>
        <v>0</v>
      </c>
      <c r="W156" s="477">
        <f t="shared" si="229"/>
        <v>0.28444444444444444</v>
      </c>
      <c r="X156" s="477">
        <f t="shared" si="230"/>
        <v>5.5222222222222221</v>
      </c>
      <c r="Y156" s="477">
        <f t="shared" si="231"/>
        <v>3.6944444444444446</v>
      </c>
      <c r="Z156" s="477">
        <f t="shared" si="232"/>
        <v>3.6944444444444446</v>
      </c>
      <c r="AA156" s="477">
        <f t="shared" si="233"/>
        <v>22.12</v>
      </c>
      <c r="AB156" s="243"/>
      <c r="AC156" s="477">
        <f t="shared" si="234"/>
        <v>5.5222222222222221</v>
      </c>
      <c r="AD156" s="477">
        <f t="shared" si="235"/>
        <v>22.12</v>
      </c>
      <c r="AE156" s="477">
        <f t="shared" si="236"/>
        <v>27.642222222222223</v>
      </c>
      <c r="AF156" s="477">
        <f t="shared" si="237"/>
        <v>3.6944444444444446</v>
      </c>
      <c r="AG156" s="477">
        <f t="shared" si="238"/>
        <v>9.2166666666666668</v>
      </c>
      <c r="AH156" s="477">
        <f t="shared" si="239"/>
        <v>25.814444444444447</v>
      </c>
      <c r="AI156" s="477">
        <f t="shared" si="240"/>
        <v>31.33666666666667</v>
      </c>
      <c r="AJ156" s="477">
        <f t="shared" si="241"/>
        <v>0</v>
      </c>
      <c r="AK156" s="477">
        <f t="shared" si="242"/>
        <v>5.5222222222222221</v>
      </c>
      <c r="AL156" s="477">
        <f t="shared" si="243"/>
        <v>22.12</v>
      </c>
      <c r="AM156" s="477">
        <f t="shared" si="244"/>
        <v>27.642222222222223</v>
      </c>
      <c r="AN156" s="477">
        <f t="shared" si="245"/>
        <v>3.6944444444444446</v>
      </c>
      <c r="AO156" s="477">
        <f t="shared" si="246"/>
        <v>9.2166666666666668</v>
      </c>
      <c r="AP156" s="477">
        <f t="shared" si="247"/>
        <v>25.814444444444447</v>
      </c>
      <c r="AQ156" s="477">
        <f t="shared" si="248"/>
        <v>31.33666666666667</v>
      </c>
      <c r="AR156" s="477">
        <f t="shared" si="249"/>
        <v>0.28444444444444444</v>
      </c>
      <c r="AS156" s="477">
        <f t="shared" si="250"/>
        <v>5.8066666666666666</v>
      </c>
      <c r="AT156" s="477">
        <f t="shared" si="251"/>
        <v>22.404444444444444</v>
      </c>
      <c r="AU156" s="477">
        <f t="shared" si="252"/>
        <v>27.926666666666666</v>
      </c>
      <c r="AV156" s="477">
        <f t="shared" si="253"/>
        <v>3.9788888888888891</v>
      </c>
      <c r="AW156" s="477">
        <f t="shared" si="254"/>
        <v>9.5011111111111113</v>
      </c>
      <c r="AX156" s="477">
        <f t="shared" si="255"/>
        <v>26.09888888888889</v>
      </c>
      <c r="AY156" s="477">
        <f t="shared" si="256"/>
        <v>31.621111111111112</v>
      </c>
      <c r="AZ156" s="477">
        <f t="shared" si="257"/>
        <v>0.28444444444444444</v>
      </c>
      <c r="BA156" s="477">
        <f t="shared" si="258"/>
        <v>5.8066666666666666</v>
      </c>
      <c r="BB156" s="477">
        <f t="shared" si="259"/>
        <v>22.404444444444444</v>
      </c>
      <c r="BC156" s="477">
        <f t="shared" si="260"/>
        <v>27.926666666666666</v>
      </c>
      <c r="BD156" s="477">
        <f t="shared" si="261"/>
        <v>3.9788888888888891</v>
      </c>
      <c r="BE156" s="477">
        <f t="shared" si="262"/>
        <v>9.5011111111111113</v>
      </c>
      <c r="BF156" s="477">
        <f t="shared" si="263"/>
        <v>26.09888888888889</v>
      </c>
      <c r="BG156" s="47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77">
        <f t="shared" si="227"/>
        <v>0</v>
      </c>
      <c r="V157" s="477">
        <f t="shared" si="228"/>
        <v>0</v>
      </c>
      <c r="W157" s="477">
        <f t="shared" si="229"/>
        <v>0.28444444444444444</v>
      </c>
      <c r="X157" s="477">
        <f t="shared" si="230"/>
        <v>5.5222222222222221</v>
      </c>
      <c r="Y157" s="477">
        <f t="shared" si="231"/>
        <v>0</v>
      </c>
      <c r="Z157" s="477">
        <f t="shared" si="232"/>
        <v>0</v>
      </c>
      <c r="AA157" s="477">
        <f t="shared" si="233"/>
        <v>22.12</v>
      </c>
      <c r="AB157" s="243"/>
      <c r="AC157" s="477">
        <f t="shared" si="234"/>
        <v>5.5222222222222221</v>
      </c>
      <c r="AD157" s="477">
        <f t="shared" si="235"/>
        <v>22.12</v>
      </c>
      <c r="AE157" s="477">
        <f t="shared" si="236"/>
        <v>27.642222222222223</v>
      </c>
      <c r="AF157" s="477">
        <f t="shared" si="237"/>
        <v>0</v>
      </c>
      <c r="AG157" s="477">
        <f t="shared" si="238"/>
        <v>5.5222222222222221</v>
      </c>
      <c r="AH157" s="477">
        <f t="shared" si="239"/>
        <v>22.12</v>
      </c>
      <c r="AI157" s="477">
        <f t="shared" si="240"/>
        <v>27.642222222222223</v>
      </c>
      <c r="AJ157" s="477">
        <f t="shared" si="241"/>
        <v>0</v>
      </c>
      <c r="AK157" s="477">
        <f t="shared" si="242"/>
        <v>5.5222222222222221</v>
      </c>
      <c r="AL157" s="477">
        <f t="shared" si="243"/>
        <v>22.12</v>
      </c>
      <c r="AM157" s="477">
        <f t="shared" si="244"/>
        <v>27.642222222222223</v>
      </c>
      <c r="AN157" s="477">
        <f t="shared" si="245"/>
        <v>0</v>
      </c>
      <c r="AO157" s="477">
        <f t="shared" si="246"/>
        <v>5.5222222222222221</v>
      </c>
      <c r="AP157" s="477">
        <f t="shared" si="247"/>
        <v>22.12</v>
      </c>
      <c r="AQ157" s="477">
        <f t="shared" si="248"/>
        <v>27.642222222222223</v>
      </c>
      <c r="AR157" s="477">
        <f t="shared" si="249"/>
        <v>0.28444444444444444</v>
      </c>
      <c r="AS157" s="477">
        <f t="shared" si="250"/>
        <v>5.8066666666666666</v>
      </c>
      <c r="AT157" s="477">
        <f t="shared" si="251"/>
        <v>22.404444444444444</v>
      </c>
      <c r="AU157" s="477">
        <f t="shared" si="252"/>
        <v>27.926666666666666</v>
      </c>
      <c r="AV157" s="477">
        <f t="shared" si="253"/>
        <v>0.28444444444444444</v>
      </c>
      <c r="AW157" s="477">
        <f t="shared" si="254"/>
        <v>5.8066666666666666</v>
      </c>
      <c r="AX157" s="477">
        <f t="shared" si="255"/>
        <v>22.404444444444444</v>
      </c>
      <c r="AY157" s="477">
        <f t="shared" si="256"/>
        <v>27.926666666666666</v>
      </c>
      <c r="AZ157" s="477">
        <f t="shared" si="257"/>
        <v>0.28444444444444444</v>
      </c>
      <c r="BA157" s="477">
        <f t="shared" si="258"/>
        <v>5.8066666666666666</v>
      </c>
      <c r="BB157" s="477">
        <f t="shared" si="259"/>
        <v>22.404444444444444</v>
      </c>
      <c r="BC157" s="477">
        <f t="shared" si="260"/>
        <v>27.926666666666666</v>
      </c>
      <c r="BD157" s="477">
        <f t="shared" si="261"/>
        <v>0.28444444444444444</v>
      </c>
      <c r="BE157" s="477">
        <f t="shared" si="262"/>
        <v>5.8066666666666666</v>
      </c>
      <c r="BF157" s="477">
        <f t="shared" si="263"/>
        <v>22.404444444444444</v>
      </c>
      <c r="BG157" s="47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77">
        <f t="shared" si="227"/>
        <v>4.40625</v>
      </c>
      <c r="V158" s="477">
        <f t="shared" si="228"/>
        <v>18.28125</v>
      </c>
      <c r="W158" s="477">
        <f t="shared" si="229"/>
        <v>0.28444444444444444</v>
      </c>
      <c r="X158" s="477">
        <f t="shared" si="230"/>
        <v>5.5222222222222221</v>
      </c>
      <c r="Y158" s="477">
        <f t="shared" si="231"/>
        <v>665</v>
      </c>
      <c r="Z158" s="477">
        <f t="shared" si="232"/>
        <v>4.6180555555555554</v>
      </c>
      <c r="AA158" s="477">
        <f t="shared" si="233"/>
        <v>22.12</v>
      </c>
      <c r="AB158" s="243"/>
      <c r="AC158" s="477">
        <f t="shared" si="234"/>
        <v>5.5222222222222221</v>
      </c>
      <c r="AD158" s="477">
        <f t="shared" si="235"/>
        <v>40.401250000000005</v>
      </c>
      <c r="AE158" s="477">
        <f t="shared" si="236"/>
        <v>45.92347222222223</v>
      </c>
      <c r="AF158" s="477">
        <f t="shared" si="237"/>
        <v>4.6180555555555554</v>
      </c>
      <c r="AG158" s="477">
        <f t="shared" si="238"/>
        <v>10.140277777777778</v>
      </c>
      <c r="AH158" s="477">
        <f t="shared" si="239"/>
        <v>45.019305555555562</v>
      </c>
      <c r="AI158" s="477">
        <f t="shared" si="240"/>
        <v>50.541527777777787</v>
      </c>
      <c r="AJ158" s="477">
        <f t="shared" si="241"/>
        <v>4.40625</v>
      </c>
      <c r="AK158" s="477">
        <f t="shared" si="242"/>
        <v>9.9284722222222221</v>
      </c>
      <c r="AL158" s="477">
        <f t="shared" si="243"/>
        <v>44.807500000000005</v>
      </c>
      <c r="AM158" s="477">
        <f t="shared" si="244"/>
        <v>50.32972222222223</v>
      </c>
      <c r="AN158" s="477">
        <f t="shared" si="245"/>
        <v>9.0243055555555554</v>
      </c>
      <c r="AO158" s="477">
        <f t="shared" si="246"/>
        <v>14.546527777777778</v>
      </c>
      <c r="AP158" s="477">
        <f t="shared" si="247"/>
        <v>49.425555555555562</v>
      </c>
      <c r="AQ158" s="477">
        <f t="shared" si="248"/>
        <v>54.947777777777787</v>
      </c>
      <c r="AR158" s="477">
        <f t="shared" si="249"/>
        <v>0.28444444444444444</v>
      </c>
      <c r="AS158" s="477">
        <f t="shared" si="250"/>
        <v>5.8066666666666666</v>
      </c>
      <c r="AT158" s="477">
        <f t="shared" si="251"/>
        <v>40.685694444444451</v>
      </c>
      <c r="AU158" s="477">
        <f t="shared" si="252"/>
        <v>46.207916666666677</v>
      </c>
      <c r="AV158" s="477">
        <f t="shared" si="253"/>
        <v>4.9024999999999999</v>
      </c>
      <c r="AW158" s="477">
        <f t="shared" si="254"/>
        <v>10.424722222222222</v>
      </c>
      <c r="AX158" s="477">
        <f t="shared" si="255"/>
        <v>45.303750000000008</v>
      </c>
      <c r="AY158" s="477">
        <f t="shared" si="256"/>
        <v>50.825972222222234</v>
      </c>
      <c r="AZ158" s="477">
        <f t="shared" si="257"/>
        <v>4.6906944444444445</v>
      </c>
      <c r="BA158" s="477">
        <f t="shared" si="258"/>
        <v>10.212916666666667</v>
      </c>
      <c r="BB158" s="477">
        <f t="shared" si="259"/>
        <v>45.091944444444451</v>
      </c>
      <c r="BC158" s="477">
        <f t="shared" si="260"/>
        <v>50.614166666666677</v>
      </c>
      <c r="BD158" s="477">
        <f t="shared" si="261"/>
        <v>9.3087499999999999</v>
      </c>
      <c r="BE158" s="477">
        <f t="shared" si="262"/>
        <v>14.830972222222222</v>
      </c>
      <c r="BF158" s="477">
        <f t="shared" si="263"/>
        <v>49.710000000000008</v>
      </c>
      <c r="BG158" s="477">
        <f t="shared" si="264"/>
        <v>55.232222222222234</v>
      </c>
    </row>
    <row r="159" spans="1:59">
      <c r="A159" s="213" t="s">
        <v>5314</v>
      </c>
      <c r="B159" s="231">
        <v>644287985</v>
      </c>
      <c r="C159" s="210" t="s">
        <v>5318</v>
      </c>
      <c r="F159" s="239" t="str" cm="1">
        <f t="array" aca="1" ref="F159" ca="1">MID(met2utc(PEPSSI_Commanding[[#This Row],[MET]]),3,15)</f>
        <v>26-171/19:01:10</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77">
        <f t="shared" si="227"/>
        <v>4.40625</v>
      </c>
      <c r="V159" s="477">
        <f t="shared" si="228"/>
        <v>18.28125</v>
      </c>
      <c r="W159" s="477">
        <f t="shared" si="229"/>
        <v>0.28444444444444444</v>
      </c>
      <c r="X159" s="477">
        <f t="shared" si="230"/>
        <v>5.5222222222222221</v>
      </c>
      <c r="Y159" s="477">
        <f t="shared" si="231"/>
        <v>665</v>
      </c>
      <c r="Z159" s="477">
        <f t="shared" si="232"/>
        <v>4.6180555555555554</v>
      </c>
      <c r="AA159" s="477">
        <f t="shared" si="233"/>
        <v>22.12</v>
      </c>
      <c r="AB159" s="243"/>
      <c r="AC159" s="477">
        <f t="shared" si="234"/>
        <v>5.5222222222222221</v>
      </c>
      <c r="AD159" s="477">
        <f t="shared" si="235"/>
        <v>40.401250000000005</v>
      </c>
      <c r="AE159" s="477">
        <f t="shared" si="236"/>
        <v>45.92347222222223</v>
      </c>
      <c r="AF159" s="477">
        <f t="shared" si="237"/>
        <v>4.6180555555555554</v>
      </c>
      <c r="AG159" s="477">
        <f t="shared" si="238"/>
        <v>10.140277777777778</v>
      </c>
      <c r="AH159" s="477">
        <f t="shared" si="239"/>
        <v>45.019305555555562</v>
      </c>
      <c r="AI159" s="477">
        <f t="shared" si="240"/>
        <v>50.541527777777787</v>
      </c>
      <c r="AJ159" s="477">
        <f t="shared" si="241"/>
        <v>4.40625</v>
      </c>
      <c r="AK159" s="477">
        <f t="shared" si="242"/>
        <v>9.9284722222222221</v>
      </c>
      <c r="AL159" s="477">
        <f t="shared" si="243"/>
        <v>44.807500000000005</v>
      </c>
      <c r="AM159" s="477">
        <f t="shared" si="244"/>
        <v>50.32972222222223</v>
      </c>
      <c r="AN159" s="477">
        <f t="shared" si="245"/>
        <v>9.0243055555555554</v>
      </c>
      <c r="AO159" s="477">
        <f t="shared" si="246"/>
        <v>14.546527777777778</v>
      </c>
      <c r="AP159" s="477">
        <f t="shared" si="247"/>
        <v>49.425555555555562</v>
      </c>
      <c r="AQ159" s="477">
        <f t="shared" si="248"/>
        <v>54.947777777777787</v>
      </c>
      <c r="AR159" s="477">
        <f t="shared" si="249"/>
        <v>0.28444444444444444</v>
      </c>
      <c r="AS159" s="477">
        <f t="shared" si="250"/>
        <v>5.8066666666666666</v>
      </c>
      <c r="AT159" s="477">
        <f t="shared" si="251"/>
        <v>40.685694444444451</v>
      </c>
      <c r="AU159" s="477">
        <f t="shared" si="252"/>
        <v>46.207916666666677</v>
      </c>
      <c r="AV159" s="477">
        <f t="shared" si="253"/>
        <v>4.9024999999999999</v>
      </c>
      <c r="AW159" s="477">
        <f t="shared" si="254"/>
        <v>10.424722222222222</v>
      </c>
      <c r="AX159" s="477">
        <f t="shared" si="255"/>
        <v>45.303750000000008</v>
      </c>
      <c r="AY159" s="477">
        <f t="shared" si="256"/>
        <v>50.825972222222234</v>
      </c>
      <c r="AZ159" s="477">
        <f t="shared" si="257"/>
        <v>4.6906944444444445</v>
      </c>
      <c r="BA159" s="477">
        <f t="shared" si="258"/>
        <v>10.212916666666667</v>
      </c>
      <c r="BB159" s="477">
        <f t="shared" si="259"/>
        <v>45.091944444444451</v>
      </c>
      <c r="BC159" s="477">
        <f t="shared" si="260"/>
        <v>50.614166666666677</v>
      </c>
      <c r="BD159" s="477">
        <f t="shared" si="261"/>
        <v>9.3087499999999999</v>
      </c>
      <c r="BE159" s="477">
        <f t="shared" si="262"/>
        <v>14.830972222222222</v>
      </c>
      <c r="BF159" s="477">
        <f t="shared" si="263"/>
        <v>49.710000000000008</v>
      </c>
      <c r="BG159" s="477">
        <f t="shared" si="264"/>
        <v>55.232222222222234</v>
      </c>
    </row>
    <row r="160" spans="1:59">
      <c r="A160" s="213" t="s">
        <v>5314</v>
      </c>
      <c r="B160" s="231">
        <v>644923315</v>
      </c>
      <c r="C160" s="210" t="s">
        <v>433</v>
      </c>
      <c r="F160" s="239" t="str" cm="1">
        <f t="array" aca="1" ref="F160" ca="1">MID(met2utc(PEPSSI_Commanding[[#This Row],[MET]]),3,15)</f>
        <v>26-179/03:30:00</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77">
        <f t="shared" si="227"/>
        <v>0</v>
      </c>
      <c r="V160" s="477">
        <f t="shared" si="228"/>
        <v>0</v>
      </c>
      <c r="W160" s="477">
        <f t="shared" si="229"/>
        <v>0</v>
      </c>
      <c r="X160" s="477">
        <f t="shared" si="230"/>
        <v>0</v>
      </c>
      <c r="Y160" s="477">
        <f t="shared" si="231"/>
        <v>0</v>
      </c>
      <c r="Z160" s="477">
        <f t="shared" si="232"/>
        <v>0</v>
      </c>
      <c r="AA160" s="477">
        <f t="shared" si="233"/>
        <v>0</v>
      </c>
      <c r="AB160" s="243"/>
      <c r="AC160" s="477">
        <f t="shared" si="234"/>
        <v>0</v>
      </c>
      <c r="AD160" s="477">
        <f t="shared" si="235"/>
        <v>0</v>
      </c>
      <c r="AE160" s="477">
        <f t="shared" si="236"/>
        <v>0</v>
      </c>
      <c r="AF160" s="477">
        <f t="shared" si="237"/>
        <v>0</v>
      </c>
      <c r="AG160" s="477">
        <f t="shared" si="238"/>
        <v>0</v>
      </c>
      <c r="AH160" s="477">
        <f t="shared" si="239"/>
        <v>0</v>
      </c>
      <c r="AI160" s="477">
        <f t="shared" si="240"/>
        <v>0</v>
      </c>
      <c r="AJ160" s="477">
        <f t="shared" si="241"/>
        <v>0</v>
      </c>
      <c r="AK160" s="477">
        <f t="shared" si="242"/>
        <v>0</v>
      </c>
      <c r="AL160" s="477">
        <f t="shared" si="243"/>
        <v>0</v>
      </c>
      <c r="AM160" s="477">
        <f t="shared" si="244"/>
        <v>0</v>
      </c>
      <c r="AN160" s="477">
        <f t="shared" si="245"/>
        <v>0</v>
      </c>
      <c r="AO160" s="477">
        <f t="shared" si="246"/>
        <v>0</v>
      </c>
      <c r="AP160" s="477">
        <f t="shared" si="247"/>
        <v>0</v>
      </c>
      <c r="AQ160" s="477">
        <f t="shared" si="248"/>
        <v>0</v>
      </c>
      <c r="AR160" s="477">
        <f t="shared" si="249"/>
        <v>0</v>
      </c>
      <c r="AS160" s="477">
        <f t="shared" si="250"/>
        <v>0</v>
      </c>
      <c r="AT160" s="477">
        <f t="shared" si="251"/>
        <v>0</v>
      </c>
      <c r="AU160" s="477">
        <f t="shared" si="252"/>
        <v>0</v>
      </c>
      <c r="AV160" s="477">
        <f t="shared" si="253"/>
        <v>0</v>
      </c>
      <c r="AW160" s="477">
        <f t="shared" si="254"/>
        <v>0</v>
      </c>
      <c r="AX160" s="477">
        <f t="shared" si="255"/>
        <v>0</v>
      </c>
      <c r="AY160" s="477">
        <f t="shared" si="256"/>
        <v>0</v>
      </c>
      <c r="AZ160" s="477">
        <f t="shared" si="257"/>
        <v>0</v>
      </c>
      <c r="BA160" s="477">
        <f t="shared" si="258"/>
        <v>0</v>
      </c>
      <c r="BB160" s="477">
        <f t="shared" si="259"/>
        <v>0</v>
      </c>
      <c r="BC160" s="477">
        <f t="shared" si="260"/>
        <v>0</v>
      </c>
      <c r="BD160" s="477">
        <f t="shared" si="261"/>
        <v>0</v>
      </c>
      <c r="BE160" s="477">
        <f t="shared" si="262"/>
        <v>0</v>
      </c>
      <c r="BF160" s="477">
        <f t="shared" si="263"/>
        <v>0</v>
      </c>
      <c r="BG160" s="477">
        <f t="shared" si="264"/>
        <v>0</v>
      </c>
    </row>
    <row r="161" spans="1:59">
      <c r="A161" s="213" t="s">
        <v>5315</v>
      </c>
      <c r="B161" s="231">
        <v>644923360</v>
      </c>
      <c r="C161" s="210" t="s">
        <v>5285</v>
      </c>
      <c r="D161" s="210">
        <v>10</v>
      </c>
      <c r="F161" s="239" t="str" cm="1">
        <f t="array" aca="1" ref="F161" ca="1">MID(met2utc(PEPSSI_Commanding[[#This Row],[MET]]),3,15)</f>
        <v>26-179/03:30:45</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77">
        <f t="shared" si="227"/>
        <v>0</v>
      </c>
      <c r="V161" s="477">
        <f t="shared" si="228"/>
        <v>0</v>
      </c>
      <c r="W161" s="477">
        <f t="shared" si="229"/>
        <v>0</v>
      </c>
      <c r="X161" s="477">
        <f t="shared" si="230"/>
        <v>0</v>
      </c>
      <c r="Y161" s="477">
        <f t="shared" si="231"/>
        <v>0</v>
      </c>
      <c r="Z161" s="477">
        <f t="shared" si="232"/>
        <v>0</v>
      </c>
      <c r="AA161" s="477">
        <f t="shared" si="233"/>
        <v>0</v>
      </c>
      <c r="AB161" s="243"/>
      <c r="AC161" s="477">
        <f t="shared" si="234"/>
        <v>0</v>
      </c>
      <c r="AD161" s="477">
        <f t="shared" si="235"/>
        <v>0</v>
      </c>
      <c r="AE161" s="477">
        <f t="shared" si="236"/>
        <v>0</v>
      </c>
      <c r="AF161" s="477">
        <f t="shared" si="237"/>
        <v>0</v>
      </c>
      <c r="AG161" s="477">
        <f t="shared" si="238"/>
        <v>0</v>
      </c>
      <c r="AH161" s="477">
        <f t="shared" si="239"/>
        <v>0</v>
      </c>
      <c r="AI161" s="477">
        <f t="shared" si="240"/>
        <v>0</v>
      </c>
      <c r="AJ161" s="477">
        <f t="shared" si="241"/>
        <v>0</v>
      </c>
      <c r="AK161" s="477">
        <f t="shared" si="242"/>
        <v>0</v>
      </c>
      <c r="AL161" s="477">
        <f t="shared" si="243"/>
        <v>0</v>
      </c>
      <c r="AM161" s="477">
        <f t="shared" si="244"/>
        <v>0</v>
      </c>
      <c r="AN161" s="477">
        <f t="shared" si="245"/>
        <v>0</v>
      </c>
      <c r="AO161" s="477">
        <f t="shared" si="246"/>
        <v>0</v>
      </c>
      <c r="AP161" s="477">
        <f t="shared" si="247"/>
        <v>0</v>
      </c>
      <c r="AQ161" s="477">
        <f t="shared" si="248"/>
        <v>0</v>
      </c>
      <c r="AR161" s="477">
        <f t="shared" si="249"/>
        <v>0</v>
      </c>
      <c r="AS161" s="477">
        <f t="shared" si="250"/>
        <v>0</v>
      </c>
      <c r="AT161" s="477">
        <f t="shared" si="251"/>
        <v>0</v>
      </c>
      <c r="AU161" s="477">
        <f t="shared" si="252"/>
        <v>0</v>
      </c>
      <c r="AV161" s="477">
        <f t="shared" si="253"/>
        <v>0</v>
      </c>
      <c r="AW161" s="477">
        <f t="shared" si="254"/>
        <v>0</v>
      </c>
      <c r="AX161" s="477">
        <f t="shared" si="255"/>
        <v>0</v>
      </c>
      <c r="AY161" s="477">
        <f t="shared" si="256"/>
        <v>0</v>
      </c>
      <c r="AZ161" s="477">
        <f t="shared" si="257"/>
        <v>0</v>
      </c>
      <c r="BA161" s="477">
        <f t="shared" si="258"/>
        <v>0</v>
      </c>
      <c r="BB161" s="477">
        <f t="shared" si="259"/>
        <v>0</v>
      </c>
      <c r="BC161" s="477">
        <f t="shared" si="260"/>
        <v>0</v>
      </c>
      <c r="BD161" s="477">
        <f t="shared" si="261"/>
        <v>0</v>
      </c>
      <c r="BE161" s="477">
        <f t="shared" si="262"/>
        <v>0</v>
      </c>
      <c r="BF161" s="477">
        <f t="shared" si="263"/>
        <v>0</v>
      </c>
      <c r="BG161" s="477">
        <f t="shared" si="264"/>
        <v>0</v>
      </c>
    </row>
    <row r="162" spans="1:59">
      <c r="A162" s="213" t="s">
        <v>5316</v>
      </c>
      <c r="B162" s="231">
        <v>644923360</v>
      </c>
      <c r="C162" s="210" t="s">
        <v>61</v>
      </c>
      <c r="D162" s="210">
        <v>10</v>
      </c>
      <c r="F162" s="239" t="str" cm="1">
        <f t="array" aca="1" ref="F162" ca="1">MID(met2utc(PEPSSI_Commanding[[#This Row],[MET]]),3,15)</f>
        <v>26-179/03:30:45</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77">
        <f t="shared" si="227"/>
        <v>0</v>
      </c>
      <c r="V162" s="477">
        <f t="shared" si="228"/>
        <v>0</v>
      </c>
      <c r="W162" s="477">
        <f t="shared" si="229"/>
        <v>0</v>
      </c>
      <c r="X162" s="477">
        <f t="shared" si="230"/>
        <v>0</v>
      </c>
      <c r="Y162" s="477">
        <f t="shared" si="231"/>
        <v>133</v>
      </c>
      <c r="Z162" s="477">
        <f t="shared" si="232"/>
        <v>133</v>
      </c>
      <c r="AA162" s="477">
        <f t="shared" si="233"/>
        <v>0</v>
      </c>
      <c r="AB162" s="243"/>
      <c r="AC162" s="477">
        <f t="shared" si="234"/>
        <v>0</v>
      </c>
      <c r="AD162" s="477">
        <f t="shared" si="235"/>
        <v>0</v>
      </c>
      <c r="AE162" s="477">
        <f t="shared" si="236"/>
        <v>0</v>
      </c>
      <c r="AF162" s="477">
        <f t="shared" si="237"/>
        <v>133</v>
      </c>
      <c r="AG162" s="477">
        <f t="shared" si="238"/>
        <v>133</v>
      </c>
      <c r="AH162" s="477">
        <f t="shared" si="239"/>
        <v>133</v>
      </c>
      <c r="AI162" s="477">
        <f t="shared" si="240"/>
        <v>133</v>
      </c>
      <c r="AJ162" s="477">
        <f t="shared" si="241"/>
        <v>0</v>
      </c>
      <c r="AK162" s="477">
        <f t="shared" si="242"/>
        <v>0</v>
      </c>
      <c r="AL162" s="477">
        <f t="shared" si="243"/>
        <v>0</v>
      </c>
      <c r="AM162" s="477">
        <f t="shared" si="244"/>
        <v>0</v>
      </c>
      <c r="AN162" s="477">
        <f t="shared" si="245"/>
        <v>133</v>
      </c>
      <c r="AO162" s="477">
        <f t="shared" si="246"/>
        <v>133</v>
      </c>
      <c r="AP162" s="477">
        <f t="shared" si="247"/>
        <v>133</v>
      </c>
      <c r="AQ162" s="477">
        <f t="shared" si="248"/>
        <v>133</v>
      </c>
      <c r="AR162" s="477">
        <f t="shared" si="249"/>
        <v>0</v>
      </c>
      <c r="AS162" s="477">
        <f t="shared" si="250"/>
        <v>0</v>
      </c>
      <c r="AT162" s="477">
        <f t="shared" si="251"/>
        <v>0</v>
      </c>
      <c r="AU162" s="477">
        <f t="shared" si="252"/>
        <v>0</v>
      </c>
      <c r="AV162" s="477">
        <f t="shared" si="253"/>
        <v>133</v>
      </c>
      <c r="AW162" s="477">
        <f t="shared" si="254"/>
        <v>133</v>
      </c>
      <c r="AX162" s="477">
        <f t="shared" si="255"/>
        <v>133</v>
      </c>
      <c r="AY162" s="477">
        <f t="shared" si="256"/>
        <v>133</v>
      </c>
      <c r="AZ162" s="477">
        <f t="shared" si="257"/>
        <v>0</v>
      </c>
      <c r="BA162" s="477">
        <f t="shared" si="258"/>
        <v>0</v>
      </c>
      <c r="BB162" s="477">
        <f t="shared" si="259"/>
        <v>0</v>
      </c>
      <c r="BC162" s="477">
        <f t="shared" si="260"/>
        <v>0</v>
      </c>
      <c r="BD162" s="477">
        <f t="shared" si="261"/>
        <v>133</v>
      </c>
      <c r="BE162" s="477">
        <f t="shared" si="262"/>
        <v>133</v>
      </c>
      <c r="BF162" s="477">
        <f t="shared" si="263"/>
        <v>133</v>
      </c>
      <c r="BG162" s="477">
        <f t="shared" si="264"/>
        <v>133</v>
      </c>
    </row>
    <row r="163" spans="1:59">
      <c r="A163" s="213" t="s">
        <v>5316</v>
      </c>
      <c r="B163" s="231">
        <v>644923361</v>
      </c>
      <c r="C163" s="210" t="s">
        <v>58</v>
      </c>
      <c r="D163" s="210">
        <v>300</v>
      </c>
      <c r="F163" s="239" t="str" cm="1">
        <f t="array" aca="1" ref="F163" ca="1">MID(met2utc(PEPSSI_Commanding[[#This Row],[MET]]),3,15)</f>
        <v>26-179/03:30:46</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77">
        <f t="shared" si="227"/>
        <v>0</v>
      </c>
      <c r="V163" s="477">
        <f t="shared" si="228"/>
        <v>0</v>
      </c>
      <c r="W163" s="477">
        <f t="shared" si="229"/>
        <v>0</v>
      </c>
      <c r="X163" s="477">
        <f t="shared" si="230"/>
        <v>0</v>
      </c>
      <c r="Y163" s="477">
        <f t="shared" si="231"/>
        <v>133</v>
      </c>
      <c r="Z163" s="477">
        <f t="shared" si="232"/>
        <v>133</v>
      </c>
      <c r="AA163" s="477">
        <f t="shared" si="233"/>
        <v>66.36</v>
      </c>
      <c r="AB163" s="243"/>
      <c r="AC163" s="477">
        <f t="shared" si="234"/>
        <v>0</v>
      </c>
      <c r="AD163" s="477">
        <f t="shared" si="235"/>
        <v>66.36</v>
      </c>
      <c r="AE163" s="477">
        <f t="shared" si="236"/>
        <v>66.36</v>
      </c>
      <c r="AF163" s="477">
        <f t="shared" si="237"/>
        <v>133</v>
      </c>
      <c r="AG163" s="477">
        <f t="shared" si="238"/>
        <v>133</v>
      </c>
      <c r="AH163" s="477">
        <f t="shared" si="239"/>
        <v>199.36</v>
      </c>
      <c r="AI163" s="477">
        <f t="shared" si="240"/>
        <v>199.36</v>
      </c>
      <c r="AJ163" s="477">
        <f t="shared" si="241"/>
        <v>0</v>
      </c>
      <c r="AK163" s="477">
        <f t="shared" si="242"/>
        <v>0</v>
      </c>
      <c r="AL163" s="477">
        <f t="shared" si="243"/>
        <v>66.36</v>
      </c>
      <c r="AM163" s="477">
        <f t="shared" si="244"/>
        <v>66.36</v>
      </c>
      <c r="AN163" s="477">
        <f t="shared" si="245"/>
        <v>133</v>
      </c>
      <c r="AO163" s="477">
        <f t="shared" si="246"/>
        <v>133</v>
      </c>
      <c r="AP163" s="477">
        <f t="shared" si="247"/>
        <v>199.36</v>
      </c>
      <c r="AQ163" s="477">
        <f t="shared" si="248"/>
        <v>199.36</v>
      </c>
      <c r="AR163" s="477">
        <f t="shared" si="249"/>
        <v>0</v>
      </c>
      <c r="AS163" s="477">
        <f t="shared" si="250"/>
        <v>0</v>
      </c>
      <c r="AT163" s="477">
        <f t="shared" si="251"/>
        <v>66.36</v>
      </c>
      <c r="AU163" s="477">
        <f t="shared" si="252"/>
        <v>66.36</v>
      </c>
      <c r="AV163" s="477">
        <f t="shared" si="253"/>
        <v>133</v>
      </c>
      <c r="AW163" s="477">
        <f t="shared" si="254"/>
        <v>133</v>
      </c>
      <c r="AX163" s="477">
        <f t="shared" si="255"/>
        <v>199.36</v>
      </c>
      <c r="AY163" s="477">
        <f t="shared" si="256"/>
        <v>199.36</v>
      </c>
      <c r="AZ163" s="477">
        <f t="shared" si="257"/>
        <v>0</v>
      </c>
      <c r="BA163" s="477">
        <f t="shared" si="258"/>
        <v>0</v>
      </c>
      <c r="BB163" s="477">
        <f t="shared" si="259"/>
        <v>66.36</v>
      </c>
      <c r="BC163" s="477">
        <f t="shared" si="260"/>
        <v>66.36</v>
      </c>
      <c r="BD163" s="477">
        <f t="shared" si="261"/>
        <v>133</v>
      </c>
      <c r="BE163" s="477">
        <f t="shared" si="262"/>
        <v>133</v>
      </c>
      <c r="BF163" s="477">
        <f t="shared" si="263"/>
        <v>199.36</v>
      </c>
      <c r="BG163" s="477">
        <f t="shared" si="264"/>
        <v>199.36</v>
      </c>
    </row>
    <row r="164" spans="1:59">
      <c r="A164" s="213" t="s">
        <v>5316</v>
      </c>
      <c r="B164" s="231">
        <v>644923362</v>
      </c>
      <c r="C164" s="210" t="s">
        <v>1</v>
      </c>
      <c r="D164" s="210">
        <v>10</v>
      </c>
      <c r="F164" s="239" t="str" cm="1">
        <f t="array" aca="1" ref="F164" ca="1">MID(met2utc(PEPSSI_Commanding[[#This Row],[MET]]),3,15)</f>
        <v>26-179/03:30:47</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77">
        <f t="shared" si="227"/>
        <v>0</v>
      </c>
      <c r="V164" s="477">
        <f t="shared" si="228"/>
        <v>0</v>
      </c>
      <c r="W164" s="477">
        <f t="shared" si="229"/>
        <v>0</v>
      </c>
      <c r="X164" s="477">
        <f t="shared" si="230"/>
        <v>198.8</v>
      </c>
      <c r="Y164" s="477">
        <f t="shared" si="231"/>
        <v>133</v>
      </c>
      <c r="Z164" s="477">
        <f t="shared" si="232"/>
        <v>133</v>
      </c>
      <c r="AA164" s="477">
        <f t="shared" si="233"/>
        <v>66.36</v>
      </c>
      <c r="AB164" s="243"/>
      <c r="AC164" s="477">
        <f t="shared" si="234"/>
        <v>198.8</v>
      </c>
      <c r="AD164" s="477">
        <f t="shared" si="235"/>
        <v>66.36</v>
      </c>
      <c r="AE164" s="477">
        <f t="shared" si="236"/>
        <v>265.16000000000003</v>
      </c>
      <c r="AF164" s="477">
        <f t="shared" si="237"/>
        <v>133</v>
      </c>
      <c r="AG164" s="477">
        <f t="shared" si="238"/>
        <v>331.8</v>
      </c>
      <c r="AH164" s="477">
        <f t="shared" si="239"/>
        <v>199.36</v>
      </c>
      <c r="AI164" s="477">
        <f t="shared" si="240"/>
        <v>398.16</v>
      </c>
      <c r="AJ164" s="477">
        <f t="shared" si="241"/>
        <v>0</v>
      </c>
      <c r="AK164" s="477">
        <f t="shared" si="242"/>
        <v>198.8</v>
      </c>
      <c r="AL164" s="477">
        <f t="shared" si="243"/>
        <v>66.36</v>
      </c>
      <c r="AM164" s="477">
        <f t="shared" si="244"/>
        <v>265.16000000000003</v>
      </c>
      <c r="AN164" s="477">
        <f t="shared" si="245"/>
        <v>133</v>
      </c>
      <c r="AO164" s="477">
        <f t="shared" si="246"/>
        <v>331.8</v>
      </c>
      <c r="AP164" s="477">
        <f t="shared" si="247"/>
        <v>199.36</v>
      </c>
      <c r="AQ164" s="477">
        <f t="shared" si="248"/>
        <v>398.16</v>
      </c>
      <c r="AR164" s="477">
        <f t="shared" si="249"/>
        <v>0</v>
      </c>
      <c r="AS164" s="477">
        <f t="shared" si="250"/>
        <v>198.8</v>
      </c>
      <c r="AT164" s="477">
        <f t="shared" si="251"/>
        <v>66.36</v>
      </c>
      <c r="AU164" s="477">
        <f t="shared" si="252"/>
        <v>265.16000000000003</v>
      </c>
      <c r="AV164" s="477">
        <f t="shared" si="253"/>
        <v>133</v>
      </c>
      <c r="AW164" s="477">
        <f t="shared" si="254"/>
        <v>331.8</v>
      </c>
      <c r="AX164" s="477">
        <f t="shared" si="255"/>
        <v>199.36</v>
      </c>
      <c r="AY164" s="477">
        <f t="shared" si="256"/>
        <v>398.16</v>
      </c>
      <c r="AZ164" s="477">
        <f t="shared" si="257"/>
        <v>0</v>
      </c>
      <c r="BA164" s="477">
        <f t="shared" si="258"/>
        <v>198.8</v>
      </c>
      <c r="BB164" s="477">
        <f t="shared" si="259"/>
        <v>66.36</v>
      </c>
      <c r="BC164" s="477">
        <f t="shared" si="260"/>
        <v>265.16000000000003</v>
      </c>
      <c r="BD164" s="477">
        <f t="shared" si="261"/>
        <v>133</v>
      </c>
      <c r="BE164" s="477">
        <f t="shared" si="262"/>
        <v>331.8</v>
      </c>
      <c r="BF164" s="477">
        <f t="shared" si="263"/>
        <v>199.36</v>
      </c>
      <c r="BG164" s="477">
        <f t="shared" si="264"/>
        <v>398.16</v>
      </c>
    </row>
    <row r="165" spans="1:59">
      <c r="A165" s="213" t="s">
        <v>5317</v>
      </c>
      <c r="B165" s="231">
        <v>644923363</v>
      </c>
      <c r="C165" s="210" t="s">
        <v>5284</v>
      </c>
      <c r="D165" s="210">
        <v>1</v>
      </c>
      <c r="F165" s="239" t="str" cm="1">
        <f t="array" aca="1" ref="F165" ca="1">MID(met2utc(PEPSSI_Commanding[[#This Row],[MET]]),3,15)</f>
        <v>26-179/03:30:48</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77">
        <f t="shared" si="227"/>
        <v>0</v>
      </c>
      <c r="V165" s="477">
        <f t="shared" si="228"/>
        <v>0</v>
      </c>
      <c r="W165" s="477">
        <f t="shared" si="229"/>
        <v>512</v>
      </c>
      <c r="X165" s="477">
        <f t="shared" si="230"/>
        <v>198.8</v>
      </c>
      <c r="Y165" s="477">
        <f t="shared" si="231"/>
        <v>133</v>
      </c>
      <c r="Z165" s="477">
        <f t="shared" si="232"/>
        <v>133</v>
      </c>
      <c r="AA165" s="477">
        <f t="shared" si="233"/>
        <v>66.36</v>
      </c>
      <c r="AB165" s="243"/>
      <c r="AC165" s="477">
        <f t="shared" si="234"/>
        <v>198.8</v>
      </c>
      <c r="AD165" s="477">
        <f t="shared" si="235"/>
        <v>66.36</v>
      </c>
      <c r="AE165" s="477">
        <f t="shared" si="236"/>
        <v>265.16000000000003</v>
      </c>
      <c r="AF165" s="477">
        <f t="shared" si="237"/>
        <v>133</v>
      </c>
      <c r="AG165" s="477">
        <f t="shared" si="238"/>
        <v>331.8</v>
      </c>
      <c r="AH165" s="477">
        <f t="shared" si="239"/>
        <v>199.36</v>
      </c>
      <c r="AI165" s="477">
        <f t="shared" si="240"/>
        <v>398.16</v>
      </c>
      <c r="AJ165" s="477">
        <f t="shared" si="241"/>
        <v>0</v>
      </c>
      <c r="AK165" s="477">
        <f t="shared" si="242"/>
        <v>198.8</v>
      </c>
      <c r="AL165" s="477">
        <f t="shared" si="243"/>
        <v>66.36</v>
      </c>
      <c r="AM165" s="477">
        <f t="shared" si="244"/>
        <v>265.16000000000003</v>
      </c>
      <c r="AN165" s="477">
        <f t="shared" si="245"/>
        <v>133</v>
      </c>
      <c r="AO165" s="477">
        <f t="shared" si="246"/>
        <v>331.8</v>
      </c>
      <c r="AP165" s="477">
        <f t="shared" si="247"/>
        <v>199.36</v>
      </c>
      <c r="AQ165" s="477">
        <f t="shared" si="248"/>
        <v>398.16</v>
      </c>
      <c r="AR165" s="477">
        <f t="shared" si="249"/>
        <v>512</v>
      </c>
      <c r="AS165" s="477">
        <f t="shared" si="250"/>
        <v>710.8</v>
      </c>
      <c r="AT165" s="477">
        <f t="shared" si="251"/>
        <v>578.36</v>
      </c>
      <c r="AU165" s="477">
        <f t="shared" si="252"/>
        <v>777.16000000000008</v>
      </c>
      <c r="AV165" s="477">
        <f t="shared" si="253"/>
        <v>645</v>
      </c>
      <c r="AW165" s="477">
        <f t="shared" si="254"/>
        <v>843.8</v>
      </c>
      <c r="AX165" s="477">
        <f t="shared" si="255"/>
        <v>711.36</v>
      </c>
      <c r="AY165" s="477">
        <f t="shared" si="256"/>
        <v>910.16000000000008</v>
      </c>
      <c r="AZ165" s="477">
        <f t="shared" si="257"/>
        <v>512</v>
      </c>
      <c r="BA165" s="477">
        <f t="shared" si="258"/>
        <v>710.8</v>
      </c>
      <c r="BB165" s="477">
        <f t="shared" si="259"/>
        <v>578.36</v>
      </c>
      <c r="BC165" s="477">
        <f t="shared" si="260"/>
        <v>777.16000000000008</v>
      </c>
      <c r="BD165" s="477">
        <f t="shared" si="261"/>
        <v>645</v>
      </c>
      <c r="BE165" s="477">
        <f t="shared" si="262"/>
        <v>843.8</v>
      </c>
      <c r="BF165" s="477">
        <f t="shared" si="263"/>
        <v>711.36</v>
      </c>
      <c r="BG165" s="477">
        <f t="shared" si="264"/>
        <v>910.16000000000008</v>
      </c>
    </row>
    <row r="166" spans="1:59">
      <c r="A166" s="213" t="s">
        <v>5316</v>
      </c>
      <c r="B166" s="231">
        <v>644924846</v>
      </c>
      <c r="C166" s="210" t="s">
        <v>61</v>
      </c>
      <c r="D166" s="210">
        <v>40</v>
      </c>
      <c r="F166" s="239" t="str" cm="1">
        <f t="array" aca="1" ref="F166" ca="1">MID(met2utc(PEPSSI_Commanding[[#This Row],[MET]]),3,15)</f>
        <v>26-179/03:55:31</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77">
        <f t="shared" si="227"/>
        <v>0</v>
      </c>
      <c r="V166" s="477">
        <f t="shared" si="228"/>
        <v>0</v>
      </c>
      <c r="W166" s="477">
        <f t="shared" si="229"/>
        <v>512</v>
      </c>
      <c r="X166" s="477">
        <f t="shared" si="230"/>
        <v>198.8</v>
      </c>
      <c r="Y166" s="477">
        <f t="shared" si="231"/>
        <v>33.25</v>
      </c>
      <c r="Z166" s="477">
        <f t="shared" si="232"/>
        <v>33.25</v>
      </c>
      <c r="AA166" s="477">
        <f t="shared" si="233"/>
        <v>66.36</v>
      </c>
      <c r="AB166" s="243"/>
      <c r="AC166" s="477">
        <f t="shared" si="234"/>
        <v>198.8</v>
      </c>
      <c r="AD166" s="477">
        <f t="shared" si="235"/>
        <v>66.36</v>
      </c>
      <c r="AE166" s="477">
        <f t="shared" si="236"/>
        <v>265.16000000000003</v>
      </c>
      <c r="AF166" s="477">
        <f t="shared" si="237"/>
        <v>33.25</v>
      </c>
      <c r="AG166" s="477">
        <f t="shared" si="238"/>
        <v>232.05</v>
      </c>
      <c r="AH166" s="477">
        <f t="shared" si="239"/>
        <v>99.61</v>
      </c>
      <c r="AI166" s="477">
        <f t="shared" si="240"/>
        <v>298.41000000000003</v>
      </c>
      <c r="AJ166" s="477">
        <f t="shared" si="241"/>
        <v>0</v>
      </c>
      <c r="AK166" s="477">
        <f t="shared" si="242"/>
        <v>198.8</v>
      </c>
      <c r="AL166" s="477">
        <f t="shared" si="243"/>
        <v>66.36</v>
      </c>
      <c r="AM166" s="477">
        <f t="shared" si="244"/>
        <v>265.16000000000003</v>
      </c>
      <c r="AN166" s="477">
        <f t="shared" si="245"/>
        <v>33.25</v>
      </c>
      <c r="AO166" s="477">
        <f t="shared" si="246"/>
        <v>232.05</v>
      </c>
      <c r="AP166" s="477">
        <f t="shared" si="247"/>
        <v>99.61</v>
      </c>
      <c r="AQ166" s="477">
        <f t="shared" si="248"/>
        <v>298.41000000000003</v>
      </c>
      <c r="AR166" s="477">
        <f t="shared" si="249"/>
        <v>512</v>
      </c>
      <c r="AS166" s="477">
        <f t="shared" si="250"/>
        <v>710.8</v>
      </c>
      <c r="AT166" s="477">
        <f t="shared" si="251"/>
        <v>578.36</v>
      </c>
      <c r="AU166" s="477">
        <f t="shared" si="252"/>
        <v>777.16000000000008</v>
      </c>
      <c r="AV166" s="477">
        <f t="shared" si="253"/>
        <v>545.25</v>
      </c>
      <c r="AW166" s="477">
        <f t="shared" si="254"/>
        <v>744.05</v>
      </c>
      <c r="AX166" s="477">
        <f t="shared" si="255"/>
        <v>611.61</v>
      </c>
      <c r="AY166" s="477">
        <f t="shared" si="256"/>
        <v>810.41000000000008</v>
      </c>
      <c r="AZ166" s="477">
        <f t="shared" si="257"/>
        <v>512</v>
      </c>
      <c r="BA166" s="477">
        <f t="shared" si="258"/>
        <v>710.8</v>
      </c>
      <c r="BB166" s="477">
        <f t="shared" si="259"/>
        <v>578.36</v>
      </c>
      <c r="BC166" s="477">
        <f t="shared" si="260"/>
        <v>777.16000000000008</v>
      </c>
      <c r="BD166" s="477">
        <f t="shared" si="261"/>
        <v>545.25</v>
      </c>
      <c r="BE166" s="477">
        <f t="shared" si="262"/>
        <v>744.05</v>
      </c>
      <c r="BF166" s="477">
        <f t="shared" si="263"/>
        <v>611.61</v>
      </c>
      <c r="BG166" s="477">
        <f t="shared" si="264"/>
        <v>810.41000000000008</v>
      </c>
    </row>
    <row r="167" spans="1:59">
      <c r="A167" s="213" t="s">
        <v>5316</v>
      </c>
      <c r="B167" s="231">
        <v>644924847</v>
      </c>
      <c r="C167" s="210" t="s">
        <v>58</v>
      </c>
      <c r="D167" s="210">
        <v>7200</v>
      </c>
      <c r="F167" s="239" t="str" cm="1">
        <f t="array" aca="1" ref="F167" ca="1">MID(met2utc(PEPSSI_Commanding[[#This Row],[MET]]),3,15)</f>
        <v>26-179/03:55:32</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77">
        <f t="shared" si="227"/>
        <v>0</v>
      </c>
      <c r="V167" s="477">
        <f t="shared" si="228"/>
        <v>0</v>
      </c>
      <c r="W167" s="477">
        <f t="shared" si="229"/>
        <v>512</v>
      </c>
      <c r="X167" s="477">
        <f t="shared" si="230"/>
        <v>198.8</v>
      </c>
      <c r="Y167" s="477">
        <f t="shared" si="231"/>
        <v>33.25</v>
      </c>
      <c r="Z167" s="477">
        <f t="shared" si="232"/>
        <v>33.25</v>
      </c>
      <c r="AA167" s="477">
        <f t="shared" si="233"/>
        <v>2.7650000000000001</v>
      </c>
      <c r="AB167" s="243"/>
      <c r="AC167" s="477">
        <f t="shared" si="234"/>
        <v>198.8</v>
      </c>
      <c r="AD167" s="477">
        <f t="shared" si="235"/>
        <v>2.7650000000000001</v>
      </c>
      <c r="AE167" s="477">
        <f t="shared" si="236"/>
        <v>201.565</v>
      </c>
      <c r="AF167" s="477">
        <f t="shared" si="237"/>
        <v>33.25</v>
      </c>
      <c r="AG167" s="477">
        <f t="shared" si="238"/>
        <v>232.05</v>
      </c>
      <c r="AH167" s="477">
        <f t="shared" si="239"/>
        <v>36.015000000000001</v>
      </c>
      <c r="AI167" s="477">
        <f t="shared" si="240"/>
        <v>234.815</v>
      </c>
      <c r="AJ167" s="477">
        <f t="shared" si="241"/>
        <v>0</v>
      </c>
      <c r="AK167" s="477">
        <f t="shared" si="242"/>
        <v>198.8</v>
      </c>
      <c r="AL167" s="477">
        <f t="shared" si="243"/>
        <v>2.7650000000000001</v>
      </c>
      <c r="AM167" s="477">
        <f t="shared" si="244"/>
        <v>201.565</v>
      </c>
      <c r="AN167" s="477">
        <f t="shared" si="245"/>
        <v>33.25</v>
      </c>
      <c r="AO167" s="477">
        <f t="shared" si="246"/>
        <v>232.05</v>
      </c>
      <c r="AP167" s="477">
        <f t="shared" si="247"/>
        <v>36.015000000000001</v>
      </c>
      <c r="AQ167" s="477">
        <f t="shared" si="248"/>
        <v>234.815</v>
      </c>
      <c r="AR167" s="477">
        <f t="shared" si="249"/>
        <v>512</v>
      </c>
      <c r="AS167" s="477">
        <f t="shared" si="250"/>
        <v>710.8</v>
      </c>
      <c r="AT167" s="477">
        <f t="shared" si="251"/>
        <v>514.76499999999999</v>
      </c>
      <c r="AU167" s="477">
        <f t="shared" si="252"/>
        <v>713.56500000000005</v>
      </c>
      <c r="AV167" s="477">
        <f t="shared" si="253"/>
        <v>545.25</v>
      </c>
      <c r="AW167" s="477">
        <f t="shared" si="254"/>
        <v>744.05</v>
      </c>
      <c r="AX167" s="477">
        <f t="shared" si="255"/>
        <v>548.01499999999999</v>
      </c>
      <c r="AY167" s="477">
        <f t="shared" si="256"/>
        <v>746.81500000000005</v>
      </c>
      <c r="AZ167" s="477">
        <f t="shared" si="257"/>
        <v>512</v>
      </c>
      <c r="BA167" s="477">
        <f t="shared" si="258"/>
        <v>710.8</v>
      </c>
      <c r="BB167" s="477">
        <f t="shared" si="259"/>
        <v>514.76499999999999</v>
      </c>
      <c r="BC167" s="477">
        <f t="shared" si="260"/>
        <v>713.56500000000005</v>
      </c>
      <c r="BD167" s="477">
        <f t="shared" si="261"/>
        <v>545.25</v>
      </c>
      <c r="BE167" s="477">
        <f t="shared" si="262"/>
        <v>744.05</v>
      </c>
      <c r="BF167" s="477">
        <f t="shared" si="263"/>
        <v>548.01499999999999</v>
      </c>
      <c r="BG167" s="477">
        <f t="shared" si="264"/>
        <v>746.81500000000005</v>
      </c>
    </row>
    <row r="168" spans="1:59">
      <c r="A168" s="213" t="s">
        <v>5316</v>
      </c>
      <c r="B168" s="231">
        <v>644924848</v>
      </c>
      <c r="C168" s="210" t="s">
        <v>1</v>
      </c>
      <c r="D168" s="210">
        <v>3600</v>
      </c>
      <c r="F168" s="239" t="str" cm="1">
        <f t="array" aca="1" ref="F168" ca="1">MID(met2utc(PEPSSI_Commanding[[#This Row],[MET]]),3,15)</f>
        <v>26-179/03:55:33</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77">
        <f t="shared" si="227"/>
        <v>0</v>
      </c>
      <c r="V168" s="477">
        <f t="shared" si="228"/>
        <v>0</v>
      </c>
      <c r="W168" s="477">
        <f t="shared" si="229"/>
        <v>512</v>
      </c>
      <c r="X168" s="477">
        <f t="shared" si="230"/>
        <v>0.55222222222222217</v>
      </c>
      <c r="Y168" s="477">
        <f t="shared" si="231"/>
        <v>33.25</v>
      </c>
      <c r="Z168" s="477">
        <f t="shared" si="232"/>
        <v>33.25</v>
      </c>
      <c r="AA168" s="477">
        <f t="shared" si="233"/>
        <v>2.7650000000000001</v>
      </c>
      <c r="AB168" s="243"/>
      <c r="AC168" s="477">
        <f t="shared" si="234"/>
        <v>0.55222222222222217</v>
      </c>
      <c r="AD168" s="477">
        <f t="shared" si="235"/>
        <v>2.7650000000000001</v>
      </c>
      <c r="AE168" s="477">
        <f t="shared" si="236"/>
        <v>3.3172222222222221</v>
      </c>
      <c r="AF168" s="477">
        <f t="shared" si="237"/>
        <v>33.25</v>
      </c>
      <c r="AG168" s="477">
        <f t="shared" si="238"/>
        <v>33.80222222222222</v>
      </c>
      <c r="AH168" s="477">
        <f t="shared" si="239"/>
        <v>36.015000000000001</v>
      </c>
      <c r="AI168" s="477">
        <f t="shared" si="240"/>
        <v>36.56722222222222</v>
      </c>
      <c r="AJ168" s="477">
        <f t="shared" si="241"/>
        <v>0</v>
      </c>
      <c r="AK168" s="477">
        <f t="shared" si="242"/>
        <v>0.55222222222222217</v>
      </c>
      <c r="AL168" s="477">
        <f t="shared" si="243"/>
        <v>2.7650000000000001</v>
      </c>
      <c r="AM168" s="477">
        <f t="shared" si="244"/>
        <v>3.3172222222222221</v>
      </c>
      <c r="AN168" s="477">
        <f t="shared" si="245"/>
        <v>33.25</v>
      </c>
      <c r="AO168" s="477">
        <f t="shared" si="246"/>
        <v>33.80222222222222</v>
      </c>
      <c r="AP168" s="477">
        <f t="shared" si="247"/>
        <v>36.015000000000001</v>
      </c>
      <c r="AQ168" s="477">
        <f t="shared" si="248"/>
        <v>36.56722222222222</v>
      </c>
      <c r="AR168" s="477">
        <f t="shared" si="249"/>
        <v>512</v>
      </c>
      <c r="AS168" s="477">
        <f t="shared" si="250"/>
        <v>512.55222222222221</v>
      </c>
      <c r="AT168" s="477">
        <f t="shared" si="251"/>
        <v>514.76499999999999</v>
      </c>
      <c r="AU168" s="477">
        <f t="shared" si="252"/>
        <v>515.3172222222222</v>
      </c>
      <c r="AV168" s="477">
        <f t="shared" si="253"/>
        <v>545.25</v>
      </c>
      <c r="AW168" s="477">
        <f t="shared" si="254"/>
        <v>545.80222222222221</v>
      </c>
      <c r="AX168" s="477">
        <f t="shared" si="255"/>
        <v>548.01499999999999</v>
      </c>
      <c r="AY168" s="477">
        <f t="shared" si="256"/>
        <v>548.5672222222222</v>
      </c>
      <c r="AZ168" s="477">
        <f t="shared" si="257"/>
        <v>512</v>
      </c>
      <c r="BA168" s="477">
        <f t="shared" si="258"/>
        <v>512.55222222222221</v>
      </c>
      <c r="BB168" s="477">
        <f t="shared" si="259"/>
        <v>514.76499999999999</v>
      </c>
      <c r="BC168" s="477">
        <f t="shared" si="260"/>
        <v>515.3172222222222</v>
      </c>
      <c r="BD168" s="477">
        <f t="shared" si="261"/>
        <v>545.25</v>
      </c>
      <c r="BE168" s="477">
        <f t="shared" si="262"/>
        <v>545.80222222222221</v>
      </c>
      <c r="BF168" s="477">
        <f t="shared" si="263"/>
        <v>548.01499999999999</v>
      </c>
      <c r="BG168" s="477">
        <f t="shared" si="264"/>
        <v>548.5672222222222</v>
      </c>
    </row>
    <row r="169" spans="1:59">
      <c r="A169" s="213" t="s">
        <v>5317</v>
      </c>
      <c r="B169" s="231">
        <v>644924849</v>
      </c>
      <c r="C169" s="210" t="s">
        <v>5284</v>
      </c>
      <c r="D169" s="210">
        <v>300</v>
      </c>
      <c r="F169" s="239" t="str" cm="1">
        <f t="array" aca="1" ref="F169" ca="1">MID(met2utc(PEPSSI_Commanding[[#This Row],[MET]]),3,15)</f>
        <v>26-179/03:55:34</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77">
        <f t="shared" si="227"/>
        <v>0</v>
      </c>
      <c r="V169" s="477">
        <f t="shared" si="228"/>
        <v>0</v>
      </c>
      <c r="W169" s="477">
        <f t="shared" si="229"/>
        <v>1.7066666666666668</v>
      </c>
      <c r="X169" s="477">
        <f t="shared" si="230"/>
        <v>0.55222222222222217</v>
      </c>
      <c r="Y169" s="477">
        <f t="shared" si="231"/>
        <v>33.25</v>
      </c>
      <c r="Z169" s="477">
        <f t="shared" si="232"/>
        <v>33.25</v>
      </c>
      <c r="AA169" s="477">
        <f t="shared" si="233"/>
        <v>2.7650000000000001</v>
      </c>
      <c r="AB169" s="243"/>
      <c r="AC169" s="477">
        <f t="shared" si="234"/>
        <v>0.55222222222222217</v>
      </c>
      <c r="AD169" s="477">
        <f t="shared" si="235"/>
        <v>2.7650000000000001</v>
      </c>
      <c r="AE169" s="477">
        <f t="shared" si="236"/>
        <v>3.3172222222222221</v>
      </c>
      <c r="AF169" s="477">
        <f t="shared" si="237"/>
        <v>33.25</v>
      </c>
      <c r="AG169" s="477">
        <f t="shared" si="238"/>
        <v>33.80222222222222</v>
      </c>
      <c r="AH169" s="477">
        <f t="shared" si="239"/>
        <v>36.015000000000001</v>
      </c>
      <c r="AI169" s="477">
        <f t="shared" si="240"/>
        <v>36.56722222222222</v>
      </c>
      <c r="AJ169" s="477">
        <f t="shared" si="241"/>
        <v>0</v>
      </c>
      <c r="AK169" s="477">
        <f t="shared" si="242"/>
        <v>0.55222222222222217</v>
      </c>
      <c r="AL169" s="477">
        <f t="shared" si="243"/>
        <v>2.7650000000000001</v>
      </c>
      <c r="AM169" s="477">
        <f t="shared" si="244"/>
        <v>3.3172222222222221</v>
      </c>
      <c r="AN169" s="477">
        <f t="shared" si="245"/>
        <v>33.25</v>
      </c>
      <c r="AO169" s="477">
        <f t="shared" si="246"/>
        <v>33.80222222222222</v>
      </c>
      <c r="AP169" s="477">
        <f t="shared" si="247"/>
        <v>36.015000000000001</v>
      </c>
      <c r="AQ169" s="477">
        <f t="shared" si="248"/>
        <v>36.56722222222222</v>
      </c>
      <c r="AR169" s="477">
        <f t="shared" si="249"/>
        <v>1.7066666666666668</v>
      </c>
      <c r="AS169" s="477">
        <f t="shared" si="250"/>
        <v>2.2588888888888889</v>
      </c>
      <c r="AT169" s="477">
        <f t="shared" si="251"/>
        <v>4.4716666666666667</v>
      </c>
      <c r="AU169" s="477">
        <f t="shared" si="252"/>
        <v>5.0238888888888891</v>
      </c>
      <c r="AV169" s="477">
        <f t="shared" si="253"/>
        <v>34.956666666666663</v>
      </c>
      <c r="AW169" s="477">
        <f t="shared" si="254"/>
        <v>35.508888888888883</v>
      </c>
      <c r="AX169" s="477">
        <f t="shared" si="255"/>
        <v>37.721666666666664</v>
      </c>
      <c r="AY169" s="477">
        <f t="shared" si="256"/>
        <v>38.273888888888884</v>
      </c>
      <c r="AZ169" s="477">
        <f t="shared" si="257"/>
        <v>1.7066666666666668</v>
      </c>
      <c r="BA169" s="477">
        <f t="shared" si="258"/>
        <v>2.2588888888888889</v>
      </c>
      <c r="BB169" s="477">
        <f t="shared" si="259"/>
        <v>4.4716666666666667</v>
      </c>
      <c r="BC169" s="477">
        <f t="shared" si="260"/>
        <v>5.0238888888888891</v>
      </c>
      <c r="BD169" s="477">
        <f t="shared" si="261"/>
        <v>34.956666666666663</v>
      </c>
      <c r="BE169" s="477">
        <f t="shared" si="262"/>
        <v>35.508888888888883</v>
      </c>
      <c r="BF169" s="477">
        <f t="shared" si="263"/>
        <v>37.721666666666664</v>
      </c>
      <c r="BG169" s="477">
        <f t="shared" si="264"/>
        <v>38.273888888888884</v>
      </c>
    </row>
    <row r="170" spans="1:59">
      <c r="A170" s="213" t="s">
        <v>5316</v>
      </c>
      <c r="B170" s="231">
        <v>644924995</v>
      </c>
      <c r="C170" s="210" t="s">
        <v>61</v>
      </c>
      <c r="D170" s="210">
        <v>360</v>
      </c>
      <c r="F170" s="239" t="str" cm="1">
        <f t="array" aca="1" ref="F170" ca="1">MID(met2utc(PEPSSI_Commanding[[#This Row],[MET]]),3,15)</f>
        <v>26-179/03:58:00</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77">
        <f t="shared" si="227"/>
        <v>0</v>
      </c>
      <c r="V170" s="477">
        <f t="shared" si="228"/>
        <v>0</v>
      </c>
      <c r="W170" s="477">
        <f t="shared" si="229"/>
        <v>1.7066666666666668</v>
      </c>
      <c r="X170" s="477">
        <f t="shared" si="230"/>
        <v>0.55222222222222217</v>
      </c>
      <c r="Y170" s="477">
        <f t="shared" si="231"/>
        <v>3.6944444444444446</v>
      </c>
      <c r="Z170" s="477">
        <f t="shared" si="232"/>
        <v>3.6944444444444446</v>
      </c>
      <c r="AA170" s="477">
        <f t="shared" si="233"/>
        <v>2.7650000000000001</v>
      </c>
      <c r="AB170" s="243"/>
      <c r="AC170" s="477">
        <f t="shared" si="234"/>
        <v>0.55222222222222217</v>
      </c>
      <c r="AD170" s="477">
        <f t="shared" si="235"/>
        <v>2.7650000000000001</v>
      </c>
      <c r="AE170" s="477">
        <f t="shared" si="236"/>
        <v>3.3172222222222221</v>
      </c>
      <c r="AF170" s="477">
        <f t="shared" si="237"/>
        <v>3.6944444444444446</v>
      </c>
      <c r="AG170" s="477">
        <f t="shared" si="238"/>
        <v>4.246666666666667</v>
      </c>
      <c r="AH170" s="477">
        <f t="shared" si="239"/>
        <v>6.4594444444444452</v>
      </c>
      <c r="AI170" s="477">
        <f t="shared" si="240"/>
        <v>7.0116666666666676</v>
      </c>
      <c r="AJ170" s="477">
        <f t="shared" si="241"/>
        <v>0</v>
      </c>
      <c r="AK170" s="477">
        <f t="shared" si="242"/>
        <v>0.55222222222222217</v>
      </c>
      <c r="AL170" s="477">
        <f t="shared" si="243"/>
        <v>2.7650000000000001</v>
      </c>
      <c r="AM170" s="477">
        <f t="shared" si="244"/>
        <v>3.3172222222222221</v>
      </c>
      <c r="AN170" s="477">
        <f t="shared" si="245"/>
        <v>3.6944444444444446</v>
      </c>
      <c r="AO170" s="477">
        <f t="shared" si="246"/>
        <v>4.246666666666667</v>
      </c>
      <c r="AP170" s="477">
        <f t="shared" si="247"/>
        <v>6.4594444444444452</v>
      </c>
      <c r="AQ170" s="477">
        <f t="shared" si="248"/>
        <v>7.0116666666666676</v>
      </c>
      <c r="AR170" s="477">
        <f t="shared" si="249"/>
        <v>1.7066666666666668</v>
      </c>
      <c r="AS170" s="477">
        <f t="shared" si="250"/>
        <v>2.2588888888888889</v>
      </c>
      <c r="AT170" s="477">
        <f t="shared" si="251"/>
        <v>4.4716666666666667</v>
      </c>
      <c r="AU170" s="477">
        <f t="shared" si="252"/>
        <v>5.0238888888888891</v>
      </c>
      <c r="AV170" s="477">
        <f t="shared" si="253"/>
        <v>5.4011111111111116</v>
      </c>
      <c r="AW170" s="477">
        <f t="shared" si="254"/>
        <v>5.953333333333334</v>
      </c>
      <c r="AX170" s="477">
        <f t="shared" si="255"/>
        <v>8.1661111111111122</v>
      </c>
      <c r="AY170" s="477">
        <f t="shared" si="256"/>
        <v>8.7183333333333337</v>
      </c>
      <c r="AZ170" s="477">
        <f t="shared" si="257"/>
        <v>1.7066666666666668</v>
      </c>
      <c r="BA170" s="477">
        <f t="shared" si="258"/>
        <v>2.2588888888888889</v>
      </c>
      <c r="BB170" s="477">
        <f t="shared" si="259"/>
        <v>4.4716666666666667</v>
      </c>
      <c r="BC170" s="477">
        <f t="shared" si="260"/>
        <v>5.0238888888888891</v>
      </c>
      <c r="BD170" s="477">
        <f t="shared" si="261"/>
        <v>5.4011111111111116</v>
      </c>
      <c r="BE170" s="477">
        <f t="shared" si="262"/>
        <v>5.953333333333334</v>
      </c>
      <c r="BF170" s="477">
        <f t="shared" si="263"/>
        <v>8.1661111111111122</v>
      </c>
      <c r="BG170" s="477">
        <f t="shared" si="264"/>
        <v>8.7183333333333337</v>
      </c>
    </row>
    <row r="171" spans="1:59">
      <c r="A171" s="213" t="s">
        <v>5316</v>
      </c>
      <c r="B171" s="231">
        <v>644924998</v>
      </c>
      <c r="C171" s="210" t="s">
        <v>1</v>
      </c>
      <c r="D171" s="210">
        <v>360</v>
      </c>
      <c r="F171" s="239" t="str" cm="1">
        <f t="array" aca="1" ref="F171" ca="1">MID(met2utc(PEPSSI_Commanding[[#This Row],[MET]]),3,15)</f>
        <v>26-179/03:58:03</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77">
        <f t="shared" si="227"/>
        <v>0</v>
      </c>
      <c r="V171" s="477">
        <f t="shared" si="228"/>
        <v>0</v>
      </c>
      <c r="W171" s="477">
        <f t="shared" si="229"/>
        <v>1.7066666666666668</v>
      </c>
      <c r="X171" s="477">
        <f t="shared" si="230"/>
        <v>5.5222222222222221</v>
      </c>
      <c r="Y171" s="477">
        <f t="shared" si="231"/>
        <v>3.6944444444444446</v>
      </c>
      <c r="Z171" s="477">
        <f t="shared" si="232"/>
        <v>3.6944444444444446</v>
      </c>
      <c r="AA171" s="477">
        <f t="shared" si="233"/>
        <v>2.7650000000000001</v>
      </c>
      <c r="AB171" s="243"/>
      <c r="AC171" s="477">
        <f t="shared" si="234"/>
        <v>5.5222222222222221</v>
      </c>
      <c r="AD171" s="477">
        <f t="shared" si="235"/>
        <v>2.7650000000000001</v>
      </c>
      <c r="AE171" s="477">
        <f t="shared" si="236"/>
        <v>8.2872222222222227</v>
      </c>
      <c r="AF171" s="477">
        <f t="shared" si="237"/>
        <v>3.6944444444444446</v>
      </c>
      <c r="AG171" s="477">
        <f t="shared" si="238"/>
        <v>9.2166666666666668</v>
      </c>
      <c r="AH171" s="477">
        <f t="shared" si="239"/>
        <v>6.4594444444444452</v>
      </c>
      <c r="AI171" s="477">
        <f t="shared" si="240"/>
        <v>11.981666666666667</v>
      </c>
      <c r="AJ171" s="477">
        <f t="shared" si="241"/>
        <v>0</v>
      </c>
      <c r="AK171" s="477">
        <f t="shared" si="242"/>
        <v>5.5222222222222221</v>
      </c>
      <c r="AL171" s="477">
        <f t="shared" si="243"/>
        <v>2.7650000000000001</v>
      </c>
      <c r="AM171" s="477">
        <f t="shared" si="244"/>
        <v>8.2872222222222227</v>
      </c>
      <c r="AN171" s="477">
        <f t="shared" si="245"/>
        <v>3.6944444444444446</v>
      </c>
      <c r="AO171" s="477">
        <f t="shared" si="246"/>
        <v>9.2166666666666668</v>
      </c>
      <c r="AP171" s="477">
        <f t="shared" si="247"/>
        <v>6.4594444444444452</v>
      </c>
      <c r="AQ171" s="477">
        <f t="shared" si="248"/>
        <v>11.981666666666667</v>
      </c>
      <c r="AR171" s="477">
        <f t="shared" si="249"/>
        <v>1.7066666666666668</v>
      </c>
      <c r="AS171" s="477">
        <f t="shared" si="250"/>
        <v>7.2288888888888891</v>
      </c>
      <c r="AT171" s="477">
        <f t="shared" si="251"/>
        <v>4.4716666666666667</v>
      </c>
      <c r="AU171" s="477">
        <f t="shared" si="252"/>
        <v>9.9938888888888897</v>
      </c>
      <c r="AV171" s="477">
        <f t="shared" si="253"/>
        <v>5.4011111111111116</v>
      </c>
      <c r="AW171" s="477">
        <f t="shared" si="254"/>
        <v>10.923333333333334</v>
      </c>
      <c r="AX171" s="477">
        <f t="shared" si="255"/>
        <v>8.1661111111111122</v>
      </c>
      <c r="AY171" s="477">
        <f t="shared" si="256"/>
        <v>13.688333333333334</v>
      </c>
      <c r="AZ171" s="477">
        <f t="shared" si="257"/>
        <v>1.7066666666666668</v>
      </c>
      <c r="BA171" s="477">
        <f t="shared" si="258"/>
        <v>7.2288888888888891</v>
      </c>
      <c r="BB171" s="477">
        <f t="shared" si="259"/>
        <v>4.4716666666666667</v>
      </c>
      <c r="BC171" s="477">
        <f t="shared" si="260"/>
        <v>9.9938888888888897</v>
      </c>
      <c r="BD171" s="477">
        <f t="shared" si="261"/>
        <v>5.4011111111111116</v>
      </c>
      <c r="BE171" s="477">
        <f t="shared" si="262"/>
        <v>10.923333333333334</v>
      </c>
      <c r="BF171" s="477">
        <f t="shared" si="263"/>
        <v>8.1661111111111122</v>
      </c>
      <c r="BG171" s="477">
        <f t="shared" si="264"/>
        <v>13.688333333333334</v>
      </c>
    </row>
    <row r="172" spans="1:59">
      <c r="A172" s="213" t="s">
        <v>5316</v>
      </c>
      <c r="B172" s="231">
        <v>644925001</v>
      </c>
      <c r="C172" s="210" t="s">
        <v>58</v>
      </c>
      <c r="D172" s="210">
        <v>900</v>
      </c>
      <c r="F172" s="239" t="str" cm="1">
        <f t="array" aca="1" ref="F172" ca="1">MID(met2utc(PEPSSI_Commanding[[#This Row],[MET]]),3,15)</f>
        <v>26-179/03:58:06</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77">
        <f t="shared" si="227"/>
        <v>0</v>
      </c>
      <c r="V172" s="477">
        <f t="shared" si="228"/>
        <v>0</v>
      </c>
      <c r="W172" s="477">
        <f t="shared" si="229"/>
        <v>1.7066666666666668</v>
      </c>
      <c r="X172" s="477">
        <f t="shared" si="230"/>
        <v>5.5222222222222221</v>
      </c>
      <c r="Y172" s="477">
        <f t="shared" si="231"/>
        <v>3.6944444444444446</v>
      </c>
      <c r="Z172" s="477">
        <f t="shared" si="232"/>
        <v>3.6944444444444446</v>
      </c>
      <c r="AA172" s="477">
        <f t="shared" si="233"/>
        <v>22.12</v>
      </c>
      <c r="AB172" s="243"/>
      <c r="AC172" s="477">
        <f t="shared" si="234"/>
        <v>5.5222222222222221</v>
      </c>
      <c r="AD172" s="477">
        <f t="shared" si="235"/>
        <v>22.12</v>
      </c>
      <c r="AE172" s="477">
        <f t="shared" si="236"/>
        <v>27.642222222222223</v>
      </c>
      <c r="AF172" s="477">
        <f t="shared" si="237"/>
        <v>3.6944444444444446</v>
      </c>
      <c r="AG172" s="477">
        <f t="shared" si="238"/>
        <v>9.2166666666666668</v>
      </c>
      <c r="AH172" s="477">
        <f t="shared" si="239"/>
        <v>25.814444444444447</v>
      </c>
      <c r="AI172" s="477">
        <f t="shared" si="240"/>
        <v>31.33666666666667</v>
      </c>
      <c r="AJ172" s="477">
        <f t="shared" si="241"/>
        <v>0</v>
      </c>
      <c r="AK172" s="477">
        <f t="shared" si="242"/>
        <v>5.5222222222222221</v>
      </c>
      <c r="AL172" s="477">
        <f t="shared" si="243"/>
        <v>22.12</v>
      </c>
      <c r="AM172" s="477">
        <f t="shared" si="244"/>
        <v>27.642222222222223</v>
      </c>
      <c r="AN172" s="477">
        <f t="shared" si="245"/>
        <v>3.6944444444444446</v>
      </c>
      <c r="AO172" s="477">
        <f t="shared" si="246"/>
        <v>9.2166666666666668</v>
      </c>
      <c r="AP172" s="477">
        <f t="shared" si="247"/>
        <v>25.814444444444447</v>
      </c>
      <c r="AQ172" s="477">
        <f t="shared" si="248"/>
        <v>31.33666666666667</v>
      </c>
      <c r="AR172" s="477">
        <f t="shared" si="249"/>
        <v>1.7066666666666668</v>
      </c>
      <c r="AS172" s="477">
        <f t="shared" si="250"/>
        <v>7.2288888888888891</v>
      </c>
      <c r="AT172" s="477">
        <f t="shared" si="251"/>
        <v>23.826666666666668</v>
      </c>
      <c r="AU172" s="477">
        <f t="shared" si="252"/>
        <v>29.34888888888889</v>
      </c>
      <c r="AV172" s="477">
        <f t="shared" si="253"/>
        <v>5.4011111111111116</v>
      </c>
      <c r="AW172" s="477">
        <f t="shared" si="254"/>
        <v>10.923333333333334</v>
      </c>
      <c r="AX172" s="477">
        <f t="shared" si="255"/>
        <v>27.521111111111111</v>
      </c>
      <c r="AY172" s="477">
        <f t="shared" si="256"/>
        <v>33.043333333333337</v>
      </c>
      <c r="AZ172" s="477">
        <f t="shared" si="257"/>
        <v>1.7066666666666668</v>
      </c>
      <c r="BA172" s="477">
        <f t="shared" si="258"/>
        <v>7.2288888888888891</v>
      </c>
      <c r="BB172" s="477">
        <f t="shared" si="259"/>
        <v>23.826666666666668</v>
      </c>
      <c r="BC172" s="477">
        <f t="shared" si="260"/>
        <v>29.34888888888889</v>
      </c>
      <c r="BD172" s="477">
        <f t="shared" si="261"/>
        <v>5.4011111111111116</v>
      </c>
      <c r="BE172" s="477">
        <f t="shared" si="262"/>
        <v>10.923333333333334</v>
      </c>
      <c r="BF172" s="477">
        <f t="shared" si="263"/>
        <v>27.521111111111111</v>
      </c>
      <c r="BG172" s="477">
        <f t="shared" si="264"/>
        <v>33.043333333333337</v>
      </c>
    </row>
    <row r="173" spans="1:59">
      <c r="A173" s="213" t="s">
        <v>5317</v>
      </c>
      <c r="B173" s="231">
        <v>644925004</v>
      </c>
      <c r="C173" s="210" t="s">
        <v>5284</v>
      </c>
      <c r="D173" s="210">
        <v>1800</v>
      </c>
      <c r="F173" s="239" t="str" cm="1">
        <f t="array" aca="1" ref="F173" ca="1">MID(met2utc(PEPSSI_Commanding[[#This Row],[MET]]),3,15)</f>
        <v>26-179/03:58:09</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77">
        <f t="shared" si="227"/>
        <v>0</v>
      </c>
      <c r="V173" s="477">
        <f t="shared" si="228"/>
        <v>0</v>
      </c>
      <c r="W173" s="477">
        <f t="shared" si="229"/>
        <v>0.28444444444444444</v>
      </c>
      <c r="X173" s="477">
        <f t="shared" si="230"/>
        <v>5.5222222222222221</v>
      </c>
      <c r="Y173" s="477">
        <f t="shared" si="231"/>
        <v>3.6944444444444446</v>
      </c>
      <c r="Z173" s="477">
        <f t="shared" si="232"/>
        <v>3.6944444444444446</v>
      </c>
      <c r="AA173" s="477">
        <f t="shared" si="233"/>
        <v>22.12</v>
      </c>
      <c r="AB173" s="243"/>
      <c r="AC173" s="477">
        <f t="shared" si="234"/>
        <v>5.5222222222222221</v>
      </c>
      <c r="AD173" s="477">
        <f t="shared" si="235"/>
        <v>22.12</v>
      </c>
      <c r="AE173" s="477">
        <f t="shared" si="236"/>
        <v>27.642222222222223</v>
      </c>
      <c r="AF173" s="477">
        <f t="shared" si="237"/>
        <v>3.6944444444444446</v>
      </c>
      <c r="AG173" s="477">
        <f t="shared" si="238"/>
        <v>9.2166666666666668</v>
      </c>
      <c r="AH173" s="477">
        <f t="shared" si="239"/>
        <v>25.814444444444447</v>
      </c>
      <c r="AI173" s="477">
        <f t="shared" si="240"/>
        <v>31.33666666666667</v>
      </c>
      <c r="AJ173" s="477">
        <f t="shared" si="241"/>
        <v>0</v>
      </c>
      <c r="AK173" s="477">
        <f t="shared" si="242"/>
        <v>5.5222222222222221</v>
      </c>
      <c r="AL173" s="477">
        <f t="shared" si="243"/>
        <v>22.12</v>
      </c>
      <c r="AM173" s="477">
        <f t="shared" si="244"/>
        <v>27.642222222222223</v>
      </c>
      <c r="AN173" s="477">
        <f t="shared" si="245"/>
        <v>3.6944444444444446</v>
      </c>
      <c r="AO173" s="477">
        <f t="shared" si="246"/>
        <v>9.2166666666666668</v>
      </c>
      <c r="AP173" s="477">
        <f t="shared" si="247"/>
        <v>25.814444444444447</v>
      </c>
      <c r="AQ173" s="477">
        <f t="shared" si="248"/>
        <v>31.33666666666667</v>
      </c>
      <c r="AR173" s="477">
        <f t="shared" si="249"/>
        <v>0.28444444444444444</v>
      </c>
      <c r="AS173" s="477">
        <f t="shared" si="250"/>
        <v>5.8066666666666666</v>
      </c>
      <c r="AT173" s="477">
        <f t="shared" si="251"/>
        <v>22.404444444444444</v>
      </c>
      <c r="AU173" s="477">
        <f t="shared" si="252"/>
        <v>27.926666666666666</v>
      </c>
      <c r="AV173" s="477">
        <f t="shared" si="253"/>
        <v>3.9788888888888891</v>
      </c>
      <c r="AW173" s="477">
        <f t="shared" si="254"/>
        <v>9.5011111111111113</v>
      </c>
      <c r="AX173" s="477">
        <f t="shared" si="255"/>
        <v>26.09888888888889</v>
      </c>
      <c r="AY173" s="477">
        <f t="shared" si="256"/>
        <v>31.621111111111112</v>
      </c>
      <c r="AZ173" s="477">
        <f t="shared" si="257"/>
        <v>0.28444444444444444</v>
      </c>
      <c r="BA173" s="477">
        <f t="shared" si="258"/>
        <v>5.8066666666666666</v>
      </c>
      <c r="BB173" s="477">
        <f t="shared" si="259"/>
        <v>22.404444444444444</v>
      </c>
      <c r="BC173" s="477">
        <f t="shared" si="260"/>
        <v>27.926666666666666</v>
      </c>
      <c r="BD173" s="477">
        <f t="shared" si="261"/>
        <v>3.9788888888888891</v>
      </c>
      <c r="BE173" s="477">
        <f t="shared" si="262"/>
        <v>9.5011111111111113</v>
      </c>
      <c r="BF173" s="477">
        <f t="shared" si="263"/>
        <v>26.09888888888889</v>
      </c>
      <c r="BG173" s="477">
        <f t="shared" si="264"/>
        <v>31.621111111111112</v>
      </c>
    </row>
    <row r="174" spans="1:59">
      <c r="A174" s="213" t="s">
        <v>5315</v>
      </c>
      <c r="B174" s="231">
        <v>644925055</v>
      </c>
      <c r="C174" s="210" t="s">
        <v>5285</v>
      </c>
      <c r="D174" s="210">
        <v>102</v>
      </c>
      <c r="F174" s="239" t="str" cm="1">
        <f t="array" aca="1" ref="F174" ca="1">MID(met2utc(PEPSSI_Commanding[[#This Row],[MET]]),3,15)</f>
        <v>26-179/03:59:00</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77">
        <f t="shared" ref="U174:U183" si="277">IF(OR($N174="",$R174=""),0,U$1/64/$N174)</f>
        <v>0</v>
      </c>
      <c r="V174" s="477">
        <f t="shared" ref="V174:V183" si="278">IF(OR($N174="",$R174=""),0,V$1/64/$N174)</f>
        <v>0</v>
      </c>
      <c r="W174" s="477">
        <f t="shared" ref="W174:W183" si="279">IF($P174="",0,W$1/$P174)</f>
        <v>0.28444444444444444</v>
      </c>
      <c r="X174" s="477">
        <f t="shared" ref="X174:X183" si="280">IF($M174="",0,X$1/$M174)</f>
        <v>5.5222222222222221</v>
      </c>
      <c r="Y174" s="477">
        <f t="shared" ref="Y174:Y183" si="281">IF(OR($N174="",$Q174&lt;&gt;""),0,Y$1/$N174)</f>
        <v>3.6944444444444446</v>
      </c>
      <c r="Z174" s="477">
        <f t="shared" ref="Z174:Z183" si="282">IF($N174="",0,IF($R174="",1,R174/43200)*Y174)</f>
        <v>3.6944444444444446</v>
      </c>
      <c r="AA174" s="477">
        <f t="shared" ref="AA174:AA183" si="283">IF($O174="",0,AA$1/$O174)</f>
        <v>22.12</v>
      </c>
      <c r="AB174" s="243"/>
      <c r="AC174" s="477">
        <f t="shared" ref="AC174:AC183" si="284">IF(AC$3&lt;&gt;"",$W174,0)+IF(AC$4&lt;&gt;"",$U174,0)+IF(AC$5&lt;&gt;"",$Z174+IF($S174&lt;&gt;"102",$V174,0),0)+IF(AC$6&lt;&gt;"",$AA174+IF($S174="102",$V174,0),0)+IF(AC$7&lt;&gt;"",$X174,0)</f>
        <v>5.5222222222222221</v>
      </c>
      <c r="AD174" s="477">
        <f t="shared" ref="AD174:AD183" si="285">IF(AD$3&lt;&gt;"",$W174,0)+IF(AD$4&lt;&gt;"",$U174,0)+IF(AD$5&lt;&gt;"",$Z174+IF($S174&lt;&gt;"102",$V174,0),0)+IF(AD$6&lt;&gt;"",$AA174+IF($S174="102",$V174,0),0)+IF(AD$7&lt;&gt;"",$X174,0)</f>
        <v>22.12</v>
      </c>
      <c r="AE174" s="477">
        <f t="shared" ref="AE174:AE183" si="286">IF(AE$3&lt;&gt;"",$W174,0)+IF(AE$4&lt;&gt;"",$U174,0)+IF(AE$5&lt;&gt;"",$Z174+IF($S174&lt;&gt;"102",$V174,0),0)+IF(AE$6&lt;&gt;"",$AA174+IF($S174="102",$V174,0),0)+IF(AE$7&lt;&gt;"",$X174,0)</f>
        <v>27.642222222222223</v>
      </c>
      <c r="AF174" s="477">
        <f t="shared" ref="AF174:AF183" si="287">IF(AF$3&lt;&gt;"",$W174,0)+IF(AF$4&lt;&gt;"",$U174,0)+IF(AF$5&lt;&gt;"",$Z174+IF($S174&lt;&gt;"102",$V174,0),0)+IF(AF$6&lt;&gt;"",$AA174+IF($S174="102",$V174,0),0)+IF(AF$7&lt;&gt;"",$X174,0)</f>
        <v>3.6944444444444446</v>
      </c>
      <c r="AG174" s="477">
        <f t="shared" ref="AG174:AG183" si="288">IF(AG$3&lt;&gt;"",$W174,0)+IF(AG$4&lt;&gt;"",$U174,0)+IF(AG$5&lt;&gt;"",$Z174+IF($S174&lt;&gt;"102",$V174,0),0)+IF(AG$6&lt;&gt;"",$AA174+IF($S174="102",$V174,0),0)+IF(AG$7&lt;&gt;"",$X174,0)</f>
        <v>9.2166666666666668</v>
      </c>
      <c r="AH174" s="477">
        <f t="shared" ref="AH174:AH183" si="289">IF(AH$3&lt;&gt;"",$W174,0)+IF(AH$4&lt;&gt;"",$U174,0)+IF(AH$5&lt;&gt;"",$Z174+IF($S174&lt;&gt;"102",$V174,0),0)+IF(AH$6&lt;&gt;"",$AA174+IF($S174="102",$V174,0),0)+IF(AH$7&lt;&gt;"",$X174,0)</f>
        <v>25.814444444444447</v>
      </c>
      <c r="AI174" s="477">
        <f t="shared" ref="AI174:AI183" si="290">IF(AI$3&lt;&gt;"",$W174,0)+IF(AI$4&lt;&gt;"",$U174,0)+IF(AI$5&lt;&gt;"",$Z174+IF($S174&lt;&gt;"102",$V174,0),0)+IF(AI$6&lt;&gt;"",$AA174+IF($S174="102",$V174,0),0)+IF(AI$7&lt;&gt;"",$X174,0)</f>
        <v>31.33666666666667</v>
      </c>
      <c r="AJ174" s="477">
        <f t="shared" ref="AJ174:AJ183" si="291">IF(AJ$3&lt;&gt;"",$W174,0)+IF(AJ$4&lt;&gt;"",$U174,0)+IF(AJ$5&lt;&gt;"",$Z174+IF($S174&lt;&gt;"102",$V174,0),0)+IF(AJ$6&lt;&gt;"",$AA174+IF($S174="102",$V174,0),0)+IF(AJ$7&lt;&gt;"",$X174,0)</f>
        <v>0</v>
      </c>
      <c r="AK174" s="477">
        <f t="shared" ref="AK174:AK183" si="292">IF(AK$3&lt;&gt;"",$W174,0)+IF(AK$4&lt;&gt;"",$U174,0)+IF(AK$5&lt;&gt;"",$Z174+IF($S174&lt;&gt;"102",$V174,0),0)+IF(AK$6&lt;&gt;"",$AA174+IF($S174="102",$V174,0),0)+IF(AK$7&lt;&gt;"",$X174,0)</f>
        <v>5.5222222222222221</v>
      </c>
      <c r="AL174" s="477">
        <f t="shared" ref="AL174:AL183" si="293">IF(AL$3&lt;&gt;"",$W174,0)+IF(AL$4&lt;&gt;"",$U174,0)+IF(AL$5&lt;&gt;"",$Z174+IF($S174&lt;&gt;"102",$V174,0),0)+IF(AL$6&lt;&gt;"",$AA174+IF($S174="102",$V174,0),0)+IF(AL$7&lt;&gt;"",$X174,0)</f>
        <v>22.12</v>
      </c>
      <c r="AM174" s="477">
        <f t="shared" ref="AM174:AM183" si="294">IF(AM$3&lt;&gt;"",$W174,0)+IF(AM$4&lt;&gt;"",$U174,0)+IF(AM$5&lt;&gt;"",$Z174+IF($S174&lt;&gt;"102",$V174,0),0)+IF(AM$6&lt;&gt;"",$AA174+IF($S174="102",$V174,0),0)+IF(AM$7&lt;&gt;"",$X174,0)</f>
        <v>27.642222222222223</v>
      </c>
      <c r="AN174" s="477">
        <f t="shared" ref="AN174:AN183" si="295">IF(AN$3&lt;&gt;"",$W174,0)+IF(AN$4&lt;&gt;"",$U174,0)+IF(AN$5&lt;&gt;"",$Z174+IF($S174&lt;&gt;"102",$V174,0),0)+IF(AN$6&lt;&gt;"",$AA174+IF($S174="102",$V174,0),0)+IF(AN$7&lt;&gt;"",$X174,0)</f>
        <v>3.6944444444444446</v>
      </c>
      <c r="AO174" s="477">
        <f t="shared" ref="AO174:AO183" si="296">IF(AO$3&lt;&gt;"",$W174,0)+IF(AO$4&lt;&gt;"",$U174,0)+IF(AO$5&lt;&gt;"",$Z174+IF($S174&lt;&gt;"102",$V174,0),0)+IF(AO$6&lt;&gt;"",$AA174+IF($S174="102",$V174,0),0)+IF(AO$7&lt;&gt;"",$X174,0)</f>
        <v>9.2166666666666668</v>
      </c>
      <c r="AP174" s="477">
        <f t="shared" ref="AP174:AP183" si="297">IF(AP$3&lt;&gt;"",$W174,0)+IF(AP$4&lt;&gt;"",$U174,0)+IF(AP$5&lt;&gt;"",$Z174+IF($S174&lt;&gt;"102",$V174,0),0)+IF(AP$6&lt;&gt;"",$AA174+IF($S174="102",$V174,0),0)+IF(AP$7&lt;&gt;"",$X174,0)</f>
        <v>25.814444444444447</v>
      </c>
      <c r="AQ174" s="477">
        <f t="shared" ref="AQ174:AQ183" si="298">IF(AQ$3&lt;&gt;"",$W174,0)+IF(AQ$4&lt;&gt;"",$U174,0)+IF(AQ$5&lt;&gt;"",$Z174+IF($S174&lt;&gt;"102",$V174,0),0)+IF(AQ$6&lt;&gt;"",$AA174+IF($S174="102",$V174,0),0)+IF(AQ$7&lt;&gt;"",$X174,0)</f>
        <v>31.33666666666667</v>
      </c>
      <c r="AR174" s="477">
        <f t="shared" ref="AR174:AR183" si="299">IF(AR$3&lt;&gt;"",$W174,0)+IF(AR$4&lt;&gt;"",$U174,0)+IF(AR$5&lt;&gt;"",$Z174+IF($S174&lt;&gt;"102",$V174,0),0)+IF(AR$6&lt;&gt;"",$AA174+IF($S174="102",$V174,0),0)+IF(AR$7&lt;&gt;"",$X174,0)</f>
        <v>0.28444444444444444</v>
      </c>
      <c r="AS174" s="477">
        <f t="shared" ref="AS174:AS183" si="300">IF(AS$3&lt;&gt;"",$W174,0)+IF(AS$4&lt;&gt;"",$U174,0)+IF(AS$5&lt;&gt;"",$Z174+IF($S174&lt;&gt;"102",$V174,0),0)+IF(AS$6&lt;&gt;"",$AA174+IF($S174="102",$V174,0),0)+IF(AS$7&lt;&gt;"",$X174,0)</f>
        <v>5.8066666666666666</v>
      </c>
      <c r="AT174" s="477">
        <f t="shared" ref="AT174:AT183" si="301">IF(AT$3&lt;&gt;"",$W174,0)+IF(AT$4&lt;&gt;"",$U174,0)+IF(AT$5&lt;&gt;"",$Z174+IF($S174&lt;&gt;"102",$V174,0),0)+IF(AT$6&lt;&gt;"",$AA174+IF($S174="102",$V174,0),0)+IF(AT$7&lt;&gt;"",$X174,0)</f>
        <v>22.404444444444444</v>
      </c>
      <c r="AU174" s="477">
        <f t="shared" ref="AU174:AU183" si="302">IF(AU$3&lt;&gt;"",$W174,0)+IF(AU$4&lt;&gt;"",$U174,0)+IF(AU$5&lt;&gt;"",$Z174+IF($S174&lt;&gt;"102",$V174,0),0)+IF(AU$6&lt;&gt;"",$AA174+IF($S174="102",$V174,0),0)+IF(AU$7&lt;&gt;"",$X174,0)</f>
        <v>27.926666666666666</v>
      </c>
      <c r="AV174" s="477">
        <f t="shared" ref="AV174:AV183" si="303">IF(AV$3&lt;&gt;"",$W174,0)+IF(AV$4&lt;&gt;"",$U174,0)+IF(AV$5&lt;&gt;"",$Z174+IF($S174&lt;&gt;"102",$V174,0),0)+IF(AV$6&lt;&gt;"",$AA174+IF($S174="102",$V174,0),0)+IF(AV$7&lt;&gt;"",$X174,0)</f>
        <v>3.9788888888888891</v>
      </c>
      <c r="AW174" s="477">
        <f t="shared" ref="AW174:AW183" si="304">IF(AW$3&lt;&gt;"",$W174,0)+IF(AW$4&lt;&gt;"",$U174,0)+IF(AW$5&lt;&gt;"",$Z174+IF($S174&lt;&gt;"102",$V174,0),0)+IF(AW$6&lt;&gt;"",$AA174+IF($S174="102",$V174,0),0)+IF(AW$7&lt;&gt;"",$X174,0)</f>
        <v>9.5011111111111113</v>
      </c>
      <c r="AX174" s="477">
        <f t="shared" ref="AX174:AX183" si="305">IF(AX$3&lt;&gt;"",$W174,0)+IF(AX$4&lt;&gt;"",$U174,0)+IF(AX$5&lt;&gt;"",$Z174+IF($S174&lt;&gt;"102",$V174,0),0)+IF(AX$6&lt;&gt;"",$AA174+IF($S174="102",$V174,0),0)+IF(AX$7&lt;&gt;"",$X174,0)</f>
        <v>26.09888888888889</v>
      </c>
      <c r="AY174" s="477">
        <f t="shared" ref="AY174:AY183" si="306">IF(AY$3&lt;&gt;"",$W174,0)+IF(AY$4&lt;&gt;"",$U174,0)+IF(AY$5&lt;&gt;"",$Z174+IF($S174&lt;&gt;"102",$V174,0),0)+IF(AY$6&lt;&gt;"",$AA174+IF($S174="102",$V174,0),0)+IF(AY$7&lt;&gt;"",$X174,0)</f>
        <v>31.621111111111112</v>
      </c>
      <c r="AZ174" s="477">
        <f t="shared" ref="AZ174:AZ183" si="307">IF(AZ$3&lt;&gt;"",$W174,0)+IF(AZ$4&lt;&gt;"",$U174,0)+IF(AZ$5&lt;&gt;"",$Z174+IF($S174&lt;&gt;"102",$V174,0),0)+IF(AZ$6&lt;&gt;"",$AA174+IF($S174="102",$V174,0),0)+IF(AZ$7&lt;&gt;"",$X174,0)</f>
        <v>0.28444444444444444</v>
      </c>
      <c r="BA174" s="477">
        <f t="shared" ref="BA174:BA183" si="308">IF(BA$3&lt;&gt;"",$W174,0)+IF(BA$4&lt;&gt;"",$U174,0)+IF(BA$5&lt;&gt;"",$Z174+IF($S174&lt;&gt;"102",$V174,0),0)+IF(BA$6&lt;&gt;"",$AA174+IF($S174="102",$V174,0),0)+IF(BA$7&lt;&gt;"",$X174,0)</f>
        <v>5.8066666666666666</v>
      </c>
      <c r="BB174" s="477">
        <f t="shared" ref="BB174:BB183" si="309">IF(BB$3&lt;&gt;"",$W174,0)+IF(BB$4&lt;&gt;"",$U174,0)+IF(BB$5&lt;&gt;"",$Z174+IF($S174&lt;&gt;"102",$V174,0),0)+IF(BB$6&lt;&gt;"",$AA174+IF($S174="102",$V174,0),0)+IF(BB$7&lt;&gt;"",$X174,0)</f>
        <v>22.404444444444444</v>
      </c>
      <c r="BC174" s="477">
        <f t="shared" ref="BC174:BC183" si="310">IF(BC$3&lt;&gt;"",$W174,0)+IF(BC$4&lt;&gt;"",$U174,0)+IF(BC$5&lt;&gt;"",$Z174+IF($S174&lt;&gt;"102",$V174,0),0)+IF(BC$6&lt;&gt;"",$AA174+IF($S174="102",$V174,0),0)+IF(BC$7&lt;&gt;"",$X174,0)</f>
        <v>27.926666666666666</v>
      </c>
      <c r="BD174" s="477">
        <f t="shared" ref="BD174:BD183" si="311">IF(BD$3&lt;&gt;"",$W174,0)+IF(BD$4&lt;&gt;"",$U174,0)+IF(BD$5&lt;&gt;"",$Z174+IF($S174&lt;&gt;"102",$V174,0),0)+IF(BD$6&lt;&gt;"",$AA174+IF($S174="102",$V174,0),0)+IF(BD$7&lt;&gt;"",$X174,0)</f>
        <v>3.9788888888888891</v>
      </c>
      <c r="BE174" s="477">
        <f t="shared" ref="BE174:BE183" si="312">IF(BE$3&lt;&gt;"",$W174,0)+IF(BE$4&lt;&gt;"",$U174,0)+IF(BE$5&lt;&gt;"",$Z174+IF($S174&lt;&gt;"102",$V174,0),0)+IF(BE$6&lt;&gt;"",$AA174+IF($S174="102",$V174,0),0)+IF(BE$7&lt;&gt;"",$X174,0)</f>
        <v>9.5011111111111113</v>
      </c>
      <c r="BF174" s="477">
        <f t="shared" ref="BF174:BF183" si="313">IF(BF$3&lt;&gt;"",$W174,0)+IF(BF$4&lt;&gt;"",$U174,0)+IF(BF$5&lt;&gt;"",$Z174+IF($S174&lt;&gt;"102",$V174,0),0)+IF(BF$6&lt;&gt;"",$AA174+IF($S174="102",$V174,0),0)+IF(BF$7&lt;&gt;"",$X174,0)</f>
        <v>26.09888888888889</v>
      </c>
      <c r="BG174" s="47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26-179/04:09:00</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77">
        <f t="shared" si="277"/>
        <v>0</v>
      </c>
      <c r="V175" s="477">
        <f t="shared" si="278"/>
        <v>0</v>
      </c>
      <c r="W175" s="477">
        <f t="shared" si="279"/>
        <v>0.28444444444444444</v>
      </c>
      <c r="X175" s="477">
        <f t="shared" si="280"/>
        <v>5.5222222222222221</v>
      </c>
      <c r="Y175" s="477">
        <f t="shared" si="281"/>
        <v>0</v>
      </c>
      <c r="Z175" s="477">
        <f t="shared" si="282"/>
        <v>0</v>
      </c>
      <c r="AA175" s="477">
        <f t="shared" si="283"/>
        <v>22.12</v>
      </c>
      <c r="AB175" s="243"/>
      <c r="AC175" s="477">
        <f t="shared" si="284"/>
        <v>5.5222222222222221</v>
      </c>
      <c r="AD175" s="477">
        <f t="shared" si="285"/>
        <v>22.12</v>
      </c>
      <c r="AE175" s="477">
        <f t="shared" si="286"/>
        <v>27.642222222222223</v>
      </c>
      <c r="AF175" s="477">
        <f t="shared" si="287"/>
        <v>0</v>
      </c>
      <c r="AG175" s="477">
        <f t="shared" si="288"/>
        <v>5.5222222222222221</v>
      </c>
      <c r="AH175" s="477">
        <f t="shared" si="289"/>
        <v>22.12</v>
      </c>
      <c r="AI175" s="477">
        <f t="shared" si="290"/>
        <v>27.642222222222223</v>
      </c>
      <c r="AJ175" s="477">
        <f t="shared" si="291"/>
        <v>0</v>
      </c>
      <c r="AK175" s="477">
        <f t="shared" si="292"/>
        <v>5.5222222222222221</v>
      </c>
      <c r="AL175" s="477">
        <f t="shared" si="293"/>
        <v>22.12</v>
      </c>
      <c r="AM175" s="477">
        <f t="shared" si="294"/>
        <v>27.642222222222223</v>
      </c>
      <c r="AN175" s="477">
        <f t="shared" si="295"/>
        <v>0</v>
      </c>
      <c r="AO175" s="477">
        <f t="shared" si="296"/>
        <v>5.5222222222222221</v>
      </c>
      <c r="AP175" s="477">
        <f t="shared" si="297"/>
        <v>22.12</v>
      </c>
      <c r="AQ175" s="477">
        <f t="shared" si="298"/>
        <v>27.642222222222223</v>
      </c>
      <c r="AR175" s="477">
        <f t="shared" si="299"/>
        <v>0.28444444444444444</v>
      </c>
      <c r="AS175" s="477">
        <f t="shared" si="300"/>
        <v>5.8066666666666666</v>
      </c>
      <c r="AT175" s="477">
        <f t="shared" si="301"/>
        <v>22.404444444444444</v>
      </c>
      <c r="AU175" s="477">
        <f t="shared" si="302"/>
        <v>27.926666666666666</v>
      </c>
      <c r="AV175" s="477">
        <f t="shared" si="303"/>
        <v>0.28444444444444444</v>
      </c>
      <c r="AW175" s="477">
        <f t="shared" si="304"/>
        <v>5.8066666666666666</v>
      </c>
      <c r="AX175" s="477">
        <f t="shared" si="305"/>
        <v>22.404444444444444</v>
      </c>
      <c r="AY175" s="477">
        <f t="shared" si="306"/>
        <v>27.926666666666666</v>
      </c>
      <c r="AZ175" s="477">
        <f t="shared" si="307"/>
        <v>0.28444444444444444</v>
      </c>
      <c r="BA175" s="477">
        <f t="shared" si="308"/>
        <v>5.8066666666666666</v>
      </c>
      <c r="BB175" s="477">
        <f t="shared" si="309"/>
        <v>22.404444444444444</v>
      </c>
      <c r="BC175" s="477">
        <f t="shared" si="310"/>
        <v>27.926666666666666</v>
      </c>
      <c r="BD175" s="477">
        <f t="shared" si="311"/>
        <v>0.28444444444444444</v>
      </c>
      <c r="BE175" s="477">
        <f t="shared" si="312"/>
        <v>5.8066666666666666</v>
      </c>
      <c r="BF175" s="477">
        <f t="shared" si="313"/>
        <v>22.404444444444444</v>
      </c>
      <c r="BG175" s="477">
        <f t="shared" si="314"/>
        <v>27.926666666666666</v>
      </c>
    </row>
    <row r="176" spans="1:59">
      <c r="A176" s="213" t="s">
        <v>5315</v>
      </c>
      <c r="B176" s="231">
        <v>644926255</v>
      </c>
      <c r="C176" s="210" t="s">
        <v>5285</v>
      </c>
      <c r="D176" s="210">
        <v>105</v>
      </c>
      <c r="F176" s="239" t="str" cm="1">
        <f t="array" aca="1" ref="F176" ca="1">MID(met2utc(PEPSSI_Commanding[[#This Row],[MET]]),3,15)</f>
        <v>26-179/04:19:00</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77">
        <f t="shared" si="277"/>
        <v>4.40625</v>
      </c>
      <c r="V176" s="477">
        <f t="shared" si="278"/>
        <v>18.28125</v>
      </c>
      <c r="W176" s="477">
        <f t="shared" si="279"/>
        <v>0.28444444444444444</v>
      </c>
      <c r="X176" s="477">
        <f t="shared" si="280"/>
        <v>5.5222222222222221</v>
      </c>
      <c r="Y176" s="477">
        <f t="shared" si="281"/>
        <v>665</v>
      </c>
      <c r="Z176" s="477">
        <f t="shared" si="282"/>
        <v>4.6180555555555554</v>
      </c>
      <c r="AA176" s="477">
        <f t="shared" si="283"/>
        <v>22.12</v>
      </c>
      <c r="AB176" s="243"/>
      <c r="AC176" s="477">
        <f t="shared" si="284"/>
        <v>5.5222222222222221</v>
      </c>
      <c r="AD176" s="477">
        <f t="shared" si="285"/>
        <v>40.401250000000005</v>
      </c>
      <c r="AE176" s="477">
        <f t="shared" si="286"/>
        <v>45.92347222222223</v>
      </c>
      <c r="AF176" s="477">
        <f t="shared" si="287"/>
        <v>4.6180555555555554</v>
      </c>
      <c r="AG176" s="477">
        <f t="shared" si="288"/>
        <v>10.140277777777778</v>
      </c>
      <c r="AH176" s="477">
        <f t="shared" si="289"/>
        <v>45.019305555555562</v>
      </c>
      <c r="AI176" s="477">
        <f t="shared" si="290"/>
        <v>50.541527777777787</v>
      </c>
      <c r="AJ176" s="477">
        <f t="shared" si="291"/>
        <v>4.40625</v>
      </c>
      <c r="AK176" s="477">
        <f t="shared" si="292"/>
        <v>9.9284722222222221</v>
      </c>
      <c r="AL176" s="477">
        <f t="shared" si="293"/>
        <v>44.807500000000005</v>
      </c>
      <c r="AM176" s="477">
        <f t="shared" si="294"/>
        <v>50.32972222222223</v>
      </c>
      <c r="AN176" s="477">
        <f t="shared" si="295"/>
        <v>9.0243055555555554</v>
      </c>
      <c r="AO176" s="477">
        <f t="shared" si="296"/>
        <v>14.546527777777778</v>
      </c>
      <c r="AP176" s="477">
        <f t="shared" si="297"/>
        <v>49.425555555555562</v>
      </c>
      <c r="AQ176" s="477">
        <f t="shared" si="298"/>
        <v>54.947777777777787</v>
      </c>
      <c r="AR176" s="477">
        <f t="shared" si="299"/>
        <v>0.28444444444444444</v>
      </c>
      <c r="AS176" s="477">
        <f t="shared" si="300"/>
        <v>5.8066666666666666</v>
      </c>
      <c r="AT176" s="477">
        <f t="shared" si="301"/>
        <v>40.685694444444451</v>
      </c>
      <c r="AU176" s="477">
        <f t="shared" si="302"/>
        <v>46.207916666666677</v>
      </c>
      <c r="AV176" s="477">
        <f t="shared" si="303"/>
        <v>4.9024999999999999</v>
      </c>
      <c r="AW176" s="477">
        <f t="shared" si="304"/>
        <v>10.424722222222222</v>
      </c>
      <c r="AX176" s="477">
        <f t="shared" si="305"/>
        <v>45.303750000000008</v>
      </c>
      <c r="AY176" s="477">
        <f t="shared" si="306"/>
        <v>50.825972222222234</v>
      </c>
      <c r="AZ176" s="477">
        <f t="shared" si="307"/>
        <v>4.6906944444444445</v>
      </c>
      <c r="BA176" s="477">
        <f t="shared" si="308"/>
        <v>10.212916666666667</v>
      </c>
      <c r="BB176" s="477">
        <f t="shared" si="309"/>
        <v>45.091944444444451</v>
      </c>
      <c r="BC176" s="477">
        <f t="shared" si="310"/>
        <v>50.614166666666677</v>
      </c>
      <c r="BD176" s="477">
        <f t="shared" si="311"/>
        <v>9.3087499999999999</v>
      </c>
      <c r="BE176" s="477">
        <f t="shared" si="312"/>
        <v>14.830972222222222</v>
      </c>
      <c r="BF176" s="477">
        <f t="shared" si="313"/>
        <v>49.710000000000008</v>
      </c>
      <c r="BG176" s="477">
        <f t="shared" si="314"/>
        <v>55.232222222222234</v>
      </c>
    </row>
    <row r="177" spans="1:59">
      <c r="A177" s="213" t="s">
        <v>5315</v>
      </c>
      <c r="B177" s="231">
        <v>646883515</v>
      </c>
      <c r="C177" s="210" t="s">
        <v>5285</v>
      </c>
      <c r="D177" s="210">
        <v>111</v>
      </c>
      <c r="F177" s="239" t="str" cm="1">
        <f t="array" aca="1" ref="F177" ca="1">MID(met2utc(PEPSSI_Commanding[[#This Row],[MET]]),3,15)</f>
        <v>26-201/20:00:00</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77">
        <f t="shared" si="277"/>
        <v>0</v>
      </c>
      <c r="V177" s="477">
        <f t="shared" si="278"/>
        <v>0</v>
      </c>
      <c r="W177" s="477">
        <f t="shared" si="279"/>
        <v>0.28444444444444444</v>
      </c>
      <c r="X177" s="477">
        <f t="shared" si="280"/>
        <v>5.5222222222222221</v>
      </c>
      <c r="Y177" s="477">
        <f t="shared" si="281"/>
        <v>0</v>
      </c>
      <c r="Z177" s="477">
        <f t="shared" si="282"/>
        <v>0</v>
      </c>
      <c r="AA177" s="477">
        <f t="shared" si="283"/>
        <v>22.12</v>
      </c>
      <c r="AB177" s="243"/>
      <c r="AC177" s="477">
        <f t="shared" si="284"/>
        <v>5.5222222222222221</v>
      </c>
      <c r="AD177" s="477">
        <f t="shared" si="285"/>
        <v>22.12</v>
      </c>
      <c r="AE177" s="477">
        <f t="shared" si="286"/>
        <v>27.642222222222223</v>
      </c>
      <c r="AF177" s="477">
        <f t="shared" si="287"/>
        <v>0</v>
      </c>
      <c r="AG177" s="477">
        <f t="shared" si="288"/>
        <v>5.5222222222222221</v>
      </c>
      <c r="AH177" s="477">
        <f t="shared" si="289"/>
        <v>22.12</v>
      </c>
      <c r="AI177" s="477">
        <f t="shared" si="290"/>
        <v>27.642222222222223</v>
      </c>
      <c r="AJ177" s="477">
        <f t="shared" si="291"/>
        <v>0</v>
      </c>
      <c r="AK177" s="477">
        <f t="shared" si="292"/>
        <v>5.5222222222222221</v>
      </c>
      <c r="AL177" s="477">
        <f t="shared" si="293"/>
        <v>22.12</v>
      </c>
      <c r="AM177" s="477">
        <f t="shared" si="294"/>
        <v>27.642222222222223</v>
      </c>
      <c r="AN177" s="477">
        <f t="shared" si="295"/>
        <v>0</v>
      </c>
      <c r="AO177" s="477">
        <f t="shared" si="296"/>
        <v>5.5222222222222221</v>
      </c>
      <c r="AP177" s="477">
        <f t="shared" si="297"/>
        <v>22.12</v>
      </c>
      <c r="AQ177" s="477">
        <f t="shared" si="298"/>
        <v>27.642222222222223</v>
      </c>
      <c r="AR177" s="477">
        <f t="shared" si="299"/>
        <v>0.28444444444444444</v>
      </c>
      <c r="AS177" s="477">
        <f t="shared" si="300"/>
        <v>5.8066666666666666</v>
      </c>
      <c r="AT177" s="477">
        <f t="shared" si="301"/>
        <v>22.404444444444444</v>
      </c>
      <c r="AU177" s="477">
        <f t="shared" si="302"/>
        <v>27.926666666666666</v>
      </c>
      <c r="AV177" s="477">
        <f t="shared" si="303"/>
        <v>0.28444444444444444</v>
      </c>
      <c r="AW177" s="477">
        <f t="shared" si="304"/>
        <v>5.8066666666666666</v>
      </c>
      <c r="AX177" s="477">
        <f t="shared" si="305"/>
        <v>22.404444444444444</v>
      </c>
      <c r="AY177" s="477">
        <f t="shared" si="306"/>
        <v>27.926666666666666</v>
      </c>
      <c r="AZ177" s="477">
        <f t="shared" si="307"/>
        <v>0.28444444444444444</v>
      </c>
      <c r="BA177" s="477">
        <f t="shared" si="308"/>
        <v>5.8066666666666666</v>
      </c>
      <c r="BB177" s="477">
        <f t="shared" si="309"/>
        <v>22.404444444444444</v>
      </c>
      <c r="BC177" s="477">
        <f t="shared" si="310"/>
        <v>27.926666666666666</v>
      </c>
      <c r="BD177" s="477">
        <f t="shared" si="311"/>
        <v>0.28444444444444444</v>
      </c>
      <c r="BE177" s="477">
        <f t="shared" si="312"/>
        <v>5.8066666666666666</v>
      </c>
      <c r="BF177" s="477">
        <f t="shared" si="313"/>
        <v>22.404444444444444</v>
      </c>
      <c r="BG177" s="477">
        <f t="shared" si="314"/>
        <v>27.926666666666666</v>
      </c>
    </row>
    <row r="178" spans="1:59">
      <c r="A178" s="213" t="s">
        <v>5316</v>
      </c>
      <c r="B178" s="231">
        <v>646884115</v>
      </c>
      <c r="C178" s="210" t="s">
        <v>61</v>
      </c>
      <c r="D178" s="210">
        <v>360</v>
      </c>
      <c r="F178" s="239" t="str" cm="1">
        <f t="array" aca="1" ref="F178" ca="1">MID(met2utc(PEPSSI_Commanding[[#This Row],[MET]]),3,15)</f>
        <v>26-201/20:10:00</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77">
        <f t="shared" si="277"/>
        <v>0</v>
      </c>
      <c r="V178" s="477">
        <f t="shared" si="278"/>
        <v>0</v>
      </c>
      <c r="W178" s="477">
        <f t="shared" si="279"/>
        <v>0.28444444444444444</v>
      </c>
      <c r="X178" s="477">
        <f t="shared" si="280"/>
        <v>5.5222222222222221</v>
      </c>
      <c r="Y178" s="477">
        <f t="shared" si="281"/>
        <v>0</v>
      </c>
      <c r="Z178" s="477">
        <f t="shared" si="282"/>
        <v>0</v>
      </c>
      <c r="AA178" s="477">
        <f t="shared" si="283"/>
        <v>22.12</v>
      </c>
      <c r="AB178" s="243"/>
      <c r="AC178" s="477">
        <f t="shared" si="284"/>
        <v>5.5222222222222221</v>
      </c>
      <c r="AD178" s="477">
        <f t="shared" si="285"/>
        <v>22.12</v>
      </c>
      <c r="AE178" s="477">
        <f t="shared" si="286"/>
        <v>27.642222222222223</v>
      </c>
      <c r="AF178" s="477">
        <f t="shared" si="287"/>
        <v>0</v>
      </c>
      <c r="AG178" s="477">
        <f t="shared" si="288"/>
        <v>5.5222222222222221</v>
      </c>
      <c r="AH178" s="477">
        <f t="shared" si="289"/>
        <v>22.12</v>
      </c>
      <c r="AI178" s="477">
        <f t="shared" si="290"/>
        <v>27.642222222222223</v>
      </c>
      <c r="AJ178" s="477">
        <f t="shared" si="291"/>
        <v>0</v>
      </c>
      <c r="AK178" s="477">
        <f t="shared" si="292"/>
        <v>5.5222222222222221</v>
      </c>
      <c r="AL178" s="477">
        <f t="shared" si="293"/>
        <v>22.12</v>
      </c>
      <c r="AM178" s="477">
        <f t="shared" si="294"/>
        <v>27.642222222222223</v>
      </c>
      <c r="AN178" s="477">
        <f t="shared" si="295"/>
        <v>0</v>
      </c>
      <c r="AO178" s="477">
        <f t="shared" si="296"/>
        <v>5.5222222222222221</v>
      </c>
      <c r="AP178" s="477">
        <f t="shared" si="297"/>
        <v>22.12</v>
      </c>
      <c r="AQ178" s="477">
        <f t="shared" si="298"/>
        <v>27.642222222222223</v>
      </c>
      <c r="AR178" s="477">
        <f t="shared" si="299"/>
        <v>0.28444444444444444</v>
      </c>
      <c r="AS178" s="477">
        <f t="shared" si="300"/>
        <v>5.8066666666666666</v>
      </c>
      <c r="AT178" s="477">
        <f t="shared" si="301"/>
        <v>22.404444444444444</v>
      </c>
      <c r="AU178" s="477">
        <f t="shared" si="302"/>
        <v>27.926666666666666</v>
      </c>
      <c r="AV178" s="477">
        <f t="shared" si="303"/>
        <v>0.28444444444444444</v>
      </c>
      <c r="AW178" s="477">
        <f t="shared" si="304"/>
        <v>5.8066666666666666</v>
      </c>
      <c r="AX178" s="477">
        <f t="shared" si="305"/>
        <v>22.404444444444444</v>
      </c>
      <c r="AY178" s="477">
        <f t="shared" si="306"/>
        <v>27.926666666666666</v>
      </c>
      <c r="AZ178" s="477">
        <f t="shared" si="307"/>
        <v>0.28444444444444444</v>
      </c>
      <c r="BA178" s="477">
        <f t="shared" si="308"/>
        <v>5.8066666666666666</v>
      </c>
      <c r="BB178" s="477">
        <f t="shared" si="309"/>
        <v>22.404444444444444</v>
      </c>
      <c r="BC178" s="477">
        <f t="shared" si="310"/>
        <v>27.926666666666666</v>
      </c>
      <c r="BD178" s="477">
        <f t="shared" si="311"/>
        <v>0.28444444444444444</v>
      </c>
      <c r="BE178" s="477">
        <f t="shared" si="312"/>
        <v>5.8066666666666666</v>
      </c>
      <c r="BF178" s="477">
        <f t="shared" si="313"/>
        <v>22.404444444444444</v>
      </c>
      <c r="BG178" s="477">
        <f t="shared" si="314"/>
        <v>27.926666666666666</v>
      </c>
    </row>
    <row r="179" spans="1:59">
      <c r="A179" s="213" t="s">
        <v>5316</v>
      </c>
      <c r="B179" s="231">
        <v>646884118</v>
      </c>
      <c r="C179" s="210" t="s">
        <v>1</v>
      </c>
      <c r="D179" s="210">
        <v>360</v>
      </c>
      <c r="F179" s="239" t="str" cm="1">
        <f t="array" aca="1" ref="F179" ca="1">MID(met2utc(PEPSSI_Commanding[[#This Row],[MET]]),3,15)</f>
        <v>26-201/20:10:03</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77">
        <f t="shared" si="277"/>
        <v>0</v>
      </c>
      <c r="V179" s="477">
        <f t="shared" si="278"/>
        <v>0</v>
      </c>
      <c r="W179" s="477">
        <f t="shared" si="279"/>
        <v>0.28444444444444444</v>
      </c>
      <c r="X179" s="477">
        <f t="shared" si="280"/>
        <v>5.5222222222222221</v>
      </c>
      <c r="Y179" s="477">
        <f t="shared" si="281"/>
        <v>0</v>
      </c>
      <c r="Z179" s="477">
        <f t="shared" si="282"/>
        <v>0</v>
      </c>
      <c r="AA179" s="477">
        <f t="shared" si="283"/>
        <v>22.12</v>
      </c>
      <c r="AB179" s="243"/>
      <c r="AC179" s="477">
        <f t="shared" si="284"/>
        <v>5.5222222222222221</v>
      </c>
      <c r="AD179" s="477">
        <f t="shared" si="285"/>
        <v>22.12</v>
      </c>
      <c r="AE179" s="477">
        <f t="shared" si="286"/>
        <v>27.642222222222223</v>
      </c>
      <c r="AF179" s="477">
        <f t="shared" si="287"/>
        <v>0</v>
      </c>
      <c r="AG179" s="477">
        <f t="shared" si="288"/>
        <v>5.5222222222222221</v>
      </c>
      <c r="AH179" s="477">
        <f t="shared" si="289"/>
        <v>22.12</v>
      </c>
      <c r="AI179" s="477">
        <f t="shared" si="290"/>
        <v>27.642222222222223</v>
      </c>
      <c r="AJ179" s="477">
        <f t="shared" si="291"/>
        <v>0</v>
      </c>
      <c r="AK179" s="477">
        <f t="shared" si="292"/>
        <v>5.5222222222222221</v>
      </c>
      <c r="AL179" s="477">
        <f t="shared" si="293"/>
        <v>22.12</v>
      </c>
      <c r="AM179" s="477">
        <f t="shared" si="294"/>
        <v>27.642222222222223</v>
      </c>
      <c r="AN179" s="477">
        <f t="shared" si="295"/>
        <v>0</v>
      </c>
      <c r="AO179" s="477">
        <f t="shared" si="296"/>
        <v>5.5222222222222221</v>
      </c>
      <c r="AP179" s="477">
        <f t="shared" si="297"/>
        <v>22.12</v>
      </c>
      <c r="AQ179" s="477">
        <f t="shared" si="298"/>
        <v>27.642222222222223</v>
      </c>
      <c r="AR179" s="477">
        <f t="shared" si="299"/>
        <v>0.28444444444444444</v>
      </c>
      <c r="AS179" s="477">
        <f t="shared" si="300"/>
        <v>5.8066666666666666</v>
      </c>
      <c r="AT179" s="477">
        <f t="shared" si="301"/>
        <v>22.404444444444444</v>
      </c>
      <c r="AU179" s="477">
        <f t="shared" si="302"/>
        <v>27.926666666666666</v>
      </c>
      <c r="AV179" s="477">
        <f t="shared" si="303"/>
        <v>0.28444444444444444</v>
      </c>
      <c r="AW179" s="477">
        <f t="shared" si="304"/>
        <v>5.8066666666666666</v>
      </c>
      <c r="AX179" s="477">
        <f t="shared" si="305"/>
        <v>22.404444444444444</v>
      </c>
      <c r="AY179" s="477">
        <f t="shared" si="306"/>
        <v>27.926666666666666</v>
      </c>
      <c r="AZ179" s="477">
        <f t="shared" si="307"/>
        <v>0.28444444444444444</v>
      </c>
      <c r="BA179" s="477">
        <f t="shared" si="308"/>
        <v>5.8066666666666666</v>
      </c>
      <c r="BB179" s="477">
        <f t="shared" si="309"/>
        <v>22.404444444444444</v>
      </c>
      <c r="BC179" s="477">
        <f t="shared" si="310"/>
        <v>27.926666666666666</v>
      </c>
      <c r="BD179" s="477">
        <f t="shared" si="311"/>
        <v>0.28444444444444444</v>
      </c>
      <c r="BE179" s="477">
        <f t="shared" si="312"/>
        <v>5.8066666666666666</v>
      </c>
      <c r="BF179" s="477">
        <f t="shared" si="313"/>
        <v>22.404444444444444</v>
      </c>
      <c r="BG179" s="477">
        <f t="shared" si="314"/>
        <v>27.926666666666666</v>
      </c>
    </row>
    <row r="180" spans="1:59">
      <c r="A180" s="213" t="s">
        <v>5316</v>
      </c>
      <c r="B180" s="231">
        <v>646884121</v>
      </c>
      <c r="C180" s="210" t="s">
        <v>58</v>
      </c>
      <c r="D180" s="210">
        <v>7200</v>
      </c>
      <c r="F180" s="239" t="str" cm="1">
        <f t="array" aca="1" ref="F180" ca="1">MID(met2utc(PEPSSI_Commanding[[#This Row],[MET]]),3,15)</f>
        <v>26-201/20:10:06</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77">
        <f t="shared" si="277"/>
        <v>0</v>
      </c>
      <c r="V180" s="477">
        <f t="shared" si="278"/>
        <v>0</v>
      </c>
      <c r="W180" s="477">
        <f t="shared" si="279"/>
        <v>0.28444444444444444</v>
      </c>
      <c r="X180" s="477">
        <f t="shared" si="280"/>
        <v>5.5222222222222221</v>
      </c>
      <c r="Y180" s="477">
        <f t="shared" si="281"/>
        <v>0</v>
      </c>
      <c r="Z180" s="477">
        <f t="shared" si="282"/>
        <v>0</v>
      </c>
      <c r="AA180" s="477">
        <f t="shared" si="283"/>
        <v>2.7650000000000001</v>
      </c>
      <c r="AB180" s="243"/>
      <c r="AC180" s="477">
        <f t="shared" si="284"/>
        <v>5.5222222222222221</v>
      </c>
      <c r="AD180" s="477">
        <f t="shared" si="285"/>
        <v>2.7650000000000001</v>
      </c>
      <c r="AE180" s="477">
        <f t="shared" si="286"/>
        <v>8.2872222222222227</v>
      </c>
      <c r="AF180" s="477">
        <f t="shared" si="287"/>
        <v>0</v>
      </c>
      <c r="AG180" s="477">
        <f t="shared" si="288"/>
        <v>5.5222222222222221</v>
      </c>
      <c r="AH180" s="477">
        <f t="shared" si="289"/>
        <v>2.7650000000000001</v>
      </c>
      <c r="AI180" s="477">
        <f t="shared" si="290"/>
        <v>8.2872222222222227</v>
      </c>
      <c r="AJ180" s="477">
        <f t="shared" si="291"/>
        <v>0</v>
      </c>
      <c r="AK180" s="477">
        <f t="shared" si="292"/>
        <v>5.5222222222222221</v>
      </c>
      <c r="AL180" s="477">
        <f t="shared" si="293"/>
        <v>2.7650000000000001</v>
      </c>
      <c r="AM180" s="477">
        <f t="shared" si="294"/>
        <v>8.2872222222222227</v>
      </c>
      <c r="AN180" s="477">
        <f t="shared" si="295"/>
        <v>0</v>
      </c>
      <c r="AO180" s="477">
        <f t="shared" si="296"/>
        <v>5.5222222222222221</v>
      </c>
      <c r="AP180" s="477">
        <f t="shared" si="297"/>
        <v>2.7650000000000001</v>
      </c>
      <c r="AQ180" s="477">
        <f t="shared" si="298"/>
        <v>8.2872222222222227</v>
      </c>
      <c r="AR180" s="477">
        <f t="shared" si="299"/>
        <v>0.28444444444444444</v>
      </c>
      <c r="AS180" s="477">
        <f t="shared" si="300"/>
        <v>5.8066666666666666</v>
      </c>
      <c r="AT180" s="477">
        <f t="shared" si="301"/>
        <v>3.0494444444444446</v>
      </c>
      <c r="AU180" s="477">
        <f t="shared" si="302"/>
        <v>8.5716666666666672</v>
      </c>
      <c r="AV180" s="477">
        <f t="shared" si="303"/>
        <v>0.28444444444444444</v>
      </c>
      <c r="AW180" s="477">
        <f t="shared" si="304"/>
        <v>5.8066666666666666</v>
      </c>
      <c r="AX180" s="477">
        <f t="shared" si="305"/>
        <v>3.0494444444444446</v>
      </c>
      <c r="AY180" s="477">
        <f t="shared" si="306"/>
        <v>8.5716666666666672</v>
      </c>
      <c r="AZ180" s="477">
        <f t="shared" si="307"/>
        <v>0.28444444444444444</v>
      </c>
      <c r="BA180" s="477">
        <f t="shared" si="308"/>
        <v>5.8066666666666666</v>
      </c>
      <c r="BB180" s="477">
        <f t="shared" si="309"/>
        <v>3.0494444444444446</v>
      </c>
      <c r="BC180" s="477">
        <f t="shared" si="310"/>
        <v>8.5716666666666672</v>
      </c>
      <c r="BD180" s="477">
        <f t="shared" si="311"/>
        <v>0.28444444444444444</v>
      </c>
      <c r="BE180" s="477">
        <f t="shared" si="312"/>
        <v>5.8066666666666666</v>
      </c>
      <c r="BF180" s="477">
        <f t="shared" si="313"/>
        <v>3.0494444444444446</v>
      </c>
      <c r="BG180" s="477">
        <f t="shared" si="314"/>
        <v>8.5716666666666672</v>
      </c>
    </row>
    <row r="181" spans="1:59">
      <c r="A181" s="213" t="s">
        <v>5317</v>
      </c>
      <c r="B181" s="231">
        <v>646884124</v>
      </c>
      <c r="C181" s="210" t="s">
        <v>5284</v>
      </c>
      <c r="D181" s="210">
        <v>1800</v>
      </c>
      <c r="F181" s="239" t="str" cm="1">
        <f t="array" aca="1" ref="F181" ca="1">MID(met2utc(PEPSSI_Commanding[[#This Row],[MET]]),3,15)</f>
        <v>26-201/20:10:09</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77">
        <f t="shared" si="277"/>
        <v>0</v>
      </c>
      <c r="V181" s="477">
        <f t="shared" si="278"/>
        <v>0</v>
      </c>
      <c r="W181" s="477">
        <f t="shared" si="279"/>
        <v>0.28444444444444444</v>
      </c>
      <c r="X181" s="477">
        <f t="shared" si="280"/>
        <v>5.5222222222222221</v>
      </c>
      <c r="Y181" s="477">
        <f t="shared" si="281"/>
        <v>0</v>
      </c>
      <c r="Z181" s="477">
        <f t="shared" si="282"/>
        <v>0</v>
      </c>
      <c r="AA181" s="477">
        <f t="shared" si="283"/>
        <v>2.7650000000000001</v>
      </c>
      <c r="AB181" s="243"/>
      <c r="AC181" s="477">
        <f t="shared" si="284"/>
        <v>5.5222222222222221</v>
      </c>
      <c r="AD181" s="477">
        <f t="shared" si="285"/>
        <v>2.7650000000000001</v>
      </c>
      <c r="AE181" s="477">
        <f t="shared" si="286"/>
        <v>8.2872222222222227</v>
      </c>
      <c r="AF181" s="477">
        <f t="shared" si="287"/>
        <v>0</v>
      </c>
      <c r="AG181" s="477">
        <f t="shared" si="288"/>
        <v>5.5222222222222221</v>
      </c>
      <c r="AH181" s="477">
        <f t="shared" si="289"/>
        <v>2.7650000000000001</v>
      </c>
      <c r="AI181" s="477">
        <f t="shared" si="290"/>
        <v>8.2872222222222227</v>
      </c>
      <c r="AJ181" s="477">
        <f t="shared" si="291"/>
        <v>0</v>
      </c>
      <c r="AK181" s="477">
        <f t="shared" si="292"/>
        <v>5.5222222222222221</v>
      </c>
      <c r="AL181" s="477">
        <f t="shared" si="293"/>
        <v>2.7650000000000001</v>
      </c>
      <c r="AM181" s="477">
        <f t="shared" si="294"/>
        <v>8.2872222222222227</v>
      </c>
      <c r="AN181" s="477">
        <f t="shared" si="295"/>
        <v>0</v>
      </c>
      <c r="AO181" s="477">
        <f t="shared" si="296"/>
        <v>5.5222222222222221</v>
      </c>
      <c r="AP181" s="477">
        <f t="shared" si="297"/>
        <v>2.7650000000000001</v>
      </c>
      <c r="AQ181" s="477">
        <f t="shared" si="298"/>
        <v>8.2872222222222227</v>
      </c>
      <c r="AR181" s="477">
        <f t="shared" si="299"/>
        <v>0.28444444444444444</v>
      </c>
      <c r="AS181" s="477">
        <f t="shared" si="300"/>
        <v>5.8066666666666666</v>
      </c>
      <c r="AT181" s="477">
        <f t="shared" si="301"/>
        <v>3.0494444444444446</v>
      </c>
      <c r="AU181" s="477">
        <f t="shared" si="302"/>
        <v>8.5716666666666672</v>
      </c>
      <c r="AV181" s="477">
        <f t="shared" si="303"/>
        <v>0.28444444444444444</v>
      </c>
      <c r="AW181" s="477">
        <f t="shared" si="304"/>
        <v>5.8066666666666666</v>
      </c>
      <c r="AX181" s="477">
        <f t="shared" si="305"/>
        <v>3.0494444444444446</v>
      </c>
      <c r="AY181" s="477">
        <f t="shared" si="306"/>
        <v>8.5716666666666672</v>
      </c>
      <c r="AZ181" s="477">
        <f t="shared" si="307"/>
        <v>0.28444444444444444</v>
      </c>
      <c r="BA181" s="477">
        <f t="shared" si="308"/>
        <v>5.8066666666666666</v>
      </c>
      <c r="BB181" s="477">
        <f t="shared" si="309"/>
        <v>3.0494444444444446</v>
      </c>
      <c r="BC181" s="477">
        <f t="shared" si="310"/>
        <v>8.5716666666666672</v>
      </c>
      <c r="BD181" s="477">
        <f t="shared" si="311"/>
        <v>0.28444444444444444</v>
      </c>
      <c r="BE181" s="477">
        <f t="shared" si="312"/>
        <v>5.8066666666666666</v>
      </c>
      <c r="BF181" s="477">
        <f t="shared" si="313"/>
        <v>3.0494444444444446</v>
      </c>
      <c r="BG181" s="477">
        <f t="shared" si="314"/>
        <v>8.5716666666666672</v>
      </c>
    </row>
    <row r="182" spans="1:59">
      <c r="A182" s="213" t="s">
        <v>5315</v>
      </c>
      <c r="B182" s="231">
        <v>646884715</v>
      </c>
      <c r="C182" s="210" t="s">
        <v>5285</v>
      </c>
      <c r="D182" s="210">
        <v>103</v>
      </c>
      <c r="F182" s="239" t="str" cm="1">
        <f t="array" aca="1" ref="F182" ca="1">MID(met2utc(PEPSSI_Commanding[[#This Row],[MET]]),3,15)</f>
        <v>26-201/20:20:00</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77">
        <f t="shared" si="277"/>
        <v>0</v>
      </c>
      <c r="V182" s="477">
        <f t="shared" si="278"/>
        <v>0</v>
      </c>
      <c r="W182" s="477">
        <f t="shared" si="279"/>
        <v>0.28444444444444444</v>
      </c>
      <c r="X182" s="477">
        <f t="shared" si="280"/>
        <v>5.5222222222222221</v>
      </c>
      <c r="Y182" s="477">
        <f t="shared" si="281"/>
        <v>0</v>
      </c>
      <c r="Z182" s="477">
        <f t="shared" si="282"/>
        <v>0</v>
      </c>
      <c r="AA182" s="477">
        <f t="shared" si="283"/>
        <v>2.7650000000000001</v>
      </c>
      <c r="AB182" s="243"/>
      <c r="AC182" s="477">
        <f t="shared" si="284"/>
        <v>5.5222222222222221</v>
      </c>
      <c r="AD182" s="477">
        <f t="shared" si="285"/>
        <v>2.7650000000000001</v>
      </c>
      <c r="AE182" s="477">
        <f t="shared" si="286"/>
        <v>8.2872222222222227</v>
      </c>
      <c r="AF182" s="477">
        <f t="shared" si="287"/>
        <v>0</v>
      </c>
      <c r="AG182" s="477">
        <f t="shared" si="288"/>
        <v>5.5222222222222221</v>
      </c>
      <c r="AH182" s="477">
        <f t="shared" si="289"/>
        <v>2.7650000000000001</v>
      </c>
      <c r="AI182" s="477">
        <f t="shared" si="290"/>
        <v>8.2872222222222227</v>
      </c>
      <c r="AJ182" s="477">
        <f t="shared" si="291"/>
        <v>0</v>
      </c>
      <c r="AK182" s="477">
        <f t="shared" si="292"/>
        <v>5.5222222222222221</v>
      </c>
      <c r="AL182" s="477">
        <f t="shared" si="293"/>
        <v>2.7650000000000001</v>
      </c>
      <c r="AM182" s="477">
        <f t="shared" si="294"/>
        <v>8.2872222222222227</v>
      </c>
      <c r="AN182" s="477">
        <f t="shared" si="295"/>
        <v>0</v>
      </c>
      <c r="AO182" s="477">
        <f t="shared" si="296"/>
        <v>5.5222222222222221</v>
      </c>
      <c r="AP182" s="477">
        <f t="shared" si="297"/>
        <v>2.7650000000000001</v>
      </c>
      <c r="AQ182" s="477">
        <f t="shared" si="298"/>
        <v>8.2872222222222227</v>
      </c>
      <c r="AR182" s="477">
        <f t="shared" si="299"/>
        <v>0.28444444444444444</v>
      </c>
      <c r="AS182" s="477">
        <f t="shared" si="300"/>
        <v>5.8066666666666666</v>
      </c>
      <c r="AT182" s="477">
        <f t="shared" si="301"/>
        <v>3.0494444444444446</v>
      </c>
      <c r="AU182" s="477">
        <f t="shared" si="302"/>
        <v>8.5716666666666672</v>
      </c>
      <c r="AV182" s="477">
        <f t="shared" si="303"/>
        <v>0.28444444444444444</v>
      </c>
      <c r="AW182" s="477">
        <f t="shared" si="304"/>
        <v>5.8066666666666666</v>
      </c>
      <c r="AX182" s="477">
        <f t="shared" si="305"/>
        <v>3.0494444444444446</v>
      </c>
      <c r="AY182" s="477">
        <f t="shared" si="306"/>
        <v>8.5716666666666672</v>
      </c>
      <c r="AZ182" s="477">
        <f t="shared" si="307"/>
        <v>0.28444444444444444</v>
      </c>
      <c r="BA182" s="477">
        <f t="shared" si="308"/>
        <v>5.8066666666666666</v>
      </c>
      <c r="BB182" s="477">
        <f t="shared" si="309"/>
        <v>3.0494444444444446</v>
      </c>
      <c r="BC182" s="477">
        <f t="shared" si="310"/>
        <v>8.5716666666666672</v>
      </c>
      <c r="BD182" s="477">
        <f t="shared" si="311"/>
        <v>0.28444444444444444</v>
      </c>
      <c r="BE182" s="477">
        <f t="shared" si="312"/>
        <v>5.8066666666666666</v>
      </c>
      <c r="BF182" s="477">
        <f t="shared" si="313"/>
        <v>3.0494444444444446</v>
      </c>
      <c r="BG182" s="477">
        <f t="shared" si="314"/>
        <v>8.5716666666666672</v>
      </c>
    </row>
    <row r="183" spans="1:59">
      <c r="A183" s="213" t="s">
        <v>5315</v>
      </c>
      <c r="B183" s="231">
        <v>646885315</v>
      </c>
      <c r="C183" s="210" t="s">
        <v>5285</v>
      </c>
      <c r="D183" s="210">
        <v>109</v>
      </c>
      <c r="F183" s="239" t="str" cm="1">
        <f t="array" aca="1" ref="F183" ca="1">MID(met2utc(PEPSSI_Commanding[[#This Row],[MET]]),3,15)</f>
        <v>26-201/20:30:00</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77">
        <f t="shared" si="277"/>
        <v>2.9375</v>
      </c>
      <c r="V183" s="477">
        <f t="shared" si="278"/>
        <v>12.1875</v>
      </c>
      <c r="W183" s="477">
        <f t="shared" si="279"/>
        <v>0.28444444444444444</v>
      </c>
      <c r="X183" s="477">
        <f t="shared" si="280"/>
        <v>5.5222222222222221</v>
      </c>
      <c r="Y183" s="477">
        <f t="shared" si="281"/>
        <v>443.33333333333331</v>
      </c>
      <c r="Z183" s="477">
        <f t="shared" si="282"/>
        <v>18.472222222222221</v>
      </c>
      <c r="AA183" s="477">
        <f t="shared" si="283"/>
        <v>2.7650000000000001</v>
      </c>
      <c r="AB183" s="243"/>
      <c r="AC183" s="477">
        <f t="shared" si="284"/>
        <v>5.5222222222222221</v>
      </c>
      <c r="AD183" s="477">
        <f t="shared" si="285"/>
        <v>14.952500000000001</v>
      </c>
      <c r="AE183" s="477">
        <f t="shared" si="286"/>
        <v>20.474722222222223</v>
      </c>
      <c r="AF183" s="477">
        <f t="shared" si="287"/>
        <v>18.472222222222221</v>
      </c>
      <c r="AG183" s="477">
        <f t="shared" si="288"/>
        <v>23.994444444444444</v>
      </c>
      <c r="AH183" s="477">
        <f t="shared" si="289"/>
        <v>33.424722222222222</v>
      </c>
      <c r="AI183" s="477">
        <f t="shared" si="290"/>
        <v>38.946944444444441</v>
      </c>
      <c r="AJ183" s="477">
        <f t="shared" si="291"/>
        <v>2.9375</v>
      </c>
      <c r="AK183" s="477">
        <f t="shared" si="292"/>
        <v>8.4597222222222221</v>
      </c>
      <c r="AL183" s="477">
        <f t="shared" si="293"/>
        <v>17.89</v>
      </c>
      <c r="AM183" s="477">
        <f t="shared" si="294"/>
        <v>23.412222222222223</v>
      </c>
      <c r="AN183" s="477">
        <f t="shared" si="295"/>
        <v>21.409722222222221</v>
      </c>
      <c r="AO183" s="477">
        <f t="shared" si="296"/>
        <v>26.931944444444444</v>
      </c>
      <c r="AP183" s="477">
        <f t="shared" si="297"/>
        <v>36.362222222222222</v>
      </c>
      <c r="AQ183" s="477">
        <f t="shared" si="298"/>
        <v>41.884444444444441</v>
      </c>
      <c r="AR183" s="477">
        <f t="shared" si="299"/>
        <v>0.28444444444444444</v>
      </c>
      <c r="AS183" s="477">
        <f t="shared" si="300"/>
        <v>5.8066666666666666</v>
      </c>
      <c r="AT183" s="477">
        <f t="shared" si="301"/>
        <v>15.236944444444445</v>
      </c>
      <c r="AU183" s="477">
        <f t="shared" si="302"/>
        <v>20.759166666666665</v>
      </c>
      <c r="AV183" s="477">
        <f t="shared" si="303"/>
        <v>18.756666666666664</v>
      </c>
      <c r="AW183" s="477">
        <f t="shared" si="304"/>
        <v>24.278888888888886</v>
      </c>
      <c r="AX183" s="477">
        <f t="shared" si="305"/>
        <v>33.709166666666661</v>
      </c>
      <c r="AY183" s="477">
        <f t="shared" si="306"/>
        <v>39.231388888888887</v>
      </c>
      <c r="AZ183" s="477">
        <f t="shared" si="307"/>
        <v>3.2219444444444445</v>
      </c>
      <c r="BA183" s="477">
        <f t="shared" si="308"/>
        <v>8.7441666666666666</v>
      </c>
      <c r="BB183" s="477">
        <f t="shared" si="309"/>
        <v>18.174444444444447</v>
      </c>
      <c r="BC183" s="477">
        <f t="shared" si="310"/>
        <v>23.696666666666669</v>
      </c>
      <c r="BD183" s="477">
        <f t="shared" si="311"/>
        <v>21.694166666666668</v>
      </c>
      <c r="BE183" s="477">
        <f t="shared" si="312"/>
        <v>27.21638888888889</v>
      </c>
      <c r="BF183" s="477">
        <f t="shared" si="313"/>
        <v>36.646666666666668</v>
      </c>
      <c r="BG183" s="477">
        <f t="shared" si="314"/>
        <v>42.168888888888887</v>
      </c>
    </row>
  </sheetData>
  <conditionalFormatting sqref="AC1:BG1048576">
    <cfRule type="expression" dxfId="80" priority="4">
      <formula>AC$12&lt;&gt;""</formula>
    </cfRule>
  </conditionalFormatting>
  <conditionalFormatting sqref="AD8:BG8">
    <cfRule type="expression" dxfId="79" priority="5">
      <formula>AD8&lt;&gt;(AC8+1)</formula>
    </cfRule>
  </conditionalFormatting>
  <conditionalFormatting sqref="A14:BG1048576">
    <cfRule type="expression" dxfId="78" priority="6">
      <formula>OR($C14="ON",FALSE)</formula>
    </cfRule>
  </conditionalFormatting>
  <conditionalFormatting sqref="A183:BG1048537 A122:BG122 A166:BG166 A14:BG120">
    <cfRule type="expression" dxfId="77" priority="3">
      <formula>OR($G14="OFF",AND($G15&lt;&gt;"OFF",$K14=1))</formula>
    </cfRule>
  </conditionalFormatting>
  <conditionalFormatting sqref="A14:D1048576">
    <cfRule type="expression" dxfId="76" priority="7">
      <formula>AND($J14&lt;&gt;"",$J14&lt;=9)</formula>
    </cfRule>
  </conditionalFormatting>
  <conditionalFormatting sqref="A121:BG182">
    <cfRule type="expression" dxfId="75"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17.7109375" style="199"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22">
        <f>C$3+B8/C$4</f>
        <v>42753.215849958426</v>
      </c>
      <c r="D8" s="199" t="s">
        <v>1311</v>
      </c>
      <c r="E8" s="199" t="s">
        <v>1312</v>
      </c>
    </row>
    <row r="9" spans="1:7">
      <c r="A9" s="199">
        <v>347151788</v>
      </c>
      <c r="B9" s="199">
        <v>538117869.43789995</v>
      </c>
      <c r="C9" s="322">
        <f t="shared" ref="C9:C15" si="0">C$3+B9/C$4</f>
        <v>42754.716081457176</v>
      </c>
      <c r="D9" s="199" t="s">
        <v>1313</v>
      </c>
      <c r="E9" s="199" t="s">
        <v>1314</v>
      </c>
    </row>
    <row r="10" spans="1:7">
      <c r="A10" s="199">
        <v>347202166</v>
      </c>
      <c r="B10" s="199">
        <v>538168247.43844998</v>
      </c>
      <c r="C10" s="322">
        <f t="shared" si="0"/>
        <v>42755.299160167247</v>
      </c>
      <c r="D10" s="199" t="s">
        <v>1315</v>
      </c>
      <c r="E10" s="199" t="s">
        <v>1316</v>
      </c>
    </row>
    <row r="11" spans="1:7">
      <c r="A11" s="199">
        <v>347464967</v>
      </c>
      <c r="B11" s="199">
        <v>538431048.44142306</v>
      </c>
      <c r="C11" s="322">
        <f t="shared" si="0"/>
        <v>42758.340838442396</v>
      </c>
      <c r="D11" s="199" t="s">
        <v>1317</v>
      </c>
      <c r="E11" s="199" t="s">
        <v>1318</v>
      </c>
      <c r="F11" s="323" t="s">
        <v>5439</v>
      </c>
    </row>
    <row r="12" spans="1:7">
      <c r="A12" s="199">
        <v>347612597</v>
      </c>
      <c r="B12" s="199">
        <v>538578678.44311404</v>
      </c>
      <c r="C12" s="322">
        <f t="shared" si="0"/>
        <v>42760.049519017521</v>
      </c>
      <c r="D12" s="199" t="s">
        <v>1319</v>
      </c>
      <c r="E12" s="199" t="s">
        <v>1320</v>
      </c>
    </row>
    <row r="13" spans="1:7">
      <c r="A13" s="199">
        <v>347698989</v>
      </c>
      <c r="B13" s="199">
        <v>538665070.44409597</v>
      </c>
      <c r="C13" s="322">
        <f t="shared" si="0"/>
        <v>42761.049426436293</v>
      </c>
      <c r="D13" s="199" t="s">
        <v>1321</v>
      </c>
      <c r="E13" s="199" t="s">
        <v>1322</v>
      </c>
    </row>
    <row r="14" spans="1:7">
      <c r="A14" s="199">
        <v>347828574</v>
      </c>
      <c r="B14" s="199">
        <v>538794655.445521</v>
      </c>
      <c r="C14" s="322">
        <f t="shared" si="0"/>
        <v>42762.54925284168</v>
      </c>
      <c r="D14" s="199" t="s">
        <v>1323</v>
      </c>
      <c r="E14" s="199" t="s">
        <v>1324</v>
      </c>
    </row>
    <row r="15" spans="1:7">
      <c r="A15" s="199">
        <v>348019376</v>
      </c>
      <c r="B15" s="199">
        <v>538985457.44769204</v>
      </c>
      <c r="C15" s="322">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5423</v>
      </c>
      <c r="B1" s="319" t="s">
        <v>5424</v>
      </c>
      <c r="E1" s="6" t="s">
        <v>5427</v>
      </c>
      <c r="F1" s="3" t="s">
        <v>51</v>
      </c>
      <c r="G1" s="3" t="s">
        <v>49</v>
      </c>
    </row>
    <row r="2" spans="1:10">
      <c r="A2" s="5" t="s">
        <v>5425</v>
      </c>
      <c r="B2" s="319" t="s">
        <v>5426</v>
      </c>
      <c r="E2" s="6" t="s">
        <v>5427</v>
      </c>
      <c r="H2" s="3" t="s">
        <v>50</v>
      </c>
      <c r="I2" s="3" t="s">
        <v>53</v>
      </c>
      <c r="J2" s="3" t="s">
        <v>54</v>
      </c>
    </row>
    <row r="10" spans="1:10" s="3" customFormat="1">
      <c r="A10" s="320" t="s">
        <v>5304</v>
      </c>
      <c r="B10" s="2" t="s">
        <v>5420</v>
      </c>
      <c r="C10" s="2" t="s">
        <v>5421</v>
      </c>
      <c r="D10" s="2" t="s">
        <v>5422</v>
      </c>
      <c r="E10" s="2" t="s">
        <v>5430</v>
      </c>
      <c r="F10" s="2" t="s">
        <v>51</v>
      </c>
      <c r="G10" s="2" t="s">
        <v>49</v>
      </c>
      <c r="H10" s="2" t="s">
        <v>50</v>
      </c>
      <c r="I10" s="2" t="s">
        <v>53</v>
      </c>
      <c r="J10" s="2" t="s">
        <v>54</v>
      </c>
    </row>
    <row r="11" spans="1:10">
      <c r="B11" s="5"/>
      <c r="E11" s="6"/>
    </row>
  </sheetData>
  <conditionalFormatting sqref="F10:J1048576">
    <cfRule type="expression" dxfId="1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54"/>
  <sheetViews>
    <sheetView tabSelected="1" workbookViewId="0">
      <pane ySplit="2700" topLeftCell="A15" activePane="bottomLeft"/>
      <selection activeCell="D6" sqref="D6"/>
      <selection pane="bottomLeft" activeCell="N20" sqref="N20:N29"/>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5.28515625" style="20" bestFit="1" customWidth="1"/>
    <col min="11" max="11" width="5.42578125" style="20" bestFit="1" customWidth="1"/>
    <col min="12" max="13" width="12.5703125" style="20" bestFit="1" customWidth="1"/>
    <col min="14" max="14" width="11.5703125" style="575" bestFit="1" customWidth="1"/>
    <col min="15" max="15" width="13.140625" style="20" bestFit="1" customWidth="1"/>
    <col min="16" max="16" width="6" style="3" bestFit="1" customWidth="1"/>
    <col min="17" max="18" width="10" style="532" bestFit="1" customWidth="1"/>
    <col min="19" max="19" width="8.140625" style="532" bestFit="1" customWidth="1"/>
    <col min="20" max="20" width="15.42578125" style="532" bestFit="1" customWidth="1"/>
    <col min="21" max="21" width="7.140625" style="532" bestFit="1" customWidth="1"/>
    <col min="22" max="22" width="14.28515625" style="532" bestFit="1" customWidth="1"/>
    <col min="23" max="23" width="10.7109375" style="532" bestFit="1" customWidth="1"/>
    <col min="24" max="24" width="10.28515625" style="532" bestFit="1" customWidth="1"/>
    <col min="25" max="25" width="5.140625" style="20" bestFit="1" customWidth="1"/>
    <col min="26" max="26" width="3" style="20" customWidth="1"/>
    <col min="27" max="33" width="5.5703125" style="20" customWidth="1"/>
    <col min="34" max="34" width="11.28515625" style="529" customWidth="1"/>
    <col min="35" max="35" width="13.42578125" style="529" customWidth="1"/>
    <col min="36" max="38" width="11.5703125" style="6" bestFit="1" customWidth="1"/>
    <col min="39" max="39" width="12" style="6" bestFit="1" customWidth="1"/>
    <col min="40" max="40" width="11.5703125" style="6" bestFit="1" customWidth="1"/>
  </cols>
  <sheetData>
    <row r="1" spans="1:35">
      <c r="A1"/>
      <c r="B1" s="3">
        <v>102</v>
      </c>
      <c r="C1" s="3"/>
      <c r="D1" s="3"/>
      <c r="E1" s="3" t="s">
        <v>51</v>
      </c>
      <c r="F1" s="3" t="s">
        <v>49</v>
      </c>
      <c r="G1" s="3" t="s">
        <v>50</v>
      </c>
      <c r="H1" s="3" t="s">
        <v>53</v>
      </c>
      <c r="I1" s="3" t="s">
        <v>54</v>
      </c>
      <c r="J1" s="3" t="s">
        <v>228</v>
      </c>
      <c r="K1" s="3" t="s">
        <v>825</v>
      </c>
      <c r="L1" s="3"/>
      <c r="M1" s="3"/>
      <c r="O1" s="3"/>
      <c r="P1" s="3" t="s">
        <v>122</v>
      </c>
      <c r="Q1" s="531" t="s">
        <v>5</v>
      </c>
      <c r="R1" s="532" t="s">
        <v>6</v>
      </c>
      <c r="S1" s="532" t="s">
        <v>7</v>
      </c>
      <c r="T1" s="532" t="s">
        <v>8</v>
      </c>
      <c r="U1" s="532" t="s">
        <v>19</v>
      </c>
      <c r="V1" s="532" t="s">
        <v>25</v>
      </c>
      <c r="W1" s="532" t="s">
        <v>26</v>
      </c>
      <c r="X1" s="532" t="s">
        <v>9</v>
      </c>
      <c r="Y1"/>
      <c r="Z1"/>
      <c r="AA1"/>
      <c r="AB1" s="3"/>
      <c r="AC1"/>
      <c r="AD1"/>
      <c r="AE1"/>
      <c r="AF1"/>
      <c r="AG1"/>
      <c r="AH1" s="18"/>
      <c r="AI1" s="18"/>
    </row>
    <row r="2" spans="1:35">
      <c r="A2"/>
      <c r="B2" s="3"/>
      <c r="C2" s="3"/>
      <c r="D2" s="3"/>
      <c r="E2" s="3"/>
      <c r="F2" s="3"/>
      <c r="G2" s="3"/>
      <c r="H2" s="3"/>
      <c r="I2" s="3"/>
      <c r="J2" s="3"/>
      <c r="K2" s="3"/>
      <c r="L2" s="3"/>
      <c r="M2" s="3"/>
      <c r="O2" s="3"/>
      <c r="R2" s="6" t="s">
        <v>1166</v>
      </c>
      <c r="S2" s="277">
        <f>'SWAP Data Volumns'!K108</f>
        <v>0.5056665308181959</v>
      </c>
      <c r="U2" s="532">
        <f>1.579/0.000008</f>
        <v>197375</v>
      </c>
      <c r="Y2"/>
      <c r="Z2"/>
      <c r="AA2"/>
      <c r="AB2" s="3"/>
      <c r="AC2"/>
      <c r="AD2"/>
      <c r="AE2"/>
      <c r="AF2"/>
      <c r="AG2"/>
      <c r="AH2" s="18"/>
      <c r="AI2" s="18"/>
    </row>
    <row r="3" spans="1:35">
      <c r="A3"/>
      <c r="B3" s="3"/>
      <c r="C3" s="3"/>
      <c r="D3" s="3"/>
      <c r="E3" s="3"/>
      <c r="F3" s="3"/>
      <c r="G3" s="3"/>
      <c r="H3" s="3"/>
      <c r="I3" s="3"/>
      <c r="J3" s="3"/>
      <c r="K3" s="3"/>
      <c r="L3" s="3"/>
      <c r="M3" s="3"/>
      <c r="O3" s="3"/>
      <c r="R3" s="6" t="s">
        <v>1196</v>
      </c>
      <c r="S3" s="277">
        <f>'SWAP Data Volumns'!K99</f>
        <v>0.80996710526315774</v>
      </c>
      <c r="Y3"/>
      <c r="Z3"/>
      <c r="AA3"/>
      <c r="AB3" s="3"/>
      <c r="AC3"/>
      <c r="AD3"/>
      <c r="AE3"/>
      <c r="AF3"/>
      <c r="AG3"/>
      <c r="AH3" s="18"/>
      <c r="AI3" s="18"/>
    </row>
    <row r="4" spans="1:35">
      <c r="A4"/>
      <c r="B4" s="3"/>
      <c r="C4" s="3"/>
      <c r="D4" s="3"/>
      <c r="E4" s="3"/>
      <c r="F4" s="3"/>
      <c r="G4" s="3"/>
      <c r="H4" s="3"/>
      <c r="I4" s="3"/>
      <c r="J4" s="3"/>
      <c r="K4" s="3"/>
      <c r="L4" s="3"/>
      <c r="M4" s="3"/>
      <c r="O4" s="3"/>
      <c r="R4" s="6" t="s">
        <v>1068</v>
      </c>
      <c r="S4" s="277">
        <f>'SWAP Data Volumns'!K90</f>
        <v>1.4028285692679976</v>
      </c>
      <c r="Y4"/>
      <c r="Z4"/>
      <c r="AA4"/>
      <c r="AB4" s="3"/>
      <c r="AC4"/>
      <c r="AD4"/>
      <c r="AE4"/>
      <c r="AF4"/>
      <c r="AG4"/>
      <c r="AH4" s="18"/>
      <c r="AI4" s="18"/>
    </row>
    <row r="5" spans="1:35">
      <c r="A5"/>
      <c r="B5" s="3"/>
      <c r="C5" s="3"/>
      <c r="D5" s="3"/>
      <c r="E5" s="3"/>
      <c r="F5" s="3"/>
      <c r="G5" s="3"/>
      <c r="H5" s="3"/>
      <c r="I5" s="3"/>
      <c r="J5" s="3"/>
      <c r="K5" s="3"/>
      <c r="L5" s="3"/>
      <c r="M5" s="3"/>
      <c r="O5" s="3"/>
      <c r="R5" s="6" t="s">
        <v>1165</v>
      </c>
      <c r="S5" s="277">
        <f>'SWAP Data Volumns'!K72</f>
        <v>3.6959320175438592</v>
      </c>
      <c r="Y5"/>
      <c r="Z5"/>
      <c r="AA5"/>
      <c r="AB5" s="3"/>
      <c r="AC5"/>
      <c r="AD5"/>
      <c r="AE5"/>
      <c r="AF5"/>
      <c r="AG5"/>
      <c r="AH5" s="18"/>
      <c r="AI5" s="18"/>
    </row>
    <row r="6" spans="1:35">
      <c r="A6"/>
      <c r="B6" s="3"/>
      <c r="C6" s="3"/>
      <c r="D6" s="3"/>
      <c r="E6" s="3"/>
      <c r="F6" s="3"/>
      <c r="G6" s="3"/>
      <c r="H6" s="3"/>
      <c r="I6" s="3"/>
      <c r="J6" s="3"/>
      <c r="K6" s="3"/>
      <c r="L6" s="3"/>
      <c r="M6" s="3"/>
      <c r="O6" s="3"/>
      <c r="Y6"/>
      <c r="Z6"/>
      <c r="AA6"/>
      <c r="AB6" s="3"/>
      <c r="AC6"/>
      <c r="AD6"/>
      <c r="AE6"/>
      <c r="AF6"/>
      <c r="AG6"/>
      <c r="AH6" s="18"/>
      <c r="AI6" s="18"/>
    </row>
    <row r="7" spans="1:35">
      <c r="A7"/>
      <c r="B7" s="3"/>
      <c r="C7" s="3"/>
      <c r="D7" s="3"/>
      <c r="E7" s="3"/>
      <c r="F7" s="3"/>
      <c r="G7" s="3"/>
      <c r="H7" s="3"/>
      <c r="I7" s="3"/>
      <c r="J7" s="3"/>
      <c r="K7" s="3"/>
      <c r="L7" s="3"/>
      <c r="M7" s="3"/>
      <c r="O7" s="3"/>
      <c r="Y7"/>
      <c r="Z7"/>
      <c r="AA7"/>
      <c r="AB7" s="3"/>
      <c r="AC7"/>
      <c r="AD7"/>
      <c r="AE7"/>
      <c r="AF7"/>
      <c r="AG7"/>
      <c r="AH7" s="18"/>
      <c r="AI7" s="18"/>
    </row>
    <row r="8" spans="1:35">
      <c r="A8"/>
      <c r="B8" s="3"/>
      <c r="C8" s="3"/>
      <c r="D8" s="3"/>
      <c r="E8" s="3"/>
      <c r="F8" s="3"/>
      <c r="G8" s="3"/>
      <c r="H8" s="3"/>
      <c r="I8" s="3"/>
      <c r="J8" s="3"/>
      <c r="K8" s="3"/>
      <c r="L8" s="3"/>
      <c r="M8" s="3"/>
      <c r="O8" s="3"/>
      <c r="Y8"/>
      <c r="Z8"/>
      <c r="AA8"/>
      <c r="AB8" s="3"/>
      <c r="AC8"/>
      <c r="AD8"/>
      <c r="AE8"/>
      <c r="AF8"/>
      <c r="AG8"/>
      <c r="AH8" s="18"/>
      <c r="AI8" s="18"/>
    </row>
    <row r="9" spans="1:35" ht="15.75" thickBot="1">
      <c r="A9"/>
      <c r="B9" s="3"/>
      <c r="C9" s="3"/>
      <c r="D9" s="3"/>
      <c r="E9" s="3"/>
      <c r="F9" s="3"/>
      <c r="G9" s="3"/>
      <c r="H9" s="3"/>
      <c r="I9" s="3"/>
      <c r="J9" s="3"/>
      <c r="K9" s="3"/>
      <c r="L9" s="3"/>
      <c r="M9" s="3"/>
      <c r="O9" s="259" t="s">
        <v>5379</v>
      </c>
      <c r="W9" s="256" t="str">
        <f>"cpy src row"</f>
        <v>cpy src row</v>
      </c>
      <c r="X9" s="533" t="s">
        <v>5378</v>
      </c>
      <c r="Y9"/>
      <c r="Z9"/>
      <c r="AA9"/>
      <c r="AB9" s="3"/>
      <c r="AC9"/>
      <c r="AD9"/>
      <c r="AE9"/>
      <c r="AF9"/>
      <c r="AG9"/>
      <c r="AH9" s="18"/>
      <c r="AI9" s="18"/>
    </row>
    <row r="10" spans="1:35">
      <c r="A10" s="252" t="s">
        <v>5374</v>
      </c>
      <c r="B10" s="526"/>
      <c r="C10" s="523"/>
      <c r="D10" s="523"/>
      <c r="E10" s="523" t="s">
        <v>51</v>
      </c>
      <c r="F10" s="523" t="s">
        <v>49</v>
      </c>
      <c r="G10" s="523" t="s">
        <v>50</v>
      </c>
      <c r="H10" s="523" t="s">
        <v>53</v>
      </c>
      <c r="I10" s="523" t="s">
        <v>54</v>
      </c>
      <c r="J10" s="523" t="s">
        <v>228</v>
      </c>
      <c r="K10" s="523" t="s">
        <v>825</v>
      </c>
      <c r="L10" s="523"/>
      <c r="M10" s="253" t="s">
        <v>5375</v>
      </c>
      <c r="N10" s="576" t="s">
        <v>5377</v>
      </c>
      <c r="O10" s="255" t="s">
        <v>5376</v>
      </c>
      <c r="P10" s="254" t="s">
        <v>122</v>
      </c>
      <c r="Q10" s="534" t="s">
        <v>5</v>
      </c>
      <c r="R10" s="535" t="s">
        <v>6</v>
      </c>
      <c r="S10" s="535" t="s">
        <v>7</v>
      </c>
      <c r="T10" s="535" t="s">
        <v>8</v>
      </c>
      <c r="U10" s="535" t="s">
        <v>19</v>
      </c>
      <c r="V10" s="535" t="s">
        <v>25</v>
      </c>
      <c r="W10" s="535" t="s">
        <v>26</v>
      </c>
      <c r="X10" s="536" t="s">
        <v>9</v>
      </c>
      <c r="Y10"/>
      <c r="Z10"/>
      <c r="AA10"/>
      <c r="AB10" s="3"/>
      <c r="AC10"/>
      <c r="AD10"/>
      <c r="AE10"/>
      <c r="AF10"/>
      <c r="AG10"/>
      <c r="AH10" s="18"/>
      <c r="AI10" s="18"/>
    </row>
    <row r="11" spans="1:35">
      <c r="A11" s="314"/>
      <c r="B11" s="527"/>
      <c r="C11" s="258" t="str">
        <f>TRIM('2025_pb_2'!C459)</f>
        <v>104</v>
      </c>
      <c r="D11" s="258" t="str">
        <f>TRIM('2025_pb_2'!D459)</f>
        <v>105</v>
      </c>
      <c r="E11" s="258" t="str">
        <f>TRIM('2025_pb_2'!E459)</f>
        <v/>
      </c>
      <c r="F11" s="258" t="str">
        <f>TRIM('2025_pb_2'!F459)</f>
        <v/>
      </c>
      <c r="G11" s="258" t="str">
        <f>TRIM('2025_pb_2'!G459)</f>
        <v/>
      </c>
      <c r="H11" s="258" t="str">
        <f>TRIM('2025_pb_2'!H459)</f>
        <v/>
      </c>
      <c r="I11" s="258" t="str">
        <f>TRIM('2025_pb_2'!I459)</f>
        <v>DT4</v>
      </c>
      <c r="J11" s="258" t="str">
        <f>TRIM('2025_pb_2'!J459)</f>
        <v/>
      </c>
      <c r="K11" s="258" t="str">
        <f>TRIM('2025_pb_2'!K459)</f>
        <v/>
      </c>
      <c r="L11" s="6"/>
      <c r="M11" s="6" t="s">
        <v>5751</v>
      </c>
      <c r="N11" s="577" cm="1">
        <f t="array" ref="N11">peprate(E11:K11,Q11)</f>
        <v>0.55078125</v>
      </c>
      <c r="O11" s="524">
        <f>R11-'2025_pb_2'!R459</f>
        <v>0</v>
      </c>
      <c r="P11" s="258" t="str">
        <f>TRIM('2025_pb_2'!P459)</f>
        <v>250_3</v>
      </c>
      <c r="Q11" s="537">
        <f>'2025_pb_2'!Q459</f>
        <v>633159121.39680195</v>
      </c>
      <c r="R11" s="538" cm="1">
        <f t="array" ref="R11">W11/peprate(E11:K11,Q11)+Q11</f>
        <v>636932585.36275935</v>
      </c>
      <c r="S11" s="533">
        <f t="shared" ref="S11:S16" si="0">R11-Q11</f>
        <v>3773463.9659574032</v>
      </c>
      <c r="T11" s="533" cm="1">
        <f t="array" ref="T11">S11*peprate(E11:K11,Q11)</f>
        <v>2078353.199999976</v>
      </c>
      <c r="U11" s="256">
        <f>'2025_pb_2'!U459</f>
        <v>0</v>
      </c>
      <c r="V11" s="533">
        <f>T11+U11*U$2</f>
        <v>2078353.199999976</v>
      </c>
      <c r="W11" s="256">
        <f>'2025_pb_2'!W459</f>
        <v>2078353.2</v>
      </c>
      <c r="X11" s="539">
        <f t="shared" ref="X11:X16" si="1">W11-V11</f>
        <v>2.3981556296348572E-8</v>
      </c>
      <c r="Y11"/>
      <c r="Z11"/>
      <c r="AA11"/>
      <c r="AB11" s="3"/>
      <c r="AC11"/>
      <c r="AD11"/>
      <c r="AE11"/>
      <c r="AF11"/>
      <c r="AG11"/>
      <c r="AH11" s="18"/>
      <c r="AI11" s="18"/>
    </row>
    <row r="12" spans="1:35">
      <c r="A12" s="314"/>
      <c r="B12" s="527"/>
      <c r="C12" s="258" t="str">
        <f>TRIM('2025_pb_2'!C460)</f>
        <v>104</v>
      </c>
      <c r="D12" s="258" t="str">
        <f>TRIM('2025_pb_2'!D460)</f>
        <v>105</v>
      </c>
      <c r="E12" s="258" t="str">
        <f>TRIM('2025_pb_2'!E460)</f>
        <v/>
      </c>
      <c r="F12" s="258" t="str">
        <f>TRIM('2025_pb_2'!F460)</f>
        <v/>
      </c>
      <c r="G12" s="258" t="str">
        <f>TRIM('2025_pb_2'!G460)</f>
        <v/>
      </c>
      <c r="H12" s="258" t="str">
        <f>TRIM('2025_pb_2'!H460)</f>
        <v/>
      </c>
      <c r="I12" s="258" t="str">
        <f>TRIM('2025_pb_2'!I460)</f>
        <v>DT4</v>
      </c>
      <c r="J12" s="258" t="str">
        <f>TRIM('2025_pb_2'!J460)</f>
        <v/>
      </c>
      <c r="K12" s="258" t="str">
        <f>TRIM('2025_pb_2'!K460)</f>
        <v/>
      </c>
      <c r="L12" s="6"/>
      <c r="M12" s="6" t="s">
        <v>5723</v>
      </c>
      <c r="N12" s="577" cm="1">
        <f t="array" ref="N12">peprate(E12:K12,Q12)</f>
        <v>0.55078125</v>
      </c>
      <c r="O12" s="524">
        <f>R12-'2025_pb_2'!R460</f>
        <v>0</v>
      </c>
      <c r="P12" s="258" t="str">
        <f>TRIM('2025_pb_2'!P460)</f>
        <v>251_1</v>
      </c>
      <c r="Q12" s="537">
        <f>'2025_pb_2'!Q460</f>
        <v>636932584.36275935</v>
      </c>
      <c r="R12" s="538" cm="1">
        <f t="array" ref="R12">W12/peprate(E12:K12,Q12)+Q12</f>
        <v>640424208.66914237</v>
      </c>
      <c r="S12" s="533">
        <f t="shared" si="0"/>
        <v>3491624.3063830137</v>
      </c>
      <c r="T12" s="533" cm="1">
        <f t="array" ref="T12">S12*peprate(E12:K12,Q12)</f>
        <v>1923121.2000000193</v>
      </c>
      <c r="U12" s="256">
        <f>'2025_pb_2'!U460</f>
        <v>0</v>
      </c>
      <c r="V12" s="533">
        <f t="shared" ref="V12:V16" si="2">T12+U12*U$2</f>
        <v>1923121.2000000193</v>
      </c>
      <c r="W12" s="256">
        <f>'2025_pb_2'!W460</f>
        <v>1923121.2000000002</v>
      </c>
      <c r="X12" s="539">
        <f t="shared" si="1"/>
        <v>-1.909211277961731E-8</v>
      </c>
      <c r="Y12" s="3"/>
      <c r="Z12"/>
      <c r="AA12"/>
      <c r="AB12" s="3"/>
      <c r="AC12"/>
      <c r="AD12"/>
      <c r="AE12"/>
      <c r="AF12"/>
      <c r="AG12"/>
      <c r="AH12" s="18"/>
      <c r="AI12" s="18"/>
    </row>
    <row r="13" spans="1:35">
      <c r="A13" s="314"/>
      <c r="B13" s="527"/>
      <c r="C13" s="258" t="str">
        <f>TRIM('2025_pb_2'!C461)</f>
        <v>104</v>
      </c>
      <c r="D13" s="258" t="str">
        <f>TRIM('2025_pb_2'!D461)</f>
        <v>105</v>
      </c>
      <c r="E13" s="258" t="str">
        <f>TRIM('2025_pb_2'!E461)</f>
        <v/>
      </c>
      <c r="F13" s="258" t="str">
        <f>TRIM('2025_pb_2'!F461)</f>
        <v/>
      </c>
      <c r="G13" s="258" t="str">
        <f>TRIM('2025_pb_2'!G461)</f>
        <v/>
      </c>
      <c r="H13" s="258" t="str">
        <f>TRIM('2025_pb_2'!H461)</f>
        <v/>
      </c>
      <c r="I13" s="258" t="str">
        <f>TRIM('2025_pb_2'!I461)</f>
        <v>DT4</v>
      </c>
      <c r="J13" s="258" t="str">
        <f>TRIM('2025_pb_2'!J461)</f>
        <v/>
      </c>
      <c r="K13" s="258" t="str">
        <f>TRIM('2025_pb_2'!K461)</f>
        <v/>
      </c>
      <c r="L13" s="6"/>
      <c r="M13" s="6" t="s">
        <v>5724</v>
      </c>
      <c r="N13" s="577" cm="1">
        <f t="array" ref="N13">peprate(E13:K13,Q13)</f>
        <v>0.55078125</v>
      </c>
      <c r="O13" s="524">
        <f>R13-'2025_pb_2'!R461</f>
        <v>0</v>
      </c>
      <c r="P13" s="258" t="str">
        <f>TRIM('2025_pb_2'!P461)</f>
        <v>252_1</v>
      </c>
      <c r="Q13" s="537">
        <f>'2025_pb_2'!Q461</f>
        <v>640424207.66914237</v>
      </c>
      <c r="R13" s="538" cm="1">
        <f t="array" ref="R13">W13/peprate(E13:K13,Q13)+Q13</f>
        <v>642104455.49892962</v>
      </c>
      <c r="S13" s="533">
        <f t="shared" si="0"/>
        <v>1680247.8297872543</v>
      </c>
      <c r="T13" s="533" cm="1">
        <f t="array" ref="T13">S13*peprate(E13:K13,Q13)</f>
        <v>925449.00000001118</v>
      </c>
      <c r="U13" s="256">
        <f>'2025_pb_2'!U461</f>
        <v>0</v>
      </c>
      <c r="V13" s="533">
        <f t="shared" si="2"/>
        <v>925449.00000001118</v>
      </c>
      <c r="W13" s="256">
        <f>'2025_pb_2'!W461</f>
        <v>925449.00000000012</v>
      </c>
      <c r="X13" s="539">
        <f t="shared" si="1"/>
        <v>-1.1059455573558807E-8</v>
      </c>
      <c r="Y13" s="3"/>
      <c r="Z13"/>
      <c r="AA13"/>
      <c r="AB13" s="3"/>
      <c r="AC13"/>
      <c r="AD13"/>
      <c r="AE13"/>
      <c r="AF13"/>
      <c r="AG13"/>
      <c r="AH13" s="18"/>
      <c r="AI13" s="18"/>
    </row>
    <row r="14" spans="1:35">
      <c r="A14" s="314"/>
      <c r="B14" s="527"/>
      <c r="C14" s="258" t="str">
        <f>TRIM('2025_pb_2'!C462)</f>
        <v>104</v>
      </c>
      <c r="D14" s="258" t="str">
        <f>TRIM('2025_pb_2'!D462)</f>
        <v>105</v>
      </c>
      <c r="E14" s="258" t="str">
        <f>TRIM('2025_pb_2'!E462)</f>
        <v/>
      </c>
      <c r="F14" s="258" t="str">
        <f>TRIM('2025_pb_2'!F462)</f>
        <v/>
      </c>
      <c r="G14" s="258" t="str">
        <f>TRIM('2025_pb_2'!G462)</f>
        <v/>
      </c>
      <c r="H14" s="258" t="str">
        <f>TRIM('2025_pb_2'!H462)</f>
        <v/>
      </c>
      <c r="I14" s="258" t="str">
        <f>TRIM('2025_pb_2'!I462)</f>
        <v>DT4</v>
      </c>
      <c r="J14" s="258" t="str">
        <f>TRIM('2025_pb_2'!J462)</f>
        <v/>
      </c>
      <c r="K14" s="258" t="str">
        <f>TRIM('2025_pb_2'!K462)</f>
        <v/>
      </c>
      <c r="L14" s="6"/>
      <c r="M14" s="6" t="s">
        <v>5725</v>
      </c>
      <c r="N14" s="577" cm="1">
        <f t="array" ref="N14">peprate(E14:K14,Q14)</f>
        <v>0.55078125</v>
      </c>
      <c r="O14" s="524">
        <f>R14-'2025_pb_2'!R462</f>
        <v>0</v>
      </c>
      <c r="P14" s="258" t="str">
        <f>TRIM('2025_pb_2'!P462)</f>
        <v>253_1</v>
      </c>
      <c r="Q14" s="537">
        <f>'2025_pb_2'!Q462</f>
        <v>642104454.49892962</v>
      </c>
      <c r="R14" s="538" cm="1">
        <f t="array" ref="R14">W14/peprate(E14:K14,Q14)+Q14</f>
        <v>644044582.36275935</v>
      </c>
      <c r="S14" s="533">
        <f t="shared" si="0"/>
        <v>1940127.8638297319</v>
      </c>
      <c r="T14" s="533" cm="1">
        <f t="array" ref="T14">S14*peprate(E14:K14,Q14)</f>
        <v>1068586.0499999695</v>
      </c>
      <c r="U14" s="256">
        <f>'2025_pb_2'!U462</f>
        <v>0</v>
      </c>
      <c r="V14" s="533">
        <f t="shared" si="2"/>
        <v>1068586.0499999695</v>
      </c>
      <c r="W14" s="256">
        <f>'2025_pb_2'!W462</f>
        <v>1068586.05</v>
      </c>
      <c r="X14" s="539">
        <f t="shared" si="1"/>
        <v>3.0500814318656921E-8</v>
      </c>
      <c r="Y14" s="3"/>
      <c r="Z14"/>
      <c r="AA14"/>
      <c r="AB14" s="3"/>
      <c r="AC14"/>
      <c r="AD14"/>
      <c r="AE14"/>
      <c r="AF14"/>
      <c r="AG14"/>
      <c r="AH14" s="18"/>
      <c r="AI14" s="18"/>
    </row>
    <row r="15" spans="1:35">
      <c r="A15" s="314"/>
      <c r="B15" s="527"/>
      <c r="C15" s="258" t="str">
        <f>TRIM('2025_pb_2'!C463)</f>
        <v>104</v>
      </c>
      <c r="D15" s="258" t="str">
        <f>TRIM('2025_pb_2'!D463)</f>
        <v>105</v>
      </c>
      <c r="E15" s="258" t="str">
        <f>TRIM('2025_pb_2'!E463)</f>
        <v/>
      </c>
      <c r="F15" s="258" t="str">
        <f>TRIM('2025_pb_2'!F463)</f>
        <v/>
      </c>
      <c r="G15" s="258" t="str">
        <f>TRIM('2025_pb_2'!G463)</f>
        <v/>
      </c>
      <c r="H15" s="258" t="str">
        <f>TRIM('2025_pb_2'!H463)</f>
        <v/>
      </c>
      <c r="I15" s="258" t="str">
        <f>TRIM('2025_pb_2'!I463)</f>
        <v>DT4</v>
      </c>
      <c r="J15" s="258" t="str">
        <f>TRIM('2025_pb_2'!J463)</f>
        <v/>
      </c>
      <c r="K15" s="258" t="str">
        <f>TRIM('2025_pb_2'!K463)</f>
        <v/>
      </c>
      <c r="L15" s="6"/>
      <c r="M15" s="6" t="s">
        <v>5726</v>
      </c>
      <c r="N15" s="577" cm="1">
        <f t="array" ref="N15">peprate(E15:K15,Q15)</f>
        <v>0.55078125</v>
      </c>
      <c r="O15" s="524">
        <f>R15-'2025_pb_2'!R463</f>
        <v>0</v>
      </c>
      <c r="P15" s="258" t="str">
        <f>TRIM('2025_pb_2'!P463)</f>
        <v>253_2</v>
      </c>
      <c r="Q15" s="537">
        <f>'2025_pb_2'!Q463</f>
        <v>644044581.36275935</v>
      </c>
      <c r="R15" s="537">
        <f>'2025_pb_2'!R463</f>
        <v>644187672.24185646</v>
      </c>
      <c r="S15" s="533">
        <f t="shared" si="0"/>
        <v>143090.87909710407</v>
      </c>
      <c r="T15" s="533" cm="1">
        <f t="array" ref="T15">S15*peprate(E15:K15,Q15)</f>
        <v>78811.773252701852</v>
      </c>
      <c r="U15" s="256">
        <f>'2025_pb_2'!U463</f>
        <v>0</v>
      </c>
      <c r="V15" s="533">
        <f t="shared" si="2"/>
        <v>78811.773252701852</v>
      </c>
      <c r="W15" s="256">
        <f>'2025_pb_2'!W463</f>
        <v>528262.35</v>
      </c>
      <c r="X15" s="539">
        <f t="shared" si="1"/>
        <v>449450.57674729812</v>
      </c>
      <c r="Y15"/>
      <c r="Z15"/>
      <c r="AA15"/>
      <c r="AB15" s="3"/>
      <c r="AC15"/>
      <c r="AD15"/>
      <c r="AE15"/>
      <c r="AF15"/>
      <c r="AG15"/>
      <c r="AH15" s="18"/>
      <c r="AI15" s="18"/>
    </row>
    <row r="16" spans="1:35" ht="15.75" thickBot="1">
      <c r="A16" s="317"/>
      <c r="B16" s="528"/>
      <c r="C16" s="439" t="str">
        <f>TRIM('2025_pb_2'!C464)</f>
        <v>104</v>
      </c>
      <c r="D16" s="439" t="str">
        <f>TRIM('2025_pb_2'!D464)</f>
        <v>105</v>
      </c>
      <c r="E16" s="439" t="str">
        <f>TRIM('2025_pb_2'!E464)</f>
        <v/>
      </c>
      <c r="F16" s="439" t="str">
        <f>TRIM('2025_pb_2'!F464)</f>
        <v/>
      </c>
      <c r="G16" s="439" t="str">
        <f>TRIM('2025_pb_2'!G464)</f>
        <v>DT2</v>
      </c>
      <c r="H16" s="439" t="str">
        <f>TRIM('2025_pb_2'!H464)</f>
        <v/>
      </c>
      <c r="I16" s="439" t="str">
        <f>TRIM('2025_pb_2'!I464)</f>
        <v/>
      </c>
      <c r="J16" s="439" t="str">
        <f>TRIM('2025_pb_2'!J464)</f>
        <v/>
      </c>
      <c r="K16" s="439" t="str">
        <f>TRIM('2025_pb_2'!K464)</f>
        <v/>
      </c>
      <c r="L16" s="440"/>
      <c r="M16" s="440" t="s">
        <v>5727</v>
      </c>
      <c r="N16" s="578" cm="1">
        <f t="array" ref="N16">peprate(E16:K16,Q16)</f>
        <v>5.0501562500000006</v>
      </c>
      <c r="O16" s="525">
        <f>R16-'2025_pb_2'!R464</f>
        <v>0</v>
      </c>
      <c r="P16" s="439" t="str">
        <f>TRIM('2025_pb_2'!P464)</f>
        <v/>
      </c>
      <c r="Q16" s="540">
        <f>'2025_pb_2'!Q464</f>
        <v>622845950.93747675</v>
      </c>
      <c r="R16" s="541" cm="1">
        <f t="array" ref="R16">W16/peprate(E16:K16,Q16)+Q16</f>
        <v>623088976.83395278</v>
      </c>
      <c r="S16" s="542">
        <f t="shared" si="0"/>
        <v>243025.89647603035</v>
      </c>
      <c r="T16" s="542" cm="1">
        <f t="array" ref="T16">S16*peprate(E16:K16,Q16)</f>
        <v>1227318.7500002778</v>
      </c>
      <c r="U16" s="257">
        <f>'2025_pb_2'!U464</f>
        <v>0</v>
      </c>
      <c r="V16" s="542">
        <f t="shared" si="2"/>
        <v>1227318.7500002778</v>
      </c>
      <c r="W16" s="257">
        <f>'2025_pb_2'!W464</f>
        <v>1227318.7500000002</v>
      </c>
      <c r="X16" s="543">
        <f t="shared" si="1"/>
        <v>-2.775341272354126E-7</v>
      </c>
      <c r="Y16"/>
      <c r="Z16"/>
      <c r="AA16"/>
      <c r="AB16" s="3"/>
      <c r="AC16"/>
      <c r="AD16"/>
      <c r="AE16"/>
      <c r="AF16"/>
      <c r="AG16"/>
      <c r="AH16" s="18"/>
      <c r="AI16" s="18"/>
    </row>
    <row r="18" spans="1:40">
      <c r="P18" s="3">
        <v>25207</v>
      </c>
      <c r="AH18" s="529" t="s">
        <v>5828</v>
      </c>
      <c r="AN18" s="6" t="s">
        <v>5806</v>
      </c>
    </row>
    <row r="19" spans="1:40" s="464" customFormat="1" ht="45">
      <c r="N19" s="580"/>
      <c r="P19" s="530" t="str">
        <f>P$1</f>
        <v>track</v>
      </c>
      <c r="Q19" s="544" t="str">
        <f>Q$1</f>
        <v>start met</v>
      </c>
      <c r="R19" s="544" t="str">
        <f>R$1</f>
        <v>end met</v>
      </c>
      <c r="S19" s="544" t="str">
        <f>S$1</f>
        <v>seconds</v>
      </c>
      <c r="T19" s="544" t="str">
        <f>T$1</f>
        <v>calculated bytes</v>
      </c>
      <c r="U19" s="544" t="str">
        <f>U$1</f>
        <v>pwr on</v>
      </c>
      <c r="V19" s="544" t="str">
        <f>V$1</f>
        <v>total calc bytes</v>
      </c>
      <c r="W19" s="544" t="str">
        <f>W$1</f>
        <v>bytes avail</v>
      </c>
      <c r="X19" s="544" t="str">
        <f>X$1</f>
        <v>difference</v>
      </c>
      <c r="AH19" s="464" t="s">
        <v>5807</v>
      </c>
      <c r="AI19" s="464" t="s">
        <v>5808</v>
      </c>
      <c r="AJ19" s="464" t="s">
        <v>5809</v>
      </c>
      <c r="AK19" s="464" t="s">
        <v>5810</v>
      </c>
      <c r="AL19" s="464" t="s">
        <v>5811</v>
      </c>
      <c r="AM19" s="464" t="s">
        <v>5812</v>
      </c>
      <c r="AN19" s="464">
        <v>5</v>
      </c>
    </row>
    <row r="20" spans="1:40" s="464" customFormat="1">
      <c r="B20" s="581"/>
      <c r="C20" s="581"/>
      <c r="D20" s="581"/>
      <c r="E20" s="581" t="s">
        <v>51</v>
      </c>
      <c r="F20" s="581"/>
      <c r="G20" s="581"/>
      <c r="H20" s="581"/>
      <c r="I20" s="581"/>
      <c r="J20" s="581"/>
      <c r="K20" s="581"/>
      <c r="L20" s="3" t="str">
        <f ca="1">IF(ISNUMBER(Q20),IF(Q20&gt;400000000,MID(met2utc(Q20),3,12),""),"")</f>
        <v>25-288/14:53</v>
      </c>
      <c r="M20" s="3" t="str">
        <f ca="1">IF(ISNUMBER(R20),IF(R20&gt;400000000,MID(met2utc(R20),3,12),""),"")</f>
        <v>25-299/13:49</v>
      </c>
      <c r="N20" s="582"/>
      <c r="O20" s="3" t="str">
        <f>MID(deltautc($AI20),6,9)</f>
        <v>209/22:54</v>
      </c>
      <c r="P20" s="3" t="str">
        <f>MID(AH20,5,5)</f>
        <v>209_2</v>
      </c>
      <c r="Q20" s="584">
        <v>622845950.93747675</v>
      </c>
      <c r="R20" s="532">
        <f>Q20+W20/peprate(E20:K20,Q20)</f>
        <v>623792486.56247675</v>
      </c>
      <c r="S20" s="20">
        <f>R20-Q20</f>
        <v>946535.625</v>
      </c>
      <c r="T20" s="20">
        <f ca="1">S20*IF($Y20="PEP",peprate(E20:K20,$Q20),IF($Y20="SWA",$S$4,0))</f>
        <v>33654.6</v>
      </c>
      <c r="U20" s="20">
        <f>0</f>
        <v>0</v>
      </c>
      <c r="V20" s="20">
        <f ca="1">T20+IF($Y20="PEP",$U20*$U$2,0)</f>
        <v>33654.6</v>
      </c>
      <c r="W20" s="20">
        <f>AN20*1000000/8</f>
        <v>33654.6</v>
      </c>
      <c r="X20" s="20">
        <f ca="1">W20-V20</f>
        <v>0</v>
      </c>
      <c r="Y20" s="3" t="str">
        <f ca="1">IF($L20&lt;&gt;"",IF($M20&lt;&gt;"",IF(_xlfn.XOR(_xlfn.TEXTJOIN("",TRUE,$E20:$I20)&lt;&gt;"",_xlfn.TEXTJOIN("",TRUE,$J20:$K20)&lt;&gt;""),IF(_xlfn.TEXTJOIN("",TRUE,$J20:$K20)="","PEP","SWA"),""),""),"")</f>
        <v>PEP</v>
      </c>
      <c r="Z20" s="581" t="s">
        <v>5830</v>
      </c>
      <c r="AA20" s="581"/>
      <c r="AB20" s="581"/>
      <c r="AC20" s="581"/>
      <c r="AD20" s="581"/>
      <c r="AE20" s="581"/>
      <c r="AF20" s="581"/>
      <c r="AG20" s="581"/>
      <c r="AH20" s="581" t="s">
        <v>766</v>
      </c>
      <c r="AI20" s="581" t="s">
        <v>5816</v>
      </c>
      <c r="AJ20" s="581">
        <v>0.674759</v>
      </c>
      <c r="AK20" s="581">
        <v>0.70681099999999997</v>
      </c>
      <c r="AL20" s="581">
        <v>3.2051999999999997E-2</v>
      </c>
      <c r="AM20" s="581">
        <v>0.282059</v>
      </c>
      <c r="AN20" s="3">
        <f>AL20*8*(100+AN$19)/100</f>
        <v>0.2692368</v>
      </c>
    </row>
    <row r="21" spans="1:40">
      <c r="A21"/>
      <c r="B21" s="581"/>
      <c r="C21" s="581"/>
      <c r="D21" s="581"/>
      <c r="E21" s="581"/>
      <c r="F21" s="581" t="s">
        <v>49</v>
      </c>
      <c r="G21" s="581"/>
      <c r="H21" s="581"/>
      <c r="I21" s="581"/>
      <c r="J21" s="581"/>
      <c r="K21" s="581"/>
      <c r="L21" s="3" t="str">
        <f ca="1">IF(ISNUMBER(Q21),IF(Q21&gt;400000000,MID(met2utc(Q21),3,12),""),"")</f>
        <v>25-288/17:40</v>
      </c>
      <c r="M21" s="3" t="str">
        <f ca="1">IF(ISNUMBER(R21),IF(R21&gt;400000000,MID(met2utc(R21),3,12),""),"")</f>
        <v>25-303/14:59</v>
      </c>
      <c r="N21" s="582"/>
      <c r="O21" s="3" t="str">
        <f>MID(deltautc($AI21),6,9)</f>
        <v>210/20:49</v>
      </c>
      <c r="P21" s="3" t="str">
        <f>MID(AH21,5,5)</f>
        <v>210_2</v>
      </c>
      <c r="Q21" s="545">
        <f>Q20+10000</f>
        <v>622855950.93747675</v>
      </c>
      <c r="R21" s="532">
        <f>Q21+W21/peprate(E21:K21,Q21)</f>
        <v>624142262.88113868</v>
      </c>
      <c r="S21" s="20">
        <f>R21-Q21</f>
        <v>1286311.9436619282</v>
      </c>
      <c r="T21" s="20">
        <f ca="1">S21*IF($Y21="PEP",peprate(E21:K21,$Q21),IF($Y21="SWA",$S$4,0))</f>
        <v>887912.54999996989</v>
      </c>
      <c r="U21" s="20">
        <v>0</v>
      </c>
      <c r="V21" s="20">
        <f ca="1">T21+IF($Y21="PEP",$U21*$U$2,0)</f>
        <v>887912.54999996989</v>
      </c>
      <c r="W21" s="20">
        <f>AN21*1000000/8</f>
        <v>887912.55</v>
      </c>
      <c r="X21" s="20">
        <f ca="1">W21-V21</f>
        <v>3.0151568353176117E-8</v>
      </c>
      <c r="Y21" s="3" t="str">
        <f ca="1">IF($L21&lt;&gt;"",IF($M21&lt;&gt;"",IF(_xlfn.XOR(_xlfn.TEXTJOIN("",TRUE,$E21:$I21)&lt;&gt;"",_xlfn.TEXTJOIN("",TRUE,$J21:$K21)&lt;&gt;""),IF(_xlfn.TEXTJOIN("",TRUE,$J21:$K21)="","PEP","SWA"),""),""),"")</f>
        <v>PEP</v>
      </c>
      <c r="Z21" s="581" t="s">
        <v>5832</v>
      </c>
      <c r="AA21" s="581"/>
      <c r="AB21" s="581"/>
      <c r="AC21" s="581"/>
      <c r="AD21" s="581"/>
      <c r="AE21" s="581"/>
      <c r="AF21" s="581"/>
      <c r="AG21" s="581"/>
      <c r="AH21" s="581" t="s">
        <v>772</v>
      </c>
      <c r="AI21" s="581" t="s">
        <v>5817</v>
      </c>
      <c r="AJ21" s="581">
        <v>0.55793700000000002</v>
      </c>
      <c r="AK21" s="581">
        <v>1.4035679999999999</v>
      </c>
      <c r="AL21" s="581">
        <v>0.84563100000000002</v>
      </c>
      <c r="AM21" s="581">
        <v>7.4415480000000001</v>
      </c>
      <c r="AN21" s="3">
        <f>AL21*8*(100+AN$19)/100</f>
        <v>7.1033004000000002</v>
      </c>
    </row>
    <row r="22" spans="1:40">
      <c r="A22"/>
      <c r="B22" s="581"/>
      <c r="C22" s="581"/>
      <c r="D22" s="581"/>
      <c r="E22" s="581"/>
      <c r="F22" s="581"/>
      <c r="G22" s="581" t="s">
        <v>50</v>
      </c>
      <c r="H22" s="581"/>
      <c r="I22" s="581"/>
      <c r="J22" s="581"/>
      <c r="K22" s="581"/>
      <c r="L22" s="3" t="str">
        <f ca="1">IF(ISNUMBER(Q22),IF(Q22&gt;400000000,MID(met2utc(Q22),3,12),""),"")</f>
        <v>25-288/20:27</v>
      </c>
      <c r="M22" s="3" t="str">
        <f ca="1">IF(ISNUMBER(R22),IF(R22&gt;400000000,MID(met2utc(R22),3,12),""),"")</f>
        <v>25-290/20:00</v>
      </c>
      <c r="N22" s="582"/>
      <c r="O22" s="3" t="str">
        <f>MID(deltautc($AI22),6,9)</f>
        <v>211/13:39</v>
      </c>
      <c r="P22" s="3" t="str">
        <f>MID(AH22,5,5)</f>
        <v>211_1</v>
      </c>
      <c r="Q22" s="545">
        <f t="shared" ref="Q22:Q29" si="3">Q21+10000</f>
        <v>622865950.93747675</v>
      </c>
      <c r="R22" s="532">
        <f>Q22+W22/peprate(E22:K22,Q22)</f>
        <v>623037141.17540252</v>
      </c>
      <c r="S22" s="20">
        <f>R22-Q22</f>
        <v>171190.2379257679</v>
      </c>
      <c r="T22" s="20">
        <f ca="1">S22*IF($Y22="PEP",peprate(E22:K22,$Q22),IF($Y22="SWA",$S$4,0))</f>
        <v>864537.44999980391</v>
      </c>
      <c r="U22" s="20">
        <f>0</f>
        <v>0</v>
      </c>
      <c r="V22" s="20">
        <f ca="1">T22+IF($Y22="PEP",$U22*$U$2,0)</f>
        <v>864537.44999980391</v>
      </c>
      <c r="W22" s="20">
        <f>AN22*1000000/8</f>
        <v>864537.45</v>
      </c>
      <c r="X22" s="20">
        <f ca="1">W22-V22</f>
        <v>1.9604340195655823E-7</v>
      </c>
      <c r="Y22" s="3" t="str">
        <f ca="1">IF($L22&lt;&gt;"",IF($M22&lt;&gt;"",IF(_xlfn.XOR(_xlfn.TEXTJOIN("",TRUE,$E22:$I22)&lt;&gt;"",_xlfn.TEXTJOIN("",TRUE,$J22:$K22)&lt;&gt;""),IF(_xlfn.TEXTJOIN("",TRUE,$J22:$K22)="","PEP","SWA"),""),""),"")</f>
        <v>PEP</v>
      </c>
      <c r="Z22" s="581" t="s">
        <v>5831</v>
      </c>
      <c r="AA22" s="581"/>
      <c r="AB22" s="581"/>
      <c r="AC22" s="581"/>
      <c r="AD22" s="581"/>
      <c r="AE22" s="581"/>
      <c r="AF22" s="581"/>
      <c r="AG22" s="581"/>
      <c r="AH22" s="581" t="s">
        <v>39</v>
      </c>
      <c r="AI22" s="581" t="s">
        <v>5818</v>
      </c>
      <c r="AJ22" s="581">
        <v>0.24687999999999999</v>
      </c>
      <c r="AK22" s="581">
        <v>1.070249</v>
      </c>
      <c r="AL22" s="581">
        <v>0.82336900000000002</v>
      </c>
      <c r="AM22" s="581">
        <v>7.2456469999999999</v>
      </c>
      <c r="AN22" s="3">
        <f>AL22*8*(100+AN$19)/100</f>
        <v>6.9162995999999994</v>
      </c>
    </row>
    <row r="23" spans="1:40">
      <c r="A23"/>
      <c r="B23" s="581"/>
      <c r="C23" s="581"/>
      <c r="D23" s="581"/>
      <c r="E23" s="581" t="s">
        <v>51</v>
      </c>
      <c r="F23" s="581" t="s">
        <v>49</v>
      </c>
      <c r="G23" s="581" t="s">
        <v>50</v>
      </c>
      <c r="H23" s="581" t="s">
        <v>53</v>
      </c>
      <c r="I23" s="581" t="s">
        <v>54</v>
      </c>
      <c r="J23" s="581"/>
      <c r="K23" s="581"/>
      <c r="L23" s="3" t="str">
        <f ca="1">IF(ISNUMBER(Q23),IF(Q23&gt;400000000,MID(met2utc(Q23),3,12),""),"")</f>
        <v>25-288/23:13</v>
      </c>
      <c r="M23" s="3" t="str">
        <f ca="1">IF(ISNUMBER(R23),IF(R23&gt;400000000,MID(met2utc(R23),3,12),""),"")</f>
        <v>25-289/03:56</v>
      </c>
      <c r="N23" s="582"/>
      <c r="O23" s="3" t="str">
        <f>MID(deltautc($AI23),6,9)</f>
        <v>212/08:19</v>
      </c>
      <c r="P23" s="3" t="str">
        <f>MID(AH23,5,5)</f>
        <v>212_1</v>
      </c>
      <c r="Q23" s="545">
        <f t="shared" si="3"/>
        <v>622875950.93747675</v>
      </c>
      <c r="R23" s="532">
        <f>Q23+W23/peprate(E23:K23,Q23)</f>
        <v>622892886.52982426</v>
      </c>
      <c r="S23" s="20">
        <f>R23-Q23</f>
        <v>16935.592347502708</v>
      </c>
      <c r="T23" s="20">
        <f ca="1">S23*IF($Y23="PEP",peprate(E23:K23,$Q23),IF($Y23="SWA",$S$4,0))</f>
        <v>116923.80000027949</v>
      </c>
      <c r="U23" s="20">
        <f>0</f>
        <v>0</v>
      </c>
      <c r="V23" s="20">
        <f ca="1">T23+IF($Y23="PEP",$U23*$U$2,0)</f>
        <v>116923.80000027949</v>
      </c>
      <c r="W23" s="20">
        <f>AN23*1000000/8</f>
        <v>116923.79999999999</v>
      </c>
      <c r="X23" s="20">
        <f ca="1">W23-V23</f>
        <v>-2.7949863579124212E-7</v>
      </c>
      <c r="Y23" s="3" t="str">
        <f ca="1">IF($L23&lt;&gt;"",IF($M23&lt;&gt;"",IF(_xlfn.XOR(_xlfn.TEXTJOIN("",TRUE,$E23:$I23)&lt;&gt;"",_xlfn.TEXTJOIN("",TRUE,$J23:$K23)&lt;&gt;""),IF(_xlfn.TEXTJOIN("",TRUE,$J23:$K23)="","PEP","SWA"),""),""),"")</f>
        <v>PEP</v>
      </c>
      <c r="Z23" s="581"/>
      <c r="AA23" s="581"/>
      <c r="AB23" s="581"/>
      <c r="AC23" s="581"/>
      <c r="AD23" s="581"/>
      <c r="AE23" s="581"/>
      <c r="AF23" s="581"/>
      <c r="AG23" s="581"/>
      <c r="AH23" s="581" t="s">
        <v>779</v>
      </c>
      <c r="AI23" s="581" t="s">
        <v>5819</v>
      </c>
      <c r="AJ23" s="581">
        <v>0.26269700000000001</v>
      </c>
      <c r="AK23" s="581">
        <v>0.37405300000000002</v>
      </c>
      <c r="AL23" s="581">
        <v>0.111356</v>
      </c>
      <c r="AM23" s="581">
        <v>0.97992999999999997</v>
      </c>
      <c r="AN23" s="3">
        <f>AL23*8*(100+AN$19)/100</f>
        <v>0.93539039999999996</v>
      </c>
    </row>
    <row r="24" spans="1:40">
      <c r="A24"/>
      <c r="B24" s="581"/>
      <c r="C24" s="581"/>
      <c r="D24" s="581"/>
      <c r="E24" s="581"/>
      <c r="F24" s="581"/>
      <c r="G24" s="581"/>
      <c r="H24" s="581"/>
      <c r="I24" s="581"/>
      <c r="J24" s="581"/>
      <c r="K24" s="581"/>
      <c r="L24" s="3" t="str">
        <f ca="1">IF(ISNUMBER(Q24),IF(Q24&gt;400000000,MID(met2utc(Q24),3,12),""),"")</f>
        <v>25-289/02:00</v>
      </c>
      <c r="M24" s="3" t="str">
        <f ca="1">IF(ISNUMBER(R24),IF(R24&gt;400000000,MID(met2utc(R24),3,12),""),"")</f>
        <v>25-289/03:08</v>
      </c>
      <c r="N24" s="582"/>
      <c r="O24" s="3" t="str">
        <f>MID(deltautc($AI24),6,9)</f>
        <v>212/20:54</v>
      </c>
      <c r="P24" s="3" t="str">
        <f>MID(AH24,5,5)</f>
        <v>212_2</v>
      </c>
      <c r="Q24" s="545">
        <f t="shared" si="3"/>
        <v>622885950.93747675</v>
      </c>
      <c r="R24" s="532">
        <f>Q24+4049</f>
        <v>622889999.93747675</v>
      </c>
      <c r="S24" s="20">
        <f>R24-Q24</f>
        <v>4049</v>
      </c>
      <c r="T24" s="20">
        <f ca="1">S24*IF($Y24="PEP",peprate(E24:K24,$Q24),IF($Y24="SWA",$S$4,0))</f>
        <v>0</v>
      </c>
      <c r="U24" s="20">
        <f>0</f>
        <v>0</v>
      </c>
      <c r="V24" s="20">
        <f ca="1">T24+IF($Y24="PEP",$U24*$U$2,0)</f>
        <v>0</v>
      </c>
      <c r="W24" s="20">
        <f>AN24*1000000/8</f>
        <v>1150204.6500000001</v>
      </c>
      <c r="X24" s="20">
        <f ca="1">W24-V24</f>
        <v>1150204.6500000001</v>
      </c>
      <c r="Y24" s="3" t="str">
        <f ca="1">IF($L24&lt;&gt;"",IF($M24&lt;&gt;"",IF(_xlfn.XOR(_xlfn.TEXTJOIN("",TRUE,$E24:$I24)&lt;&gt;"",_xlfn.TEXTJOIN("",TRUE,$J24:$K24)&lt;&gt;""),IF(_xlfn.TEXTJOIN("",TRUE,$J24:$K24)="","PEP","SWA"),""),""),"")</f>
        <v/>
      </c>
      <c r="Z24" s="581"/>
      <c r="AA24" s="581"/>
      <c r="AB24" s="581"/>
      <c r="AC24" s="581"/>
      <c r="AD24" s="581"/>
      <c r="AE24" s="581"/>
      <c r="AF24" s="581"/>
      <c r="AG24" s="581"/>
      <c r="AH24" s="581" t="s">
        <v>783</v>
      </c>
      <c r="AI24" s="581" t="s">
        <v>5820</v>
      </c>
      <c r="AJ24" s="581">
        <v>0.227911</v>
      </c>
      <c r="AK24" s="581">
        <v>1.3233440000000001</v>
      </c>
      <c r="AL24" s="581">
        <v>1.0954330000000001</v>
      </c>
      <c r="AM24" s="581">
        <v>9.6398080000000004</v>
      </c>
      <c r="AN24" s="3">
        <f>AL24*8*(100+AN$19)/100</f>
        <v>9.2016372000000004</v>
      </c>
    </row>
    <row r="25" spans="1:40">
      <c r="A25"/>
      <c r="B25" s="581"/>
      <c r="C25" s="581"/>
      <c r="D25" s="581"/>
      <c r="E25" s="581"/>
      <c r="F25" s="581"/>
      <c r="G25" s="581"/>
      <c r="H25" s="581"/>
      <c r="I25" s="581"/>
      <c r="J25" s="581"/>
      <c r="K25" s="581"/>
      <c r="L25" s="3" t="str">
        <f ca="1">IF(ISNUMBER(Q25),IF(Q25&gt;400000000,MID(met2utc(Q25),3,12),""),"")</f>
        <v>25-289/04:47</v>
      </c>
      <c r="M25" s="3" t="str">
        <f ca="1">IF(ISNUMBER(R25),IF(R25&gt;400000000,MID(met2utc(R25),3,12),""),"")</f>
        <v>25-289/05:54</v>
      </c>
      <c r="N25" s="582"/>
      <c r="O25" s="3" t="str">
        <f>MID(deltautc($AI25),6,9)</f>
        <v>213/11:49</v>
      </c>
      <c r="P25" s="3" t="str">
        <f>MID(AH25,5,5)</f>
        <v>213_1</v>
      </c>
      <c r="Q25" s="545">
        <f t="shared" si="3"/>
        <v>622895950.93747675</v>
      </c>
      <c r="R25" s="532">
        <f>Q25+4049</f>
        <v>622899999.93747675</v>
      </c>
      <c r="S25" s="20">
        <f>R25-Q25</f>
        <v>4049</v>
      </c>
      <c r="T25" s="20">
        <f ca="1">S25*IF($Y25="PEP",peprate(E25:K25,$Q25),IF($Y25="SWA",$S$4,0))</f>
        <v>0</v>
      </c>
      <c r="U25" s="20">
        <f>0</f>
        <v>0</v>
      </c>
      <c r="V25" s="20">
        <f ca="1">T25+IF($Y25="PEP",$U25*$U$2,0)</f>
        <v>0</v>
      </c>
      <c r="W25" s="20">
        <f>AN25*1000000/8</f>
        <v>1121578.5</v>
      </c>
      <c r="X25" s="20">
        <f ca="1">W25-V25</f>
        <v>1121578.5</v>
      </c>
      <c r="Y25" s="3" t="str">
        <f ca="1">IF($L25&lt;&gt;"",IF($M25&lt;&gt;"",IF(_xlfn.XOR(_xlfn.TEXTJOIN("",TRUE,$E25:$I25)&lt;&gt;"",_xlfn.TEXTJOIN("",TRUE,$J25:$K25)&lt;&gt;""),IF(_xlfn.TEXTJOIN("",TRUE,$J25:$K25)="","PEP","SWA"),""),""),"")</f>
        <v/>
      </c>
      <c r="Z25" s="581"/>
      <c r="AA25" s="581"/>
      <c r="AB25" s="581"/>
      <c r="AC25" s="581"/>
      <c r="AD25" s="581"/>
      <c r="AE25" s="581"/>
      <c r="AF25" s="581"/>
      <c r="AG25" s="581"/>
      <c r="AH25" s="581" t="s">
        <v>40</v>
      </c>
      <c r="AI25" s="581" t="s">
        <v>5821</v>
      </c>
      <c r="AJ25" s="581">
        <v>0.386322</v>
      </c>
      <c r="AK25" s="581">
        <v>1.4544919999999999</v>
      </c>
      <c r="AL25" s="581">
        <v>1.0681700000000001</v>
      </c>
      <c r="AM25" s="581">
        <v>9.3998989999999996</v>
      </c>
      <c r="AN25" s="3">
        <f>AL25*8*(100+AN$19)/100</f>
        <v>8.9726280000000003</v>
      </c>
    </row>
    <row r="26" spans="1:40">
      <c r="A26"/>
      <c r="B26" s="581"/>
      <c r="C26" s="581"/>
      <c r="D26" s="581"/>
      <c r="E26" s="581"/>
      <c r="F26" s="581"/>
      <c r="G26" s="581"/>
      <c r="H26" s="581"/>
      <c r="I26" s="581"/>
      <c r="J26" s="581" t="s">
        <v>228</v>
      </c>
      <c r="K26" s="581" t="s">
        <v>825</v>
      </c>
      <c r="L26" s="3" t="str">
        <f ca="1">IF(ISNUMBER(Q26),IF(Q26&gt;400000000,MID(met2utc(Q26),3,12),""),"")</f>
        <v>25-289/07:33</v>
      </c>
      <c r="M26" s="3" t="str">
        <f ca="1">IF(ISNUMBER(R26),IF(R26&gt;400000000,MID(met2utc(R26),3,12),""),"")</f>
        <v>25-298/23:26</v>
      </c>
      <c r="N26" s="582"/>
      <c r="O26" s="3" t="str">
        <f>MID(deltautc($AI26),6,9)</f>
        <v>215/17:43</v>
      </c>
      <c r="P26" s="3" t="str">
        <f>MID(AH26,5,5)</f>
        <v>215_1</v>
      </c>
      <c r="Q26" s="583">
        <f t="shared" si="3"/>
        <v>622905950.93747675</v>
      </c>
      <c r="R26" s="574">
        <f>Q26+W26/$S$4</f>
        <v>623740719.11632204</v>
      </c>
      <c r="S26" s="20">
        <f>R26-Q26</f>
        <v>834768.17884528637</v>
      </c>
      <c r="T26" s="20">
        <f ca="1">S26*IF($Y26="PEP",peprate(E26:K26,$Q26),IF($Y26="SWA",$S$4,0))</f>
        <v>1171036.649999985</v>
      </c>
      <c r="U26" s="20">
        <f>0</f>
        <v>0</v>
      </c>
      <c r="V26" s="20">
        <f ca="1">T26+IF($Y26="PEP",$U26*$U$2,0)</f>
        <v>1171036.649999985</v>
      </c>
      <c r="W26" s="20">
        <f>AN26*1000000/8</f>
        <v>1171036.6499999999</v>
      </c>
      <c r="X26" s="20">
        <f ca="1">W26-V26</f>
        <v>1.4901161193847656E-8</v>
      </c>
      <c r="Y26" s="3" t="str">
        <f ca="1">IF($L26&lt;&gt;"",IF($M26&lt;&gt;"",IF(_xlfn.XOR(_xlfn.TEXTJOIN("",TRUE,$E26:$I26)&lt;&gt;"",_xlfn.TEXTJOIN("",TRUE,$J26:$K26)&lt;&gt;""),IF(_xlfn.TEXTJOIN("",TRUE,$J26:$K26)="","PEP","SWA"),""),""),"")</f>
        <v>SWA</v>
      </c>
      <c r="Z26" s="581"/>
      <c r="AA26" s="581"/>
      <c r="AB26" s="581"/>
      <c r="AC26" s="581"/>
      <c r="AD26" s="581"/>
      <c r="AE26" s="581"/>
      <c r="AF26" s="581"/>
      <c r="AG26" s="581"/>
      <c r="AH26" s="581" t="s">
        <v>795</v>
      </c>
      <c r="AI26" s="581" t="s">
        <v>5822</v>
      </c>
      <c r="AJ26" s="581">
        <v>0.97636599999999996</v>
      </c>
      <c r="AK26" s="581">
        <v>2.0916389999999998</v>
      </c>
      <c r="AL26" s="581">
        <v>1.115273</v>
      </c>
      <c r="AM26" s="581">
        <v>9.8144030000000004</v>
      </c>
      <c r="AN26" s="3">
        <f>AL26*8*(100+AN$19)/100</f>
        <v>9.3682932000000001</v>
      </c>
    </row>
    <row r="27" spans="1:40">
      <c r="A27"/>
      <c r="B27" s="581"/>
      <c r="C27" s="581"/>
      <c r="D27" s="581"/>
      <c r="E27" s="581"/>
      <c r="F27" s="581"/>
      <c r="G27" s="581"/>
      <c r="H27" s="581"/>
      <c r="I27" s="581"/>
      <c r="J27" s="581" t="s">
        <v>228</v>
      </c>
      <c r="K27" s="581"/>
      <c r="L27" s="3" t="str">
        <f ca="1">IF(ISNUMBER(Q27),IF(Q27&gt;400000000,MID(met2utc(Q27),3,12),""),"")</f>
        <v>25-289/10:20</v>
      </c>
      <c r="M27" s="3" t="str">
        <f ca="1">IF(ISNUMBER(R27),IF(R27&gt;400000000,MID(met2utc(R27),3,12),""),"")</f>
        <v>25-313/01:25</v>
      </c>
      <c r="N27" s="582"/>
      <c r="O27" s="3" t="str">
        <f>MID(deltautc($AI27),6,9)</f>
        <v>216/11:48</v>
      </c>
      <c r="P27" s="3" t="str">
        <f>MID(AH27,5,5)</f>
        <v>216_1</v>
      </c>
      <c r="Q27" s="574">
        <f t="shared" si="3"/>
        <v>622915950.93747675</v>
      </c>
      <c r="R27" s="532">
        <f>Q27+W27/$S$4</f>
        <v>624957452.7736522</v>
      </c>
      <c r="S27" s="20">
        <f>R27-Q27</f>
        <v>2041501.8361754417</v>
      </c>
      <c r="T27" s="20">
        <f ca="1">S27*IF($Y27="PEP",peprate(E27:K27,$Q27),IF($Y27="SWA",$S$4,0))</f>
        <v>2863877.0999999847</v>
      </c>
      <c r="U27" s="20">
        <f>0</f>
        <v>0</v>
      </c>
      <c r="V27" s="20">
        <f ca="1">T27+IF($Y27="PEP",$U27*$U$2,0)</f>
        <v>2863877.0999999847</v>
      </c>
      <c r="W27" s="20">
        <f>AN27*1000000/8</f>
        <v>2863877.0999999996</v>
      </c>
      <c r="X27" s="20">
        <f ca="1">W27-V27</f>
        <v>1.4901161193847656E-8</v>
      </c>
      <c r="Y27" s="3" t="str">
        <f ca="1">IF($L27&lt;&gt;"",IF($M27&lt;&gt;"",IF(_xlfn.XOR(_xlfn.TEXTJOIN("",TRUE,$E27:$I27)&lt;&gt;"",_xlfn.TEXTJOIN("",TRUE,$J27:$K27)&lt;&gt;""),IF(_xlfn.TEXTJOIN("",TRUE,$J27:$K27)="","PEP","SWA"),""),""),"")</f>
        <v>SWA</v>
      </c>
      <c r="Z27" s="581"/>
      <c r="AA27" s="581"/>
      <c r="AB27" s="581"/>
      <c r="AC27" s="581"/>
      <c r="AD27" s="581"/>
      <c r="AE27" s="581"/>
      <c r="AF27" s="581"/>
      <c r="AG27" s="581"/>
      <c r="AH27" s="581" t="s">
        <v>797</v>
      </c>
      <c r="AI27" s="581" t="s">
        <v>5823</v>
      </c>
      <c r="AJ27" s="581">
        <v>0.246971</v>
      </c>
      <c r="AK27" s="581">
        <v>2.9744730000000001</v>
      </c>
      <c r="AL27" s="581">
        <v>2.7275019999999999</v>
      </c>
      <c r="AM27" s="581">
        <v>24.002020000000002</v>
      </c>
      <c r="AN27" s="3">
        <f>AL27*8*(100+AN$19)/100</f>
        <v>22.911016799999999</v>
      </c>
    </row>
    <row r="28" spans="1:40">
      <c r="A28"/>
      <c r="B28" s="581"/>
      <c r="C28" s="581"/>
      <c r="D28" s="581"/>
      <c r="E28" s="581"/>
      <c r="F28" s="581"/>
      <c r="G28" s="581"/>
      <c r="H28" s="581"/>
      <c r="I28" s="581"/>
      <c r="J28" s="581"/>
      <c r="K28" s="581" t="s">
        <v>825</v>
      </c>
      <c r="L28" s="3" t="str">
        <f ca="1">IF(ISNUMBER(Q28),IF(Q28&gt;400000000,MID(met2utc(Q28),3,12),""),"")</f>
        <v>25-289/13:07</v>
      </c>
      <c r="M28" s="3" t="str">
        <f ca="1">IF(ISNUMBER(R28),IF(R28&gt;400000000,MID(met2utc(R28),3,12),""),"")</f>
        <v>25-296/20:10</v>
      </c>
      <c r="N28" s="582"/>
      <c r="O28" s="3" t="str">
        <f>MID(deltautc($AI28),6,9)</f>
        <v>217/20:13</v>
      </c>
      <c r="P28" s="3" t="str">
        <f>MID(AH28,5,5)</f>
        <v>217_2</v>
      </c>
      <c r="Q28" s="545">
        <f t="shared" si="3"/>
        <v>622925950.93747675</v>
      </c>
      <c r="R28" s="532">
        <f>Q28+W28/$S$4</f>
        <v>623556125.22916603</v>
      </c>
      <c r="S28" s="20">
        <f>R28-Q28</f>
        <v>630174.2916892767</v>
      </c>
      <c r="T28" s="20">
        <f ca="1">S28*IF($Y28="PEP",peprate(E28:K28,$Q28),IF($Y28="SWA",$S$4,0))</f>
        <v>884026.49999994179</v>
      </c>
      <c r="U28" s="20">
        <f>0</f>
        <v>0</v>
      </c>
      <c r="V28" s="20">
        <f ca="1">T28+IF($Y28="PEP",$U28*$U$2,0)</f>
        <v>884026.49999994179</v>
      </c>
      <c r="W28" s="20">
        <f>AN28*1000000/8</f>
        <v>884026.49999999988</v>
      </c>
      <c r="X28" s="20">
        <f ca="1">W28-V28</f>
        <v>5.8091245591640472E-8</v>
      </c>
      <c r="Y28" s="3" t="str">
        <f ca="1">IF($L28&lt;&gt;"",IF($M28&lt;&gt;"",IF(_xlfn.XOR(_xlfn.TEXTJOIN("",TRUE,$E28:$I28)&lt;&gt;"",_xlfn.TEXTJOIN("",TRUE,$J28:$K28)&lt;&gt;""),IF(_xlfn.TEXTJOIN("",TRUE,$J28:$K28)="","PEP","SWA"),""),""),"")</f>
        <v>SWA</v>
      </c>
      <c r="Z28" s="581"/>
      <c r="AA28" s="581"/>
      <c r="AB28" s="581"/>
      <c r="AC28" s="581"/>
      <c r="AD28" s="581"/>
      <c r="AE28" s="581"/>
      <c r="AF28" s="581"/>
      <c r="AG28" s="581"/>
      <c r="AH28" s="581" t="s">
        <v>804</v>
      </c>
      <c r="AI28" s="581" t="s">
        <v>5824</v>
      </c>
      <c r="AJ28" s="581">
        <v>0.52772699999999995</v>
      </c>
      <c r="AK28" s="581">
        <v>1.3696569999999999</v>
      </c>
      <c r="AL28" s="581">
        <v>0.84192999999999996</v>
      </c>
      <c r="AM28" s="581">
        <v>7.4089850000000004</v>
      </c>
      <c r="AN28" s="3">
        <f>AL28*8*(100+AN$19)/100</f>
        <v>7.0722119999999995</v>
      </c>
    </row>
    <row r="29" spans="1:40">
      <c r="A29"/>
      <c r="B29" s="581"/>
      <c r="C29" s="581"/>
      <c r="D29" s="581"/>
      <c r="E29" s="581"/>
      <c r="F29" s="581"/>
      <c r="G29" s="581"/>
      <c r="H29" s="581"/>
      <c r="I29" s="581"/>
      <c r="J29" s="581" t="s">
        <v>228</v>
      </c>
      <c r="K29" s="581" t="s">
        <v>825</v>
      </c>
      <c r="L29" s="3" t="str">
        <f ca="1">IF(ISNUMBER(Q29),IF(Q29&gt;400000000,MID(met2utc(Q29),3,12),""),"")</f>
        <v>25-289/15:53</v>
      </c>
      <c r="M29" s="3" t="str">
        <f ca="1">IF(ISNUMBER(R29),IF(R29&gt;400000000,MID(met2utc(R29),3,12),""),"")</f>
        <v>25-290/22:45</v>
      </c>
      <c r="N29" s="582"/>
      <c r="O29" s="3" t="str">
        <f>MID(deltautc($AI29),6,9)</f>
        <v>218/19:43</v>
      </c>
      <c r="P29" s="3" t="str">
        <f>MID(AH29,5,5)</f>
        <v>218_1</v>
      </c>
      <c r="Q29" s="545">
        <f t="shared" si="3"/>
        <v>622935950.93747675</v>
      </c>
      <c r="R29" s="532">
        <f>Q29+111111</f>
        <v>623047061.93747675</v>
      </c>
      <c r="S29" s="20">
        <f>R29-Q29</f>
        <v>111111</v>
      </c>
      <c r="T29" s="20">
        <f ca="1">S29*IF($Y29="PEP",peprate(E29:K29,$Q29),IF($Y29="SWA",$S$2,0))</f>
        <v>56185.113905740567</v>
      </c>
      <c r="U29" s="20">
        <f>0</f>
        <v>0</v>
      </c>
      <c r="V29" s="20">
        <f ca="1">T29+IF($Y29="PEP",$U29*$U$2,0)</f>
        <v>56185.113905740567</v>
      </c>
      <c r="W29" s="20">
        <f>AN29*1000000/8</f>
        <v>56746.2</v>
      </c>
      <c r="X29" s="20">
        <f ca="1">W29-V29</f>
        <v>561.08609425942996</v>
      </c>
      <c r="Y29" s="3" t="str">
        <f ca="1">IF($L29&lt;&gt;"",IF($M29&lt;&gt;"",IF(_xlfn.XOR(_xlfn.TEXTJOIN("",TRUE,$E29:$I29)&lt;&gt;"",_xlfn.TEXTJOIN("",TRUE,$J29:$K29)&lt;&gt;""),IF(_xlfn.TEXTJOIN("",TRUE,$J29:$K29)="","PEP","SWA"),""),""),"")</f>
        <v>SWA</v>
      </c>
      <c r="Z29" s="581"/>
      <c r="AA29" s="581"/>
      <c r="AB29" s="581"/>
      <c r="AC29" s="581"/>
      <c r="AD29" s="581"/>
      <c r="AE29" s="581"/>
      <c r="AF29" s="581"/>
      <c r="AG29" s="581"/>
      <c r="AH29" s="581" t="s">
        <v>809</v>
      </c>
      <c r="AI29" s="581" t="s">
        <v>5825</v>
      </c>
      <c r="AJ29" s="581">
        <v>0.27238099999999998</v>
      </c>
      <c r="AK29" s="581">
        <v>0.32642500000000002</v>
      </c>
      <c r="AL29" s="581">
        <v>5.4044000000000002E-2</v>
      </c>
      <c r="AM29" s="581">
        <v>0.47558499999999998</v>
      </c>
      <c r="AN29" s="3">
        <f>AL29*8*(100+AN$19)/100</f>
        <v>0.45396959999999997</v>
      </c>
    </row>
    <row r="30" spans="1:40">
      <c r="A30"/>
      <c r="B30" s="581"/>
      <c r="C30" s="581"/>
      <c r="D30" s="581"/>
      <c r="E30" s="581"/>
      <c r="F30" s="581"/>
      <c r="G30" s="581"/>
      <c r="H30" s="581"/>
      <c r="I30" s="581"/>
      <c r="J30" s="581"/>
      <c r="K30" s="581"/>
      <c r="L30" s="3"/>
      <c r="M30" s="3"/>
      <c r="N30" s="582"/>
      <c r="O30" s="3"/>
      <c r="Q30" s="545"/>
      <c r="S30" s="20"/>
      <c r="T30" s="20"/>
      <c r="U30" s="20"/>
      <c r="V30" s="20"/>
      <c r="W30" s="20">
        <f ca="1">X29</f>
        <v>561.08609425942996</v>
      </c>
      <c r="X30" s="20"/>
      <c r="Y30" s="3"/>
      <c r="Z30" s="581"/>
      <c r="AA30" s="581"/>
      <c r="AB30" s="581"/>
      <c r="AC30" s="581"/>
      <c r="AD30" s="581"/>
      <c r="AE30" s="581"/>
      <c r="AF30" s="581"/>
      <c r="AG30" s="581"/>
      <c r="AH30" s="581" t="s">
        <v>5813</v>
      </c>
      <c r="AI30" s="581"/>
      <c r="AJ30" s="581"/>
      <c r="AK30" s="581"/>
      <c r="AL30" s="581"/>
      <c r="AM30" s="581"/>
      <c r="AN30" s="3"/>
    </row>
    <row r="31" spans="1:40">
      <c r="A31"/>
      <c r="B31" s="581"/>
      <c r="C31" s="581"/>
      <c r="D31" s="581"/>
      <c r="E31" s="581"/>
      <c r="F31" s="581"/>
      <c r="G31" s="581"/>
      <c r="H31" s="581"/>
      <c r="I31" s="581"/>
      <c r="J31" s="581"/>
      <c r="K31" s="581"/>
      <c r="L31" s="581"/>
      <c r="M31" s="581"/>
      <c r="N31" s="582"/>
      <c r="O31" s="581"/>
      <c r="Y31" s="581"/>
      <c r="Z31" s="581"/>
      <c r="AA31" s="581"/>
      <c r="AB31" s="581"/>
      <c r="AC31" s="581"/>
      <c r="AD31" s="581"/>
      <c r="AE31" s="581"/>
      <c r="AF31" s="581"/>
      <c r="AG31" s="581"/>
      <c r="AH31" s="581" t="s">
        <v>5826</v>
      </c>
      <c r="AI31" s="581"/>
      <c r="AJ31" s="581"/>
      <c r="AK31" s="581"/>
      <c r="AL31" s="581"/>
      <c r="AM31" s="581"/>
      <c r="AN31" s="581"/>
    </row>
    <row r="32" spans="1:40">
      <c r="A32"/>
      <c r="B32" s="581"/>
      <c r="C32" s="581"/>
      <c r="D32" s="581"/>
      <c r="E32" s="581"/>
      <c r="F32" s="581"/>
      <c r="G32" s="581"/>
      <c r="H32" s="581"/>
      <c r="I32" s="581"/>
      <c r="J32" s="581"/>
      <c r="K32" s="581"/>
      <c r="L32" s="581"/>
      <c r="M32" s="581"/>
      <c r="N32" s="582"/>
      <c r="O32" s="581"/>
      <c r="Y32" s="581"/>
      <c r="Z32" s="581"/>
      <c r="AA32" s="581"/>
      <c r="AB32" s="581"/>
      <c r="AC32" s="581"/>
      <c r="AD32" s="581"/>
      <c r="AE32" s="581"/>
      <c r="AF32" s="581"/>
      <c r="AG32" s="581"/>
      <c r="AH32" s="581" t="s">
        <v>5827</v>
      </c>
      <c r="AI32" s="581"/>
      <c r="AJ32" s="581"/>
      <c r="AK32" s="581"/>
      <c r="AL32" s="581"/>
      <c r="AM32" s="581"/>
      <c r="AN32" s="581"/>
    </row>
    <row r="33" spans="2:40" customFormat="1">
      <c r="B33" s="581"/>
      <c r="C33" s="581"/>
      <c r="D33" s="581"/>
      <c r="E33" s="581"/>
      <c r="F33" s="581"/>
      <c r="G33" s="581"/>
      <c r="H33" s="581"/>
      <c r="I33" s="581"/>
      <c r="J33" s="581"/>
      <c r="K33" s="581"/>
      <c r="L33" s="581"/>
      <c r="M33" s="581"/>
      <c r="N33" s="582"/>
      <c r="O33" s="581"/>
      <c r="P33" s="3"/>
      <c r="Q33" s="532"/>
      <c r="R33" s="532"/>
      <c r="S33" s="532"/>
      <c r="T33" s="532"/>
      <c r="U33" s="532"/>
      <c r="V33" s="532"/>
      <c r="W33" s="532"/>
      <c r="X33" s="532"/>
      <c r="Y33" s="581"/>
      <c r="Z33" s="581"/>
      <c r="AA33" s="581"/>
      <c r="AB33" s="581"/>
      <c r="AC33" s="581"/>
      <c r="AD33" s="581"/>
      <c r="AE33" s="581"/>
      <c r="AF33" s="581"/>
      <c r="AG33" s="581"/>
      <c r="AH33" s="581" t="s">
        <v>5815</v>
      </c>
      <c r="AI33" s="581"/>
      <c r="AJ33" s="581"/>
      <c r="AK33" s="581"/>
      <c r="AL33" s="581"/>
      <c r="AM33" s="581"/>
      <c r="AN33" s="581"/>
    </row>
    <row r="34" spans="2:40" customFormat="1">
      <c r="N34" s="579"/>
      <c r="P34" s="3"/>
      <c r="Q34" s="532"/>
      <c r="R34" s="532"/>
      <c r="S34" s="532"/>
      <c r="T34" s="532"/>
      <c r="U34" s="532"/>
      <c r="V34" s="532"/>
      <c r="W34" s="532"/>
      <c r="X34" s="532"/>
    </row>
    <row r="52" spans="34:34">
      <c r="AH52" s="529" t="s">
        <v>5813</v>
      </c>
    </row>
    <row r="53" spans="34:34">
      <c r="AH53" s="529" t="s">
        <v>5814</v>
      </c>
    </row>
    <row r="54" spans="34:34">
      <c r="AH54" s="529" t="s">
        <v>5815</v>
      </c>
    </row>
  </sheetData>
  <conditionalFormatting sqref="E1:K1048576">
    <cfRule type="expression" dxfId="14" priority="4" stopIfTrue="1">
      <formula>NOT(OR(EXACT(E1,""),EXACT(E1,E$1)))</formula>
    </cfRule>
  </conditionalFormatting>
  <conditionalFormatting sqref="P1:X1048576">
    <cfRule type="expression" dxfId="13" priority="8" stopIfTrue="1">
      <formula>EXACT(P$1,P1)</formula>
    </cfRule>
  </conditionalFormatting>
  <conditionalFormatting sqref="X1:X1048576">
    <cfRule type="expression" dxfId="12" priority="10">
      <formula>IF(ISNUMBER(X1),IF(X1&gt;0.1,TRUE))</formula>
    </cfRule>
  </conditionalFormatting>
  <conditionalFormatting sqref="W1:W1048576">
    <cfRule type="expression" dxfId="11" priority="11">
      <formula>IF(ISNUMBER(W1),IF(ISNUMBER(X1048576),IF(X1048576&gt;0.5,IF(X1048576=W1,TRUE))))</formula>
    </cfRule>
  </conditionalFormatting>
  <conditionalFormatting sqref="O1:P1048576 E1:K1048576">
    <cfRule type="expression" dxfId="10" priority="3" stopIfTrue="1">
      <formula>AND(_xlfn.XOR(_xlfn.TEXTJOIN("",TRUE,$E1:$I1)&lt;&gt;"",_xlfn.TEXTJOIN("",TRUE,$J1:$K1)&lt;&gt;""),$O1="",$P1="")</formula>
    </cfRule>
  </conditionalFormatting>
  <conditionalFormatting sqref="Q1:T1048576 X1:X1048576">
    <cfRule type="expression" dxfId="9" priority="17">
      <formula>OR(EXACT($Y1,"SWA"),EXACT($Y1,"PEP"))</formula>
    </cfRule>
  </conditionalFormatting>
  <conditionalFormatting sqref="P1:P1048576">
    <cfRule type="expression" dxfId="8" priority="1" stopIfTrue="1">
      <formula>AND(ISNUMBER(P1),P1&gt;20000,P1&lt;100000)</formula>
    </cfRule>
    <cfRule type="expression" dxfId="7" priority="30">
      <formula>OR(EXACT($Y1,"SWA"),EXACT($Y1,"PEP"))</formula>
    </cfRule>
  </conditionalFormatting>
  <conditionalFormatting sqref="C1:K1048576">
    <cfRule type="expression" dxfId="6" priority="2" stopIfTrue="1">
      <formula>_xlfn.TEXTJOIN("",FALSE,$E1:$K1)="HSK3DT1DT2DT3DT4SDT1HSK4"</formula>
    </cfRule>
    <cfRule type="expression" dxfId="5" priority="5" stopIfTrue="1">
      <formula>AND(_xlfn.TEXTJOIN("",FALSE,$E1:$I1) &lt;&gt;"",_xlfn.TEXTJOIN("",FALSE,$J1:$K1) &lt;&gt; "")</formula>
    </cfRule>
  </conditionalFormatting>
  <conditionalFormatting sqref="L1:M1048576">
    <cfRule type="expression" dxfId="4" priority="6" stopIfTrue="1">
      <formula>EXACT($Y1,"PEP")</formula>
    </cfRule>
    <cfRule type="expression" dxfId="3" priority="7" stopIfTrue="1">
      <formula>EXACT($Y1,"SWA")</formula>
    </cfRule>
  </conditionalFormatting>
  <conditionalFormatting sqref="Y1:Y1048576 O1:O1048576">
    <cfRule type="expression" dxfId="2" priority="9">
      <formula>OR(EXACT($Y1,"PEP"),EXACT($Y1,"SWA"))</formula>
    </cfRule>
  </conditionalFormatting>
  <conditionalFormatting sqref="Q1:Q1048576">
    <cfRule type="expression" dxfId="1" priority="15">
      <formula>AND(OR(EXACT($Y1,"SWA"),EXACT($Y1,"PEP")),EXACT(LEFT($Z1,1),"S"))</formula>
    </cfRule>
  </conditionalFormatting>
  <conditionalFormatting sqref="R1:R1048576">
    <cfRule type="expression" dxfId="0" priority="16">
      <formula>AND(OR(EXACT($Y1,"SWA"),EXACT($Y1,"PEP")),EXACT(RIGHT($Z1,1),"E"))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0</xdr:rowOff>
                  </from>
                  <to>
                    <xdr:col>0</xdr:col>
                    <xdr:colOff>1257300</xdr:colOff>
                    <xdr:row>3</xdr:row>
                    <xdr:rowOff>180975</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0</xdr:col>
                    <xdr:colOff>0</xdr:colOff>
                    <xdr:row>4</xdr:row>
                    <xdr:rowOff>0</xdr:rowOff>
                  </from>
                  <to>
                    <xdr:col>0</xdr:col>
                    <xdr:colOff>1257300</xdr:colOff>
                    <xdr:row>5</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2026-08-17T21:06:46Z</dcterms:modified>
  <dc:language>en-US</dc:language>
</cp:coreProperties>
</file>