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VM_STK_SHARING\"/>
    </mc:Choice>
  </mc:AlternateContent>
  <xr:revisionPtr revIDLastSave="0" documentId="8_{77D0A3C8-75CB-419B-BF65-B6BCAD3929E1}" xr6:coauthVersionLast="47" xr6:coauthVersionMax="47" xr10:uidLastSave="{00000000-0000-0000-0000-000000000000}"/>
  <bookViews>
    <workbookView xWindow="368" yWindow="368" windowWidth="20249" windowHeight="11760" tabRatio="703" xr2:uid="{00000000-000D-0000-FFFF-FFFF00000000}"/>
  </bookViews>
  <sheets>
    <sheet name="Sequence_PROD" sheetId="16" r:id="rId1"/>
    <sheet name="CAS_Library" sheetId="4" r:id="rId2"/>
    <sheet name="Data" sheetId="3" r:id="rId3"/>
    <sheet name="Mu69 RADec" sheetId="23" r:id="rId4"/>
    <sheet name="CB1_params" sheetId="24" r:id="rId5"/>
    <sheet name="Offsets" sheetId="25" r:id="rId6"/>
  </sheets>
  <externalReferences>
    <externalReference r:id="rId7"/>
  </externalReferences>
  <definedNames>
    <definedName name="_xlnm._FilterDatabase" localSheetId="4" hidden="1">CB1_params!$W$2:$W$6</definedName>
    <definedName name="_xlnm._FilterDatabase" localSheetId="0" hidden="1">Sequence_PROD!$A$7:$AB$21</definedName>
    <definedName name="activity">Data!$B$4:$B$5</definedName>
    <definedName name="ALICE">CAS_Library!$G$2:$G$30</definedName>
    <definedName name="CDH">CAS_Library!$M$2</definedName>
    <definedName name="dataInstrRange">Data!$A$1:$R$1</definedName>
    <definedName name="dataStepType">Data!$B$3:$D$3</definedName>
    <definedName name="DSN">CAS_Library!$D$2:$D$5</definedName>
    <definedName name="EPOCH_Pluto_CA" localSheetId="0">Sequence_PROD!#REF!</definedName>
    <definedName name="GNC">CAS_Library!$J$2:$J$102</definedName>
    <definedName name="LOAD">CAS_Library!$P$2:$P$7</definedName>
    <definedName name="LOR">CAS_Library!$S$2:$S$42</definedName>
    <definedName name="nonSasf">Data!$D$4:$D$5</definedName>
    <definedName name="note">Data!$C$4:$C$5</definedName>
    <definedName name="OBB">CAS_Library!$A$2</definedName>
    <definedName name="PEP">CAS_Library!$AQ$2:$AQ$13</definedName>
    <definedName name="PROP">CAS_Library!$V$2:$V$4</definedName>
    <definedName name="RALPH">CAS_Library!$AE$2:$AE$26</definedName>
    <definedName name="REX">CAS_Library!$Y$2:$Y$8</definedName>
    <definedName name="RF">CAS_Library!$AB$2:$AB$7</definedName>
    <definedName name="SDC">CAS_Library!$AH$2:$AH$18</definedName>
    <definedName name="seqCasRange" localSheetId="0">Sequence_PROD!$Q:$Q</definedName>
    <definedName name="seqStepTypeRange" localSheetId="0">Sequence_PROD!$L:$L</definedName>
    <definedName name="SSR">CAS_Library!$AK$2:$AK$19</definedName>
    <definedName name="SWAP">CAS_Library!$AN$2:$AN$23</definedName>
    <definedName name="THERM">CAS_Library!$AZ$2:$AZ$4</definedName>
    <definedName name="TLM">CAS_Library!$AT$2:$AT$5</definedName>
    <definedName name="TRACK">CAS_Library!$AW$2</definedName>
  </definedNames>
  <calcPr calcId="191029"/>
</workbook>
</file>

<file path=xl/calcChain.xml><?xml version="1.0" encoding="utf-8"?>
<calcChain xmlns="http://schemas.openxmlformats.org/spreadsheetml/2006/main">
  <c r="E24" i="25" l="1"/>
  <c r="E38" i="25"/>
  <c r="E11" i="25"/>
  <c r="G35" i="25"/>
  <c r="G38" i="25"/>
  <c r="G41" i="25"/>
  <c r="F35" i="25"/>
  <c r="F39" i="25"/>
  <c r="F41" i="25"/>
  <c r="C42" i="25"/>
  <c r="D42" i="25"/>
  <c r="E42" i="25"/>
  <c r="I42" i="25"/>
  <c r="C39" i="25"/>
  <c r="C38" i="25"/>
  <c r="H35" i="25"/>
  <c r="G21" i="25"/>
  <c r="G24" i="25"/>
  <c r="G27" i="25"/>
  <c r="F21" i="25"/>
  <c r="F25" i="25"/>
  <c r="F27" i="25"/>
  <c r="C28" i="25"/>
  <c r="D28" i="25"/>
  <c r="E28" i="25"/>
  <c r="I28" i="25"/>
  <c r="C25" i="25"/>
  <c r="C24" i="25"/>
  <c r="H21" i="25"/>
  <c r="G7" i="25"/>
  <c r="G10" i="25"/>
  <c r="G13" i="25"/>
  <c r="F7" i="25"/>
  <c r="F11" i="25"/>
  <c r="F13" i="25"/>
  <c r="C14" i="25"/>
  <c r="D14" i="25"/>
  <c r="E14" i="25"/>
  <c r="I14" i="25"/>
  <c r="C11" i="25"/>
  <c r="C10" i="25"/>
  <c r="H7" i="25"/>
  <c r="C15" i="23"/>
  <c r="D15" i="23"/>
  <c r="E15" i="23"/>
  <c r="C13" i="23"/>
  <c r="D13" i="23"/>
  <c r="E13" i="23"/>
  <c r="I8" i="23"/>
  <c r="J8" i="23"/>
  <c r="K8" i="23"/>
  <c r="M8" i="23"/>
  <c r="L8" i="23"/>
  <c r="F8" i="23"/>
  <c r="G8" i="23"/>
  <c r="H8" i="23"/>
  <c r="C8" i="23"/>
  <c r="D8" i="23"/>
  <c r="E8" i="23"/>
  <c r="R16" i="3"/>
  <c r="D59" i="3"/>
  <c r="G31" i="16"/>
  <c r="G32" i="16"/>
  <c r="G33" i="16"/>
  <c r="I33" i="16"/>
  <c r="H33" i="16"/>
  <c r="I32" i="16"/>
  <c r="H32" i="16"/>
  <c r="G27" i="16"/>
  <c r="G17" i="16"/>
  <c r="G18" i="16"/>
  <c r="G19" i="16"/>
  <c r="I19" i="16"/>
  <c r="H19" i="16"/>
  <c r="I18" i="16"/>
  <c r="H18" i="16"/>
  <c r="G13" i="16"/>
</calcChain>
</file>

<file path=xl/sharedStrings.xml><?xml version="1.0" encoding="utf-8"?>
<sst xmlns="http://schemas.openxmlformats.org/spreadsheetml/2006/main" count="1052" uniqueCount="752">
  <si>
    <t>SLEW</t>
  </si>
  <si>
    <t>0=grnd def vector,
1=earth, 
2 = sun,
3=CB1,
4=CB2,
5=orbit normal</t>
  </si>
  <si>
    <t>0=Inertial,
1=CB1 Inertial,
2=CB1 Fixed,
3=CB1 lat/lon/alt,
4=CB2 Inertial,
5=CB2 Fixed,
6=CB2 lat/lon/alt,
7=CB3 Inertial,
8=CB3 Fixed,
9=CB3 lat/lon/alt</t>
  </si>
  <si>
    <t>SCAN</t>
  </si>
  <si>
    <t>0=body,
1 = inertial</t>
  </si>
  <si>
    <t>MOSAIC</t>
  </si>
  <si>
    <t>Pixel Rate X</t>
  </si>
  <si>
    <t>Pixel Rate Y</t>
  </si>
  <si>
    <t>Pixel Rate Z</t>
  </si>
  <si>
    <t>sen2bdy 1</t>
  </si>
  <si>
    <t>type</t>
  </si>
  <si>
    <t>coldeltavb X</t>
  </si>
  <si>
    <t>coldeltavb Y</t>
  </si>
  <si>
    <t>coldeltavb Z</t>
  </si>
  <si>
    <t>mosaic size row</t>
  </si>
  <si>
    <t>mosaic size col</t>
  </si>
  <si>
    <t xml:space="preserve">pause time </t>
  </si>
  <si>
    <t>pixel rate X</t>
  </si>
  <si>
    <t>pixel rate Y</t>
  </si>
  <si>
    <t>pixel rate Z</t>
  </si>
  <si>
    <t>rowdeltavb X</t>
  </si>
  <si>
    <t>rowdeltavb Y</t>
  </si>
  <si>
    <t>rowdeltavb Z</t>
  </si>
  <si>
    <t>(sec)</t>
  </si>
  <si>
    <t>AEG_3AXSAFEORB_scsafeorbit_0,AEG_3AXSAFEORB_scsafeorbit_1,AEG_3AXSAFEORB_scsafeorbit_2,AEG_3AXSAFEORB_scsafeorbit_3,AEG_3AXSAFEORB_scsafeorbit_4,AEG_3AXSAFEORB_scsafeorbit_5,AEG_3AXSAFEORB_scsafeorbit_6,AEG_3AXSAFEORB_scsafeorbit_7,AEG_3AXSAFEORB_scsafeorbit_8,AEG_3AXSAFEORB_scsafeorbit_9,AEG_3AXSAFEORB_scsafeorbit_10,AEG_3AXSAFEORB_scsafeorbit_11,AEG_3AXSAFEORB_scsafeorbit_12,AEG_3AXSAFEORB_scsafeorbit_13,AEG_3AXSAFEORB_scsafeorbit_14,AEG_3AXSAFEORB_scsafeorbit_15,AEG_3AXSAFEORB_scsafeorbit_16,AEG_3AXSAFEORB_scsafeorbit_17,AEG_3AXSAFEORB_scsafeorbit_18,AEG_3AXSAFEORB_scsafeorbit_19,AEG_3AXSAFEORB_scsafeorbit_20,AEG_3AXSAFEORB_scsafeorbit_21,AEG_3AXSAFEORB_scsafeorbit_22,AEG_3AXSAFEORB_scsafeorbit_23,AEG_3AXSAFEORB_scsafeorbit_24,AEG_3AXSAFEORB_scsafeorbit_25,AEG_3AXSAFEORB_scsafeorbit_26,AEG_3AXSAFEORB_scsafeorbit_27,AEG_3AXSAFEORB_scsafeorbit_28,AEG_3AXSAFEORB_scsafeorbit_29,AEG_3AXSAFEORB_scsafeorbit_30,AEG_3AXSAFEORB_scsafeorbit_31,AEG_3AXSAFEORB_scsafeorbit_32,AEG_3AXSAFEORB_scsafeorbit_33,AEG_3AXSAFEORB_scsafeorbit_34,AEG_3AXSAFEORB_scsafeorbit_35,AEG_3AXSAFEORB_scsafeorbit_36,AEG_3AXSAFEORB_scsafeorbit_37,AEG_3AXSAFEORB_scsafeorbit_38,AEG_3AXSAFEORB_scsafeorbit_39,AEG_3AXSAFEORB_scsafeorbit_40,AEG_3AXSAFEORB_scsafeorbit_41,AEG_3AXSAFEORB_scsafeorbit_42,AEG_3AXSAFEORB_scsafeorbit_43,AEG_3AXSAFEORB_scsafeorbit_44,AEG_3AXSAFEORB_scsafeorbit_45,AEG_3AXSAFEORB_scsafeorbit_46,AEG_3AXSAFEORB_scsafeorbit_47,AEG_3AXSAFEORB_scsafeorbit_48</t>
  </si>
  <si>
    <t>Sat_Brightness,Sat_Threshold,Overexposure_Fallback,Bkgd_Brightness,Max_Exp,Min_Exp</t>
  </si>
  <si>
    <t>"A"</t>
  </si>
  <si>
    <t>"A","DEFAULT"</t>
  </si>
  <si>
    <t>"BOTH"</t>
  </si>
  <si>
    <t>"DEFAULT"</t>
  </si>
  <si>
    <t>"TWENTY_FOUR_BITS",X</t>
  </si>
  <si>
    <t>"PRI_SOC_MIRR_DOOR",14</t>
  </si>
  <si>
    <t>"A","MVIC_TDI_COLOR__MVIC_TDI_PANBIN"</t>
  </si>
  <si>
    <t>"LVENG"</t>
  </si>
  <si>
    <t>"BOTH",0,0</t>
  </si>
  <si>
    <t>"DISABLE"</t>
  </si>
  <si>
    <t>"NOTEST"</t>
  </si>
  <si>
    <t>"64S",100,100,30,30,30,350,1220</t>
  </si>
  <si>
    <t>"HOTSEG_1",0</t>
  </si>
  <si>
    <t>"ON"</t>
  </si>
  <si>
    <t>"NC","NC"</t>
  </si>
  <si>
    <t>"Heater_1",5</t>
  </si>
  <si>
    <t>"PROM"</t>
  </si>
  <si>
    <t>"Heater_1",205</t>
  </si>
  <si>
    <t>"1S","64S","1H","24H"</t>
  </si>
  <si>
    <t>"DIS","HEATER_1"</t>
  </si>
  <si>
    <t>"OFF"</t>
  </si>
  <si>
    <t>"LAMP_1",50,90,130,30</t>
  </si>
  <si>
    <t>DO NOT EDIT THIS SHEET</t>
  </si>
  <si>
    <t xml:space="preserve"> </t>
  </si>
  <si>
    <t>DB Table</t>
  </si>
  <si>
    <t>Aimflg</t>
  </si>
  <si>
    <t>AimX</t>
  </si>
  <si>
    <t>AimY</t>
  </si>
  <si>
    <t>AimZ</t>
  </si>
  <si>
    <t>Aimshrt</t>
  </si>
  <si>
    <t>Body Roll X</t>
  </si>
  <si>
    <t>Body Roll Y</t>
  </si>
  <si>
    <t>Body Roll Z</t>
  </si>
  <si>
    <t>Bore X</t>
  </si>
  <si>
    <t>Bore Y</t>
  </si>
  <si>
    <t>Bore Z</t>
  </si>
  <si>
    <t>Inertial Roll X</t>
  </si>
  <si>
    <t>Inertial Roll Y</t>
  </si>
  <si>
    <t>Inertial Roll Z</t>
  </si>
  <si>
    <t>LongFlg</t>
  </si>
  <si>
    <t>RollShrt</t>
  </si>
  <si>
    <t xml:space="preserve"> +y for outb</t>
  </si>
  <si>
    <t>0=East, 1=West</t>
  </si>
  <si>
    <t>AEG_3AXORBIT_scorbit_0,AEG_3AXORBIT_scorbit_1,AEG_3AXORBIT_scorbit_2,AEG_3AXORBIT_scorbit_3,AEG_3AXORBIT_scorbit_4,AEG_3AXORBIT_scorbit_5,AEG_3AXORBIT_scorbit_6,AEG_3AXORBIT_scorbit_7,AEG_3AXORBIT_scorbit_8,AEG_3AXORBIT_scorbit_9,AEG_3AXORBIT_scorbit_10,AEG_3AXORBIT_scorbit_11,AEG_3AXORBIT_scorbit_12,AEG_3AXORBIT_scorbit_13,AEG_3AXORBIT_scorbit_14,AEG_3AXORBIT_scorbit_15,AEG_3AXORBIT_scorbit_16,AEG_3AXORBIT_scorbit_17,AEG_3AXORBIT_scorbit_18,AEG_3AXORBIT_scorbit_19,AEG_3AXORBIT_scorbit_20,AEG_3AXORBIT_scorbit_21,AEG_3AXORBIT_scorbit_22,AEG_3AXORBIT_scorbit_23,AEG_3AXORBIT_scorbit_24,AEG_3AXORBIT_scorbit_25,AEG_3AXORBIT_scorbit_26,AEG_3AXORBIT_scorbit_27,AEG_3AXORBIT_scorbit_28,AEG_3AXORBIT_scorbit_29,AEG_3AXORBIT_scorbit_30,AEG_3AXORBIT_scorbit_31,AEG_3AXORBIT_scorbit_32,AEG_3AXORBIT_scorbit_33,AEG_3AXORBIT_scorbit_34,AEG_3AXORBIT_scorbit_35,AEG_3AXORBIT_scorbit_36,AEG_3AXORBIT_scorbit_37,AEG_3AXORBIT_scorbit_38,AEG_3AXORBIT_scorbit_39,AEG_3AXORBIT_scorbit_40,AEG_3AXORBIT_scorbit_41,AEG_3AXORBIT_scorbit_42,AEG_3AXORBIT_scorbit_43,AEG_3AXORBIT_scorbit_44,AEG_3AXORBIT_scorbit_45,AEG_3AXORBIT_scorbit_46,AEG_3AXORBIT_scorbit_47,AEG_3AXORBIT_scorbit_48,AEG_3AXORBIT_scorbit_49,AEG_3AXORBIT_scorbit_50,AEG_3AXORBIT_scorbit_51,AEG_3AXORBIT_scorbit_52,AEG_3AXORBIT_scorbit_53,AEG_3AXORBIT_scorbit_54,AEG_3AXORBIT_scorbit_55,AEG_3AXORBIT_scorbit_56,AEG_3AXORBIT_scorbit_57,AEG_3AXORBIT_scorbit_58,AEG_3AXORBIT_scorbit_59,AEG_3AXORBIT_scorbit_60,AEG_3AXORBIT_scorbit_61,AEG_3AXORBIT_scorbit_62,AEG_3AXORBIT_scorbit_63,AEG_3AXORBIT_scorbit_64,AEG_3AXORBIT_scorbit_65,AEG_3AXORBIT_scorbit_66,AEG_3AXORBIT_scorbit_67,AEG_3AXORBIT_scorbit_68,AEG_3AXORBIT_scorbit_69,AEG_3AXORBIT_scorbit_70,AEG_3AXORBIT_scorbit_71,AEG_3AXORBIT_scorbit_72,AEG_3AXORBIT_scorbit_73,AEG_3AXORBIT_scorbit_74,AEG_3AXORBIT_scorbit_75,AEG_3AXORBIT_scorbit_76,AEG_3AXORBIT_scorbit_77,AEG_3AXORBIT_scorbit_78,AEG_3AXORBIT_scorbit_79,AEG_3AXORBIT_scorbit_80,AEG_3AXORBIT_scorbit_81,AEG_3AXORBIT_scorbit_82,AEG_3AXORBIT_scorbit_83,AEG_3AXORBIT_scorbit_84,AEG_3AXORBIT_scorbit_85,AEG_3AXORBIT_scorbit_86,AEG_3AXORBIT_scorbit_87,AEG_3AXORBIT_scorbit_88,AEG_3AXORBIT_scorbit_89,AEG_3AXORBIT_scorbit_90,AEG_3AXORBIT_scorbit_91,AEG_3AXORBIT_scorbit_92,AEG_3AXORBIT_scorbit_93,AEG_3AXORBIT_scorbit_94,AEG_3AXORBIT_scorbit_95,AEG_3AXORBIT_scorbit_96,AEG_3AXORBIT_scorbit_97,AEG_3AXORBIT_scorbit_98,AEG_3AXORBIT_scorbit_99,AEG_3AXORBIT_scorbit_100,AEG_3AXORBIT_scorbit_101,AEG_3AXORBIT_scorbit_102,AEG_3AXORBIT_scorbit_103,AEG_3AXORBIT_scorbit_104,AEG_3AXORBIT_scorbit_105,AEG_3AXORBIT_scorbit_106,AEG_3AXORBIT_scorbit_107,AEG_3AXORBIT_scorbit_108,AEG_3AXORBIT_scorbit_109,AEG_3AXORBIT_scorbit_110,AEG_3AXORBIT_scorbit_111,AEG_3AXORBIT_scorbit_112,AEG_3AXORBIT_scorbit_113,AEG_3AXORBIT_scorbit_114,AEG_3AXORBIT_scorbit_115,AEG_3AXORBIT_scorbit_116,AEG_3AXORBIT_scorbit_117,AEG_3AXORBIT_scorbit_118,AEG_3AXORBIT_scorbit_119,AEG_3AXORBIT_scorbit_120,AEG_3AXORBIT_scorbit_121,AEG_3AXORBIT_scorbit_122,AEG_3AXORBIT_scorbit_123,AEG_3AXORBIT_scorbit_124,AEG_3AXORBIT_scorbit_125,AEG_3AXORBIT_scorbit_126,AEG_3AXORBIT_scorbit_127,AEG_3AXORBIT_scorbit_128,AEG_3AXORBIT_scorbit_129,AEG_3AXORBIT_scorbit_130,AEG_3AXORBIT_scorbit_131,AEG_3AXORBIT_scorbit_132,AEG_3AXORBIT_scorbit_133,AEG_3AXORBIT_scorbit_134,AEG_3AXORBIT_scorbit_135,AEG_3AXORBIT_scorbit_136,AEG_3AXORBIT_scorbit_137,AEG_3AXORBIT_scorbit_138,AEG_3AXORBIT_scorbit_139,AEG_3AXORBIT_scorbit_140,AEG_3AXORBIT_scorbit_141,AEG_3AXORBIT_scorbit_142,AEG_3AXORBIT_scorbit_143,AEG_3AXORBIT_scorbit_144,AEG_3AXORBIT_scorbit_145,AEG_3AXORBIT_scorbit_146</t>
  </si>
  <si>
    <t>Absolute Time</t>
  </si>
  <si>
    <t>startCol</t>
  </si>
  <si>
    <t>SASF Filename</t>
  </si>
  <si>
    <t>Seq_ID</t>
  </si>
  <si>
    <t>Seq_Start_Time</t>
  </si>
  <si>
    <t>Seq_End_Time</t>
  </si>
  <si>
    <t>Activity Description</t>
  </si>
  <si>
    <t>activity</t>
  </si>
  <si>
    <t>FROM_PREV</t>
  </si>
  <si>
    <t>LOR</t>
  </si>
  <si>
    <t>SSR</t>
  </si>
  <si>
    <t>CAS_GNC_3AXIS_Generic_Slew</t>
  </si>
  <si>
    <t>CAS_SSR_SELECT_TABLE</t>
  </si>
  <si>
    <t>note</t>
  </si>
  <si>
    <t>Step Type</t>
  </si>
  <si>
    <t xml:space="preserve">Time Offset </t>
  </si>
  <si>
    <t>Time Offset Relation</t>
  </si>
  <si>
    <t>Instrument</t>
  </si>
  <si>
    <t>Parameters</t>
  </si>
  <si>
    <t>FROM_ACT</t>
  </si>
  <si>
    <t>Comment (optional)</t>
  </si>
  <si>
    <t>(backup)</t>
  </si>
  <si>
    <t>(duration)</t>
  </si>
  <si>
    <t>GNC</t>
  </si>
  <si>
    <t>CAS_GNC_3AXIS_Load_Deadbands</t>
  </si>
  <si>
    <t>CAS_LOR_Power_On_FPU_On</t>
  </si>
  <si>
    <t>CAS_SSR_LOAD_ROW</t>
  </si>
  <si>
    <t>CAS_LOR_Img_Sets</t>
  </si>
  <si>
    <t>CAS_LOR_Power_Off</t>
  </si>
  <si>
    <t>LORRI ON</t>
  </si>
  <si>
    <t>Operator</t>
  </si>
  <si>
    <t>CAS (or Note Text)</t>
  </si>
  <si>
    <t>CAS_LOR_10W_Decontamination_Htr_Off</t>
  </si>
  <si>
    <t>CAS_LOR_Man_Reg</t>
  </si>
  <si>
    <t>CAS_LOR_Man_Snap</t>
  </si>
  <si>
    <t>CAS_LOR_Cal_Lamp</t>
  </si>
  <si>
    <t>CAS_LOR_5W_Decontamination_Htr_Off</t>
  </si>
  <si>
    <t>CAS_LOR_HOP_Redundant</t>
  </si>
  <si>
    <t>CAS_LOR_Man_Reg_1Exp</t>
  </si>
  <si>
    <t>CAS_LOR_Load_Autoexp_Param</t>
  </si>
  <si>
    <t>CAS_LOR_Auto_Reg</t>
  </si>
  <si>
    <t>CAS_RALPH_decon_heater_off</t>
  </si>
  <si>
    <t>CAS_RALPH_instrument_on</t>
  </si>
  <si>
    <t>CAS_RALPH_groupsel_relay</t>
  </si>
  <si>
    <t>CAS_RALPH_mvic_pan_frame</t>
  </si>
  <si>
    <t>CAS_RALPH_instrument_off</t>
  </si>
  <si>
    <t>CAS_RALPH_leisa_offsets</t>
  </si>
  <si>
    <t>CAS_RALPH_leisa_raw_forced</t>
  </si>
  <si>
    <t>CAS_RALPH_leisa_forced</t>
  </si>
  <si>
    <t>CAS_RALPH_decon_heater_on</t>
  </si>
  <si>
    <t>CAS_RALPH_mvic_pan1_forced</t>
  </si>
  <si>
    <t>CAS_RALPH_mvic_pan2_forced</t>
  </si>
  <si>
    <t>CAS_RALPH_leisa_use_tmr</t>
  </si>
  <si>
    <t>CAS_RALPH_mvic_color_forced</t>
  </si>
  <si>
    <t>CAS_ALICE_instr_power_on_101</t>
  </si>
  <si>
    <t>CAS_ALICE_dump_errorlog</t>
  </si>
  <si>
    <t>CAS_ALICE_dump_current_params</t>
  </si>
  <si>
    <t>CAS_ALICE_check_memory</t>
  </si>
  <si>
    <t>CAS_ALICE_pixel_stim_select</t>
  </si>
  <si>
    <t>CAS_ALICE_self_test</t>
  </si>
  <si>
    <t>CAS_ALICE_startup</t>
  </si>
  <si>
    <t>CAS_ALICE_HV_off</t>
  </si>
  <si>
    <t>CAS_ALICE_ext_timed_pixellist_acq</t>
  </si>
  <si>
    <t>CAS_ALICE_ext_timed_histogram_acq</t>
  </si>
  <si>
    <t>CAS_ALICE_actuator_power_on</t>
  </si>
  <si>
    <t>CAS_ALICE_open_aperture_door</t>
  </si>
  <si>
    <t>CAS_ALICE_close_aperture_door</t>
  </si>
  <si>
    <t>CAS_ALICE_door_performance</t>
  </si>
  <si>
    <t>RALPH</t>
  </si>
  <si>
    <t>ALICE</t>
  </si>
  <si>
    <t>From previous row</t>
  </si>
  <si>
    <t>From request start</t>
  </si>
  <si>
    <t>stepType</t>
  </si>
  <si>
    <t>timeOffset</t>
  </si>
  <si>
    <t>timeOffsetRel</t>
  </si>
  <si>
    <t>comment</t>
  </si>
  <si>
    <t>instrument</t>
  </si>
  <si>
    <t>cas</t>
  </si>
  <si>
    <t>parameters</t>
  </si>
  <si>
    <t>nonSasf</t>
  </si>
  <si>
    <t>stepTypes:</t>
  </si>
  <si>
    <t>CAS_ALICE_instr_power_on</t>
  </si>
  <si>
    <t>CAS_ALICE_power_off</t>
  </si>
  <si>
    <t>CAS_ALICE_close_door_power_off</t>
  </si>
  <si>
    <t>CAS_ALICE_open_SOC_door</t>
  </si>
  <si>
    <t>CAS_ALICE_confirm_actuator_command</t>
  </si>
  <si>
    <t>CAS_ALICE_HV_ramp_activate</t>
  </si>
  <si>
    <t>CAS_ALICE_set_heaters_on</t>
  </si>
  <si>
    <t>CAS_ALICE_heaters_off</t>
  </si>
  <si>
    <t>CAS_ALICE_set_8bit_prm</t>
  </si>
  <si>
    <t>CAS_ALICE_dump_memory</t>
  </si>
  <si>
    <t>CAS_ALICE_int_timed_histogram_acq</t>
  </si>
  <si>
    <t>CAS_ALICE_int_timed_pixellist_acq</t>
  </si>
  <si>
    <t>CAS_RALPH_actuator_off</t>
  </si>
  <si>
    <t>CAS_RALPH_door_open</t>
  </si>
  <si>
    <t>CAS_RALPH_mvic_color_use_tmr</t>
  </si>
  <si>
    <t>CAS_RALPH_mvic_pan1_use_tmr</t>
  </si>
  <si>
    <t>CAS_RALPH_mvic_pan2_use_tmr</t>
  </si>
  <si>
    <t>CAS_RALPH_leisa_raw_use_tmr</t>
  </si>
  <si>
    <t>CAS_RALPH_sync_MVIC_FAST1</t>
  </si>
  <si>
    <t>CAS_RALPH_sync_MVIC_FAST3</t>
  </si>
  <si>
    <t>CAS_RALPH_sync_MVIC_FAST4</t>
  </si>
  <si>
    <t>CAS_RALPH_sync_LEISA_PK1</t>
  </si>
  <si>
    <t>CAS_LOR_Status_Int</t>
  </si>
  <si>
    <t>CAS_LOR_Enable_Mon_Cntrl</t>
  </si>
  <si>
    <t>CAS_LOR_Disable_Mon_Cntrl</t>
  </si>
  <si>
    <t>CAS_LOR_Load_Heater_Param</t>
  </si>
  <si>
    <t>CAS_LOR_Read_Param</t>
  </si>
  <si>
    <t>CAS_LOR_Auto_Snap</t>
  </si>
  <si>
    <t>CAS_LOR_Auto_Snap_Step</t>
  </si>
  <si>
    <t>CAS_LOR_Man_Snap_Step</t>
  </si>
  <si>
    <t>CAS_LOR_10W_Decontamination_Htr_On</t>
  </si>
  <si>
    <t>CAS_LOR_5W_Decontamination_Htr_On</t>
  </si>
  <si>
    <t>CAS_LOR_HOP_Primary_Test</t>
  </si>
  <si>
    <t>CAS_LOR_HOP_Primary</t>
  </si>
  <si>
    <t>CAS_LOR_HOP_Redundant_Test</t>
  </si>
  <si>
    <t>CAS_LOR_M2_Heater_Select</t>
  </si>
  <si>
    <t>CAS_LOR_M2_Heater_Sensor</t>
  </si>
  <si>
    <t>CAS_LOR_M2_Heater_Mode</t>
  </si>
  <si>
    <t>CAS_LOR_Sync_LORRI_FAST2</t>
  </si>
  <si>
    <t>CAS_SSR_DISABLE_HIGH_RATE_CHANNEL</t>
  </si>
  <si>
    <t>CAS_SSR_SYNC</t>
  </si>
  <si>
    <t>CAS_SSR_REDUNDANT_DISABLE_HIGH_RATE_CHANNEL</t>
  </si>
  <si>
    <t>CAS_SSR_REDUNDANT_LO_RATE_RECORD</t>
  </si>
  <si>
    <t>CAS_SSR_REDUNDANT_SSR_SETUP</t>
  </si>
  <si>
    <t>CAS_SSR_REDUNDANT_SSR_SHUTDOWN</t>
  </si>
  <si>
    <t>CAS_SSR_ALICE_REX_GYRO_DATA</t>
  </si>
  <si>
    <t>CAS_SSR_CLEAR_ROW</t>
  </si>
  <si>
    <t>CAS_SSR_LOAD_SINGLE_PB_PRIORITY</t>
  </si>
  <si>
    <t>CAS_SSR_LO_RATE_RECORD</t>
  </si>
  <si>
    <t>CAS_SSR_SET_COMP_STATE</t>
  </si>
  <si>
    <t>CAS_SSR_SELECT_SEGMENT</t>
  </si>
  <si>
    <t>CAS_SSRPLAYBACK</t>
  </si>
  <si>
    <t>CAS_SSR_NOMINAL_COMPRESSION</t>
  </si>
  <si>
    <t>CAS_SSR_SUBFRAME_COMPRESSION</t>
  </si>
  <si>
    <t>CAS_GNC_3AXIS_Mosaic_Slew</t>
  </si>
  <si>
    <t>CAS_GNC_3AXIS_Slew_to_Burn_Attitude</t>
  </si>
  <si>
    <t>CAS_GNC_3AXIS_Scan</t>
  </si>
  <si>
    <t>CAS_GNC_3AXIS_Load_Scan_Parms</t>
  </si>
  <si>
    <t>CAS_GNC_3AXIS_Mosaic</t>
  </si>
  <si>
    <t>CAS_GNC_3AXIS_Fixed_Quaternion</t>
  </si>
  <si>
    <t>CAS_GNC_3AXIS_HGA_to_Earth</t>
  </si>
  <si>
    <t>CAS_GNC_3AXIS_MGA_to_Sun</t>
  </si>
  <si>
    <t>CAS_GNC_ASPIN_HGA_to_Earth</t>
  </si>
  <si>
    <t>CAS_GNC_ASPIN_MGA_to_Sun</t>
  </si>
  <si>
    <t>CAS_GNC_ASPIN_Attitude_Precess</t>
  </si>
  <si>
    <t>CAS_GNC_Load_LPB_006</t>
  </si>
  <si>
    <t>CAS_GNC_Load_LPB_25</t>
  </si>
  <si>
    <t>CAS_GNC_Load_LPB_102</t>
  </si>
  <si>
    <t>CAS_GNC_Load_CB1_Parms</t>
  </si>
  <si>
    <t>CAS_GNC_Load_CB3_Parms</t>
  </si>
  <si>
    <t>CAS_GNC_ASPIN_Load_LPB_45</t>
  </si>
  <si>
    <t>CAS_GNC_ASPIN_Load_LPB_46</t>
  </si>
  <si>
    <t>CAS_GNC_Load_Timekeeping_Parameters</t>
  </si>
  <si>
    <t>CAS_GNC_GC_Reset_Leak_Count</t>
  </si>
  <si>
    <t>CAS_GNC_GC_Reset_Scan</t>
  </si>
  <si>
    <t>CAS_GNC_GC_Thruster_Inhibit</t>
  </si>
  <si>
    <t>CAS_GNC_GC_SS_Power_On</t>
  </si>
  <si>
    <t>CAS_GNC_GC_SS_Power_Off</t>
  </si>
  <si>
    <t>CAS_GNC_B1B3_Catbed_Power_On</t>
  </si>
  <si>
    <t>CAS_GNC_B1B3_Catbed_Power_Off</t>
  </si>
  <si>
    <t>CAS_GNC_GC_SS_Gain_Set</t>
  </si>
  <si>
    <t>CAS_GNC_GC_AST_Select</t>
  </si>
  <si>
    <t>CAS_GNC_GC_Mode_State_Select</t>
  </si>
  <si>
    <t>CAS_GNC_GC_AST_Power_On</t>
  </si>
  <si>
    <t>CAS_GNC_GC_AST_Power_Off</t>
  </si>
  <si>
    <t>CAS_GNC_GC_IMU_Power_On</t>
  </si>
  <si>
    <t>CAS_GNC_GC_IMU_Power_Off</t>
  </si>
  <si>
    <t>CAS_GNC_GC_AST_Heater_Off</t>
  </si>
  <si>
    <t>CAS_GNC_GC_AE_Reset</t>
  </si>
  <si>
    <t>CAS_GNC_GC_Set_Thruster_Mask</t>
  </si>
  <si>
    <t>CAS_GNC_Load_CB2_Parms</t>
  </si>
  <si>
    <t>CAS_GNC_Load_3Axis_Nominal_Orbit_Spans</t>
  </si>
  <si>
    <t>CAS_GNC_Load_3Axis_Coarse_Orbit_Span</t>
  </si>
  <si>
    <t>CAS_GNC_Load_CB1_Body_Fixed_Parameters</t>
  </si>
  <si>
    <t>OBB</t>
  </si>
  <si>
    <t>DSN</t>
  </si>
  <si>
    <t>CDH</t>
  </si>
  <si>
    <t>LOAD</t>
  </si>
  <si>
    <t>PROP</t>
  </si>
  <si>
    <t>REX</t>
  </si>
  <si>
    <t>RF</t>
  </si>
  <si>
    <t>SDC</t>
  </si>
  <si>
    <t>SWAP</t>
  </si>
  <si>
    <t>PEP</t>
  </si>
  <si>
    <t>TLM</t>
  </si>
  <si>
    <t>TRACK</t>
  </si>
  <si>
    <t>THERM</t>
  </si>
  <si>
    <t>CAS_OBB_CALL_OBB</t>
  </si>
  <si>
    <t>X</t>
  </si>
  <si>
    <t>Mac_Name</t>
  </si>
  <si>
    <t>CAS_DSN_TRACK</t>
  </si>
  <si>
    <t>X,08:00:00,FALSE,X,X,"20.0KW",X</t>
  </si>
  <si>
    <t>Station_ID,EOT,Backup,drive_on,drive_off,dsn_txr_power,config_code</t>
  </si>
  <si>
    <t>Side</t>
  </si>
  <si>
    <t>X,X,X,X,X,X,X,X,X,X,X,X,X,X,X,X,X</t>
  </si>
  <si>
    <t>CAS_CDH2_Power_On</t>
  </si>
  <si>
    <t>CAS_INIT_LOAD</t>
  </si>
  <si>
    <t>X,X,X</t>
  </si>
  <si>
    <t>MEM_SEG,PRI_CDH,PRI_GNC</t>
  </si>
  <si>
    <t>Interval</t>
  </si>
  <si>
    <t>CAS_PROP_PS_TCM</t>
  </si>
  <si>
    <t>CAS_REX_Coherent_Sim</t>
  </si>
  <si>
    <t>X,X</t>
  </si>
  <si>
    <t>coh_sim,Side</t>
  </si>
  <si>
    <t>CAS_RF_SET_DOWNLINK</t>
  </si>
  <si>
    <t>DL_RATE</t>
  </si>
  <si>
    <t>Side,Threshold_select</t>
  </si>
  <si>
    <t>CAS_SDC_Power_On</t>
  </si>
  <si>
    <t>Data_Type</t>
  </si>
  <si>
    <t>CAS_SWAP_Functional_LV</t>
  </si>
  <si>
    <t>CAS_PEPSSI_Power_On</t>
  </si>
  <si>
    <t>CAS_TLM_SELECT_TABLE</t>
  </si>
  <si>
    <t>Table_ID</t>
  </si>
  <si>
    <t>CAS_TRACK_SC</t>
  </si>
  <si>
    <t>X,X,X,X,X,X,X,00:15:00,X</t>
  </si>
  <si>
    <t>Station_Type,Antennae_Combination,Downlink_divisor,Ranging_State,Uplink_Rate,EOT,Playback,Start_Playback,Turn_Off_RF_EOT</t>
  </si>
  <si>
    <t>CAS_THERM_Disable</t>
  </si>
  <si>
    <t>CAS_DSN_SPEC_ADVISORY</t>
  </si>
  <si>
    <t>Message,Shift_by_OWLT</t>
  </si>
  <si>
    <t>CAS_TERM_LOAD</t>
  </si>
  <si>
    <t>CAS_PROP_AS_TCM</t>
  </si>
  <si>
    <t>X,X,X,X,X,X,X,X,X,X,X,X,X,X,X,X,X,X,X,X,X,X,X,X,X,X,X,X,X,X,X</t>
  </si>
  <si>
    <t>CAS_REX_TWTA_Exciter_ON</t>
  </si>
  <si>
    <t>CAS_RF_SET_UPLINK</t>
  </si>
  <si>
    <t>UL_RATE</t>
  </si>
  <si>
    <t>Threshold_select</t>
  </si>
  <si>
    <t>CAS_SDC_Power_Off</t>
  </si>
  <si>
    <t>Channel</t>
  </si>
  <si>
    <t>CAS_SWAP_Power_ON</t>
  </si>
  <si>
    <t>CAS_PEPSSI_Power_On_for_Pepssi_020</t>
  </si>
  <si>
    <t>CAS_TLM_LOAD_ROW</t>
  </si>
  <si>
    <t>X,X,X,X,X,X</t>
  </si>
  <si>
    <t>Table_ID,Row_Index,Start_APID,End_APID,N,M</t>
  </si>
  <si>
    <t>CAS_THERM_Enable</t>
  </si>
  <si>
    <t>CAS_DSN_RESWEEP</t>
  </si>
  <si>
    <t>X,X,X,X,X</t>
  </si>
  <si>
    <t>table,AEG_GS0_fixedquat_0,AEG_GS0_fixedquat_1,AEG_GS0_fixedquat_2,AEG_GS0_fixedquat_3</t>
  </si>
  <si>
    <t>CAS_MID_BREAK</t>
  </si>
  <si>
    <t>CAS_PROP_3A_TCM</t>
  </si>
  <si>
    <t>X,X,X,X,X,X,X,X,X,X,X,X,X,X,X,X,X,X,X,X,X,X,X,X,X,X,X,X,X</t>
  </si>
  <si>
    <t>CAS_REX_TWTA_Exciter_OFF</t>
  </si>
  <si>
    <t>CAS_RF_REDUNDANT_SET_UPLINK</t>
  </si>
  <si>
    <t>CAS_SDC_Erase_Flash</t>
  </si>
  <si>
    <t>EN_DIS</t>
  </si>
  <si>
    <t>CAS_SWAP_Power_ON_AUT</t>
  </si>
  <si>
    <t>CAS_PEPSSI_spec_init</t>
  </si>
  <si>
    <t>CAS_TLM_CLEAR_ROW</t>
  </si>
  <si>
    <t>Table_ID,Row_Index</t>
  </si>
  <si>
    <t>CAS_THERM_Set_Therm_Ctrl</t>
  </si>
  <si>
    <t>watt</t>
  </si>
  <si>
    <t>CAS_DSN_SET_SECOND_RCVR</t>
  </si>
  <si>
    <t>RCVR</t>
  </si>
  <si>
    <t>side</t>
  </si>
  <si>
    <t>CAS_SET_AUT_RULE_STATE</t>
  </si>
  <si>
    <t>rul_num,ENA_DIS</t>
  </si>
  <si>
    <t>CAS_REX_Test_Patterns</t>
  </si>
  <si>
    <t>int_scale,Side</t>
  </si>
  <si>
    <t>CAS_RF_SET_RANGING</t>
  </si>
  <si>
    <t>RNG_STATE</t>
  </si>
  <si>
    <t>CAS_SDC_Playback</t>
  </si>
  <si>
    <t>CAS_SWAP_Power_OFF</t>
  </si>
  <si>
    <t>CAS_PEPSSI_spec_init_w_parm</t>
  </si>
  <si>
    <t>X,X,X,X</t>
  </si>
  <si>
    <t>rate_N1,rate_N2,rate_N3,status_interval</t>
  </si>
  <si>
    <t>CAS_TLM_DUMP_CLEAR_DST</t>
  </si>
  <si>
    <t>Num_days</t>
  </si>
  <si>
    <t>X,X,X,X,X,X,X,X,X,X,X,X,X</t>
  </si>
  <si>
    <t>CAS_SET_OPSBITS</t>
  </si>
  <si>
    <t>opsbits</t>
  </si>
  <si>
    <t>CAS_REX_Acquisition</t>
  </si>
  <si>
    <t>X,"TWENTY_FOUR_BITS",X,"2000bps",X</t>
  </si>
  <si>
    <t>gain_word,int_scale,duration,UL_RATE,Side</t>
  </si>
  <si>
    <t>CAS_RF_SET_REGEN_RANGING</t>
  </si>
  <si>
    <t>R_RNG_STATE,beam_width</t>
  </si>
  <si>
    <t>CAS_SDC_Low_Thresholds</t>
  </si>
  <si>
    <t>X,X,X,X,X,X,X,X,X,X,X,X,X,X</t>
  </si>
  <si>
    <t>threshold1,threshold2,threshold3,threshold4,threshold5,threshold6,threshold7,threshold8,threshold9,threshold10,threshold11,threshold12,threshold13,threshold14</t>
  </si>
  <si>
    <t>CAS_SWAP_Memory_Dump</t>
  </si>
  <si>
    <t>0,128,"PROM"</t>
  </si>
  <si>
    <t>Address,ByteCount,MemoryArea</t>
  </si>
  <si>
    <t>CAS_PEPSSI_energy_ramp</t>
  </si>
  <si>
    <t>254,1,255,"CHAN0_ION_0",60,254</t>
  </si>
  <si>
    <t>Start,Step,Stop,Channel,Time,Initial</t>
  </si>
  <si>
    <t>pri_red_select,sma_timeout</t>
  </si>
  <si>
    <t>X,X,X,X,X,X,X,X,X,X,X,X,X,X,X,X,X,X,X,X,X,X,X</t>
  </si>
  <si>
    <t>CAS_SET_MISSION_PHASE</t>
  </si>
  <si>
    <t>phs</t>
  </si>
  <si>
    <t>CAS_REX_Acquisition_long</t>
  </si>
  <si>
    <t>CAS_RF_SET_DOR</t>
  </si>
  <si>
    <t>status</t>
  </si>
  <si>
    <t>CAS_SDC_Med_Thresholds</t>
  </si>
  <si>
    <t>CAS_TEST_ONLY_SSRPLAYBACK</t>
  </si>
  <si>
    <t>Duration,Interleave_Ratio</t>
  </si>
  <si>
    <t>CAS_SWAP_LVSCI_Setup</t>
  </si>
  <si>
    <t>0,0,"1S","64S","1H","24H"</t>
  </si>
  <si>
    <t>PlanID,Angle,HkRate,RtRate,SummaryRate,HistogramRate</t>
  </si>
  <si>
    <t>CAS_PEPSSI_tof_start_disc</t>
  </si>
  <si>
    <t>254,1,255,1,60,254</t>
  </si>
  <si>
    <t>Max_Heaters</t>
  </si>
  <si>
    <t>CAS_REX_Increment_Gain_no_loop</t>
  </si>
  <si>
    <t>X,"TWENTY_FOUR_BITS","2000bps",X</t>
  </si>
  <si>
    <t>median_gain,int_scale,UL_RATE,Side</t>
  </si>
  <si>
    <t>Side,Group</t>
  </si>
  <si>
    <t>CAS_SDC_High_Thresholds</t>
  </si>
  <si>
    <t>CAS_SWAP_HVSCI_Setup</t>
  </si>
  <si>
    <t>CAS_PEPSSI_CFD_levels</t>
  </si>
  <si>
    <t>254,1,255,"STOP_PWR",60,254</t>
  </si>
  <si>
    <t>153,45,2</t>
  </si>
  <si>
    <t>HV_level,HV_step,HV_step_time</t>
  </si>
  <si>
    <t>offset1,offset2,offset3,offset4</t>
  </si>
  <si>
    <t>CAS_SDC_Test_Signal_Calibration</t>
  </si>
  <si>
    <t>num_channels,num_levels,time_interval</t>
  </si>
  <si>
    <t>Add_Remove</t>
  </si>
  <si>
    <t>CAS_SWAP_Angle</t>
  </si>
  <si>
    <t>Angle</t>
  </si>
  <si>
    <t>CAS_PEPSSI_hvy_disc</t>
  </si>
  <si>
    <t>254,1,255,"HEAVY_0",60,254</t>
  </si>
  <si>
    <t>0.25,1</t>
  </si>
  <si>
    <t>Exposure_duration,Num_Images</t>
  </si>
  <si>
    <t>CAS_SDC_Calibration_Time</t>
  </si>
  <si>
    <t>test,time</t>
  </si>
  <si>
    <t>CAS_SWAP_Mode</t>
  </si>
  <si>
    <t>Mode</t>
  </si>
  <si>
    <t>CAS_PEPSSI_HV_rampup</t>
  </si>
  <si>
    <t>heater_select,mirror_setpt,grating_setpt</t>
  </si>
  <si>
    <t>table</t>
  </si>
  <si>
    <t>1,1045,42,0.02,X</t>
  </si>
  <si>
    <t>Obs_Table_Num,TMR_Nominal,TMR_Delta,Angle_to_cover,Scan_Duration</t>
  </si>
  <si>
    <t>CAS_SDC_Calibration_Thresholds</t>
  </si>
  <si>
    <t>threshold1,threshold2,threshold3,threshold4,threshold5</t>
  </si>
  <si>
    <t>Table_ID,Row_Index,Start_APID,End_APID,M</t>
  </si>
  <si>
    <t>CAS_SWAP_StimHardware</t>
  </si>
  <si>
    <t>Ctrl</t>
  </si>
  <si>
    <t>CAS_PEPSSI_Power_On_nohv</t>
  </si>
  <si>
    <t>1,1621,42,0.02,X</t>
  </si>
  <si>
    <t>CAS_SDC_Mode</t>
  </si>
  <si>
    <t>mode,rate</t>
  </si>
  <si>
    <t>CAS_SWAP_StimSoftware</t>
  </si>
  <si>
    <t>Pattern</t>
  </si>
  <si>
    <t>CAS_PEPSSI_Power_Off</t>
  </si>
  <si>
    <t>door_movetime</t>
  </si>
  <si>
    <t>CAS_SDC_Calibration</t>
  </si>
  <si>
    <t>Test</t>
  </si>
  <si>
    <t>Data_Type,Priority</t>
  </si>
  <si>
    <t>CAS_SWAP_HV_Enable</t>
  </si>
  <si>
    <t>hkrate,pcem_cnt_lim,scem_cnt_lim,pcem_cur_lim,scem_cur_lim,cem_int_lvl,dip_voltage,phd_lld_lvl</t>
  </si>
  <si>
    <t>CAS_PEPSSI_template</t>
  </si>
  <si>
    <t>AEG_SPINAXIS_radec_0,AEG_SPINAXIS_radec_1</t>
  </si>
  <si>
    <t>1,121,42,0.02,X</t>
  </si>
  <si>
    <t>CAS_SDC_Calibration_3Day_Test</t>
  </si>
  <si>
    <t>CAS_SWAP_HV_Disable</t>
  </si>
  <si>
    <t>prm_index,prm_value</t>
  </si>
  <si>
    <t>AC_3AXINHIB_overrideatt,AC_3AXINHIB_overriderate</t>
  </si>
  <si>
    <t>X,121,42,0.02,X</t>
  </si>
  <si>
    <t>CAS_SDC_Channels_On</t>
  </si>
  <si>
    <t>level</t>
  </si>
  <si>
    <t>Enable_Disable</t>
  </si>
  <si>
    <t>CAS_SWAP_Set_RPA_ESA_DFL</t>
  </si>
  <si>
    <t>5,5,0</t>
  </si>
  <si>
    <t>rpa_voltage,esa_voltage,dfl_voltage</t>
  </si>
  <si>
    <t>select_tests</t>
  </si>
  <si>
    <t>AC_FSS_biasthresh,AC_FSS_damptime,AC_FSS_timelimit,AC_FSS_usethresh</t>
  </si>
  <si>
    <t>0.0189394,1</t>
  </si>
  <si>
    <t>TDI_Rate,Scan_Duration</t>
  </si>
  <si>
    <t>CAS_SDC_Channels_Off</t>
  </si>
  <si>
    <t>Segment</t>
  </si>
  <si>
    <t>CAS_SWAP_Set_DFL_ESA</t>
  </si>
  <si>
    <t>0,5</t>
  </si>
  <si>
    <t>dfl_voltage,esa_voltage</t>
  </si>
  <si>
    <t>0,32638,"PROM"</t>
  </si>
  <si>
    <t>start_addr,length,memory_select</t>
  </si>
  <si>
    <t>AEG_SPINRT_spinrate_0,AEG_SPINRT_spinrate_1,AEG_SPINRT_spinrate_2</t>
  </si>
  <si>
    <t>0.01220256,1</t>
  </si>
  <si>
    <t>CAS_SDC_Set_Autonomy_B</t>
  </si>
  <si>
    <t>value</t>
  </si>
  <si>
    <t>CAS_SWAP_Set_CEM_ArmStates</t>
  </si>
  <si>
    <t>pcem_state,scem_state</t>
  </si>
  <si>
    <t>0,256,"PROM"</t>
  </si>
  <si>
    <t>X,X,X,X,X,X,X,X,X,X,X,X,X,X,X,X,X,X,X,X,X,X,X,X,X,X,X,X,X,X,X,X,X,X,X,X,X,X,X,X,X,X,X,X,X,X,X,X,X</t>
  </si>
  <si>
    <t>0.01220256,X</t>
  </si>
  <si>
    <t>CAS_SDC_Sync_SDC_DT1</t>
  </si>
  <si>
    <t>Compression_Type,Data_Type,Start_MET,End_MET,Num_Clusters</t>
  </si>
  <si>
    <t>CAS_SWAP_PCEM_Ramp</t>
  </si>
  <si>
    <t>0,2100,200,1</t>
  </si>
  <si>
    <t>StartVoltage,StopVoltage,StepVoltage,WaitInterval</t>
  </si>
  <si>
    <t>door_test_time</t>
  </si>
  <si>
    <t>0.5,X</t>
  </si>
  <si>
    <t>X,X,X,X,X,X,X,X,X,X,X,X,X,X,X,X,X,X,X,X,X,X,X,X,X,X,X,X,X,X,X,X,X,X,X</t>
  </si>
  <si>
    <t>Data_Type,Start_MET,End_MET,X1,Y1,X1_Length,Y1_Length,X2,Y2,X2_Length,Y2_Length,X3,Y3,X3_Length,Y3_Length,X4,Y4,X4_Length,Y4_Length,X5,Y5,X5_Length,Y5_Length,X6,Y6,X6_Length,Y6_Length,X7,Y7,X7_Length,Y7_Length,X8,Y8,X8_Length,Y8_Length</t>
  </si>
  <si>
    <t>CAS_SWAP_SCEM_Ramp</t>
  </si>
  <si>
    <t>X,X,X,X,X,X,X,X</t>
  </si>
  <si>
    <t>AC_SPNOGYRO_centdelay,AC_SPNOGYRO_dutycycle,AC_SPNOGYRO_nutlower,AC_SPNOGYRO_nutupper,AC_SPNOGYRO_precesslower,AC_SPNOGYRO_precessupper,AC_SPNOGYRO_ratelower,AC_SPNOGYRO_rateupper</t>
  </si>
  <si>
    <t>CAS_SWAP_CEM_Both_Ramp</t>
  </si>
  <si>
    <t>Heater_Selection,Duration</t>
  </si>
  <si>
    <t>CAS_SWAP_Sync_Data</t>
  </si>
  <si>
    <t>memory_select</t>
  </si>
  <si>
    <t>X,X,X,X,X,X,X,X,X,X,X,X,X,X,X,X</t>
  </si>
  <si>
    <t>CAS_SWAP_Tlm_Rate_Change</t>
  </si>
  <si>
    <t>HkRate,RtRate,SummaryRate,HistogramRate</t>
  </si>
  <si>
    <t>pixel_stim_selection</t>
  </si>
  <si>
    <t>AEG_TIME_driftrate,AEG_TIME_metdelta,AEG_TIME_tdtdelta</t>
  </si>
  <si>
    <t>Duration</t>
  </si>
  <si>
    <t>CAS_SWAP_template</t>
  </si>
  <si>
    <t>20,1,"OPEN_DOOR"</t>
  </si>
  <si>
    <t>exposure_duration,number_exposures,door_position</t>
  </si>
  <si>
    <t>20,"OPEN_DOOR"</t>
  </si>
  <si>
    <t>exposure_duration,door_position</t>
  </si>
  <si>
    <t>Mode,Heater</t>
  </si>
  <si>
    <t>10250,20,"CLOSE_DOOR","MS_4"</t>
  </si>
  <si>
    <t>estimated_countrate,acq_duration,door_position,timehack</t>
  </si>
  <si>
    <t>Inhibit_Time,Xaxis_Inhibit_State,Yaxis_Inhibit_State,Zaxis_Inhibit_State</t>
  </si>
  <si>
    <t>0,0,"FPU_M2_M1"</t>
  </si>
  <si>
    <t>Setpoint,Hysteresis,Sensor</t>
  </si>
  <si>
    <t>10250,20,"OPEN_DOOR","MS_4"</t>
  </si>
  <si>
    <t>Lamp,Level_1,Level_2,Target_Level,Duration</t>
  </si>
  <si>
    <t>Sun_Sensor_Gain</t>
  </si>
  <si>
    <t>Star_Tracker_Selection</t>
  </si>
  <si>
    <t>Mode_State_Selection</t>
  </si>
  <si>
    <t>AST_Side_Select,Select_AST_On,Select_AST_Mode</t>
  </si>
  <si>
    <t>Select_AST_Off</t>
  </si>
  <si>
    <t>IMU_Side_On</t>
  </si>
  <si>
    <t>AST_Heater_Select</t>
  </si>
  <si>
    <t>Thruster_Mask</t>
  </si>
  <si>
    <t>X,X,X,X,X,X,X</t>
  </si>
  <si>
    <t>AEG_CB1_alphacoef_0,AEG_CB1_alphacoef_1,AEG_CB1_deltacoef_0,AEG_CB1_deltacoef_1,AEG_CB1_radius,AEG_CB1_wcoef_0,AEG_CB1_wcoef_1</t>
  </si>
  <si>
    <t>table,AEG_GS3_aimflag,AEG_GS3_aimpoint_0,AEG_GS3_aimpoint_1,AEG_GS3_aimpoint_2,AEG_GS3_aimshortcut,AEG_GS3_bodyroll_0,AEG_GS3_bodyroll_1,AEG_GS3_bodyroll_2,AEG_GS3_boresight_0,AEG_GS3_boresight_1,AEG_GS3_boresight_2,AEG_GS3_inertialroll_0,AEG_GS3_inertialroll_1,AEG_GS3_inertialroll_2,AEG_GS3_longitudeflag,AEG_GS3_rollshortcut</t>
  </si>
  <si>
    <t>slew_to_burn_attitude,slew_dur,accels_on,imu_turn_on,wait_at_burn_attitude,load_gc_parms,Thruster_Mask,Num_Pulses,Last_Pulse,AEG_SPINAXIS_radec_0,AEG_SPINAXIS_radec_1,AC_SPTCM_deltavmagnitude,AC_SPTCM_deltavunitvector_0,AC_SPTCM_deltavunitvector_1,AC_SPTCM_deltavunitvector_2,AC_SPTCM_duration,AC_SPTCM_starttimemet</t>
  </si>
  <si>
    <t>table,AEG_GS15_aimflag,AEG_GS15_aimpoint_0,AEG_GS15_aimpoint_1,AEG_GS15_aimpoint_2,AEG_GS15_aimshortcut,AEG_GS15_bodyroll_0,AEG_GS15_bodyroll_1,AEG_GS15_bodyroll_2,AEG_GS15_boresight_0,AEG_GS15_boresight_1,AEG_GS15_boresight_2,AEG_GS15_inertialroll_0,AEG_GS15_inertialroll_1,AEG_GS15_inertialroll_2,AEG_GS15_longitudeflag,AEG_GS15_rollshortcut</t>
  </si>
  <si>
    <t>AC_SPTCM_tcmtype,slew_dur,accels_on,imu_turn_on,wait_at_burn_attitude,load_gc_parms,AEG_SPINAXIS_radec_0,AEG_SPINAXIS_radec_1,AC_SPTCM_deltavmagnitude,AC_SPTCM_deltavunitvector_0,AC_SPTCM_deltavunitvector_1,AC_SPTCM_deltavunitvector_2,AC_SPTCM_duration,AC_SPTCM_starttimemet,AC_SPTCM_stoptimemet,AC_SPTCMDVTHR_axialdeltaV,AC_SPTCMDVTHR_mYradialdeltaV,AC_SPTCMDVTHR_pYradialdeltaV,AC_SPTCM_timeronly,AC_SPTCM_anglelimit,AC_SPTCM_angstartvalue,AC_SPTCM_accadjust,AC_SPTCM_radphscheck,AC_SPTCM_radphsfreeze,AC_SPTCM_radphsgain,AC_SPTCM_radphslimits_0,AC_SPTCM_radphslimits_1,AC_SPTCM_pYstartangle,AC_SPTCM_pYstopangle,AC_SPTCM_mYstartangle,AC_SPTCM_mYstopangle</t>
  </si>
  <si>
    <t>slew_dur,accels_on,imu_turn_on,wait_at_burn_attitude,load_gc_parms,AEG_GS0_fixedquat_0,AEG_GS0_fixedquat_1,AEG_GS0_fixedquat_2,AEG_GS0_fixedquat_3,AC_3AXTCMDV_anglelimit,AC_3AXTCMDV_angstartvalue,AC_3AXTCMDV_deltavmagnitude,AC_3AXTCMDV_deltavthrs,AC_3AXTCMDV_deltavunitvector_0,AC_3AXTCMDV_deltavunitvector_1,AC_3AXTCMDV_deltavunitvector_2,AC_3AXTCMDV_duration,AC_3AXTCMDV_dvbody_0,AC_3AXTCMDV_dvbody_1,AC_3AXTCMDV_dvbody_2,AC_3AXTCMDV_starttimemet,AC_3AXTCMDV_stoptimemet,AC_3AXTCMDV_timeronly,AC_3AXTCMCTRL_accelgain,AC_3AXTCMCTRL_acclowlimit,AC_3AXTCMCTRL_accmaxphi,AC_3AXTCMCTRL_passband,AC_3AXTCMCTRL_velmaxphi,AC_3AXTCMCTRL_velocitygain</t>
  </si>
  <si>
    <t>AEG_SCAN_pxlrate_0,AEG_SCAN_pxlrate_1,AEG_SCAN_pxlrate_2,AEG_SCAN_sen2bdymat_0,AEG_SCAN_sen2bdymat_1,AEG_SCAN_sen2bdymat_2,AEG_SCAN_sen2bdymat_3,AEG_SCAN_sen2bdymat_4,AEG_SCAN_sen2bdymat_5,AEG_SCAN_sen2bdymat_6,AEG_SCAN_sen2bdymat_7,AEG_SCAN_sen2bdymat_8,AEG_SCAN_type</t>
  </si>
  <si>
    <t>table,AEG_MOSAIC_coldeltavb_0,AEG_MOSAIC_coldeltavb_1,AEG_MOSAIC_coldeltavb_2,AEG_MOSAIC_mosaicsize_0,AEG_MOSAIC_mosaicsize_1,AEG_MOSAIC_pausetime,AEG_MOSAIC_pxlrate_0,AEG_MOSAIC_pxlrate_1,AEG_MOSAIC_pxlrate_2,AEG_MOSAIC_rowdeltavb_0,AEG_MOSAIC_rowdeltavb_1,AEG_MOSAIC_rowdeltavb_2,AEG_MOSAIC_sen2bdymat_0,AEG_MOSAIC_sen2bdymat_1,AEG_MOSAIC_sen2bdymat_2,AEG_MOSAIC_sen2bdymat_3,AEG_MOSAIC_sen2bdymat_4,AEG_MOSAIC_sen2bdymat_5,AEG_MOSAIC_sen2bdymat_6,AEG_MOSAIC_sen2bdymat_7,AEG_MOSAIC_sen2bdymat_8,DEADBAND_TIME_OFFSET</t>
  </si>
  <si>
    <t>AEG_CB1ORB_orbit_0,AEG_CB1ORB_orbit_1,AEG_CB1ORB_orbit_2,AEG_CB1ORB_orbit_3,AEG_CB1ORB_orbit_4,AEG_CB1ORB_orbit_5,AEG_CB1ORB_orbit_6,AEG_CB1ORB_orbit_7,AEG_CB1ORB_orbit_8,AEG_CB1ORB_orbit_9,AEG_CB1ORB_orbit_10,AEG_CB1ORB_orbit_11,AEG_CB1ORB_orbit_12,AEG_CB1ORB_orbit_13,AEG_CB1ORB_orbit_14,AEG_CB1ORB_orbit_15,AEG_CB1ORB_orbit_16,AEG_CB1ORB_orbit_17,AEG_CB1ORB_orbit_18,AEG_CB1ORB_orbit_19,AEG_CB1ORB_orbit_20,AEG_CB1ORB_orbit_21,AEG_CB1ORB_orbit_22,AEG_CB1ORB_orbit_23,AEG_CB1ORB_orbit_24,AEG_CB1ORB_orbit_25,AEG_CB1ORB_orbit_26,AEG_CB1ORB_orbit_27,AEG_CB1ORB_orbit_28,AEG_CB1ORB_orbit_29,AEG_CB1ORB_orbit_30,AEG_CB1ORB_orbit_31,AEG_CB1ORB_orbit_32,AEG_CB1ORB_orbit_33,AEG_CB1ORB_orbit_34,AEG_CB1ORB_orbit_35,AEG_CB1ORB_orbit_36,AEG_CB1ORB_orbit_37,AEG_CB1ORB_orbit_38,AEG_CB1ORB_orbit_39,AEG_CB1ORB_orbit_40,AEG_CB1ORB_orbit_41,AEG_CB1ORB_orbit_42,AEG_CB1ORB_orbit_43,AEG_CB1ORB_orbit_44,AEG_CB1ORB_orbit_45,AEG_CB1ORB_orbit_46,AEG_CB1ORB_orbit_47,AEG_CB1ORB_orbit_48</t>
  </si>
  <si>
    <t>AEG_CB3ORB_orbit_0,AEG_CB3ORB_orbit_1,AEG_CB3ORB_orbit_2,AEG_CB3ORB_orbit_3,AEG_CB3ORB_orbit_4,AEG_CB3ORB_orbit_5,AEG_CB3ORB_orbit_6,AEG_CB3ORB_orbit_7,AEG_CB3ORB_orbit_8,AEG_CB3ORB_orbit_9,AEG_CB3ORB_orbit_10,AEG_CB3ORB_orbit_11,AEG_CB3ORB_orbit_12,AEG_CB3ORB_orbit_13,AEG_CB3ORB_orbit_14,AEG_CB3ORB_orbit_15,AEG_CB3ORB_orbit_16,AEG_CB3ORB_orbit_17,AEG_CB3ORB_orbit_18,AEG_CB3ORB_orbit_19,AEG_CB3ORB_orbit_20,AEG_CB3ORB_orbit_21,AEG_CB3ORB_orbit_22,AEG_CB3ORB_orbit_23,AEG_CB3ORB_orbit_24,AEG_CB3ORB_orbit_25,AEG_CB3ORB_orbit_26,AEG_CB3ORB_orbit_27,AEG_CB3ORB_orbit_28,AEG_CB3ORB_orbit_29,AEG_CB3ORB_orbit_30,AEG_CB3ORB_orbit_31,AEG_CB3ORB_orbit_32,AEG_CB3ORB_orbit_33,AEG_CB3ORB_orbit_34,AEG_CB3ORB_orbit_35,AEG_CB3ORB_orbit_36,AEG_CB3ORB_orbit_37,AEG_CB3ORB_orbit_38,AEG_CB3ORB_orbit_39,AEG_CB3ORB_orbit_40,AEG_CB3ORB_orbit_41,AEG_CB3ORB_orbit_42,AEG_CB3ORB_orbit_43,AEG_CB3ORB_orbit_44,AEG_CB3ORB_orbit_45,AEG_CB3ORB_orbit_46,AEG_CB3ORB_orbit_47,AEG_CB3ORB_orbit_48</t>
  </si>
  <si>
    <t>AC_SPNORPP_angrequire,AC_SPNORPP_dutycycle,AC_SPNORPP_dutycyclelimit,AC_SPNORPP_fullonangle,AC_SPNORPP_normaldelay,AC_SPNORPP_nutlower,AC_SPNORPP_nutupper,AC_SPNORPP_precesslower,AC_SPNORPP_precessupper,AC_SPNORPP_prenutationlmt,AC_SPNORPP_prenutupper,AC_SPNORPP_preratelimit,AC_SPNORPP_prerateupper,AC_SPNORPP_ratelower,AC_SPNORPP_raterequire,AC_SPNORPP_rateupper</t>
  </si>
  <si>
    <t>AEG_CB2ORB_orbit_0,AEG_CB2ORB_orbit_1,AEG_CB2ORB_orbit_2,AEG_CB2ORB_orbit_3,AEG_CB2ORB_orbit_4,AEG_CB2ORB_orbit_5,AEG_CB2ORB_orbit_6,AEG_CB2ORB_orbit_7,AEG_CB2ORB_orbit_8,AEG_CB2ORB_orbit_9,AEG_CB2ORB_orbit_10,AEG_CB2ORB_orbit_11,AEG_CB2ORB_orbit_12,AEG_CB2ORB_orbit_13,AEG_CB2ORB_orbit_14,AEG_CB2ORB_orbit_15,AEG_CB2ORB_orbit_16,AEG_CB2ORB_orbit_17,AEG_CB2ORB_orbit_18,AEG_CB2ORB_orbit_19,AEG_CB2ORB_orbit_20,AEG_CB2ORB_orbit_21,AEG_CB2ORB_orbit_22,AEG_CB2ORB_orbit_23,AEG_CB2ORB_orbit_24,AEG_CB2ORB_orbit_25,AEG_CB2ORB_orbit_26,AEG_CB2ORB_orbit_27,AEG_CB2ORB_orbit_28,AEG_CB2ORB_orbit_29,AEG_CB2ORB_orbit_30,AEG_CB2ORB_orbit_31,AEG_CB2ORB_orbit_32,AEG_CB2ORB_orbit_33,AEG_CB2ORB_orbit_34,AEG_CB2ORB_orbit_35,AEG_CB2ORB_orbit_36,AEG_CB2ORB_orbit_37,AEG_CB2ORB_orbit_38,AEG_CB2ORB_orbit_39,AEG_CB2ORB_orbit_40,AEG_CB2ORB_orbit_41,AEG_CB2ORB_orbit_42,AEG_CB2ORB_orbit_43,AEG_CB2ORB_orbit_44,AEG_CB2ORB_orbit_45,AEG_CB2ORB_orbit_46,AEG_CB2ORB_orbit_47,AEG_CB2ORB_orbit_48</t>
  </si>
  <si>
    <t>X,X,X,X,X,X,X,X,X,X,X,X,X,X,X,X,X,X,X,X,X,X,X,X,X,X,X,X,X,X,X,X,X,X,X,X,X,X,X,X,X,X,X,X,X,X,X,X,X,X,X,X,X,X,X,X,X,X,X,X,X,X,X,X,X,X,X,X,X,X,X,X,X,X,X,X,X,X,X,X,X,X,X,X,X,X,X,X,X,X,X,X,X,X,X,X,X,X,X,X,X,X,X,X,X,X,X,X,X,X,X,X,X,X,X,X,X,X,X,X,X,X,X,X,X,X,X,X,X,X,X,X,X,X,X,X,X,X,X,X,X,X,X,X,X,X,X</t>
  </si>
  <si>
    <t>HEATERS OFF</t>
  </si>
  <si>
    <t>CHANGES!!</t>
  </si>
  <si>
    <t>CAS_ALICE_start_duplicate_code</t>
  </si>
  <si>
    <t>"EEPROM_4"</t>
  </si>
  <si>
    <t>CAS_ALICE_store_prm_table</t>
  </si>
  <si>
    <t>CAS_ALICE_load_prm_table</t>
  </si>
  <si>
    <t>"ALL_TABLES"</t>
  </si>
  <si>
    <t>table_select</t>
  </si>
  <si>
    <t>CAS_RALPH_Memory_Refresh</t>
  </si>
  <si>
    <t>2048,0xD7</t>
  </si>
  <si>
    <t>table_bytecnt, table_chksum</t>
  </si>
  <si>
    <t>CAS_RALPH_Table_Load</t>
  </si>
  <si>
    <t>"A",0xD7,2048</t>
  </si>
  <si>
    <t>Side, table_chksum, table_bytecnt, table_file</t>
  </si>
  <si>
    <t>Request</t>
  </si>
  <si>
    <t>START_TIME</t>
  </si>
  <si>
    <t>Requestor</t>
  </si>
  <si>
    <t>Processor</t>
  </si>
  <si>
    <t>IEM1</t>
  </si>
  <si>
    <t>Key</t>
  </si>
  <si>
    <t>LORRI</t>
  </si>
  <si>
    <t>REQUEST START</t>
  </si>
  <si>
    <t>REQUEST END</t>
  </si>
  <si>
    <t>"4095","10000","750","0","967","1"</t>
  </si>
  <si>
    <t>-0.99998064,0.00543141,-0.00303788</t>
  </si>
  <si>
    <t xml:space="preserve">Nix </t>
  </si>
  <si>
    <t>"1","1","488372456.184000","489416466.184000","522005.000000","522005.000000","-1.4600865285348449e+04","-2.3613168063443583e+04","1.3793661778163883e+04","2.6448357078065651e+03","-7.2238754540582659e+02","-1.0508819508085116e+02","2.1801911498569449e+01","2.5088000900634370e+01","5.6726464229781315e-01","-1.0223519529803324e+01","-2.9744626834737433e+00","4.2375942753187701e+00","3.3312789752342242e+00","522005.000000","522005.000000","-1.5405640562643694e+04","-1.5351193333024514e+04","1.4557295197630983e+04","1.7158837954558689e+03","-7.5815499187404021e+02","-7.6770256801167434e+01","1.6164688850765145e+01","2.3755590320098349e+01","3.2213074626903166e+00","-9.5103416699707122e+00","-3.6604544514302062e+00","3.5367957492648263e+00","3.4217293034131662e+00","522005.000000","522005.000000","-1.2316508311016527e+04","4.6778965702862472e+04","1.1673573658602863e+04","-5.2669000444459234e+03","-5.8279690855769968e+02","1.4950204899872710e+02","-2.8961538803622680e+01","2.5530671346078018e+00","1.8399025282702596e+01","-1.1625175966207570e-01","-5.9206017490884832e+00","-2.5980223470811552e+00","2.1217082283957276e+00"</t>
  </si>
  <si>
    <t>PLUTO</t>
  </si>
  <si>
    <t>Pluto</t>
  </si>
  <si>
    <t>"1","1","489150056.184000","489416466.184000","133205.000000","133205.000000","-7.0668238537665718e+02","-6.0691698356026939e+02","6.7261641598921869e+02","6.8314181795000877e+01","-3.5292986166595185e+01","-2.0901593866792436e+00","7.3037523563920392e-01","3.0897680801545820e-02","-9.0169489637812739e-03","-3.0385402012895920e-04","9.6940321970162557e-05","2.8083519565481085e-06","-1.1962283723576661e-06","133205.000000","133205.000000","-6.9940216297113204e+02","-2.3734498994583831e+02","6.6603463679894230e+02","2.6661650899446979e+01","-3.4936873426008262e+01","-8.0651829958815602e-01","7.2207228881857755e-01","1.1364948558924249e-02","-8.8734082839744544e-03","-9.2638427281175803e-05","9.4360666540893590e-05","4.5470699586457545e-07","-1.1470903427124313e-06","133205.000000","133205.000000","-2.6483120029841064e+02","2.2264150229533511e+03","2.5427585812706226e+02","-2.5096921113941380e+02","-1.3269372990233579e+01","7.7410543780355017e+00","2.6830140989350093e-01","-1.1819608557311666e-01","-3.0352110314137842e-03","1.2915411239647454e-03","2.5631276572124495e-05","-1.4648594856760876e-05","-1.9940594464529227e-07"</t>
  </si>
  <si>
    <t>CHARON</t>
  </si>
  <si>
    <t>Charon</t>
  </si>
  <si>
    <t>NIX</t>
  </si>
  <si>
    <t>HYDRA</t>
  </si>
  <si>
    <t>Hydra</t>
  </si>
  <si>
    <t>"1","1","488372456.184000","489416466.184000","522005.000000","522005.000000","1.7478391888441911e+03","-4.1602417234628068e+04","-5.2175578732583915e+02","1.8482873263318436e+03","1.2642573731684655e+01","-2.3510247497820270e+01","-1.4174133236567199e-01","-5.8820303629192692e+00","2.2507216464259905e-02","3.0444830129692337e+00","-3.2270612336748883e-02","-1.4164904040619608e+00","1.1068075261668753e-02","522005.000000","522005.000000","-5.7082675777415625e+03","-3.8681120243673970e+04","1.7216552699091337e+03","1.7193309970894991e+03","-3.6341554753371774e+01","-2.1900564376425542e+01","1.3990422965222820e+00","-5.3722733256724862e+00","-1.3047483281972934e+00","2.7555518532063976e+00","6.0788745941944100e-01","-1.2636124308969539e+00","-3.3523403270966412e-01","522005.000000","522005.000000","-4.8921662301358410e+04","3.0896932872501925e+03","1.4717588317376682e+04","-1.3271002869653807e+02","-3.2057058414186355e+02","1.4394106318759949e+00","1.0129543958653358e+01","9.9515951030171579e-01","-8.7504447851755458e+00","-5.9181791450174004e-01","4.1970812774259798e+00","3.4477209830200300e-01","-2.2681880584843270e+00"</t>
  </si>
  <si>
    <t>LORRI boresight:</t>
  </si>
  <si>
    <t>NEPTUNE</t>
  </si>
  <si>
    <t>Neptune</t>
  </si>
  <si>
    <t>1,"0","329832056.184000","331387266.184000","777605.000000","777605.000000","3.7574775182562327e+09","2.2884300472512627e+06","-8.6143409786839038e+02","-6.9803562389540302e-03","1.1208063573576510e-02","-5.0189739096845199e-03","-6.1</t>
  </si>
  <si>
    <t>434111557900906e-04","1.5195292102136444e-04","2.5044428184628487e-05","-4.2392395342243092e-06","-1.7965212464332581e-06","5.6439330241000217e-07","-1.6298145055770874e-07","777605.000000","777605.000000","-2.2420194352387676e+09","3.3251082935239836e+06","5.0522669632406905e+0</t>
  </si>
  <si>
    <t>2","-1.1054931191098281e-01","2.6338882977142930e-02","2.4115760600246471e-03","-7.9355458728969097e-04","-1.0487029736015552e-04","2.5199959054589272e-05","4.4546957477464340e-06","-1.0894145816564560e-06","-4.5893175149977410e-07","4.4703483581542969e-08","777605.000000","7776</t>
  </si>
  <si>
    <t>05.000000","-1.0112120507583997e+09","1.3041854263800071e+06","2.2810136320546735e+02","-6.5475331651816723e-02","1.2948765361215919e-02","1.8233148303360828e-03","-3.5934004699811339e-04","-7.1434932093313348e-05","1.1460215318948030e-05","3.2113572505549214e-06","-6.6356733441</t>
  </si>
  <si>
    <t>352844e-09","-4.3736034726477540e-08","3.1804665923118591e-07"</t>
  </si>
  <si>
    <t>1,"0","329832056.184000","331387266.184000","777605.000000","777605.000000","3.7574775182562327e+09","2.2884300472512627e+06","-8.6143409786839038e+02","-6.9803562389540302e-03","1.1208063573576510e-02","-5.0189739096845199e-03","-6.1434111557900906e-04","1.5195292102136444e-04","2.5044428184628487e-05","-4.2392395342243092e-06","-1.7965212464332581e-06","5.6439330241000217e-07","-1.6298145055770874e-07","777605.000000","777605.000000","-2.2420194352387676e+09","3.3251082935239836e+06","5.0522669632406905e+02","-1.1054931191098281e-01","2.6338882977142930e-02","2.4115760600246471e-03","-7.9355458728969097e-04","-1.0487029736015552e-04","2.5199959054589272e-05","4.4546957477464340e-06","-1.0894145816564560e-06","-4.5893175149977410e-07","4.4703483581542969e-08","777605.000000","777605.000000","-1.0112120507583997e+09","1.3041854263800071e+06","2.2810136320546735e+02","-6.5475331651816723e-02","1.2948765361215919e-02","1.8233148303360828e-03","-3.5934004699811339e-04","-7.1434932093313348e-05","1.1460215318948030e-05","3.2113572505549214e-06","-6.6356733441352844e-09","-4.3736034726477540e-08","3.1804665923118591e-07"</t>
  </si>
  <si>
    <t>"1","0","329832056.184000","331387266.184000","777605.000000","777605.000000","3.7574775182562327e+09","2.2884300472512627e+06","-8.6143409786839038e+02","-6.9803562389540302e-03","1.1208063573576510e-02","-5.0189739096845199e-03","-6.1434111557900906e-04","1.5195292102136444e-04","2.5044428184628487e-05","-4.2392395342243092e-06","-1.7965212464332581e-06","5.6439330241000217e-07","-1.6298145055770874e-07","777605.000000","777605.000000","-2.2420194352387676e+09","3.3251082935239836e+06","5.0522669632406905e+02","-1.1054931191098281e-01","2.6338882977142930e-02","2.4115760600246471e-03","-7.9355458728969097e-04","-1.0487029736015552e-04","2.5199959054589272e-05","4.4546957477464340e-06","-1.0894145816564560e-06","-4.5893175149977410e-07","4.4703483581542969e-08","777605.000000","777605.000000","-1.0112120507583997e+09","1.3041854263800071e+06","2.2810136320546735e+02","-6.5475331651816723e-02","1.2948765361215919e-02","1.8233148303360828e-03","-3.5934004699811339e-04","-7.1434932093313348e-05","1.1460215318948030e-05","3.2113572505549214e-06","-6.6356733441352844e-09","-4.3736034726477540e-08","3.1804665923118591e-07"</t>
  </si>
  <si>
    <t>1,"ENA"</t>
  </si>
  <si>
    <t>CAS_LOR_Power_On_BOOT</t>
  </si>
  <si>
    <t>CAS_LOR_Power_Off_BOOT</t>
  </si>
  <si>
    <t>Interval,MonitorControl</t>
  </si>
  <si>
    <t>CAS_LOR_Power_On_FPU_On_BankA</t>
  </si>
  <si>
    <t>CAS_LOR_Power_On_FPU_On_BankB</t>
  </si>
  <si>
    <t>CAS_LOR_Img_Desc</t>
  </si>
  <si>
    <t>"ENA"</t>
  </si>
  <si>
    <t>State</t>
  </si>
  <si>
    <t>CAS_LOR_Mac_Restore</t>
  </si>
  <si>
    <t>CAS_LOR_Trig_Setup</t>
  </si>
  <si>
    <t>"ENA",100,"1X1"</t>
  </si>
  <si>
    <t>Img_Desc_State,Search_Exp,Search_Format</t>
  </si>
  <si>
    <t>CAS_LOR_Trig</t>
  </si>
  <si>
    <t>0,4095,50,"SINGLE",7,1,"1X1","PRIMARY",00:10:00</t>
  </si>
  <si>
    <t>Low,High,Thres,Mode,Macro_Id,Num_Images,Format,Recorder,Search_Dur</t>
  </si>
  <si>
    <t>"1X1",10,3000,"Inhibit",-3,X</t>
  </si>
  <si>
    <t>Format,AED,Target_Brightness,Inhibit,SSR_allocation_shift,Recorder</t>
  </si>
  <si>
    <t>10,5,"1X1",10,3000,-3,X</t>
  </si>
  <si>
    <t>Step,Interval,Format,AED,Target_Brightness,SSR_allocation_shift,Recorder</t>
  </si>
  <si>
    <t>"1X1",1,"Inhibit",-3,X</t>
  </si>
  <si>
    <t>Format,Exp,Inhibit,SSR_allocation_shift,Recorder</t>
  </si>
  <si>
    <t>1,10,5,"1X1",-3,X</t>
  </si>
  <si>
    <t>Exp,Step,Interval,Format,SSR_allocation_shift,Recorder</t>
  </si>
  <si>
    <t>1,1,"1X1",10,3000,"Inhibit",-3,X</t>
  </si>
  <si>
    <t>Num_Images,Img_Delta,Format,AED,Target_Brightness,Inhibit,SSR_allocation_shift,Recorder</t>
  </si>
  <si>
    <t>1,3,"1X1",1,2,3,4,5,6,7,8,9,10,11,12,13,14,15,16,17,18,19,20,"Inhibit",-3,X</t>
  </si>
  <si>
    <t>Num_Images,Img_Delta,Format,Exp1,Exp2,Exp3,Exp4,Exp5,Exp6,Exp7,Exp8,Exp9,Exp10,Exp11,Exp12,Exp13,Exp14,Exp15,Exp16,Exp17,Exp18,Exp19,Exp20,Inhibit,SSR_allocation_shift,Recorder</t>
  </si>
  <si>
    <t>1,1,"1X1",1,"Inhibit","SSR",-3,X</t>
  </si>
  <si>
    <t>Num_Images,Img_Delta,Format,Exp,Inhibit,Record,SSR_allocation_shift,Recorder</t>
  </si>
  <si>
    <t>CAS_LOR_Cal_Lamp_VarTimeStep</t>
  </si>
  <si>
    <t>"LAMP_1",50,90,130,00:00:30,00:00:02</t>
  </si>
  <si>
    <t>Lamp,Level_1,Level_2,Target_Level,Duration,Time_Step</t>
  </si>
  <si>
    <t>6,1,4,60,3,1,2,3,4,5,6,"SSR",X</t>
  </si>
  <si>
    <t>Num_Img_In_Set,Num_Sets,Img_Delta,Set_Delta,Num_1X1,Exp1,Exp2,Exp3,Exp4,Exp5,Exp6,Record,Recorder</t>
  </si>
  <si>
    <t>CAS_LOR_Mem_Check</t>
  </si>
  <si>
    <t>0x80000,21800</t>
  </si>
  <si>
    <t>Address,Num_of_16Bit_Words</t>
  </si>
  <si>
    <t>CAS_LOR_Mem_Copy</t>
  </si>
  <si>
    <t>0x80000,0x60000,0xfffe</t>
  </si>
  <si>
    <t>Source,Destination,ByteCount</t>
  </si>
  <si>
    <t>CAS_LOR_Mem_Write_En</t>
  </si>
  <si>
    <t>"DIS"</t>
  </si>
  <si>
    <t>table,AEG_SCAN_pxlrate_0,AEG_SCAN_pxlrate_1,AEG_SCAN_pxlrate_2,AEG_SCAN_sen2bdymat_0,AEG_SCAN_sen2bdymat_1,AEG_SCAN_sen2bdymat_2,AEG_SCAN_sen2bdymat_3,AEG_SCAN_sen2bdymat_4,AEG_SCAN_sen2bdymat_5,AEG_SCAN_sen2bdymat_6,AEG_SCAN_sen2bdymat_7,AEG_SCAN_sen2bdymat_8,AEG_SCAN_type,DEADBAND_TIME_OFFSET,CALL_DEADBAND</t>
  </si>
  <si>
    <t>CAS_GNC_GC_AST_Diag_Dump</t>
  </si>
  <si>
    <t>X,1,10,20</t>
  </si>
  <si>
    <t>Star_Tracker_Selection,Duration,Repeat_Count,Count_Interval</t>
  </si>
  <si>
    <t>CAS_GNC_GC_AST_Power_On_CDI</t>
  </si>
  <si>
    <t>X,500</t>
  </si>
  <si>
    <t>Select_AST,Exposure_Time</t>
  </si>
  <si>
    <t>CAS_GNC_GC_Select_Primary_Thrusters</t>
  </si>
  <si>
    <t>CAS_GNC_GC_Select_Backup_Thrusters</t>
  </si>
  <si>
    <t>CAS_GNC_3Axis_Relative_Cntrl</t>
  </si>
  <si>
    <t>0.000005,0.000004,0.4,0.000028,0.014,0.01745,0</t>
  </si>
  <si>
    <t>AC_3AXREL_attdeadband,AC_3AXREL_attslopeoffset,AC_3AXREL_lowslopeadjust,AC_3AXREL_ratedeadband,AC_3AXREL_ratelimitlower,AC_3AXREL_ratelimitupper,Relative_Control_Duration</t>
  </si>
  <si>
    <t>CAS_GNC_3Axis_Relative_Cntrl_No_Params</t>
  </si>
  <si>
    <t>Relative_Control_Duration</t>
  </si>
  <si>
    <t>CAS_GNC_Load_CB2_Body_Fixed_Parameters</t>
  </si>
  <si>
    <t>AEG_CB2_alphacoef_0,AEG_CB2_alphacoef_1,AEG_CB2_deltacoef_0,AEG_CB2_deltacoef_1,AEG_CB2_radius,AEG_CB2_wcoef_0,AEG_CB2_wcoef_1</t>
  </si>
  <si>
    <t>CAS_GNC_Load_CB3_Body_Fixed_Parameters</t>
  </si>
  <si>
    <t>AEG_CB3_alphacoef_0,AEG_CB3_alphacoef_1,AEG_CB3_deltacoef_0,AEG_CB3_deltacoef_1,AEG_CB3_radius,AEG_CB3_wcoef_0,AEG_CB3_wcoef_1</t>
  </si>
  <si>
    <t>CAS_GNC_Load_CB3_Time_Shift</t>
  </si>
  <si>
    <t>AEG_CB3TS_timeshift</t>
  </si>
  <si>
    <t>CAS_GNC_GC_Power_On</t>
  </si>
  <si>
    <t>Make_Active_GC,GC_To_Power_On,Application_Boot_Side</t>
  </si>
  <si>
    <t>CAS_GNC_GC_Power_Off</t>
  </si>
  <si>
    <t>GC_To_Power_Off</t>
  </si>
  <si>
    <t>CAS_GNC_Attitude_Bias_Estimation</t>
  </si>
  <si>
    <t>Bias_Estimate_Duration</t>
  </si>
  <si>
    <t>CAS_GNC_Refresh_GC1_Boot_Segment</t>
  </si>
  <si>
    <t>CAS_GNC_Refresh_GC1_Boot_Segment_NoReset</t>
  </si>
  <si>
    <t>CAS_GNC_Refresh_GC2_Boot_Segment</t>
  </si>
  <si>
    <t>CAS_GNC_Refresh_GC1_Appl_Code</t>
  </si>
  <si>
    <t>CAS_GNC_Refresh_AST1_EEPROM</t>
  </si>
  <si>
    <t>CAS_GNC_Refresh_IMU1_EEPROM</t>
  </si>
  <si>
    <t>CAS_GNC_GCA_Load_Nom_3AX_Parm_068</t>
  </si>
  <si>
    <t>CAS_GNC_GCI_Load_Nom_3AX_Parm_068</t>
  </si>
  <si>
    <t>CAS_GNC_GCA_Load_Nom_Spin_Parm_101</t>
  </si>
  <si>
    <t>AEG_SPINORBIT_scorbit_0,AEG_SPINORBIT_scorbit_1,AEG_SPINORBIT_scorbit_2,AEG_SPINORBIT_scorbit_3,AEG_SPINORBIT_scorbit_4,AEG_SPINORBIT_scorbit_5,AEG_SPINORBIT_scorbit_6,AEG_SPINORBIT_scorbit_7,AEG_SPINORBIT_scorbit_8,AEG_SPINORBIT_scorbit_9,AEG_SPINORBIT_scorbit_10,AEG_SPINORBIT_scorbit_11,AEG_SPINORBIT_scorbit_12,AEG_SPINORBIT_scorbit_13,AEG_SPINORBIT_scorbit_14,AEG_SPINORBIT_scorbit_15,AEG_SPINORBIT_scorbit_16,AEG_SPINORBIT_scorbit_17,AEG_SPINORBIT_scorbit_18,AEG_SPINORBIT_scorbit_19,AEG_SPINORBIT_scorbit_20,AEG_SPINORBIT_scorbit_21,AEG_SPINORBIT_scorbit_22,AEG_SPINORBIT_scorbit_23,AEG_SPINORBIT_scorbit_24,AEG_SPINORBIT_scorbit_25,AEG_SPINORBIT_scorbit_26,AEG_SPINORBIT_scorbit_27,AEG_SPINORBIT_scorbit_28,AEG_SPINORBIT_scorbit_29,AEG_SPINORBIT_scorbit_30,AEG_SPINORBIT_scorbit_31,AEG_SPINORBIT_scorbit_32,AEG_SPINORBIT_scorbit_33,AEG_SPINORBIT_scorbit_34,AEG_SPINORBIT_scorbit_35,AEG_SPINORBIT_scorbit_36,AEG_SPINORBIT_scorbit_37,AEG_SPINORBIT_scorbit_38,AEG_SPINORBIT_scorbit_39,AEG_SPINORBIT_scorbit_40,AEG_SPINORBIT_scorbit_41,AEG_SPINORBIT_scorbit_42,AEG_SPINORBIT_scorbit_43,AEG_SPINORBIT_scorbit_44,AEG_SPINORBIT_scorbit_45,AEG_SPINORBIT_scorbit_46,AEG_SPINORBIT_scorbit_47,AEG_SPINORBIT_scorbit_48,AEG_SPINORBIT_scorbit_49,AEG_SPINORBIT_scorbit_50,AEG_SPINORBIT_scorbit_51,AEG_SPINORBIT_scorbit_52,AEG_SPINORBIT_scorbit_53,AEG_SPINORBIT_scorbit_54,AEG_SPINORBIT_scorbit_55,AEG_SPINORBIT_scorbit_56,AEG_SPINORBIT_scorbit_57,AEG_SPINORBIT_scorbit_58,AEG_SPINORBIT_scorbit_59,AEG_SPINORBIT_scorbit_60,AEG_SPINORBIT_scorbit_61,AEG_SPINORBIT_scorbit_62,AEG_SPINORBIT_scorbit_63,AEG_SPINORBIT_scorbit_64,AEG_SPINORBIT_scorbit_65,AEG_SPINORBIT_scorbit_66,AEG_SPINORBIT_scorbit_67,AEG_SPINORBIT_scorbit_68,AEG_SPINORBIT_scorbit_69,AEG_SPINORBIT_scorbit_70,AEG_SPINORBIT_scorbit_71,AEG_SPINORBIT_scorbit_72,AEG_SPINORBIT_scorbit_73,AEG_SPINORBIT_scorbit_74,AEG_SPINORBIT_scorbit_75,AEG_SPINORBIT_scorbit_76,AEG_SPINORBIT_scorbit_77,AEG_SPINORBIT_scorbit_78,AEG_SPINORBIT_scorbit_79,AEG_SPINORBIT_scorbit_80,AEG_SPINORBIT_scorbit_81,AEG_SPINORBIT_scorbit_82,AEG_SPINORBIT_scorbit_83,AEG_SPINORBIT_scorbit_84,AEG_SPINORBIT_scorbit_85,AEG_SPINORBIT_scorbit_86,AEG_SPINORBIT_scorbit_87,AEG_SPINORBIT_scorbit_88,AEG_SPINORBIT_scorbit_89,AEG_SPINORBIT_scorbit_90,AEG_SPINORBIT_scorbit_91,AEG_SPINORBIT_scorbit_92,AEG_SPINORBIT_scorbit_93,AEG_SPINORBIT_scorbit_94,AEG_SPINORBIT_scorbit_95,AEG_SPINORBIT_scorbit_96,AEG_SPINORBIT_scorbit_97,AEG_SPINORBIT_scorbit_98,AEG_SPINORBIT_scorbit_99,AEG_SPINORBIT_scorbit_100,AEG_SPINORBIT_scorbit_101,AEG_SPINORBIT_scorbit_102,AEG_SPINORBIT_scorbit_103,AEG_SPINORBIT_scorbit_104,AEG_SPINORBIT_scorbit_105,AEG_SPINORBIT_scorbit_106,AEG_SPINORBIT_scorbit_107,AEG_SPINORBIT_scorbit_108,AEG_SPINORBIT_scorbit_109,AEG_SPINORBIT_scorbit_110,AEG_SPINORBIT_scorbit_111,AEG_SPINORBIT_scorbit_112,AEG_SPINORBIT_scorbit_113,AEG_SPINORBIT_scorbit_114,AEG_SPINORBIT_scorbit_115,AEG_SPINORBIT_scorbit_116,AEG_SPINORBIT_scorbit_117,AEG_SPINORBIT_scorbit_118,AEG_SPINORBIT_scorbit_119,AEG_SPINORBIT_scorbit_120,AEG_SPINORBIT_scorbit_121,AEG_SPINORBIT_scorbit_122,AEG_SPINORBIT_scorbit_123,AEG_SPINORBIT_scorbit_124,AEG_SPINORBIT_scorbit_125,AEG_SPINORBIT_scorbit_126,AEG_SPINORBIT_scorbit_127,AEG_SPINORBIT_scorbit_128,AEG_SPINORBIT_scorbit_129,AEG_SPINORBIT_scorbit_130,AEG_SPINORBIT_scorbit_131,AEG_SPINORBIT_scorbit_132,AEG_SPINORBIT_scorbit_133,AEG_SPINORBIT_scorbit_134,AEG_SPINORBIT_scorbit_135,AEG_SPINORBIT_scorbit_136,AEG_SPINORBIT_scorbit_137,AEG_SPINORBIT_scorbit_138,AEG_SPINORBIT_scorbit_139,AEG_SPINORBIT_scorbit_140,AEG_SPINORBIT_scorbit_141,AEG_SPINORBIT_scorbit_142,AEG_SPINORBIT_scorbit_143,AEG_SPINORBIT_scorbit_144,AEG_SPINORBIT_scorbit_145,AEG_SPINORBIT_scorbit_146</t>
  </si>
  <si>
    <t>CAS_GNC_GCI_Load_Nom_Spin_Parm_101</t>
  </si>
  <si>
    <t>CAS_GNC_GCA_Load_Safe_3AX_Parm_069</t>
  </si>
  <si>
    <t>CAS_GNC_GCI_Load_Safe_3AX_Parm_069</t>
  </si>
  <si>
    <t>CAS_GNC_GCA_Load_Safe_Spin_Parm_103</t>
  </si>
  <si>
    <t>AEG_SPSAFEORB_scsafeorbit_0,AEG_SPSAFEORB_scsafeorbit_1,AEG_SPSAFEORB_scsafeorbit_2,AEG_SPSAFEORB_scsafeorbit_3,AEG_SPSAFEORB_scsafeorbit_4,AEG_SPSAFEORB_scsafeorbit_5,AEG_SPSAFEORB_scsafeorbit_6,AEG_SPSAFEORB_scsafeorbit_7,AEG_SPSAFEORB_scsafeorbit_8,AEG_SPSAFEORB_scsafeorbit_9,AEG_SPSAFEORB_scsafeorbit_10,AEG_SPSAFEORB_scsafeorbit_11,AEG_SPSAFEORB_scsafeorbit_12,AEG_SPSAFEORB_scsafeorbit_13,AEG_SPSAFEORB_scsafeorbit_14,AEG_SPSAFEORB_scsafeorbit_15,AEG_SPSAFEORB_scsafeorbit_16,AEG_SPSAFEORB_scsafeorbit_17,AEG_SPSAFEORB_scsafeorbit_18,AEG_SPSAFEORB_scsafeorbit_19,AEG_SPSAFEORB_scsafeorbit_20,AEG_SPSAFEORB_scsafeorbit_21,AEG_SPSAFEORB_scsafeorbit_22,AEG_SPSAFEORB_scsafeorbit_23,AEG_SPSAFEORB_scsafeorbit_24,AEG_SPSAFEORB_scsafeorbit_25,AEG_SPSAFEORB_scsafeorbit_26,AEG_SPSAFEORB_scsafeorbit_27,AEG_SPSAFEORB_scsafeorbit_28,AEG_SPSAFEORB_scsafeorbit_29,AEG_SPSAFEORB_scsafeorbit_30,AEG_SPSAFEORB_scsafeorbit_31,AEG_SPSAFEORB_scsafeorbit_32,AEG_SPSAFEORB_scsafeorbit_33,AEG_SPSAFEORB_scsafeorbit_34,AEG_SPSAFEORB_scsafeorbit_35,AEG_SPSAFEORB_scsafeorbit_36,AEG_SPSAFEORB_scsafeorbit_37,AEG_SPSAFEORB_scsafeorbit_38,AEG_SPSAFEORB_scsafeorbit_39,AEG_SPSAFEORB_scsafeorbit_40,AEG_SPSAFEORB_scsafeorbit_41,AEG_SPSAFEORB_scsafeorbit_42,AEG_SPSAFEORB_scsafeorbit_43,AEG_SPSAFEORB_scsafeorbit_44,AEG_SPSAFEORB_scsafeorbit_45,AEG_SPSAFEORB_scsafeorbit_46,AEG_SPSAFEORB_scsafeorbit_47,AEG_SPSAFEORB_scsafeorbit_48</t>
  </si>
  <si>
    <t>CAS_GNC_GCI_Load_Safe_Spin_Parm_103</t>
  </si>
  <si>
    <t>CAS_GNC_GCA_Load_RA_Dec_Parm_100</t>
  </si>
  <si>
    <t>CAS_GNC_GCI_Load_RA_Dec_Parm_100</t>
  </si>
  <si>
    <t>CAS_GNC_GCA_Load_MET_TDT_Parm_104</t>
  </si>
  <si>
    <t>CAS_GNC_GCI_Load_MET_TDT_Parm_104</t>
  </si>
  <si>
    <t>CAS_GNC_GCA_flash_to_staging</t>
  </si>
  <si>
    <t>CAS_GNC_GCI_flash_to_staging</t>
  </si>
  <si>
    <t>CAS_GNC_GCA_staging_to_flash</t>
  </si>
  <si>
    <t>CAS_GNC_GCI_staging_to_flash</t>
  </si>
  <si>
    <t>CAS_GNC_GCI_Load_CB1_Parms</t>
  </si>
  <si>
    <t>CAS_GNC_GCI_Load_CB2_Parms</t>
  </si>
  <si>
    <t>CAS_GNC_GCI_Load_CB3_Parms</t>
  </si>
  <si>
    <t>CAS_GNC_GCA_copy_flashseg8_to_flashseg24</t>
  </si>
  <si>
    <t>CAS_GNC_GCI_copy_flashseg8_to_flashseg24</t>
  </si>
  <si>
    <t>CAS_GNC_GCA_power_on_off</t>
  </si>
  <si>
    <t>Power_State</t>
  </si>
  <si>
    <t>CAS_GNC_GCI_power_on_off</t>
  </si>
  <si>
    <t>CAS_GNC_IMUA_power_on_off</t>
  </si>
  <si>
    <t>CAS_GNC_IMUI_power_on_off</t>
  </si>
  <si>
    <t>CAS_GNC_ASTA_power_on_off</t>
  </si>
  <si>
    <t>Power_State,AST_Mode</t>
  </si>
  <si>
    <t>CAS_GNC_ASTI_power_on_off</t>
  </si>
  <si>
    <t>CAS_GNC_AST_Htr_Characterization</t>
  </si>
  <si>
    <t>CAS_GNC_Refresh_GC2_Appl_Code</t>
  </si>
  <si>
    <t>CAS_GNC_Refresh_AST2_EEPROM</t>
  </si>
  <si>
    <t>CAS_GNC_Refresh_IMU2_EEPROM</t>
  </si>
  <si>
    <t>CAS_Copy_Aut_FlashA_to_FlashB_CDH1</t>
  </si>
  <si>
    <t>CAS_Copy_Aut_FlashA_to_FlashB_CDH2</t>
  </si>
  <si>
    <t>CAS_GNC_3AXIS_HGA_to_Earth_set_db</t>
  </si>
  <si>
    <t>db_table</t>
  </si>
  <si>
    <t>CAS_GNC_Perform_GC_Soft_Reset</t>
  </si>
  <si>
    <t>GC_Select</t>
  </si>
  <si>
    <t>CAS_GNC_GCA_Load_PB_007</t>
  </si>
  <si>
    <t>X,X,X,X,X,X,X,X,X,X,X</t>
  </si>
  <si>
    <t>AC_3AXNOGYRO_20msecattthresh,AC_3AXNOGYRO_20msecratethresh,AC_3AXNOGYRO_40msecattthresh,AC_3AXNOGYRO_40msecratethresh,AC_3AXNOGYRO_attdeadband,AC_3AXNOGYRO_attslopeoffset,AC_3AXNOGYRO_dutycycle,AC_3AXNOGYRO_lowslopeadjust,AC_3AXNOGYRO_ratedeadband,AC_3AXNOGYRO_ratelimitlower,AC_3AXNOGYRO_ratelimitupper</t>
  </si>
  <si>
    <t>CAS_GNC_GCI_Load_PB_007</t>
  </si>
  <si>
    <t>CAS_GNC_GCA_Load_PB_053</t>
  </si>
  <si>
    <t>AC_SPSAPP_angrequire,AC_SPSAPP_dutycycle,AC_SPSAPP_dutycyclelimit,AC_SPSAPP_fullonangle,AC_SPSAPP_normaldelay,AC_SPSAPP_nutationwait,AC_SPSAPP_nutlower,AC_SPSAPP_nutupper,AC_SPSAPP_precesslower,AC_SPSAPP_precessupper,AC_SPSAPP_prenutationlmt,AC_SPSAPP_prenutupper,AC_SPSAPP_preratelimit,AC_SPSAPP_prerateupper,AC_SPSAPP_ratelower,AC_SPSAPP_raterequire,AC_SPSAPP_rateupper</t>
  </si>
  <si>
    <t>CAS_GNC_GCI_Load_PB_053</t>
  </si>
  <si>
    <t>CAS_GNC_GCI_Load_PB_025</t>
  </si>
  <si>
    <t>CAS_GNC_EDAC_DMP</t>
  </si>
  <si>
    <t>aimflag 4, aimshortcut 0 - uses the Pluto Center orbit normal</t>
  </si>
  <si>
    <t>aimflag 0, aimshortcut 4 - uses Pluto BC orbit normal</t>
  </si>
  <si>
    <t>T61</t>
  </si>
  <si>
    <t>0.0041830987,0.9999899692,0.0016010206</t>
  </si>
  <si>
    <t>SOCC</t>
  </si>
  <si>
    <t>-0.9999725518,0.0060839935,0.0042285518</t>
  </si>
  <si>
    <t>Airglow</t>
  </si>
  <si>
    <t>Y</t>
  </si>
  <si>
    <t>Z</t>
  </si>
  <si>
    <t>"T67"</t>
  </si>
  <si>
    <t>"Y"</t>
  </si>
  <si>
    <t>sec</t>
  </si>
  <si>
    <t>It is assumed that we will stay in SSR table 4 thorughout this load. If these activities</t>
  </si>
  <si>
    <t xml:space="preserve">are copied into another load, confirm table 4 is used, or add commands to put the </t>
  </si>
  <si>
    <t xml:space="preserve">activity in ssr table 4. </t>
  </si>
  <si>
    <t>x</t>
  </si>
  <si>
    <t>Ra/Dec in Degrees to Cartesian</t>
  </si>
  <si>
    <t>RA</t>
  </si>
  <si>
    <t>Dec</t>
  </si>
  <si>
    <t>Radius</t>
  </si>
  <si>
    <t>deg</t>
  </si>
  <si>
    <t>hr</t>
  </si>
  <si>
    <t>min</t>
  </si>
  <si>
    <t>arcmin</t>
  </si>
  <si>
    <t>arcsec</t>
  </si>
  <si>
    <t>length</t>
  </si>
  <si>
    <t xml:space="preserve">Z_sc to Sun </t>
  </si>
  <si>
    <t>y</t>
  </si>
  <si>
    <t>z</t>
  </si>
  <si>
    <t>0,-0.2588190,0.96592582</t>
  </si>
  <si>
    <t>0,-0.2588190,-0.9659258</t>
  </si>
  <si>
    <t>274.733655 deg / DEC = -20.860143 deg</t>
  </si>
  <si>
    <t>0.0771146662,-0.9312650,-0.3560880</t>
  </si>
  <si>
    <t>"1","0","536500859.184000","541598469.184000","2548805.000000","2548805.000000","-1.3643074996565764e+09","1.1882059351633672e+07","1.7991108639285594e+03","3.6774324291484746e+00","-2.4978338510663889e-01","-3.7428281955163206e-02","-2.8189326550091209e-02","9.3069039743973424e-03","-2.1823668787419592e-03","2.9200695147789700e-04","1.2259196591912769e-04","-8.0799346043927708e-05","4.3858140998054296e-05","2548805.000000","2548805.000000","-5.2151318840183182e+09","-2.1675930520165423e+06","5.6465290951577699e+03","5.7145580476434539e+00","3.5651492598844925e-01","5.7558365380619654e-02","-2.2067610207159305e-02","-1.4151403656875565e-03","1.3899771302021691e-03","-8.5993735019689261e-04","2.6092005282407627e-04","-6.3585185009478530e-05","-4.0563172660768032e-06","2548805.000000","2548805.000000","-2.2836144734387212e+09","-8.5803265530215530e+05","2.4631113662341286e+03","2.3758026058205570e+00","1.4009615262330044e-01","3.2777237954096747e-02","-8.4698164810106391e-03","-1.7089289202513610e-03","9.6712757340355893e-04","-4.8950476539956630e-04","1.2758878074237145e-04","-2.5557516271841260e-05","-6.1460887081921101e-06"</t>
  </si>
  <si>
    <t>"1","0","536500859.184000","541598469.184000","2548805.000000","2548805.000000","-6.1442083472767267e+09","4.8267486722455472e+06","3.3916167533020707e+03","5.5175371880639155e+00","-2.4961589354643365e-01","-3.7427431433803185e-02","-2.8190893564897124e-02","9.3069297299126739e-03","-2.1855751792827505e-03","2.9237376851417207e-04","1.1712445848388597e-04","-8.1481882403643672e-05","3.6693701986223459e-05","2548805.000000","2548805.000000","-3.8306791099504738e+09","-7.8408118723491365e+06","1.9428806048211736e+03","5.8338438014460756e+00","3.5696678546082694e-01","5.7557667037337321e-02","-2.2066708486818243e-02","-1.4145375866636944e-03","1.3919946882197110e-03","-8.5960159822347346e-04","2.6586445892462507e-04","-6.3361173431474116e-05","1.3048993423581123e-06","2548805.000000","2548805.000000","2.2024257377747402e+09","-3.1802902726624953e+06","-1.0911381138596753e+03","2.3114899526249784e+00","1.4033183269748406e-01","3.2777423437769737e-02","-8.4683434242833755e-03","-1.7091574882646301e-03","9.7112672256116639e-04","-4.8931019833187356e-04","1.3466046584653668e-04","-2.5012991264410091e-05","2.4193723220378160e-06"</t>
  </si>
  <si>
    <t>"1","0","536500859.184000","541598469.184000","2548805.000000","2548805.000000","-1.9492403789655342e+09","1.4129453967051705e+07","5.7259919347495379e+03","-9.7194331269155754e-01","-2.5136555205244804e-01","-3.7424817957494264e-02","-2.8190480781631777e-02","9.3066203602277589e-03","-2.1866577531000075e-03","2.9147721513523282e-04","1.1525607988005504e-04","-8.1229575921407194e-05","3.4968434192705899e-05","2548805.000000","2548805.000000","-3.7758922434769206e+09","-7.4619337308012908e+06","1.0486891160707110e+04","8.1225180975715503e+00","3.5240500550571596e-01","5.7555311729573740e-02","-2.2072173223932623e-02","-1.4166503539469854e-03","1.3702672363251622e-03","-8.6159960806746867e-04","2.2488600734504871e-04","-6.4957329447318270e-05","-4.6522050979547203e-05","2548805.000000","2548805.000000","-4.4822239682425112e+08","-1.7918872773306924e+06","1.2455650005947609e+03","2.8867080133505638e+00","1.3970524262686013e-01","3.2777449424907484e-02","-8.4677799591190706e-03","-1.7086390577503918e-03","9.7597241938274237e-04","-4.8890521499508519e-04","1.4397923087017261e-04","-2.5028460138395202e-05","1.2921218512929045e-05"</t>
  </si>
  <si>
    <t>"1","0","536500859.184000","541598469.184000","2548805.000000","2548805.000000","-6.9005138180516005e+09","-4.7636327401423408e+05","3.4112325845283267e+03","5.6855335989977336e+00","-2.4959096321981633e-01","-3.7428359111670063e-02","-2.8190388726216042e-02","9.3068327138399933e-03","-2.1851635865459684e-03","2.9140266856768490e-04","1.1638465366559103e-04","-8.1282529890744508e-05","3.5926903365179896e-05","2548805.000000","2548805.000000","-1.7599197002616796e+09","-8.5627145415051039e+06","8.2047232945795076e+02","5.6866080609368277e+00","3.5690346332921763e-01","5.7558099362378240e-02","-2.2066030046516971e-02","-1.4149491376301622e-03","1.3927782508744713e-03","-8.5913725895567846e-04","2.6776882623380516e-04","-6.3353801491738390e-05","3.1164890970103443e-06","2548805.000000","2548805.000000","3.3022447346748729e+09","-4.4861719253689256e+06","-1.4679899744999493e+03","2.4884604369125518e+00","1.4030670883221319e-01","3.2778289269972526e-02","-8.4686649461218622e-03","-1.7092601148146226e-03","9.7113635274581611e-04","-4.8935527371552021e-04","1.3443646457744762e-04","-2.5297309023655513e-05","2.0865554688498378e-06"</t>
  </si>
  <si>
    <t>"1","0","536500859.184000","541598469.184000","2548805.000000","2548805.000000","-2.0525189482762760e+08","9.3222084080688208e+06","9.8720426868010281e+02","2.9351456862523739e-01","-2.4375644674250907e-01","-3.7435217815110659e-02","-2.8185217642430871e-02","9.3079396157004033e-03","-2.1669806122872615e-03","2.9295796627881412e-04","1.5257963809744979e-04","-7.9873176445542746e-05","7.8247741839732043e-05","2548805.000000","2548805.000000","-4.0058989590766625e+09","-5.6073728232266800e+06","1.2881626661805374e+04","-1.1263863089241173e+00","3.6208977980277268e-01","5.7553214375805149e-02","-2.2070041954066255e-02","-1.4166624348432781e-03","1.3782655673821864e-03","-8.6066474103898779e-04","2.4029457563301548e-04","-6.5032833073949475e-05","-2.8435024432837963e-05","2548805.000000","2548805.000000","-6.7877013479178226e+08","-4.7753330434990022e+06","2.1814971525683477e+03","3.1016311099151843e+00","1.3895605505376807e-01","3.2780155051931686e-02","-8.4672735456479131e-03","-1.7084681181162638e-03","9.7804449535487947e-04","-4.8889829210206430e-04","1.4799126711295685e-04","-2.5140898270036715e-05","1.7483907868154347e-05"</t>
  </si>
  <si>
    <t>2002_KX14_20160728</t>
  </si>
  <si>
    <t>Haumea_20160728</t>
  </si>
  <si>
    <t>Huya_20160728</t>
  </si>
  <si>
    <t>Makemake_20160728</t>
  </si>
  <si>
    <t>Pholus_20160823</t>
  </si>
  <si>
    <t>alpha</t>
  </si>
  <si>
    <t>phi</t>
  </si>
  <si>
    <t>fov (urad)</t>
  </si>
  <si>
    <t>Boresight Defined</t>
  </si>
  <si>
    <t> -0.99998064</t>
  </si>
  <si>
    <t>degrees</t>
  </si>
  <si>
    <t>urad</t>
  </si>
  <si>
    <t>Y:</t>
  </si>
  <si>
    <t>Z:</t>
  </si>
  <si>
    <t>Total rotations</t>
  </si>
  <si>
    <t>Virtual Boresight</t>
  </si>
  <si>
    <t>Offset</t>
  </si>
  <si>
    <t>-0.99997470,0.006431387,-0.00303788</t>
  </si>
  <si>
    <t>-0.99997709,0.005431390,-0.00403787</t>
  </si>
  <si>
    <t>(1) For Haumea, shift the LORRI boresight by 1.0 millirad east.</t>
  </si>
  <si>
    <t>(2) For Huya, shift the LORRI boresight by 1.0 millirad north.</t>
  </si>
  <si>
    <t>(3) For Pholus, shift the LORRI boresight by 1.0 millirad north.</t>
  </si>
  <si>
    <t>npm</t>
  </si>
  <si>
    <t>Nicole Martin</t>
  </si>
  <si>
    <t>Turn Heater OFF</t>
  </si>
  <si>
    <t>Turn off 10W Decontamination Heater</t>
  </si>
  <si>
    <t>Turn Heater ON</t>
  </si>
  <si>
    <t>Turn on 10W Decontamination Heater</t>
  </si>
  <si>
    <t>K2LR_X_LORRIDeconHtrON_2026203</t>
  </si>
  <si>
    <t>2026-203T00:00:00</t>
  </si>
  <si>
    <t>K2LR_X_LORRIDeconHtrOFF_2026205</t>
  </si>
  <si>
    <t>2026-205T00:00:00</t>
  </si>
  <si>
    <t>26201_lorri_v1_seqin.sasf</t>
  </si>
  <si>
    <t>2026-201T00:00:00</t>
  </si>
  <si>
    <t>2026-222T00:00:00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</si>
</sst>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hh]:mm:ss"/>
    <numFmt numFmtId="165" formatCode="0.00000000"/>
    <numFmt numFmtId="166" formatCode="dd\ mmm\ yyyy\ hh:mm:ss"/>
    <numFmt numFmtId="167" formatCode="0.0000"/>
    <numFmt numFmtId="168" formatCode="0.0"/>
    <numFmt numFmtId="169" formatCode="m/d/yyyy\ h:mm:ss"/>
    <numFmt numFmtId="170" formatCode="0.000000000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26"/>
      <name val="Arial"/>
      <family val="2"/>
    </font>
    <font>
      <sz val="9"/>
      <name val="Arial"/>
      <family val="2"/>
    </font>
    <font>
      <b/>
      <sz val="9"/>
      <color indexed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10"/>
      <name val="Arial"/>
      <family val="2"/>
    </font>
    <font>
      <b/>
      <sz val="9"/>
      <color indexed="17"/>
      <name val="Arial"/>
      <family val="2"/>
    </font>
    <font>
      <sz val="9"/>
      <color indexed="17"/>
      <name val="Arial"/>
      <family val="2"/>
    </font>
    <font>
      <b/>
      <sz val="9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sz val="10"/>
      <color rgb="FF7030A0"/>
      <name val="Arial"/>
      <family val="2"/>
    </font>
    <font>
      <b/>
      <sz val="10"/>
      <color rgb="FF7030A0"/>
      <name val="Arial"/>
      <family val="2"/>
    </font>
    <font>
      <sz val="9"/>
      <color rgb="FF7030A0"/>
      <name val="Arial"/>
      <family val="2"/>
    </font>
    <font>
      <sz val="10"/>
      <color rgb="FF0070C0"/>
      <name val="Arial"/>
      <family val="2"/>
    </font>
    <font>
      <b/>
      <sz val="10"/>
      <color rgb="FF0070C0"/>
      <name val="Arial"/>
      <family val="2"/>
    </font>
    <font>
      <sz val="9"/>
      <color rgb="FF0070C0"/>
      <name val="Arial"/>
      <family val="2"/>
    </font>
    <font>
      <sz val="10"/>
      <color rgb="FF00B050"/>
      <name val="Arial"/>
      <family val="2"/>
    </font>
    <font>
      <b/>
      <sz val="10"/>
      <color rgb="FF00B050"/>
      <name val="Arial"/>
      <family val="2"/>
    </font>
    <font>
      <sz val="9"/>
      <color rgb="FF00B050"/>
      <name val="Arial"/>
      <family val="2"/>
    </font>
    <font>
      <sz val="10"/>
      <name val="Verdana"/>
      <family val="2"/>
    </font>
    <font>
      <sz val="14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rgb="FF000000"/>
      <name val="Helvetica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sz val="14"/>
      <name val="Arial"/>
      <family val="2"/>
    </font>
    <font>
      <sz val="1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</patternFill>
    </fill>
    <fill>
      <patternFill patternType="solid">
        <fgColor rgb="FFFFC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3">
    <xf numFmtId="0" fontId="0" fillId="0" borderId="0"/>
    <xf numFmtId="0" fontId="11" fillId="0" borderId="0"/>
    <xf numFmtId="0" fontId="10" fillId="0" borderId="0"/>
    <xf numFmtId="0" fontId="10" fillId="0" borderId="0"/>
    <xf numFmtId="0" fontId="28" fillId="0" borderId="0"/>
    <xf numFmtId="0" fontId="10" fillId="0" borderId="0"/>
    <xf numFmtId="0" fontId="3" fillId="0" borderId="0"/>
    <xf numFmtId="0" fontId="3" fillId="7" borderId="17" applyNumberFormat="0" applyFont="0" applyAlignment="0" applyProtection="0"/>
    <xf numFmtId="0" fontId="3" fillId="7" borderId="17" applyNumberFormat="0" applyFont="0" applyAlignment="0" applyProtection="0"/>
    <xf numFmtId="0" fontId="3" fillId="7" borderId="17" applyNumberFormat="0" applyFon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2" fillId="7" borderId="17" applyNumberFormat="0" applyFont="0" applyAlignment="0" applyProtection="0"/>
    <xf numFmtId="0" fontId="1" fillId="0" borderId="0"/>
    <xf numFmtId="0" fontId="1" fillId="7" borderId="17" applyNumberFormat="0" applyFont="0" applyAlignment="0" applyProtection="0"/>
    <xf numFmtId="0" fontId="1" fillId="7" borderId="17" applyNumberFormat="0" applyFont="0" applyAlignment="0" applyProtection="0"/>
    <xf numFmtId="0" fontId="1" fillId="7" borderId="17" applyNumberFormat="0" applyFont="0" applyAlignment="0" applyProtection="0"/>
    <xf numFmtId="0" fontId="1" fillId="7" borderId="17" applyNumberFormat="0" applyFont="0" applyAlignment="0" applyProtection="0"/>
    <xf numFmtId="0" fontId="30" fillId="11" borderId="22" applyNumberFormat="0" applyAlignment="0" applyProtection="0"/>
    <xf numFmtId="0" fontId="31" fillId="12" borderId="22" applyNumberFormat="0" applyAlignment="0" applyProtection="0"/>
    <xf numFmtId="0" fontId="34" fillId="19" borderId="0" applyNumberFormat="0" applyBorder="0" applyAlignment="0" applyProtection="0"/>
  </cellStyleXfs>
  <cellXfs count="171">
    <xf numFmtId="0" fontId="0" fillId="0" borderId="0" xfId="0"/>
    <xf numFmtId="0" fontId="6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/>
    <xf numFmtId="0" fontId="5" fillId="2" borderId="0" xfId="0" applyFont="1" applyFill="1"/>
    <xf numFmtId="0" fontId="7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8" fillId="0" borderId="0" xfId="0" applyFont="1"/>
    <xf numFmtId="21" fontId="8" fillId="0" borderId="4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1" fontId="6" fillId="4" borderId="5" xfId="0" applyNumberFormat="1" applyFont="1" applyFill="1" applyBorder="1" applyAlignment="1">
      <alignment horizontal="center" wrapText="1"/>
    </xf>
    <xf numFmtId="0" fontId="6" fillId="4" borderId="5" xfId="0" applyFont="1" applyFill="1" applyBorder="1" applyAlignment="1">
      <alignment horizontal="center" wrapText="1"/>
    </xf>
    <xf numFmtId="0" fontId="6" fillId="4" borderId="5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left" vertical="top" wrapText="1"/>
    </xf>
    <xf numFmtId="0" fontId="6" fillId="4" borderId="5" xfId="0" applyFont="1" applyFill="1" applyBorder="1" applyAlignment="1">
      <alignment horizontal="left"/>
    </xf>
    <xf numFmtId="1" fontId="6" fillId="4" borderId="5" xfId="0" applyNumberFormat="1" applyFont="1" applyFill="1" applyBorder="1" applyAlignment="1">
      <alignment horizontal="left"/>
    </xf>
    <xf numFmtId="1" fontId="6" fillId="4" borderId="5" xfId="0" applyNumberFormat="1" applyFont="1" applyFill="1" applyBorder="1" applyAlignment="1">
      <alignment horizontal="left" wrapText="1"/>
    </xf>
    <xf numFmtId="1" fontId="6" fillId="5" borderId="5" xfId="0" applyNumberFormat="1" applyFont="1" applyFill="1" applyBorder="1" applyAlignment="1">
      <alignment horizontal="center" wrapText="1"/>
    </xf>
    <xf numFmtId="1" fontId="6" fillId="5" borderId="6" xfId="0" applyNumberFormat="1" applyFont="1" applyFill="1" applyBorder="1" applyAlignment="1">
      <alignment horizontal="center" wrapText="1"/>
    </xf>
    <xf numFmtId="1" fontId="6" fillId="5" borderId="7" xfId="0" applyNumberFormat="1" applyFont="1" applyFill="1" applyBorder="1" applyAlignment="1">
      <alignment horizontal="center" wrapText="1"/>
    </xf>
    <xf numFmtId="0" fontId="6" fillId="5" borderId="5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left" vertical="top" wrapText="1"/>
    </xf>
    <xf numFmtId="1" fontId="6" fillId="6" borderId="5" xfId="0" applyNumberFormat="1" applyFont="1" applyFill="1" applyBorder="1" applyAlignment="1">
      <alignment horizontal="center" wrapText="1"/>
    </xf>
    <xf numFmtId="1" fontId="6" fillId="6" borderId="6" xfId="0" applyNumberFormat="1" applyFont="1" applyFill="1" applyBorder="1" applyAlignment="1">
      <alignment horizontal="center" wrapText="1"/>
    </xf>
    <xf numFmtId="1" fontId="6" fillId="6" borderId="7" xfId="0" applyNumberFormat="1" applyFont="1" applyFill="1" applyBorder="1" applyAlignment="1">
      <alignment horizontal="center" wrapText="1"/>
    </xf>
    <xf numFmtId="0" fontId="6" fillId="6" borderId="5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1" fontId="6" fillId="6" borderId="9" xfId="0" applyNumberFormat="1" applyFont="1" applyFill="1" applyBorder="1" applyAlignment="1">
      <alignment horizontal="center" wrapText="1"/>
    </xf>
    <xf numFmtId="1" fontId="6" fillId="5" borderId="9" xfId="0" applyNumberFormat="1" applyFont="1" applyFill="1" applyBorder="1" applyAlignment="1">
      <alignment horizontal="center" wrapText="1"/>
    </xf>
    <xf numFmtId="0" fontId="6" fillId="4" borderId="9" xfId="0" applyFont="1" applyFill="1" applyBorder="1" applyAlignment="1">
      <alignment horizontal="center" wrapText="1"/>
    </xf>
    <xf numFmtId="0" fontId="6" fillId="2" borderId="10" xfId="0" applyFont="1" applyFill="1" applyBorder="1" applyAlignment="1">
      <alignment horizontal="center" wrapText="1"/>
    </xf>
    <xf numFmtId="164" fontId="8" fillId="0" borderId="0" xfId="0" applyNumberFormat="1" applyFont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8" fillId="0" borderId="11" xfId="0" applyFont="1" applyBorder="1"/>
    <xf numFmtId="164" fontId="12" fillId="0" borderId="0" xfId="0" applyNumberFormat="1" applyFont="1" applyAlignment="1">
      <alignment horizontal="left"/>
    </xf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6" borderId="10" xfId="0" applyFont="1" applyFill="1" applyBorder="1" applyAlignment="1">
      <alignment horizontal="center" wrapText="1"/>
    </xf>
    <xf numFmtId="0" fontId="8" fillId="0" borderId="0" xfId="0" applyFont="1" applyAlignment="1">
      <alignment horizontal="centerContinuous"/>
    </xf>
    <xf numFmtId="21" fontId="15" fillId="0" borderId="0" xfId="0" applyNumberFormat="1" applyFont="1" applyAlignment="1">
      <alignment horizontal="center"/>
    </xf>
    <xf numFmtId="0" fontId="17" fillId="2" borderId="0" xfId="0" applyFont="1" applyFill="1"/>
    <xf numFmtId="0" fontId="18" fillId="0" borderId="0" xfId="0" applyFont="1" applyAlignment="1">
      <alignment horizontal="left"/>
    </xf>
    <xf numFmtId="0" fontId="18" fillId="0" borderId="0" xfId="0" applyFont="1"/>
    <xf numFmtId="0" fontId="17" fillId="0" borderId="0" xfId="0" applyFont="1"/>
    <xf numFmtId="0" fontId="19" fillId="2" borderId="0" xfId="0" applyFont="1" applyFill="1"/>
    <xf numFmtId="0" fontId="20" fillId="2" borderId="0" xfId="0" applyFont="1" applyFill="1"/>
    <xf numFmtId="0" fontId="21" fillId="0" borderId="0" xfId="0" applyFont="1" applyAlignment="1">
      <alignment horizontal="left"/>
    </xf>
    <xf numFmtId="0" fontId="21" fillId="0" borderId="0" xfId="0" applyFont="1"/>
    <xf numFmtId="0" fontId="19" fillId="0" borderId="0" xfId="0" applyFont="1"/>
    <xf numFmtId="0" fontId="22" fillId="2" borderId="0" xfId="0" applyFont="1" applyFill="1"/>
    <xf numFmtId="0" fontId="23" fillId="2" borderId="0" xfId="0" applyFont="1" applyFill="1"/>
    <xf numFmtId="0" fontId="24" fillId="0" borderId="0" xfId="0" applyFont="1" applyAlignment="1">
      <alignment horizontal="left"/>
    </xf>
    <xf numFmtId="0" fontId="24" fillId="0" borderId="0" xfId="0" applyFont="1"/>
    <xf numFmtId="0" fontId="16" fillId="2" borderId="0" xfId="0" applyFont="1" applyFill="1"/>
    <xf numFmtId="0" fontId="25" fillId="2" borderId="0" xfId="0" applyFont="1" applyFill="1"/>
    <xf numFmtId="0" fontId="26" fillId="2" borderId="0" xfId="0" applyFont="1" applyFill="1"/>
    <xf numFmtId="0" fontId="27" fillId="0" borderId="0" xfId="0" applyFont="1" applyAlignment="1">
      <alignment horizontal="left"/>
    </xf>
    <xf numFmtId="0" fontId="27" fillId="0" borderId="0" xfId="0" applyFont="1"/>
    <xf numFmtId="0" fontId="25" fillId="0" borderId="0" xfId="0" applyFont="1"/>
    <xf numFmtId="0" fontId="6" fillId="2" borderId="0" xfId="0" applyFont="1" applyFill="1"/>
    <xf numFmtId="0" fontId="10" fillId="2" borderId="0" xfId="0" applyFont="1" applyFill="1"/>
    <xf numFmtId="0" fontId="8" fillId="0" borderId="0" xfId="0" applyFont="1" applyAlignment="1">
      <alignment horizontal="right"/>
    </xf>
    <xf numFmtId="164" fontId="15" fillId="0" borderId="0" xfId="0" applyNumberFormat="1" applyFont="1" applyAlignment="1">
      <alignment horizontal="center"/>
    </xf>
    <xf numFmtId="21" fontId="8" fillId="0" borderId="11" xfId="0" applyNumberFormat="1" applyFont="1" applyBorder="1" applyAlignment="1">
      <alignment horizontal="center"/>
    </xf>
    <xf numFmtId="21" fontId="15" fillId="0" borderId="11" xfId="0" applyNumberFormat="1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166" fontId="13" fillId="0" borderId="0" xfId="0" applyNumberFormat="1" applyFont="1" applyAlignment="1">
      <alignment horizontal="centerContinuous"/>
    </xf>
    <xf numFmtId="0" fontId="8" fillId="0" borderId="11" xfId="0" applyFont="1" applyBorder="1" applyAlignment="1">
      <alignment horizontal="center"/>
    </xf>
    <xf numFmtId="21" fontId="8" fillId="0" borderId="0" xfId="0" applyNumberFormat="1" applyFont="1" applyAlignment="1">
      <alignment horizontal="center"/>
    </xf>
    <xf numFmtId="0" fontId="8" fillId="0" borderId="12" xfId="0" applyFont="1" applyBorder="1" applyAlignment="1">
      <alignment horizontal="center"/>
    </xf>
    <xf numFmtId="21" fontId="13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0" fontId="6" fillId="2" borderId="0" xfId="0" applyFont="1" applyFill="1" applyAlignment="1">
      <alignment horizontal="center"/>
    </xf>
    <xf numFmtId="165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left"/>
    </xf>
    <xf numFmtId="0" fontId="8" fillId="0" borderId="0" xfId="0" quotePrefix="1" applyFont="1" applyAlignment="1">
      <alignment horizontal="left"/>
    </xf>
    <xf numFmtId="22" fontId="9" fillId="0" borderId="0" xfId="0" applyNumberFormat="1" applyFont="1" applyAlignment="1">
      <alignment horizontal="center"/>
    </xf>
    <xf numFmtId="0" fontId="13" fillId="0" borderId="11" xfId="0" applyFont="1" applyBorder="1" applyAlignment="1">
      <alignment horizontal="center"/>
    </xf>
    <xf numFmtId="0" fontId="15" fillId="0" borderId="0" xfId="0" applyFont="1" applyAlignment="1">
      <alignment horizontal="right"/>
    </xf>
    <xf numFmtId="0" fontId="8" fillId="0" borderId="0" xfId="0" quotePrefix="1" applyFont="1" applyAlignment="1">
      <alignment horizontal="left" indent="1"/>
    </xf>
    <xf numFmtId="0" fontId="8" fillId="9" borderId="0" xfId="0" applyFont="1" applyFill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8" fillId="0" borderId="4" xfId="0" applyFont="1" applyBorder="1" applyAlignment="1">
      <alignment horizontal="center"/>
    </xf>
    <xf numFmtId="0" fontId="10" fillId="0" borderId="0" xfId="0" applyFont="1"/>
    <xf numFmtId="0" fontId="15" fillId="0" borderId="0" xfId="0" applyFont="1" applyAlignment="1">
      <alignment horizontal="left"/>
    </xf>
    <xf numFmtId="0" fontId="8" fillId="0" borderId="21" xfId="0" applyFont="1" applyBorder="1" applyAlignment="1">
      <alignment horizontal="left"/>
    </xf>
    <xf numFmtId="0" fontId="8" fillId="10" borderId="1" xfId="0" applyFont="1" applyFill="1" applyBorder="1" applyAlignment="1">
      <alignment horizontal="center" textRotation="90"/>
    </xf>
    <xf numFmtId="0" fontId="8" fillId="10" borderId="2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0" borderId="0" xfId="5" applyFont="1" applyAlignment="1">
      <alignment horizontal="center"/>
    </xf>
    <xf numFmtId="0" fontId="4" fillId="0" borderId="0" xfId="0" applyFont="1"/>
    <xf numFmtId="0" fontId="8" fillId="9" borderId="11" xfId="0" applyFont="1" applyFill="1" applyBorder="1" applyAlignment="1">
      <alignment vertical="center"/>
    </xf>
    <xf numFmtId="0" fontId="32" fillId="0" borderId="0" xfId="0" applyFont="1"/>
    <xf numFmtId="0" fontId="6" fillId="0" borderId="26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6" fillId="0" borderId="5" xfId="0" applyNumberFormat="1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167" fontId="30" fillId="11" borderId="28" xfId="20" applyNumberFormat="1" applyBorder="1" applyAlignment="1">
      <alignment horizontal="center"/>
    </xf>
    <xf numFmtId="167" fontId="30" fillId="11" borderId="29" xfId="20" applyNumberFormat="1" applyBorder="1" applyAlignment="1" applyProtection="1">
      <alignment horizontal="center"/>
      <protection locked="0"/>
    </xf>
    <xf numFmtId="168" fontId="31" fillId="12" borderId="29" xfId="21" applyNumberFormat="1" applyBorder="1" applyAlignment="1">
      <alignment horizontal="center"/>
    </xf>
    <xf numFmtId="1" fontId="31" fillId="12" borderId="29" xfId="21" applyNumberFormat="1" applyBorder="1" applyAlignment="1">
      <alignment horizontal="center"/>
    </xf>
    <xf numFmtId="2" fontId="31" fillId="12" borderId="29" xfId="21" applyNumberFormat="1" applyBorder="1" applyAlignment="1">
      <alignment horizontal="center"/>
    </xf>
    <xf numFmtId="0" fontId="31" fillId="12" borderId="29" xfId="21" applyBorder="1" applyAlignment="1">
      <alignment horizontal="center"/>
    </xf>
    <xf numFmtId="165" fontId="31" fillId="12" borderId="29" xfId="21" applyNumberFormat="1" applyBorder="1" applyAlignment="1">
      <alignment horizontal="center"/>
    </xf>
    <xf numFmtId="2" fontId="31" fillId="12" borderId="30" xfId="21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0" xfId="0" quotePrefix="1" applyFont="1" applyAlignment="1">
      <alignment horizontal="left"/>
    </xf>
    <xf numFmtId="0" fontId="29" fillId="10" borderId="31" xfId="0" applyFont="1" applyFill="1" applyBorder="1" applyAlignment="1">
      <alignment horizontal="left"/>
    </xf>
    <xf numFmtId="0" fontId="8" fillId="0" borderId="16" xfId="0" applyFont="1" applyBorder="1"/>
    <xf numFmtId="169" fontId="8" fillId="0" borderId="0" xfId="0" applyNumberFormat="1" applyFont="1" applyAlignment="1">
      <alignment horizontal="center"/>
    </xf>
    <xf numFmtId="166" fontId="14" fillId="0" borderId="0" xfId="0" applyNumberFormat="1" applyFont="1" applyAlignment="1">
      <alignment horizontal="centerContinuous"/>
    </xf>
    <xf numFmtId="166" fontId="14" fillId="0" borderId="11" xfId="0" applyNumberFormat="1" applyFont="1" applyBorder="1" applyAlignment="1">
      <alignment horizontal="centerContinuous"/>
    </xf>
    <xf numFmtId="0" fontId="8" fillId="0" borderId="14" xfId="0" applyFont="1" applyBorder="1"/>
    <xf numFmtId="0" fontId="8" fillId="8" borderId="18" xfId="0" applyFont="1" applyFill="1" applyBorder="1" applyAlignment="1">
      <alignment horizontal="left"/>
    </xf>
    <xf numFmtId="1" fontId="8" fillId="13" borderId="5" xfId="0" applyNumberFormat="1" applyFont="1" applyFill="1" applyBorder="1" applyAlignment="1">
      <alignment horizontal="center"/>
    </xf>
    <xf numFmtId="1" fontId="8" fillId="14" borderId="5" xfId="0" applyNumberFormat="1" applyFont="1" applyFill="1" applyBorder="1" applyAlignment="1">
      <alignment horizontal="center"/>
    </xf>
    <xf numFmtId="1" fontId="8" fillId="15" borderId="5" xfId="0" applyNumberFormat="1" applyFont="1" applyFill="1" applyBorder="1" applyAlignment="1">
      <alignment horizontal="center"/>
    </xf>
    <xf numFmtId="1" fontId="8" fillId="16" borderId="5" xfId="0" applyNumberFormat="1" applyFont="1" applyFill="1" applyBorder="1" applyAlignment="1">
      <alignment horizontal="center"/>
    </xf>
    <xf numFmtId="1" fontId="8" fillId="17" borderId="5" xfId="0" applyNumberFormat="1" applyFont="1" applyFill="1" applyBorder="1" applyAlignment="1">
      <alignment horizontal="center"/>
    </xf>
    <xf numFmtId="0" fontId="15" fillId="0" borderId="0" xfId="0" applyFont="1" applyAlignment="1">
      <alignment horizontal="center" vertical="top" textRotation="90"/>
    </xf>
    <xf numFmtId="0" fontId="15" fillId="0" borderId="0" xfId="0" applyFont="1" applyAlignment="1">
      <alignment horizontal="center" vertical="top"/>
    </xf>
    <xf numFmtId="21" fontId="15" fillId="0" borderId="4" xfId="0" applyNumberFormat="1" applyFont="1" applyBorder="1" applyAlignment="1">
      <alignment horizontal="center" vertical="top" textRotation="90"/>
    </xf>
    <xf numFmtId="164" fontId="15" fillId="0" borderId="0" xfId="0" applyNumberFormat="1" applyFont="1" applyAlignment="1">
      <alignment horizontal="center" vertical="top" textRotation="90"/>
    </xf>
    <xf numFmtId="164" fontId="15" fillId="0" borderId="11" xfId="0" applyNumberFormat="1" applyFont="1" applyBorder="1" applyAlignment="1">
      <alignment horizontal="center" vertical="top" textRotation="90"/>
    </xf>
    <xf numFmtId="0" fontId="15" fillId="0" borderId="4" xfId="0" applyFont="1" applyBorder="1" applyAlignment="1">
      <alignment horizontal="center" vertical="top" textRotation="90"/>
    </xf>
    <xf numFmtId="0" fontId="15" fillId="0" borderId="0" xfId="0" quotePrefix="1" applyFont="1" applyAlignment="1">
      <alignment horizontal="center" vertical="top" textRotation="90"/>
    </xf>
    <xf numFmtId="0" fontId="8" fillId="0" borderId="19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0" borderId="4" xfId="0" applyFont="1" applyBorder="1" applyAlignment="1">
      <alignment horizontal="left"/>
    </xf>
    <xf numFmtId="0" fontId="35" fillId="0" borderId="0" xfId="0" applyFont="1"/>
    <xf numFmtId="0" fontId="6" fillId="0" borderId="20" xfId="5" applyFont="1" applyBorder="1"/>
    <xf numFmtId="0" fontId="10" fillId="0" borderId="21" xfId="5" applyBorder="1"/>
    <xf numFmtId="0" fontId="10" fillId="0" borderId="21" xfId="5" applyBorder="1" applyAlignment="1">
      <alignment horizontal="center"/>
    </xf>
    <xf numFmtId="0" fontId="10" fillId="0" borderId="0" xfId="5"/>
    <xf numFmtId="0" fontId="10" fillId="0" borderId="0" xfId="5" applyAlignment="1">
      <alignment horizontal="center"/>
    </xf>
    <xf numFmtId="0" fontId="6" fillId="0" borderId="4" xfId="5" applyFont="1" applyBorder="1"/>
    <xf numFmtId="0" fontId="6" fillId="0" borderId="21" xfId="5" applyFont="1" applyBorder="1"/>
    <xf numFmtId="0" fontId="6" fillId="0" borderId="0" xfId="5" applyFont="1"/>
    <xf numFmtId="0" fontId="6" fillId="13" borderId="19" xfId="5" applyFont="1" applyFill="1" applyBorder="1" applyAlignment="1">
      <alignment horizontal="center"/>
    </xf>
    <xf numFmtId="0" fontId="6" fillId="13" borderId="32" xfId="5" applyFont="1" applyFill="1" applyBorder="1" applyAlignment="1">
      <alignment horizontal="center"/>
    </xf>
    <xf numFmtId="0" fontId="6" fillId="13" borderId="15" xfId="5" applyFont="1" applyFill="1" applyBorder="1" applyAlignment="1">
      <alignment horizontal="center"/>
    </xf>
    <xf numFmtId="0" fontId="6" fillId="13" borderId="6" xfId="5" applyFont="1" applyFill="1" applyBorder="1" applyAlignment="1">
      <alignment horizontal="center"/>
    </xf>
    <xf numFmtId="0" fontId="6" fillId="13" borderId="8" xfId="5" applyFont="1" applyFill="1" applyBorder="1" applyAlignment="1">
      <alignment horizontal="center"/>
    </xf>
    <xf numFmtId="0" fontId="6" fillId="13" borderId="5" xfId="5" applyFont="1" applyFill="1" applyBorder="1" applyAlignment="1">
      <alignment horizontal="center"/>
    </xf>
    <xf numFmtId="170" fontId="36" fillId="0" borderId="6" xfId="22" applyNumberFormat="1" applyFont="1" applyFill="1" applyBorder="1" applyAlignment="1">
      <alignment horizontal="center"/>
    </xf>
    <xf numFmtId="170" fontId="36" fillId="0" borderId="7" xfId="22" applyNumberFormat="1" applyFont="1" applyFill="1" applyBorder="1" applyAlignment="1">
      <alignment horizontal="center"/>
    </xf>
    <xf numFmtId="170" fontId="36" fillId="0" borderId="8" xfId="22" applyNumberFormat="1" applyFont="1" applyFill="1" applyBorder="1" applyAlignment="1">
      <alignment horizontal="center"/>
    </xf>
    <xf numFmtId="165" fontId="10" fillId="0" borderId="20" xfId="5" applyNumberFormat="1" applyBorder="1" applyAlignment="1">
      <alignment horizontal="center"/>
    </xf>
    <xf numFmtId="165" fontId="10" fillId="0" borderId="12" xfId="5" applyNumberFormat="1" applyBorder="1" applyAlignment="1">
      <alignment horizontal="center"/>
    </xf>
    <xf numFmtId="168" fontId="10" fillId="21" borderId="5" xfId="5" applyNumberFormat="1" applyFill="1" applyBorder="1" applyAlignment="1">
      <alignment horizontal="center"/>
    </xf>
    <xf numFmtId="165" fontId="10" fillId="0" borderId="0" xfId="5" applyNumberFormat="1" applyAlignment="1">
      <alignment horizontal="center"/>
    </xf>
    <xf numFmtId="0" fontId="6" fillId="0" borderId="0" xfId="5" applyFont="1" applyAlignment="1">
      <alignment horizontal="center"/>
    </xf>
    <xf numFmtId="165" fontId="6" fillId="0" borderId="0" xfId="5" applyNumberFormat="1" applyFont="1" applyAlignment="1">
      <alignment horizontal="center"/>
    </xf>
    <xf numFmtId="0" fontId="10" fillId="0" borderId="0" xfId="5" applyAlignment="1">
      <alignment horizontal="right"/>
    </xf>
    <xf numFmtId="0" fontId="36" fillId="0" borderId="5" xfId="22" applyFont="1" applyFill="1" applyBorder="1" applyAlignment="1">
      <alignment horizontal="center"/>
    </xf>
    <xf numFmtId="0" fontId="10" fillId="0" borderId="5" xfId="5" applyBorder="1" applyAlignment="1">
      <alignment horizontal="center"/>
    </xf>
    <xf numFmtId="1" fontId="34" fillId="19" borderId="5" xfId="22" applyNumberFormat="1" applyBorder="1" applyAlignment="1">
      <alignment horizontal="center"/>
    </xf>
    <xf numFmtId="165" fontId="10" fillId="0" borderId="5" xfId="5" applyNumberFormat="1" applyBorder="1" applyAlignment="1">
      <alignment horizontal="center"/>
    </xf>
    <xf numFmtId="1" fontId="10" fillId="0" borderId="0" xfId="5" applyNumberFormat="1" applyAlignment="1">
      <alignment horizontal="center"/>
    </xf>
    <xf numFmtId="165" fontId="6" fillId="20" borderId="5" xfId="5" applyNumberFormat="1" applyFont="1" applyFill="1" applyBorder="1" applyAlignment="1">
      <alignment horizontal="center"/>
    </xf>
    <xf numFmtId="165" fontId="6" fillId="20" borderId="6" xfId="5" applyNumberFormat="1" applyFont="1" applyFill="1" applyBorder="1" applyAlignment="1">
      <alignment horizontal="center"/>
    </xf>
    <xf numFmtId="165" fontId="6" fillId="20" borderId="7" xfId="5" applyNumberFormat="1" applyFont="1" applyFill="1" applyBorder="1" applyAlignment="1">
      <alignment horizontal="center"/>
    </xf>
    <xf numFmtId="165" fontId="6" fillId="20" borderId="8" xfId="5" applyNumberFormat="1" applyFont="1" applyFill="1" applyBorder="1" applyAlignment="1">
      <alignment horizontal="center"/>
    </xf>
    <xf numFmtId="0" fontId="0" fillId="0" borderId="21" xfId="0" applyBorder="1"/>
    <xf numFmtId="0" fontId="33" fillId="18" borderId="23" xfId="0" applyFont="1" applyFill="1" applyBorder="1" applyAlignment="1">
      <alignment horizontal="center"/>
    </xf>
    <xf numFmtId="0" fontId="33" fillId="18" borderId="24" xfId="0" applyFont="1" applyFill="1" applyBorder="1" applyAlignment="1">
      <alignment horizontal="center"/>
    </xf>
    <xf numFmtId="0" fontId="33" fillId="18" borderId="25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</cellXfs>
  <cellStyles count="23">
    <cellStyle name="Calculation" xfId="21" builtinId="22"/>
    <cellStyle name="Good" xfId="22" builtinId="26"/>
    <cellStyle name="Input" xfId="20" builtinId="20"/>
    <cellStyle name="Normal" xfId="0" builtinId="0"/>
    <cellStyle name="Normal 2" xfId="1" xr:uid="{00000000-0005-0000-0000-000004000000}"/>
    <cellStyle name="Normal 2 2" xfId="5" xr:uid="{00000000-0005-0000-0000-000005000000}"/>
    <cellStyle name="Normal 2 3" xfId="10" xr:uid="{00000000-0005-0000-0000-000006000000}"/>
    <cellStyle name="Normal 2 4" xfId="11" xr:uid="{00000000-0005-0000-0000-000007000000}"/>
    <cellStyle name="Normal 2 5" xfId="12" xr:uid="{00000000-0005-0000-0000-000008000000}"/>
    <cellStyle name="Normal 3" xfId="2" xr:uid="{00000000-0005-0000-0000-000009000000}"/>
    <cellStyle name="Normal 3 2" xfId="6" xr:uid="{00000000-0005-0000-0000-00000A000000}"/>
    <cellStyle name="Normal 3 2 2" xfId="15" xr:uid="{00000000-0005-0000-0000-00000B000000}"/>
    <cellStyle name="Normal 4" xfId="3" xr:uid="{00000000-0005-0000-0000-00000C000000}"/>
    <cellStyle name="Normal 4 2" xfId="13" xr:uid="{00000000-0005-0000-0000-00000D000000}"/>
    <cellStyle name="Normal 6" xfId="4" xr:uid="{00000000-0005-0000-0000-00000E000000}"/>
    <cellStyle name="Note 2" xfId="7" xr:uid="{00000000-0005-0000-0000-00000F000000}"/>
    <cellStyle name="Note 2 2" xfId="14" xr:uid="{00000000-0005-0000-0000-000010000000}"/>
    <cellStyle name="Note 2 2 2" xfId="19" xr:uid="{00000000-0005-0000-0000-000011000000}"/>
    <cellStyle name="Note 2 3" xfId="16" xr:uid="{00000000-0005-0000-0000-000012000000}"/>
    <cellStyle name="Note 3" xfId="8" xr:uid="{00000000-0005-0000-0000-000013000000}"/>
    <cellStyle name="Note 3 2" xfId="17" xr:uid="{00000000-0005-0000-0000-000014000000}"/>
    <cellStyle name="Note 4" xfId="9" xr:uid="{00000000-0005-0000-0000-000015000000}"/>
    <cellStyle name="Note 4 2" xfId="18" xr:uid="{00000000-0005-0000-0000-000016000000}"/>
  </cellStyles>
  <dxfs count="14"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9" defaultPivotStyle="PivotStyleLight16"/>
  <colors>
    <mruColors>
      <color rgb="FFFFFF99"/>
      <color rgb="FFFF9999"/>
      <color rgb="FF0066FF"/>
      <color rgb="FF66FFFF"/>
      <color rgb="FFCC99FF"/>
      <color rgb="FF66FF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indows\addins\sasf_generator.xlam" TargetMode="External"/><Relationship Id="rId1" Type="http://schemas.openxmlformats.org/officeDocument/2006/relationships/externalLinkPath" Target="file:///C:\Windows\addins\sasf_generato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nh_absTime"/>
      <definedName name="nh_fromAct"/>
      <definedName name="nh_fromPrev"/>
      <definedName name="nh_stringToDat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1:AB33"/>
  <sheetViews>
    <sheetView tabSelected="1" topLeftCell="A2" zoomScale="93" zoomScaleNormal="93" workbookViewId="0">
      <pane xSplit="9" ySplit="6" topLeftCell="J8" activePane="bottomRight" state="frozen"/>
      <selection activeCell="A2" sqref="A2"/>
      <selection pane="topRight" activeCell="J2" sqref="J2"/>
      <selection pane="bottomLeft" activeCell="A8" sqref="A8"/>
      <selection pane="bottomRight" activeCell="K7" sqref="K7"/>
    </sheetView>
  </sheetViews>
  <sheetFormatPr defaultColWidth="9.19921875" defaultRowHeight="11.65" x14ac:dyDescent="0.35"/>
  <cols>
    <col min="1" max="5" width="2.19921875" style="8" customWidth="1"/>
    <col min="6" max="6" width="42.6640625" style="8" customWidth="1"/>
    <col min="7" max="7" width="18.46484375" style="9" bestFit="1" customWidth="1"/>
    <col min="8" max="8" width="10.46484375" style="33" customWidth="1"/>
    <col min="9" max="9" width="10.46484375" style="34" customWidth="1"/>
    <col min="10" max="10" width="13.796875" style="85" customWidth="1"/>
    <col min="11" max="11" width="35.53125" style="11" customWidth="1"/>
    <col min="12" max="12" width="7.46484375" style="8" bestFit="1" customWidth="1"/>
    <col min="13" max="13" width="10.46484375" style="33" bestFit="1" customWidth="1"/>
    <col min="14" max="14" width="11.46484375" style="8" bestFit="1" customWidth="1"/>
    <col min="15" max="15" width="17" style="10" customWidth="1"/>
    <col min="16" max="16" width="9.265625" style="8" customWidth="1"/>
    <col min="17" max="17" width="37.265625" style="8" customWidth="1"/>
    <col min="18" max="18" width="47.265625" style="10" customWidth="1"/>
    <col min="19" max="20" width="9.73046875" style="8" customWidth="1"/>
    <col min="21" max="16384" width="9.19921875" style="8"/>
  </cols>
  <sheetData>
    <row r="1" spans="2:28" hidden="1" x14ac:dyDescent="0.35">
      <c r="J1" s="129" t="s">
        <v>71</v>
      </c>
      <c r="L1" s="8" t="s">
        <v>142</v>
      </c>
      <c r="M1" s="33" t="s">
        <v>143</v>
      </c>
      <c r="N1" s="8" t="s">
        <v>144</v>
      </c>
      <c r="O1" s="10" t="s">
        <v>145</v>
      </c>
      <c r="P1" s="8" t="s">
        <v>146</v>
      </c>
      <c r="Q1" s="8" t="s">
        <v>147</v>
      </c>
      <c r="R1" s="11" t="s">
        <v>148</v>
      </c>
    </row>
    <row r="2" spans="2:28" x14ac:dyDescent="0.35">
      <c r="J2" s="131" t="s">
        <v>72</v>
      </c>
      <c r="K2" s="10" t="s">
        <v>749</v>
      </c>
      <c r="P2" s="80" t="s">
        <v>528</v>
      </c>
      <c r="Q2" s="81" t="s">
        <v>532</v>
      </c>
    </row>
    <row r="3" spans="2:28" x14ac:dyDescent="0.35">
      <c r="F3" s="94" t="s">
        <v>691</v>
      </c>
      <c r="J3" s="131" t="s">
        <v>73</v>
      </c>
      <c r="K3" s="77">
        <v>26201</v>
      </c>
      <c r="P3" s="80" t="s">
        <v>683</v>
      </c>
      <c r="Q3" s="81" t="s">
        <v>682</v>
      </c>
    </row>
    <row r="4" spans="2:28" x14ac:dyDescent="0.35">
      <c r="F4" s="94" t="s">
        <v>692</v>
      </c>
      <c r="J4" s="131" t="s">
        <v>100</v>
      </c>
      <c r="K4" s="10" t="s">
        <v>740</v>
      </c>
      <c r="P4" s="80" t="s">
        <v>685</v>
      </c>
      <c r="Q4" s="81" t="s">
        <v>684</v>
      </c>
    </row>
    <row r="5" spans="2:28" x14ac:dyDescent="0.35">
      <c r="F5" s="82" t="s">
        <v>693</v>
      </c>
      <c r="J5" s="131" t="s">
        <v>74</v>
      </c>
      <c r="K5" s="10" t="s">
        <v>750</v>
      </c>
    </row>
    <row r="6" spans="2:28" x14ac:dyDescent="0.35">
      <c r="J6" s="131" t="s">
        <v>75</v>
      </c>
      <c r="K6" s="88" t="s">
        <v>751</v>
      </c>
    </row>
    <row r="7" spans="2:28" s="122" customFormat="1" ht="104.25" customHeight="1" x14ac:dyDescent="0.35">
      <c r="B7" s="122" t="s">
        <v>99</v>
      </c>
      <c r="C7" s="123"/>
      <c r="D7" s="122" t="s">
        <v>508</v>
      </c>
      <c r="E7" s="122" t="s">
        <v>509</v>
      </c>
      <c r="F7" s="123" t="s">
        <v>76</v>
      </c>
      <c r="G7" s="124" t="s">
        <v>70</v>
      </c>
      <c r="H7" s="125" t="s">
        <v>140</v>
      </c>
      <c r="I7" s="126" t="s">
        <v>141</v>
      </c>
      <c r="J7" s="127"/>
      <c r="L7" s="122" t="s">
        <v>84</v>
      </c>
      <c r="M7" s="125" t="s">
        <v>85</v>
      </c>
      <c r="N7" s="122" t="s">
        <v>86</v>
      </c>
      <c r="O7" s="122" t="s">
        <v>90</v>
      </c>
      <c r="P7" s="122" t="s">
        <v>87</v>
      </c>
      <c r="Q7" s="122" t="s">
        <v>101</v>
      </c>
      <c r="R7" s="122" t="s">
        <v>88</v>
      </c>
      <c r="AB7" s="128" t="s">
        <v>49</v>
      </c>
    </row>
    <row r="8" spans="2:28" x14ac:dyDescent="0.35">
      <c r="F8" s="35"/>
      <c r="K8" s="78"/>
    </row>
    <row r="9" spans="2:28" ht="12" thickBot="1" x14ac:dyDescent="0.4">
      <c r="F9" s="35"/>
      <c r="K9" s="78"/>
    </row>
    <row r="10" spans="2:28" ht="17.649999999999999" thickBot="1" x14ac:dyDescent="0.5">
      <c r="B10" s="89"/>
      <c r="C10" s="90"/>
      <c r="D10" s="90"/>
      <c r="E10" s="90"/>
      <c r="F10" s="110" t="s">
        <v>743</v>
      </c>
      <c r="G10" s="70"/>
    </row>
    <row r="11" spans="2:28" ht="12" thickBot="1" x14ac:dyDescent="0.4"/>
    <row r="12" spans="2:28" ht="12" thickBot="1" x14ac:dyDescent="0.4">
      <c r="F12" s="39" t="s">
        <v>745</v>
      </c>
      <c r="G12" s="112"/>
      <c r="J12" s="129" t="s">
        <v>522</v>
      </c>
      <c r="K12" s="67" t="s">
        <v>745</v>
      </c>
      <c r="M12" s="36"/>
      <c r="N12" s="40"/>
      <c r="P12" s="40"/>
      <c r="Q12" s="40"/>
    </row>
    <row r="13" spans="2:28" x14ac:dyDescent="0.35">
      <c r="F13" s="111"/>
      <c r="G13" s="68">
        <f>[1]!nh_stringToDate(K13)</f>
        <v>44763</v>
      </c>
      <c r="H13" s="113"/>
      <c r="I13" s="114"/>
      <c r="J13" s="85" t="s">
        <v>523</v>
      </c>
      <c r="K13" s="79" t="s">
        <v>746</v>
      </c>
      <c r="M13" s="36"/>
      <c r="R13" s="8"/>
    </row>
    <row r="14" spans="2:28" x14ac:dyDescent="0.35">
      <c r="F14" s="111"/>
      <c r="G14" s="70"/>
      <c r="J14" s="85" t="s">
        <v>524</v>
      </c>
      <c r="K14" s="69" t="s">
        <v>739</v>
      </c>
      <c r="M14" s="36"/>
    </row>
    <row r="15" spans="2:28" x14ac:dyDescent="0.35">
      <c r="F15" s="111"/>
      <c r="G15" s="70"/>
      <c r="J15" s="85" t="s">
        <v>525</v>
      </c>
      <c r="K15" s="69" t="s">
        <v>526</v>
      </c>
      <c r="M15" s="36"/>
      <c r="Q15" s="63"/>
    </row>
    <row r="16" spans="2:28" ht="12" thickBot="1" x14ac:dyDescent="0.4">
      <c r="F16" s="115"/>
      <c r="G16" s="70"/>
      <c r="H16" s="70"/>
      <c r="I16" s="65"/>
      <c r="J16" s="130" t="s">
        <v>527</v>
      </c>
      <c r="K16" s="71" t="s">
        <v>528</v>
      </c>
      <c r="M16" s="36"/>
      <c r="Q16" s="63"/>
      <c r="R16" s="8"/>
    </row>
    <row r="17" spans="2:18" x14ac:dyDescent="0.35">
      <c r="F17" s="37" t="s">
        <v>529</v>
      </c>
      <c r="G17" s="72">
        <f>[1]!nh_stringToDate(K13)</f>
        <v>44763</v>
      </c>
      <c r="H17" s="70"/>
      <c r="I17" s="65"/>
    </row>
    <row r="18" spans="2:18" x14ac:dyDescent="0.35">
      <c r="F18" s="116" t="s">
        <v>744</v>
      </c>
      <c r="G18" s="70">
        <f>[1]!nh_absTime()</f>
        <v>44763</v>
      </c>
      <c r="H18" s="70">
        <f>[1]!nh_fromPrev()</f>
        <v>0</v>
      </c>
      <c r="I18" s="65">
        <f>[1]!nh_fromAct()</f>
        <v>0</v>
      </c>
      <c r="L18" s="8" t="s">
        <v>77</v>
      </c>
      <c r="M18" s="33">
        <v>0</v>
      </c>
      <c r="N18" s="8" t="s">
        <v>89</v>
      </c>
      <c r="P18" s="8" t="s">
        <v>79</v>
      </c>
      <c r="Q18" s="8" t="s">
        <v>181</v>
      </c>
    </row>
    <row r="19" spans="2:18" ht="12" thickBot="1" x14ac:dyDescent="0.4">
      <c r="B19" s="93"/>
      <c r="F19" s="38" t="s">
        <v>530</v>
      </c>
      <c r="G19" s="41">
        <f>[1]!nh_absTime()</f>
        <v>44763.000057870369</v>
      </c>
      <c r="H19" s="41">
        <f>[1]!nh_fromPrev()</f>
        <v>5.7870369346346706E-5</v>
      </c>
      <c r="I19" s="66">
        <f>[1]!nh_fromAct()</f>
        <v>5.7870369346346706E-5</v>
      </c>
      <c r="M19" s="64">
        <v>5.7870370370370366E-5</v>
      </c>
      <c r="N19" s="87" t="s">
        <v>78</v>
      </c>
    </row>
    <row r="23" spans="2:18" ht="12" thickBot="1" x14ac:dyDescent="0.4"/>
    <row r="24" spans="2:18" ht="17.649999999999999" thickBot="1" x14ac:dyDescent="0.5">
      <c r="B24" s="89"/>
      <c r="C24" s="90"/>
      <c r="D24" s="90"/>
      <c r="E24" s="90"/>
      <c r="F24" s="110" t="s">
        <v>741</v>
      </c>
      <c r="G24" s="70"/>
    </row>
    <row r="25" spans="2:18" ht="12" thickBot="1" x14ac:dyDescent="0.4"/>
    <row r="26" spans="2:18" ht="12" thickBot="1" x14ac:dyDescent="0.4">
      <c r="F26" s="39" t="s">
        <v>747</v>
      </c>
      <c r="G26" s="112"/>
      <c r="J26" s="129" t="s">
        <v>522</v>
      </c>
      <c r="K26" s="67" t="s">
        <v>747</v>
      </c>
      <c r="M26" s="36"/>
      <c r="N26" s="40"/>
      <c r="P26" s="40"/>
      <c r="Q26" s="40"/>
    </row>
    <row r="27" spans="2:18" x14ac:dyDescent="0.35">
      <c r="F27" s="111"/>
      <c r="G27" s="68">
        <f>[1]!nh_stringToDate(K27)</f>
        <v>44765</v>
      </c>
      <c r="H27" s="113"/>
      <c r="I27" s="114"/>
      <c r="J27" s="85" t="s">
        <v>523</v>
      </c>
      <c r="K27" s="79" t="s">
        <v>748</v>
      </c>
      <c r="M27" s="36"/>
      <c r="R27" s="8"/>
    </row>
    <row r="28" spans="2:18" x14ac:dyDescent="0.35">
      <c r="F28" s="111"/>
      <c r="G28" s="70"/>
      <c r="J28" s="85" t="s">
        <v>524</v>
      </c>
      <c r="K28" s="69" t="s">
        <v>739</v>
      </c>
      <c r="M28" s="36"/>
    </row>
    <row r="29" spans="2:18" x14ac:dyDescent="0.35">
      <c r="F29" s="111"/>
      <c r="G29" s="70"/>
      <c r="J29" s="85" t="s">
        <v>525</v>
      </c>
      <c r="K29" s="69" t="s">
        <v>526</v>
      </c>
      <c r="M29" s="36"/>
      <c r="Q29" s="63"/>
    </row>
    <row r="30" spans="2:18" ht="12" thickBot="1" x14ac:dyDescent="0.4">
      <c r="F30" s="115"/>
      <c r="G30" s="70"/>
      <c r="H30" s="70"/>
      <c r="I30" s="65"/>
      <c r="J30" s="130" t="s">
        <v>527</v>
      </c>
      <c r="K30" s="71" t="s">
        <v>528</v>
      </c>
      <c r="M30" s="36"/>
      <c r="Q30" s="63"/>
      <c r="R30" s="8"/>
    </row>
    <row r="31" spans="2:18" x14ac:dyDescent="0.35">
      <c r="F31" s="37" t="s">
        <v>529</v>
      </c>
      <c r="G31" s="72">
        <f>[1]!nh_stringToDate(K27)</f>
        <v>44765</v>
      </c>
      <c r="H31" s="70"/>
      <c r="I31" s="65"/>
    </row>
    <row r="32" spans="2:18" x14ac:dyDescent="0.35">
      <c r="F32" s="116" t="s">
        <v>742</v>
      </c>
      <c r="G32" s="70">
        <f>[1]!nh_absTime()</f>
        <v>44765</v>
      </c>
      <c r="H32" s="70">
        <f>[1]!nh_fromPrev()</f>
        <v>0</v>
      </c>
      <c r="I32" s="65">
        <f>[1]!nh_fromAct()</f>
        <v>0</v>
      </c>
      <c r="L32" s="8" t="s">
        <v>77</v>
      </c>
      <c r="M32" s="33">
        <v>0</v>
      </c>
      <c r="N32" s="8" t="s">
        <v>89</v>
      </c>
      <c r="P32" s="8" t="s">
        <v>79</v>
      </c>
      <c r="Q32" s="8" t="s">
        <v>102</v>
      </c>
    </row>
    <row r="33" spans="2:14" ht="12" thickBot="1" x14ac:dyDescent="0.4">
      <c r="B33" s="93"/>
      <c r="F33" s="38" t="s">
        <v>530</v>
      </c>
      <c r="G33" s="41">
        <f>[1]!nh_absTime()</f>
        <v>44765.000057870369</v>
      </c>
      <c r="H33" s="41">
        <f>[1]!nh_fromPrev()</f>
        <v>5.7870369346346706E-5</v>
      </c>
      <c r="I33" s="66">
        <f>[1]!nh_fromAct()</f>
        <v>5.7870369346346706E-5</v>
      </c>
      <c r="M33" s="64">
        <v>5.7870370370370366E-5</v>
      </c>
      <c r="N33" s="87" t="s">
        <v>78</v>
      </c>
    </row>
  </sheetData>
  <autoFilter ref="A7:AB21" xr:uid="{00000000-0009-0000-0000-000000000000}"/>
  <conditionalFormatting sqref="N1:N8 N22 N35:N1048576">
    <cfRule type="containsText" dxfId="13" priority="2118" stopIfTrue="1" operator="containsText" text="FROM_ACT">
      <formula>NOT(ISERROR(SEARCH("FROM_ACT",N1)))</formula>
    </cfRule>
  </conditionalFormatting>
  <conditionalFormatting sqref="N21">
    <cfRule type="containsText" dxfId="12" priority="22" stopIfTrue="1" operator="containsText" text="FROM_ACT">
      <formula>NOT(ISERROR(SEARCH("FROM_ACT",N21)))</formula>
    </cfRule>
  </conditionalFormatting>
  <conditionalFormatting sqref="N23">
    <cfRule type="containsText" dxfId="11" priority="12" stopIfTrue="1" operator="containsText" text="FROM_ACT">
      <formula>NOT(ISERROR(SEARCH("FROM_ACT",N23)))</formula>
    </cfRule>
  </conditionalFormatting>
  <conditionalFormatting sqref="N33">
    <cfRule type="containsText" dxfId="10" priority="11" stopIfTrue="1" operator="containsText" text="FROM_ACT">
      <formula>NOT(ISERROR(SEARCH("FROM_ACT",N33)))</formula>
    </cfRule>
  </conditionalFormatting>
  <conditionalFormatting sqref="N26:N31 N34">
    <cfRule type="containsText" dxfId="9" priority="10" stopIfTrue="1" operator="containsText" text="FROM_ACT">
      <formula>NOT(ISERROR(SEARCH("FROM_ACT",N26)))</formula>
    </cfRule>
  </conditionalFormatting>
  <conditionalFormatting sqref="N25">
    <cfRule type="containsText" dxfId="8" priority="9" stopIfTrue="1" operator="containsText" text="FROM_ACT">
      <formula>NOT(ISERROR(SEARCH("FROM_ACT",N25)))</formula>
    </cfRule>
  </conditionalFormatting>
  <conditionalFormatting sqref="N32">
    <cfRule type="containsText" dxfId="7" priority="8" stopIfTrue="1" operator="containsText" text="FROM_ACT">
      <formula>NOT(ISERROR(SEARCH("FROM_ACT",N32)))</formula>
    </cfRule>
  </conditionalFormatting>
  <conditionalFormatting sqref="N24">
    <cfRule type="containsText" dxfId="6" priority="7" operator="containsText" text="FROM_ACT">
      <formula>NOT(ISERROR(SEARCH("FROM_ACT",N24)))</formula>
    </cfRule>
  </conditionalFormatting>
  <conditionalFormatting sqref="N9">
    <cfRule type="containsText" dxfId="5" priority="6" stopIfTrue="1" operator="containsText" text="FROM_ACT">
      <formula>NOT(ISERROR(SEARCH("FROM_ACT",N9)))</formula>
    </cfRule>
  </conditionalFormatting>
  <conditionalFormatting sqref="N19">
    <cfRule type="containsText" dxfId="4" priority="5" stopIfTrue="1" operator="containsText" text="FROM_ACT">
      <formula>NOT(ISERROR(SEARCH("FROM_ACT",N19)))</formula>
    </cfRule>
  </conditionalFormatting>
  <conditionalFormatting sqref="N12:N17 N20">
    <cfRule type="containsText" dxfId="3" priority="4" stopIfTrue="1" operator="containsText" text="FROM_ACT">
      <formula>NOT(ISERROR(SEARCH("FROM_ACT",N12)))</formula>
    </cfRule>
  </conditionalFormatting>
  <conditionalFormatting sqref="N11">
    <cfRule type="containsText" dxfId="2" priority="3" stopIfTrue="1" operator="containsText" text="FROM_ACT">
      <formula>NOT(ISERROR(SEARCH("FROM_ACT",N11)))</formula>
    </cfRule>
  </conditionalFormatting>
  <conditionalFormatting sqref="N18">
    <cfRule type="containsText" dxfId="1" priority="2" stopIfTrue="1" operator="containsText" text="FROM_ACT">
      <formula>NOT(ISERROR(SEARCH("FROM_ACT",N18)))</formula>
    </cfRule>
  </conditionalFormatting>
  <conditionalFormatting sqref="N10">
    <cfRule type="containsText" dxfId="0" priority="1" operator="containsText" text="FROM_ACT">
      <formula>NOT(ISERROR(SEARCH("FROM_ACT",N10)))</formula>
    </cfRule>
  </conditionalFormatting>
  <dataValidations count="9">
    <dataValidation type="list" allowBlank="1" showInputMessage="1" showErrorMessage="1" sqref="P1 P34:P64928 P20:P32 P5:P18" xr:uid="{00000000-0002-0000-0000-000000000000}">
      <formula1>INDIRECT("dataInstrRange")</formula1>
    </dataValidation>
    <dataValidation type="list" allowBlank="1" showInputMessage="1" showErrorMessage="1" sqref="L34:L1048576 L20:L32 L1:L18" xr:uid="{00000000-0002-0000-0000-000001000000}">
      <formula1>INDIRECT("dataStepType")</formula1>
    </dataValidation>
    <dataValidation allowBlank="1" sqref="K7:K9 F1:F3 F5:F9 A1:E9 K1:K3 A25:C25 A20:K23 A34:K64928 D25:D33 E25:K25 A26:B32 G1:J9 D11:D19 E11:K11 A12:B18 A11:C11" xr:uid="{00000000-0002-0000-0000-000002000000}"/>
    <dataValidation allowBlank="1" showInputMessage="1" showErrorMessage="1" errorTitle="Date format" error="Date format must be &quot;2006-071T00:30:25&quot;" promptTitle="Date format" prompt="Format of date must be &quot;2006-071T00:30:05&quot; (17 characters total)" sqref="K27 K13" xr:uid="{00000000-0002-0000-0000-000003000000}"/>
    <dataValidation type="list" allowBlank="1" showInputMessage="1" showErrorMessage="1" sqref="P33 P19" xr:uid="{00000000-0002-0000-0000-000004000000}">
      <formula1>INDIRECT("CASs")</formula1>
    </dataValidation>
    <dataValidation type="list" allowBlank="1" showInputMessage="1" showErrorMessage="1" sqref="L33 L19" xr:uid="{00000000-0002-0000-0000-000005000000}">
      <formula1>"activity, note"</formula1>
    </dataValidation>
    <dataValidation type="list" allowBlank="1" showInputMessage="1" showErrorMessage="1" sqref="P2:P4" xr:uid="{00000000-0002-0000-0000-000006000000}">
      <formula1>INDIRECT(#REF!)</formula1>
    </dataValidation>
    <dataValidation type="list" allowBlank="1" showInputMessage="1" showErrorMessage="1" sqref="N1:N64928" xr:uid="{00000000-0002-0000-0000-000007000000}">
      <formula1>INDIRECT(L1)</formula1>
    </dataValidation>
    <dataValidation type="list" allowBlank="1" showInputMessage="1" showErrorMessage="1" sqref="Q7:Q64928" xr:uid="{00000000-0002-0000-0000-000008000000}">
      <formula1>INDIRECT(P7)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B102"/>
  <sheetViews>
    <sheetView workbookViewId="0">
      <selection activeCell="G30" sqref="G30"/>
    </sheetView>
  </sheetViews>
  <sheetFormatPr defaultColWidth="18.265625" defaultRowHeight="12.75" x14ac:dyDescent="0.35"/>
  <cols>
    <col min="1" max="1" width="18.265625" style="2" customWidth="1"/>
    <col min="2" max="3" width="18.265625" style="2" hidden="1" customWidth="1"/>
    <col min="4" max="4" width="18.265625" style="2" customWidth="1"/>
    <col min="5" max="6" width="18.265625" style="2" hidden="1" customWidth="1"/>
    <col min="7" max="7" width="35.796875" style="2" bestFit="1" customWidth="1"/>
    <col min="8" max="8" width="30.796875" style="2" bestFit="1" customWidth="1"/>
    <col min="9" max="9" width="50" style="2" bestFit="1" customWidth="1"/>
    <col min="10" max="10" width="44.46484375" bestFit="1" customWidth="1"/>
    <col min="11" max="12" width="46.796875" customWidth="1"/>
    <col min="13" max="13" width="18.265625" style="2" customWidth="1"/>
    <col min="14" max="15" width="18.265625" style="2" hidden="1" customWidth="1"/>
    <col min="16" max="16" width="18.265625" style="2" customWidth="1"/>
    <col min="17" max="18" width="18.265625" style="2" hidden="1" customWidth="1"/>
    <col min="19" max="21" width="43.53125" customWidth="1"/>
    <col min="22" max="22" width="19.796875" style="2" bestFit="1" customWidth="1"/>
    <col min="23" max="24" width="18.265625" style="2" hidden="1" customWidth="1"/>
    <col min="25" max="25" width="18.265625" style="2" customWidth="1"/>
    <col min="26" max="27" width="18.265625" style="2" hidden="1" customWidth="1"/>
    <col min="28" max="28" width="21.46484375" style="2" customWidth="1"/>
    <col min="29" max="30" width="18.265625" style="2" hidden="1" customWidth="1"/>
    <col min="31" max="31" width="20.265625" style="2" customWidth="1"/>
    <col min="32" max="33" width="18.265625" style="2" hidden="1" customWidth="1"/>
    <col min="34" max="34" width="18.265625" style="2" customWidth="1"/>
    <col min="35" max="36" width="18.265625" style="2" hidden="1" customWidth="1"/>
    <col min="37" max="37" width="53.265625" style="2" bestFit="1" customWidth="1"/>
    <col min="38" max="38" width="57" style="2" bestFit="1" customWidth="1"/>
    <col min="39" max="39" width="227.46484375" style="2" bestFit="1" customWidth="1"/>
    <col min="40" max="40" width="31.19921875" style="2" bestFit="1" customWidth="1"/>
    <col min="41" max="42" width="18.265625" style="2" hidden="1" customWidth="1"/>
    <col min="43" max="43" width="18.265625" style="2" customWidth="1"/>
    <col min="44" max="45" width="18.265625" style="2" hidden="1" customWidth="1"/>
    <col min="46" max="46" width="18.265625" style="2" customWidth="1"/>
    <col min="47" max="48" width="18.265625" style="2" hidden="1" customWidth="1"/>
    <col min="49" max="49" width="18.265625" style="2" customWidth="1"/>
    <col min="50" max="51" width="18.265625" style="2" hidden="1" customWidth="1"/>
    <col min="52" max="52" width="18.265625" style="2" customWidth="1"/>
    <col min="53" max="54" width="18.265625" style="2" hidden="1" customWidth="1"/>
    <col min="55" max="16384" width="18.265625" style="2"/>
  </cols>
  <sheetData>
    <row r="1" spans="1:54" s="1" customFormat="1" ht="13.15" x14ac:dyDescent="0.4">
      <c r="A1" s="1" t="s">
        <v>245</v>
      </c>
      <c r="D1" s="1" t="s">
        <v>246</v>
      </c>
      <c r="G1" s="1" t="s">
        <v>139</v>
      </c>
      <c r="J1" t="s">
        <v>93</v>
      </c>
      <c r="K1"/>
      <c r="L1"/>
      <c r="M1" s="1" t="s">
        <v>247</v>
      </c>
      <c r="P1" s="1" t="s">
        <v>248</v>
      </c>
      <c r="S1" t="s">
        <v>79</v>
      </c>
      <c r="T1"/>
      <c r="U1"/>
      <c r="V1" s="1" t="s">
        <v>249</v>
      </c>
      <c r="Y1" s="1" t="s">
        <v>250</v>
      </c>
      <c r="AB1" s="1" t="s">
        <v>251</v>
      </c>
      <c r="AE1" s="1" t="s">
        <v>138</v>
      </c>
      <c r="AH1" s="1" t="s">
        <v>252</v>
      </c>
      <c r="AK1" s="1" t="s">
        <v>80</v>
      </c>
      <c r="AN1" s="1" t="s">
        <v>253</v>
      </c>
      <c r="AQ1" s="1" t="s">
        <v>254</v>
      </c>
      <c r="AT1" s="1" t="s">
        <v>255</v>
      </c>
      <c r="AW1" s="1" t="s">
        <v>256</v>
      </c>
      <c r="AZ1" s="1" t="s">
        <v>257</v>
      </c>
    </row>
    <row r="2" spans="1:54" x14ac:dyDescent="0.35">
      <c r="A2" s="2" t="s">
        <v>258</v>
      </c>
      <c r="B2" s="2" t="s">
        <v>259</v>
      </c>
      <c r="C2" s="2" t="s">
        <v>260</v>
      </c>
      <c r="D2" s="2" t="s">
        <v>261</v>
      </c>
      <c r="E2" s="2" t="s">
        <v>262</v>
      </c>
      <c r="F2" s="2" t="s">
        <v>263</v>
      </c>
      <c r="G2" s="2" t="s">
        <v>151</v>
      </c>
      <c r="H2" s="2" t="s">
        <v>26</v>
      </c>
      <c r="I2" s="2" t="s">
        <v>264</v>
      </c>
      <c r="J2" t="s">
        <v>81</v>
      </c>
      <c r="K2" t="s">
        <v>265</v>
      </c>
      <c r="L2" t="s">
        <v>496</v>
      </c>
      <c r="M2" s="2" t="s">
        <v>266</v>
      </c>
      <c r="P2" s="2" t="s">
        <v>267</v>
      </c>
      <c r="Q2" s="2" t="s">
        <v>268</v>
      </c>
      <c r="R2" s="2" t="s">
        <v>269</v>
      </c>
      <c r="S2" t="s">
        <v>555</v>
      </c>
      <c r="V2" s="2" t="s">
        <v>271</v>
      </c>
      <c r="W2" s="2" t="s">
        <v>265</v>
      </c>
      <c r="X2" s="2" t="s">
        <v>497</v>
      </c>
      <c r="Y2" s="2" t="s">
        <v>272</v>
      </c>
      <c r="Z2" s="2" t="s">
        <v>273</v>
      </c>
      <c r="AA2" s="2" t="s">
        <v>274</v>
      </c>
      <c r="AB2" s="2" t="s">
        <v>275</v>
      </c>
      <c r="AC2" s="2" t="s">
        <v>259</v>
      </c>
      <c r="AD2" s="2" t="s">
        <v>276</v>
      </c>
      <c r="AE2" s="2" t="s">
        <v>119</v>
      </c>
      <c r="AF2" s="2" t="s">
        <v>27</v>
      </c>
      <c r="AG2" s="2" t="s">
        <v>277</v>
      </c>
      <c r="AH2" s="2" t="s">
        <v>278</v>
      </c>
      <c r="AK2" s="2" t="s">
        <v>191</v>
      </c>
      <c r="AL2" s="2" t="s">
        <v>259</v>
      </c>
      <c r="AM2" s="2" t="s">
        <v>279</v>
      </c>
      <c r="AN2" s="2" t="s">
        <v>280</v>
      </c>
      <c r="AQ2" s="2" t="s">
        <v>281</v>
      </c>
      <c r="AT2" s="2" t="s">
        <v>282</v>
      </c>
      <c r="AU2" s="2" t="s">
        <v>259</v>
      </c>
      <c r="AV2" s="2" t="s">
        <v>283</v>
      </c>
      <c r="AW2" s="2" t="s">
        <v>284</v>
      </c>
      <c r="AX2" s="2" t="s">
        <v>285</v>
      </c>
      <c r="AY2" s="2" t="s">
        <v>286</v>
      </c>
      <c r="AZ2" s="2" t="s">
        <v>287</v>
      </c>
    </row>
    <row r="3" spans="1:54" x14ac:dyDescent="0.35">
      <c r="D3" s="2" t="s">
        <v>288</v>
      </c>
      <c r="E3" s="2" t="s">
        <v>273</v>
      </c>
      <c r="F3" s="2" t="s">
        <v>289</v>
      </c>
      <c r="G3" s="2" t="s">
        <v>124</v>
      </c>
      <c r="H3" s="2" t="s">
        <v>28</v>
      </c>
      <c r="I3" s="2" t="s">
        <v>264</v>
      </c>
      <c r="J3" t="s">
        <v>205</v>
      </c>
      <c r="K3" t="s">
        <v>265</v>
      </c>
      <c r="L3" t="s">
        <v>498</v>
      </c>
      <c r="P3" s="2" t="s">
        <v>290</v>
      </c>
      <c r="S3" t="s">
        <v>556</v>
      </c>
      <c r="V3" s="2" t="s">
        <v>291</v>
      </c>
      <c r="W3" s="2" t="s">
        <v>292</v>
      </c>
      <c r="X3" s="2" t="s">
        <v>499</v>
      </c>
      <c r="Y3" s="2" t="s">
        <v>293</v>
      </c>
      <c r="Z3" s="2" t="s">
        <v>259</v>
      </c>
      <c r="AA3" s="2" t="s">
        <v>264</v>
      </c>
      <c r="AB3" s="2" t="s">
        <v>294</v>
      </c>
      <c r="AC3" s="2" t="s">
        <v>259</v>
      </c>
      <c r="AD3" s="2" t="s">
        <v>295</v>
      </c>
      <c r="AE3" s="2" t="s">
        <v>111</v>
      </c>
      <c r="AF3" s="2" t="s">
        <v>29</v>
      </c>
      <c r="AG3" s="2" t="s">
        <v>296</v>
      </c>
      <c r="AH3" s="2" t="s">
        <v>297</v>
      </c>
      <c r="AK3" s="2" t="s">
        <v>192</v>
      </c>
      <c r="AL3" s="2" t="s">
        <v>259</v>
      </c>
      <c r="AM3" s="2" t="s">
        <v>298</v>
      </c>
      <c r="AN3" s="2" t="s">
        <v>299</v>
      </c>
      <c r="AQ3" s="2" t="s">
        <v>300</v>
      </c>
      <c r="AT3" s="2" t="s">
        <v>301</v>
      </c>
      <c r="AU3" s="2" t="s">
        <v>302</v>
      </c>
      <c r="AV3" s="2" t="s">
        <v>303</v>
      </c>
      <c r="AZ3" s="2" t="s">
        <v>304</v>
      </c>
    </row>
    <row r="4" spans="1:54" x14ac:dyDescent="0.35">
      <c r="D4" s="2" t="s">
        <v>305</v>
      </c>
      <c r="G4" s="2" t="s">
        <v>152</v>
      </c>
      <c r="J4" t="s">
        <v>206</v>
      </c>
      <c r="K4" t="s">
        <v>306</v>
      </c>
      <c r="L4" t="s">
        <v>307</v>
      </c>
      <c r="P4" s="2" t="s">
        <v>308</v>
      </c>
      <c r="Q4" s="2" t="s">
        <v>268</v>
      </c>
      <c r="R4" s="2" t="s">
        <v>269</v>
      </c>
      <c r="S4" t="s">
        <v>95</v>
      </c>
      <c r="T4" t="s">
        <v>554</v>
      </c>
      <c r="U4" t="s">
        <v>557</v>
      </c>
      <c r="V4" s="2" t="s">
        <v>309</v>
      </c>
      <c r="W4" s="2" t="s">
        <v>310</v>
      </c>
      <c r="X4" s="2" t="s">
        <v>500</v>
      </c>
      <c r="Y4" s="2" t="s">
        <v>311</v>
      </c>
      <c r="Z4" s="2" t="s">
        <v>259</v>
      </c>
      <c r="AA4" s="2" t="s">
        <v>264</v>
      </c>
      <c r="AB4" s="2" t="s">
        <v>312</v>
      </c>
      <c r="AC4" s="2" t="s">
        <v>259</v>
      </c>
      <c r="AD4" s="2" t="s">
        <v>295</v>
      </c>
      <c r="AE4" s="2" t="s">
        <v>112</v>
      </c>
      <c r="AF4" s="2" t="s">
        <v>26</v>
      </c>
      <c r="AG4" s="2" t="s">
        <v>264</v>
      </c>
      <c r="AH4" s="2" t="s">
        <v>313</v>
      </c>
      <c r="AK4" s="2" t="s">
        <v>193</v>
      </c>
      <c r="AL4" s="2" t="s">
        <v>259</v>
      </c>
      <c r="AM4" s="2" t="s">
        <v>314</v>
      </c>
      <c r="AN4" s="2" t="s">
        <v>315</v>
      </c>
      <c r="AQ4" s="2" t="s">
        <v>316</v>
      </c>
      <c r="AT4" s="2" t="s">
        <v>317</v>
      </c>
      <c r="AU4" s="2" t="s">
        <v>273</v>
      </c>
      <c r="AV4" s="2" t="s">
        <v>318</v>
      </c>
      <c r="AZ4" s="2" t="s">
        <v>319</v>
      </c>
      <c r="BA4" s="2">
        <v>150</v>
      </c>
      <c r="BB4" s="2" t="s">
        <v>320</v>
      </c>
    </row>
    <row r="5" spans="1:54" x14ac:dyDescent="0.35">
      <c r="D5" s="2" t="s">
        <v>321</v>
      </c>
      <c r="E5" s="2" t="s">
        <v>259</v>
      </c>
      <c r="F5" s="2" t="s">
        <v>322</v>
      </c>
      <c r="G5" s="2" t="s">
        <v>134</v>
      </c>
      <c r="H5" s="2" t="s">
        <v>26</v>
      </c>
      <c r="I5" s="2" t="s">
        <v>323</v>
      </c>
      <c r="J5" t="s">
        <v>207</v>
      </c>
      <c r="K5" t="s">
        <v>467</v>
      </c>
      <c r="L5" t="s">
        <v>597</v>
      </c>
      <c r="P5" s="2" t="s">
        <v>324</v>
      </c>
      <c r="Q5" s="2" t="s">
        <v>273</v>
      </c>
      <c r="R5" s="2" t="s">
        <v>325</v>
      </c>
      <c r="S5" t="s">
        <v>558</v>
      </c>
      <c r="T5" t="s">
        <v>554</v>
      </c>
      <c r="U5" t="s">
        <v>557</v>
      </c>
      <c r="Y5" s="2" t="s">
        <v>326</v>
      </c>
      <c r="Z5" s="2" t="s">
        <v>30</v>
      </c>
      <c r="AA5" s="2" t="s">
        <v>327</v>
      </c>
      <c r="AB5" s="2" t="s">
        <v>328</v>
      </c>
      <c r="AC5" s="2" t="s">
        <v>259</v>
      </c>
      <c r="AD5" s="2" t="s">
        <v>329</v>
      </c>
      <c r="AE5" s="2" t="s">
        <v>115</v>
      </c>
      <c r="AF5" s="2" t="s">
        <v>26</v>
      </c>
      <c r="AG5" s="2" t="s">
        <v>264</v>
      </c>
      <c r="AH5" s="2" t="s">
        <v>330</v>
      </c>
      <c r="AK5" s="2" t="s">
        <v>194</v>
      </c>
      <c r="AN5" s="2" t="s">
        <v>331</v>
      </c>
      <c r="AQ5" s="2" t="s">
        <v>332</v>
      </c>
      <c r="AR5" s="2" t="s">
        <v>333</v>
      </c>
      <c r="AS5" s="2" t="s">
        <v>334</v>
      </c>
      <c r="AT5" s="2" t="s">
        <v>335</v>
      </c>
      <c r="AU5" s="2" t="s">
        <v>259</v>
      </c>
      <c r="AV5" s="2" t="s">
        <v>336</v>
      </c>
    </row>
    <row r="6" spans="1:54" x14ac:dyDescent="0.35">
      <c r="G6" s="2" t="s">
        <v>153</v>
      </c>
      <c r="H6" s="2" t="s">
        <v>26</v>
      </c>
      <c r="I6" s="2" t="s">
        <v>264</v>
      </c>
      <c r="J6" t="s">
        <v>208</v>
      </c>
      <c r="K6" t="s">
        <v>337</v>
      </c>
      <c r="L6" t="s">
        <v>501</v>
      </c>
      <c r="P6" s="2" t="s">
        <v>338</v>
      </c>
      <c r="Q6" s="2" t="s">
        <v>259</v>
      </c>
      <c r="R6" s="2" t="s">
        <v>339</v>
      </c>
      <c r="S6" t="s">
        <v>559</v>
      </c>
      <c r="T6" t="s">
        <v>554</v>
      </c>
      <c r="U6" t="s">
        <v>557</v>
      </c>
      <c r="Y6" s="2" t="s">
        <v>340</v>
      </c>
      <c r="Z6" s="2" t="s">
        <v>341</v>
      </c>
      <c r="AA6" s="2" t="s">
        <v>342</v>
      </c>
      <c r="AB6" s="2" t="s">
        <v>343</v>
      </c>
      <c r="AC6" s="2" t="s">
        <v>273</v>
      </c>
      <c r="AD6" s="2" t="s">
        <v>344</v>
      </c>
      <c r="AE6" s="2" t="s">
        <v>163</v>
      </c>
      <c r="AH6" s="2" t="s">
        <v>345</v>
      </c>
      <c r="AI6" s="2" t="s">
        <v>346</v>
      </c>
      <c r="AJ6" s="2" t="s">
        <v>347</v>
      </c>
      <c r="AK6" s="2" t="s">
        <v>195</v>
      </c>
      <c r="AN6" s="2" t="s">
        <v>348</v>
      </c>
      <c r="AO6" s="2" t="s">
        <v>349</v>
      </c>
      <c r="AP6" s="2" t="s">
        <v>350</v>
      </c>
      <c r="AQ6" s="2" t="s">
        <v>351</v>
      </c>
      <c r="AR6" s="2" t="s">
        <v>352</v>
      </c>
      <c r="AS6" s="2" t="s">
        <v>353</v>
      </c>
    </row>
    <row r="7" spans="1:54" x14ac:dyDescent="0.35">
      <c r="G7" s="2" t="s">
        <v>154</v>
      </c>
      <c r="H7" s="2" t="s">
        <v>31</v>
      </c>
      <c r="I7" s="2" t="s">
        <v>354</v>
      </c>
      <c r="J7" t="s">
        <v>209</v>
      </c>
      <c r="K7" t="s">
        <v>355</v>
      </c>
      <c r="L7" t="s">
        <v>502</v>
      </c>
      <c r="P7" s="2" t="s">
        <v>356</v>
      </c>
      <c r="Q7" s="2" t="s">
        <v>259</v>
      </c>
      <c r="R7" s="2" t="s">
        <v>357</v>
      </c>
      <c r="S7" t="s">
        <v>98</v>
      </c>
      <c r="Y7" s="2" t="s">
        <v>358</v>
      </c>
      <c r="Z7" s="2" t="s">
        <v>341</v>
      </c>
      <c r="AA7" s="2" t="s">
        <v>342</v>
      </c>
      <c r="AB7" s="2" t="s">
        <v>359</v>
      </c>
      <c r="AC7" s="2" t="s">
        <v>259</v>
      </c>
      <c r="AD7" s="2" t="s">
        <v>360</v>
      </c>
      <c r="AE7" s="2" t="s">
        <v>164</v>
      </c>
      <c r="AF7" s="2" t="s">
        <v>26</v>
      </c>
      <c r="AG7" s="2" t="s">
        <v>264</v>
      </c>
      <c r="AH7" s="2" t="s">
        <v>361</v>
      </c>
      <c r="AI7" s="2" t="s">
        <v>346</v>
      </c>
      <c r="AJ7" s="2" t="s">
        <v>347</v>
      </c>
      <c r="AK7" s="2" t="s">
        <v>362</v>
      </c>
      <c r="AL7" s="2" t="s">
        <v>273</v>
      </c>
      <c r="AM7" s="2" t="s">
        <v>363</v>
      </c>
      <c r="AN7" s="2" t="s">
        <v>364</v>
      </c>
      <c r="AO7" s="2" t="s">
        <v>365</v>
      </c>
      <c r="AP7" s="2" t="s">
        <v>366</v>
      </c>
      <c r="AQ7" s="2" t="s">
        <v>367</v>
      </c>
      <c r="AR7" s="2" t="s">
        <v>368</v>
      </c>
      <c r="AS7" s="2" t="s">
        <v>353</v>
      </c>
    </row>
    <row r="8" spans="1:54" x14ac:dyDescent="0.35">
      <c r="G8" s="2" t="s">
        <v>155</v>
      </c>
      <c r="J8" t="s">
        <v>210</v>
      </c>
      <c r="K8" t="s">
        <v>306</v>
      </c>
      <c r="L8" t="s">
        <v>307</v>
      </c>
      <c r="S8" t="s">
        <v>173</v>
      </c>
      <c r="T8">
        <v>1</v>
      </c>
      <c r="U8" t="s">
        <v>270</v>
      </c>
      <c r="Y8" s="2" t="s">
        <v>370</v>
      </c>
      <c r="Z8" s="2" t="s">
        <v>371</v>
      </c>
      <c r="AA8" s="2" t="s">
        <v>372</v>
      </c>
      <c r="AE8" s="2" t="s">
        <v>113</v>
      </c>
      <c r="AF8" s="2" t="s">
        <v>32</v>
      </c>
      <c r="AG8" s="2" t="s">
        <v>373</v>
      </c>
      <c r="AH8" s="2" t="s">
        <v>374</v>
      </c>
      <c r="AI8" s="2" t="s">
        <v>346</v>
      </c>
      <c r="AJ8" s="2" t="s">
        <v>347</v>
      </c>
      <c r="AK8" s="2" t="s">
        <v>190</v>
      </c>
      <c r="AL8" s="2" t="s">
        <v>259</v>
      </c>
      <c r="AM8" s="2" t="s">
        <v>298</v>
      </c>
      <c r="AN8" s="2" t="s">
        <v>375</v>
      </c>
      <c r="AO8" s="2" t="s">
        <v>365</v>
      </c>
      <c r="AP8" s="2" t="s">
        <v>366</v>
      </c>
      <c r="AQ8" s="2" t="s">
        <v>376</v>
      </c>
      <c r="AR8" s="2" t="s">
        <v>377</v>
      </c>
      <c r="AS8" s="2" t="s">
        <v>353</v>
      </c>
    </row>
    <row r="9" spans="1:54" x14ac:dyDescent="0.35">
      <c r="G9" s="2" t="s">
        <v>156</v>
      </c>
      <c r="H9" s="2" t="s">
        <v>378</v>
      </c>
      <c r="I9" s="2" t="s">
        <v>379</v>
      </c>
      <c r="J9" t="s">
        <v>211</v>
      </c>
      <c r="S9" t="s">
        <v>174</v>
      </c>
      <c r="AE9" s="2" t="s">
        <v>116</v>
      </c>
      <c r="AF9" s="2" t="s">
        <v>333</v>
      </c>
      <c r="AG9" s="2" t="s">
        <v>380</v>
      </c>
      <c r="AH9" s="2" t="s">
        <v>381</v>
      </c>
      <c r="AI9" s="2" t="s">
        <v>268</v>
      </c>
      <c r="AJ9" s="2" t="s">
        <v>382</v>
      </c>
      <c r="AK9" s="2" t="s">
        <v>196</v>
      </c>
      <c r="AL9" s="2" t="s">
        <v>259</v>
      </c>
      <c r="AM9" s="2" t="s">
        <v>383</v>
      </c>
      <c r="AN9" s="2" t="s">
        <v>384</v>
      </c>
      <c r="AO9" s="2">
        <v>0</v>
      </c>
      <c r="AP9" s="2" t="s">
        <v>385</v>
      </c>
      <c r="AQ9" s="2" t="s">
        <v>386</v>
      </c>
      <c r="AR9" s="2" t="s">
        <v>387</v>
      </c>
      <c r="AS9" s="2" t="s">
        <v>353</v>
      </c>
    </row>
    <row r="10" spans="1:54" x14ac:dyDescent="0.35">
      <c r="G10" s="2" t="s">
        <v>131</v>
      </c>
      <c r="J10" t="s">
        <v>212</v>
      </c>
      <c r="S10" t="s">
        <v>175</v>
      </c>
      <c r="AE10" s="2" t="s">
        <v>114</v>
      </c>
      <c r="AF10" s="2" t="s">
        <v>388</v>
      </c>
      <c r="AG10" s="2" t="s">
        <v>389</v>
      </c>
      <c r="AH10" s="2" t="s">
        <v>390</v>
      </c>
      <c r="AI10" s="2" t="s">
        <v>273</v>
      </c>
      <c r="AJ10" s="2" t="s">
        <v>391</v>
      </c>
      <c r="AK10" s="2" t="s">
        <v>82</v>
      </c>
      <c r="AL10" s="2" t="s">
        <v>259</v>
      </c>
      <c r="AM10" s="2" t="s">
        <v>283</v>
      </c>
      <c r="AN10" s="2" t="s">
        <v>392</v>
      </c>
      <c r="AO10" s="2" t="s">
        <v>33</v>
      </c>
      <c r="AP10" s="2" t="s">
        <v>393</v>
      </c>
      <c r="AQ10" s="2" t="s">
        <v>394</v>
      </c>
    </row>
    <row r="11" spans="1:54" x14ac:dyDescent="0.35">
      <c r="G11" s="2" t="s">
        <v>157</v>
      </c>
      <c r="H11" s="2" t="s">
        <v>34</v>
      </c>
      <c r="I11" s="2" t="s">
        <v>395</v>
      </c>
      <c r="J11" t="s">
        <v>94</v>
      </c>
      <c r="K11" t="s">
        <v>259</v>
      </c>
      <c r="L11" t="s">
        <v>396</v>
      </c>
      <c r="S11" t="s">
        <v>560</v>
      </c>
      <c r="T11" t="s">
        <v>561</v>
      </c>
      <c r="U11" t="s">
        <v>562</v>
      </c>
      <c r="AE11" s="2" t="s">
        <v>165</v>
      </c>
      <c r="AF11" s="2" t="s">
        <v>397</v>
      </c>
      <c r="AG11" s="2" t="s">
        <v>398</v>
      </c>
      <c r="AH11" s="2" t="s">
        <v>399</v>
      </c>
      <c r="AI11" s="2" t="s">
        <v>306</v>
      </c>
      <c r="AJ11" s="2" t="s">
        <v>400</v>
      </c>
      <c r="AK11" s="2" t="s">
        <v>96</v>
      </c>
      <c r="AL11" s="2" t="s">
        <v>306</v>
      </c>
      <c r="AM11" s="2" t="s">
        <v>401</v>
      </c>
      <c r="AN11" s="2" t="s">
        <v>402</v>
      </c>
      <c r="AO11" s="2" t="s">
        <v>35</v>
      </c>
      <c r="AP11" s="2" t="s">
        <v>403</v>
      </c>
      <c r="AQ11" s="2" t="s">
        <v>404</v>
      </c>
    </row>
    <row r="12" spans="1:54" x14ac:dyDescent="0.35">
      <c r="G12" s="2" t="s">
        <v>158</v>
      </c>
      <c r="J12" t="s">
        <v>213</v>
      </c>
      <c r="S12" t="s">
        <v>563</v>
      </c>
      <c r="AE12" s="2" t="s">
        <v>166</v>
      </c>
      <c r="AF12" s="2" t="s">
        <v>405</v>
      </c>
      <c r="AG12" s="2" t="s">
        <v>398</v>
      </c>
      <c r="AH12" s="2" t="s">
        <v>406</v>
      </c>
      <c r="AI12" s="2" t="s">
        <v>273</v>
      </c>
      <c r="AJ12" s="2" t="s">
        <v>407</v>
      </c>
      <c r="AK12" s="2" t="s">
        <v>197</v>
      </c>
      <c r="AL12" s="2" t="s">
        <v>273</v>
      </c>
      <c r="AM12" s="2" t="s">
        <v>318</v>
      </c>
      <c r="AN12" s="2" t="s">
        <v>408</v>
      </c>
      <c r="AO12" s="2" t="s">
        <v>36</v>
      </c>
      <c r="AP12" s="2" t="s">
        <v>409</v>
      </c>
      <c r="AQ12" s="2" t="s">
        <v>410</v>
      </c>
    </row>
    <row r="13" spans="1:54" x14ac:dyDescent="0.35">
      <c r="G13" s="2" t="s">
        <v>135</v>
      </c>
      <c r="H13" s="2">
        <v>18</v>
      </c>
      <c r="I13" s="2" t="s">
        <v>411</v>
      </c>
      <c r="J13" t="s">
        <v>214</v>
      </c>
      <c r="S13" t="s">
        <v>564</v>
      </c>
      <c r="T13" t="s">
        <v>565</v>
      </c>
      <c r="U13" t="s">
        <v>566</v>
      </c>
      <c r="AE13" s="2" t="s">
        <v>167</v>
      </c>
      <c r="AF13" s="2" t="s">
        <v>405</v>
      </c>
      <c r="AG13" s="2" t="s">
        <v>398</v>
      </c>
      <c r="AH13" s="2" t="s">
        <v>412</v>
      </c>
      <c r="AI13" s="2" t="s">
        <v>259</v>
      </c>
      <c r="AJ13" s="2" t="s">
        <v>413</v>
      </c>
      <c r="AK13" s="2" t="s">
        <v>198</v>
      </c>
      <c r="AL13" s="2" t="s">
        <v>273</v>
      </c>
      <c r="AM13" s="2" t="s">
        <v>414</v>
      </c>
      <c r="AN13" s="2" t="s">
        <v>415</v>
      </c>
      <c r="AO13" s="2" t="s">
        <v>37</v>
      </c>
      <c r="AP13" s="2" t="s">
        <v>416</v>
      </c>
      <c r="AQ13" s="2" t="s">
        <v>417</v>
      </c>
    </row>
    <row r="14" spans="1:54" x14ac:dyDescent="0.35">
      <c r="G14" s="2" t="s">
        <v>136</v>
      </c>
      <c r="H14" s="2">
        <v>18</v>
      </c>
      <c r="I14" s="2" t="s">
        <v>411</v>
      </c>
      <c r="J14" t="s">
        <v>215</v>
      </c>
      <c r="K14" t="s">
        <v>273</v>
      </c>
      <c r="L14" t="s">
        <v>418</v>
      </c>
      <c r="S14" t="s">
        <v>567</v>
      </c>
      <c r="T14" t="s">
        <v>568</v>
      </c>
      <c r="U14" t="s">
        <v>569</v>
      </c>
      <c r="AE14" s="2" t="s">
        <v>122</v>
      </c>
      <c r="AF14" s="2" t="s">
        <v>419</v>
      </c>
      <c r="AG14" s="2" t="s">
        <v>398</v>
      </c>
      <c r="AH14" s="2" t="s">
        <v>420</v>
      </c>
      <c r="AK14" s="2" t="s">
        <v>199</v>
      </c>
      <c r="AN14" s="2" t="s">
        <v>421</v>
      </c>
    </row>
    <row r="15" spans="1:54" x14ac:dyDescent="0.35">
      <c r="G15" s="2" t="s">
        <v>159</v>
      </c>
      <c r="H15" s="2" t="s">
        <v>38</v>
      </c>
      <c r="I15" s="2" t="s">
        <v>422</v>
      </c>
      <c r="J15" t="s">
        <v>216</v>
      </c>
      <c r="K15" t="s">
        <v>273</v>
      </c>
      <c r="L15" t="s">
        <v>423</v>
      </c>
      <c r="S15" t="s">
        <v>109</v>
      </c>
      <c r="T15" t="s">
        <v>531</v>
      </c>
      <c r="U15" t="s">
        <v>25</v>
      </c>
      <c r="AE15" s="2" t="s">
        <v>168</v>
      </c>
      <c r="AF15" s="2" t="s">
        <v>424</v>
      </c>
      <c r="AG15" s="2" t="s">
        <v>398</v>
      </c>
      <c r="AH15" s="2" t="s">
        <v>425</v>
      </c>
      <c r="AI15" s="2" t="s">
        <v>259</v>
      </c>
      <c r="AJ15" s="2" t="s">
        <v>426</v>
      </c>
      <c r="AK15" s="2" t="s">
        <v>200</v>
      </c>
      <c r="AL15" s="2" t="s">
        <v>259</v>
      </c>
      <c r="AM15" s="2" t="s">
        <v>427</v>
      </c>
      <c r="AN15" s="2" t="s">
        <v>428</v>
      </c>
      <c r="AO15" s="2" t="s">
        <v>429</v>
      </c>
      <c r="AP15" s="2" t="s">
        <v>430</v>
      </c>
    </row>
    <row r="16" spans="1:54" x14ac:dyDescent="0.35">
      <c r="G16" s="2" t="s">
        <v>129</v>
      </c>
      <c r="H16" s="2">
        <v>255</v>
      </c>
      <c r="I16" s="2" t="s">
        <v>431</v>
      </c>
      <c r="J16" t="s">
        <v>217</v>
      </c>
      <c r="K16" t="s">
        <v>333</v>
      </c>
      <c r="L16" t="s">
        <v>432</v>
      </c>
      <c r="S16" t="s">
        <v>176</v>
      </c>
      <c r="T16">
        <v>1</v>
      </c>
      <c r="U16" t="s">
        <v>369</v>
      </c>
      <c r="AE16" s="2" t="s">
        <v>123</v>
      </c>
      <c r="AF16" s="2" t="s">
        <v>433</v>
      </c>
      <c r="AG16" s="2" t="s">
        <v>434</v>
      </c>
      <c r="AH16" s="2" t="s">
        <v>435</v>
      </c>
      <c r="AK16" s="2" t="s">
        <v>201</v>
      </c>
      <c r="AL16" s="2" t="s">
        <v>259</v>
      </c>
      <c r="AM16" s="2" t="s">
        <v>436</v>
      </c>
      <c r="AN16" s="2" t="s">
        <v>437</v>
      </c>
      <c r="AO16" s="2" t="s">
        <v>438</v>
      </c>
      <c r="AP16" s="2" t="s">
        <v>439</v>
      </c>
    </row>
    <row r="17" spans="7:42" x14ac:dyDescent="0.35">
      <c r="G17" s="2" t="s">
        <v>127</v>
      </c>
      <c r="H17" s="2" t="s">
        <v>440</v>
      </c>
      <c r="I17" s="2" t="s">
        <v>441</v>
      </c>
      <c r="J17" t="s">
        <v>218</v>
      </c>
      <c r="K17" t="s">
        <v>268</v>
      </c>
      <c r="L17" t="s">
        <v>442</v>
      </c>
      <c r="S17" t="s">
        <v>177</v>
      </c>
      <c r="AE17" s="2" t="s">
        <v>120</v>
      </c>
      <c r="AF17" s="2" t="s">
        <v>443</v>
      </c>
      <c r="AG17" s="2" t="s">
        <v>434</v>
      </c>
      <c r="AH17" s="2" t="s">
        <v>444</v>
      </c>
      <c r="AI17" s="2" t="s">
        <v>39</v>
      </c>
      <c r="AJ17" s="2" t="s">
        <v>445</v>
      </c>
      <c r="AK17" s="2" t="s">
        <v>202</v>
      </c>
      <c r="AL17" s="2" t="s">
        <v>273</v>
      </c>
      <c r="AM17" s="2" t="s">
        <v>363</v>
      </c>
      <c r="AN17" s="2" t="s">
        <v>446</v>
      </c>
      <c r="AO17" s="2" t="s">
        <v>40</v>
      </c>
      <c r="AP17" s="2" t="s">
        <v>447</v>
      </c>
    </row>
    <row r="18" spans="7:42" x14ac:dyDescent="0.35">
      <c r="G18" s="2" t="s">
        <v>160</v>
      </c>
      <c r="H18" s="2" t="s">
        <v>448</v>
      </c>
      <c r="I18" s="2" t="s">
        <v>441</v>
      </c>
      <c r="J18" t="s">
        <v>219</v>
      </c>
      <c r="K18" t="s">
        <v>449</v>
      </c>
      <c r="L18" t="s">
        <v>503</v>
      </c>
      <c r="S18" t="s">
        <v>178</v>
      </c>
      <c r="T18" t="s">
        <v>570</v>
      </c>
      <c r="U18" t="s">
        <v>571</v>
      </c>
      <c r="AE18" s="2" t="s">
        <v>121</v>
      </c>
      <c r="AF18" s="2" t="s">
        <v>450</v>
      </c>
      <c r="AG18" s="2" t="s">
        <v>434</v>
      </c>
      <c r="AH18" s="2" t="s">
        <v>451</v>
      </c>
      <c r="AK18" s="2" t="s">
        <v>203</v>
      </c>
      <c r="AL18" s="2" t="s">
        <v>306</v>
      </c>
      <c r="AM18" s="2" t="s">
        <v>452</v>
      </c>
      <c r="AN18" s="2" t="s">
        <v>453</v>
      </c>
      <c r="AO18" s="2" t="s">
        <v>454</v>
      </c>
      <c r="AP18" s="2" t="s">
        <v>455</v>
      </c>
    </row>
    <row r="19" spans="7:42" x14ac:dyDescent="0.35">
      <c r="G19" s="2" t="s">
        <v>137</v>
      </c>
      <c r="H19" s="2">
        <v>10</v>
      </c>
      <c r="I19" s="2" t="s">
        <v>456</v>
      </c>
      <c r="J19" t="s">
        <v>220</v>
      </c>
      <c r="K19" t="s">
        <v>449</v>
      </c>
      <c r="L19" t="s">
        <v>504</v>
      </c>
      <c r="S19" t="s">
        <v>179</v>
      </c>
      <c r="T19" t="s">
        <v>572</v>
      </c>
      <c r="U19" t="s">
        <v>573</v>
      </c>
      <c r="AE19" s="2" t="s">
        <v>118</v>
      </c>
      <c r="AF19" s="2" t="s">
        <v>457</v>
      </c>
      <c r="AG19" s="2" t="s">
        <v>434</v>
      </c>
      <c r="AK19" s="2" t="s">
        <v>204</v>
      </c>
      <c r="AL19" s="2" t="s">
        <v>458</v>
      </c>
      <c r="AM19" s="2" t="s">
        <v>459</v>
      </c>
      <c r="AN19" s="2" t="s">
        <v>460</v>
      </c>
      <c r="AO19" s="2" t="s">
        <v>454</v>
      </c>
      <c r="AP19" s="2" t="s">
        <v>455</v>
      </c>
    </row>
    <row r="20" spans="7:42" x14ac:dyDescent="0.35">
      <c r="G20" s="2" t="s">
        <v>125</v>
      </c>
      <c r="J20" t="s">
        <v>221</v>
      </c>
      <c r="K20" t="s">
        <v>461</v>
      </c>
      <c r="L20" t="s">
        <v>462</v>
      </c>
      <c r="S20" t="s">
        <v>104</v>
      </c>
      <c r="T20" t="s">
        <v>574</v>
      </c>
      <c r="U20" t="s">
        <v>575</v>
      </c>
      <c r="AE20" s="2" t="s">
        <v>117</v>
      </c>
      <c r="AF20" s="2" t="s">
        <v>457</v>
      </c>
      <c r="AG20" s="2" t="s">
        <v>434</v>
      </c>
      <c r="AN20" s="2" t="s">
        <v>463</v>
      </c>
      <c r="AO20" s="2" t="s">
        <v>454</v>
      </c>
      <c r="AP20" s="2" t="s">
        <v>455</v>
      </c>
    </row>
    <row r="21" spans="7:42" x14ac:dyDescent="0.35">
      <c r="G21" s="2" t="s">
        <v>126</v>
      </c>
      <c r="J21" t="s">
        <v>222</v>
      </c>
      <c r="K21" t="s">
        <v>467</v>
      </c>
      <c r="L21" t="s">
        <v>505</v>
      </c>
      <c r="S21" t="s">
        <v>180</v>
      </c>
      <c r="T21" t="s">
        <v>576</v>
      </c>
      <c r="U21" t="s">
        <v>577</v>
      </c>
      <c r="AE21" s="2" t="s">
        <v>169</v>
      </c>
      <c r="AN21" s="2" t="s">
        <v>465</v>
      </c>
    </row>
    <row r="22" spans="7:42" x14ac:dyDescent="0.35">
      <c r="G22" s="2" t="s">
        <v>130</v>
      </c>
      <c r="H22" s="2" t="s">
        <v>42</v>
      </c>
      <c r="I22" s="2" t="s">
        <v>466</v>
      </c>
      <c r="J22" t="s">
        <v>223</v>
      </c>
      <c r="K22" t="s">
        <v>268</v>
      </c>
      <c r="L22" t="s">
        <v>471</v>
      </c>
      <c r="S22" t="s">
        <v>110</v>
      </c>
      <c r="T22" t="s">
        <v>578</v>
      </c>
      <c r="U22" t="s">
        <v>579</v>
      </c>
      <c r="AE22" s="2" t="s">
        <v>170</v>
      </c>
      <c r="AN22" s="2" t="s">
        <v>468</v>
      </c>
      <c r="AO22" s="2" t="s">
        <v>44</v>
      </c>
      <c r="AP22" s="2" t="s">
        <v>469</v>
      </c>
    </row>
    <row r="23" spans="7:42" x14ac:dyDescent="0.35">
      <c r="G23" s="2" t="s">
        <v>128</v>
      </c>
      <c r="H23" s="2">
        <v>1</v>
      </c>
      <c r="I23" s="2" t="s">
        <v>470</v>
      </c>
      <c r="J23" t="s">
        <v>224</v>
      </c>
      <c r="S23" t="s">
        <v>103</v>
      </c>
      <c r="T23" t="s">
        <v>580</v>
      </c>
      <c r="U23" t="s">
        <v>581</v>
      </c>
      <c r="AE23" s="2" t="s">
        <v>171</v>
      </c>
      <c r="AN23" s="2" t="s">
        <v>473</v>
      </c>
    </row>
    <row r="24" spans="7:42" x14ac:dyDescent="0.35">
      <c r="G24" s="2" t="s">
        <v>161</v>
      </c>
      <c r="H24" s="2" t="s">
        <v>474</v>
      </c>
      <c r="I24" s="2" t="s">
        <v>475</v>
      </c>
      <c r="J24" t="s">
        <v>225</v>
      </c>
      <c r="S24" t="s">
        <v>108</v>
      </c>
      <c r="T24" t="s">
        <v>582</v>
      </c>
      <c r="U24" t="s">
        <v>583</v>
      </c>
      <c r="AE24" s="2" t="s">
        <v>172</v>
      </c>
    </row>
    <row r="25" spans="7:42" x14ac:dyDescent="0.35">
      <c r="G25" s="2" t="s">
        <v>133</v>
      </c>
      <c r="H25" s="2" t="s">
        <v>476</v>
      </c>
      <c r="I25" s="2" t="s">
        <v>477</v>
      </c>
      <c r="J25" t="s">
        <v>226</v>
      </c>
      <c r="K25" t="s">
        <v>333</v>
      </c>
      <c r="L25" t="s">
        <v>481</v>
      </c>
      <c r="S25" t="s">
        <v>181</v>
      </c>
      <c r="AE25" s="2" t="s">
        <v>516</v>
      </c>
      <c r="AF25" s="2" t="s">
        <v>517</v>
      </c>
      <c r="AG25" s="2" t="s">
        <v>518</v>
      </c>
    </row>
    <row r="26" spans="7:42" x14ac:dyDescent="0.35">
      <c r="G26" s="2" t="s">
        <v>162</v>
      </c>
      <c r="H26" s="2" t="s">
        <v>479</v>
      </c>
      <c r="I26" s="2" t="s">
        <v>480</v>
      </c>
      <c r="J26" t="s">
        <v>227</v>
      </c>
      <c r="S26" t="s">
        <v>102</v>
      </c>
      <c r="AE26" s="2" t="s">
        <v>519</v>
      </c>
      <c r="AF26" s="2" t="s">
        <v>520</v>
      </c>
      <c r="AG26" s="2" t="s">
        <v>521</v>
      </c>
    </row>
    <row r="27" spans="7:42" x14ac:dyDescent="0.35">
      <c r="G27" s="2" t="s">
        <v>132</v>
      </c>
      <c r="H27" s="2" t="s">
        <v>484</v>
      </c>
      <c r="I27" s="2" t="s">
        <v>480</v>
      </c>
      <c r="J27" t="s">
        <v>228</v>
      </c>
      <c r="S27" t="s">
        <v>182</v>
      </c>
    </row>
    <row r="28" spans="7:42" x14ac:dyDescent="0.35">
      <c r="G28" s="2" t="s">
        <v>510</v>
      </c>
      <c r="H28" s="2" t="s">
        <v>511</v>
      </c>
      <c r="I28" s="2" t="s">
        <v>466</v>
      </c>
      <c r="J28" t="s">
        <v>229</v>
      </c>
      <c r="S28" t="s">
        <v>106</v>
      </c>
    </row>
    <row r="29" spans="7:42" x14ac:dyDescent="0.35">
      <c r="G29" s="2" t="s">
        <v>512</v>
      </c>
      <c r="J29" t="s">
        <v>230</v>
      </c>
      <c r="S29" t="s">
        <v>183</v>
      </c>
      <c r="T29" t="s">
        <v>41</v>
      </c>
      <c r="U29" t="s">
        <v>464</v>
      </c>
    </row>
    <row r="30" spans="7:42" x14ac:dyDescent="0.35">
      <c r="G30" s="2" t="s">
        <v>513</v>
      </c>
      <c r="H30" s="2" t="s">
        <v>514</v>
      </c>
      <c r="I30" s="2" t="s">
        <v>515</v>
      </c>
      <c r="J30" t="s">
        <v>231</v>
      </c>
      <c r="K30" t="s">
        <v>259</v>
      </c>
      <c r="L30" t="s">
        <v>486</v>
      </c>
      <c r="S30" t="s">
        <v>184</v>
      </c>
      <c r="T30" t="s">
        <v>43</v>
      </c>
      <c r="U30" t="s">
        <v>464</v>
      </c>
    </row>
    <row r="31" spans="7:42" x14ac:dyDescent="0.35">
      <c r="J31" t="s">
        <v>232</v>
      </c>
      <c r="K31" t="s">
        <v>259</v>
      </c>
      <c r="L31" t="s">
        <v>487</v>
      </c>
      <c r="S31" t="s">
        <v>185</v>
      </c>
      <c r="T31">
        <v>5</v>
      </c>
      <c r="U31" t="s">
        <v>472</v>
      </c>
    </row>
    <row r="32" spans="7:42" x14ac:dyDescent="0.35">
      <c r="J32" t="s">
        <v>598</v>
      </c>
      <c r="K32" t="s">
        <v>599</v>
      </c>
      <c r="L32" t="s">
        <v>600</v>
      </c>
      <c r="S32" t="s">
        <v>107</v>
      </c>
      <c r="T32">
        <v>200</v>
      </c>
      <c r="U32" t="s">
        <v>472</v>
      </c>
    </row>
    <row r="33" spans="10:21" x14ac:dyDescent="0.35">
      <c r="J33" t="s">
        <v>233</v>
      </c>
      <c r="K33" t="s">
        <v>259</v>
      </c>
      <c r="L33" t="s">
        <v>488</v>
      </c>
      <c r="S33" t="s">
        <v>186</v>
      </c>
      <c r="T33" t="s">
        <v>45</v>
      </c>
      <c r="U33" t="s">
        <v>478</v>
      </c>
    </row>
    <row r="34" spans="10:21" x14ac:dyDescent="0.35">
      <c r="J34" t="s">
        <v>234</v>
      </c>
      <c r="K34" t="s">
        <v>268</v>
      </c>
      <c r="L34" t="s">
        <v>489</v>
      </c>
      <c r="S34" t="s">
        <v>187</v>
      </c>
      <c r="T34" t="s">
        <v>482</v>
      </c>
      <c r="U34" t="s">
        <v>483</v>
      </c>
    </row>
    <row r="35" spans="10:21" x14ac:dyDescent="0.35">
      <c r="J35" t="s">
        <v>601</v>
      </c>
      <c r="K35" t="s">
        <v>602</v>
      </c>
      <c r="L35" t="s">
        <v>603</v>
      </c>
      <c r="S35" t="s">
        <v>188</v>
      </c>
      <c r="T35" t="s">
        <v>46</v>
      </c>
      <c r="U35" t="s">
        <v>393</v>
      </c>
    </row>
    <row r="36" spans="10:21" x14ac:dyDescent="0.35">
      <c r="J36" t="s">
        <v>235</v>
      </c>
      <c r="K36" t="s">
        <v>259</v>
      </c>
      <c r="L36" t="s">
        <v>490</v>
      </c>
      <c r="S36" t="s">
        <v>105</v>
      </c>
      <c r="T36" t="s">
        <v>47</v>
      </c>
      <c r="U36" t="s">
        <v>485</v>
      </c>
    </row>
    <row r="37" spans="10:21" x14ac:dyDescent="0.35">
      <c r="J37" t="s">
        <v>236</v>
      </c>
      <c r="K37" t="s">
        <v>259</v>
      </c>
      <c r="L37" t="s">
        <v>491</v>
      </c>
      <c r="S37" t="s">
        <v>584</v>
      </c>
      <c r="T37" t="s">
        <v>585</v>
      </c>
      <c r="U37" t="s">
        <v>586</v>
      </c>
    </row>
    <row r="38" spans="10:21" x14ac:dyDescent="0.35">
      <c r="J38" t="s">
        <v>237</v>
      </c>
      <c r="S38" t="s">
        <v>189</v>
      </c>
    </row>
    <row r="39" spans="10:21" x14ac:dyDescent="0.35">
      <c r="J39" t="s">
        <v>238</v>
      </c>
      <c r="K39" t="s">
        <v>259</v>
      </c>
      <c r="L39" t="s">
        <v>492</v>
      </c>
      <c r="S39" t="s">
        <v>97</v>
      </c>
      <c r="T39" t="s">
        <v>587</v>
      </c>
      <c r="U39" t="s">
        <v>588</v>
      </c>
    </row>
    <row r="40" spans="10:21" x14ac:dyDescent="0.35">
      <c r="J40" t="s">
        <v>239</v>
      </c>
      <c r="S40" t="s">
        <v>589</v>
      </c>
      <c r="T40" t="s">
        <v>590</v>
      </c>
      <c r="U40" t="s">
        <v>591</v>
      </c>
    </row>
    <row r="41" spans="10:21" x14ac:dyDescent="0.35">
      <c r="J41" t="s">
        <v>240</v>
      </c>
      <c r="K41" t="s">
        <v>259</v>
      </c>
      <c r="L41" t="s">
        <v>493</v>
      </c>
      <c r="S41" t="s">
        <v>592</v>
      </c>
      <c r="T41" t="s">
        <v>593</v>
      </c>
      <c r="U41" t="s">
        <v>594</v>
      </c>
    </row>
    <row r="42" spans="10:21" x14ac:dyDescent="0.35">
      <c r="J42" t="s">
        <v>604</v>
      </c>
      <c r="S42" t="s">
        <v>595</v>
      </c>
      <c r="T42" t="s">
        <v>596</v>
      </c>
      <c r="U42" t="s">
        <v>393</v>
      </c>
    </row>
    <row r="43" spans="10:21" x14ac:dyDescent="0.35">
      <c r="J43" t="s">
        <v>605</v>
      </c>
    </row>
    <row r="44" spans="10:21" x14ac:dyDescent="0.35">
      <c r="J44" t="s">
        <v>241</v>
      </c>
      <c r="K44" t="s">
        <v>449</v>
      </c>
      <c r="L44" t="s">
        <v>506</v>
      </c>
    </row>
    <row r="45" spans="10:21" x14ac:dyDescent="0.35">
      <c r="J45" t="s">
        <v>606</v>
      </c>
      <c r="K45" t="s">
        <v>607</v>
      </c>
      <c r="L45" t="s">
        <v>608</v>
      </c>
    </row>
    <row r="46" spans="10:21" x14ac:dyDescent="0.35">
      <c r="J46" t="s">
        <v>609</v>
      </c>
      <c r="K46">
        <v>0</v>
      </c>
      <c r="L46" t="s">
        <v>610</v>
      </c>
    </row>
    <row r="47" spans="10:21" x14ac:dyDescent="0.35">
      <c r="J47" t="s">
        <v>242</v>
      </c>
      <c r="K47" t="s">
        <v>507</v>
      </c>
      <c r="L47" t="s">
        <v>69</v>
      </c>
    </row>
    <row r="48" spans="10:21" x14ac:dyDescent="0.35">
      <c r="J48" t="s">
        <v>243</v>
      </c>
      <c r="K48" t="s">
        <v>449</v>
      </c>
      <c r="L48" t="s">
        <v>24</v>
      </c>
    </row>
    <row r="49" spans="10:12" x14ac:dyDescent="0.35">
      <c r="J49" t="s">
        <v>244</v>
      </c>
      <c r="K49" t="s">
        <v>494</v>
      </c>
      <c r="L49" t="s">
        <v>495</v>
      </c>
    </row>
    <row r="50" spans="10:12" x14ac:dyDescent="0.35">
      <c r="J50" t="s">
        <v>611</v>
      </c>
      <c r="K50" t="s">
        <v>494</v>
      </c>
      <c r="L50" t="s">
        <v>612</v>
      </c>
    </row>
    <row r="51" spans="10:12" x14ac:dyDescent="0.35">
      <c r="J51" t="s">
        <v>613</v>
      </c>
      <c r="K51" t="s">
        <v>494</v>
      </c>
      <c r="L51" t="s">
        <v>614</v>
      </c>
    </row>
    <row r="52" spans="10:12" x14ac:dyDescent="0.35">
      <c r="J52" t="s">
        <v>615</v>
      </c>
      <c r="K52" t="s">
        <v>259</v>
      </c>
      <c r="L52" t="s">
        <v>616</v>
      </c>
    </row>
    <row r="53" spans="10:12" x14ac:dyDescent="0.35">
      <c r="J53" t="s">
        <v>617</v>
      </c>
      <c r="K53" t="s">
        <v>268</v>
      </c>
      <c r="L53" t="s">
        <v>618</v>
      </c>
    </row>
    <row r="54" spans="10:12" x14ac:dyDescent="0.35">
      <c r="J54" t="s">
        <v>619</v>
      </c>
      <c r="K54" t="s">
        <v>259</v>
      </c>
      <c r="L54" t="s">
        <v>620</v>
      </c>
    </row>
    <row r="55" spans="10:12" x14ac:dyDescent="0.35">
      <c r="J55" t="s">
        <v>621</v>
      </c>
      <c r="K55" t="s">
        <v>259</v>
      </c>
      <c r="L55" t="s">
        <v>622</v>
      </c>
    </row>
    <row r="56" spans="10:12" x14ac:dyDescent="0.35">
      <c r="J56" t="s">
        <v>623</v>
      </c>
    </row>
    <row r="57" spans="10:12" x14ac:dyDescent="0.35">
      <c r="J57" t="s">
        <v>624</v>
      </c>
    </row>
    <row r="58" spans="10:12" x14ac:dyDescent="0.35">
      <c r="J58" t="s">
        <v>625</v>
      </c>
    </row>
    <row r="59" spans="10:12" x14ac:dyDescent="0.35">
      <c r="J59" t="s">
        <v>626</v>
      </c>
    </row>
    <row r="60" spans="10:12" x14ac:dyDescent="0.35">
      <c r="J60" t="s">
        <v>627</v>
      </c>
    </row>
    <row r="61" spans="10:12" x14ac:dyDescent="0.35">
      <c r="J61" t="s">
        <v>628</v>
      </c>
    </row>
    <row r="62" spans="10:12" x14ac:dyDescent="0.35">
      <c r="J62" t="s">
        <v>629</v>
      </c>
      <c r="K62" t="s">
        <v>507</v>
      </c>
      <c r="L62" t="s">
        <v>69</v>
      </c>
    </row>
    <row r="63" spans="10:12" x14ac:dyDescent="0.35">
      <c r="J63" t="s">
        <v>630</v>
      </c>
      <c r="K63" t="s">
        <v>507</v>
      </c>
      <c r="L63" t="s">
        <v>69</v>
      </c>
    </row>
    <row r="64" spans="10:12" x14ac:dyDescent="0.35">
      <c r="J64" t="s">
        <v>631</v>
      </c>
      <c r="K64" t="s">
        <v>507</v>
      </c>
      <c r="L64" t="s">
        <v>632</v>
      </c>
    </row>
    <row r="65" spans="10:12" x14ac:dyDescent="0.35">
      <c r="J65" t="s">
        <v>633</v>
      </c>
      <c r="K65" t="s">
        <v>507</v>
      </c>
      <c r="L65" t="s">
        <v>632</v>
      </c>
    </row>
    <row r="66" spans="10:12" x14ac:dyDescent="0.35">
      <c r="J66" t="s">
        <v>634</v>
      </c>
      <c r="K66" t="s">
        <v>449</v>
      </c>
      <c r="L66" t="s">
        <v>24</v>
      </c>
    </row>
    <row r="67" spans="10:12" x14ac:dyDescent="0.35">
      <c r="J67" t="s">
        <v>635</v>
      </c>
      <c r="K67" t="s">
        <v>449</v>
      </c>
      <c r="L67" t="s">
        <v>24</v>
      </c>
    </row>
    <row r="68" spans="10:12" x14ac:dyDescent="0.35">
      <c r="J68" t="s">
        <v>636</v>
      </c>
      <c r="K68" t="s">
        <v>449</v>
      </c>
      <c r="L68" t="s">
        <v>637</v>
      </c>
    </row>
    <row r="69" spans="10:12" x14ac:dyDescent="0.35">
      <c r="J69" t="s">
        <v>638</v>
      </c>
      <c r="K69" t="s">
        <v>449</v>
      </c>
      <c r="L69" t="s">
        <v>637</v>
      </c>
    </row>
    <row r="70" spans="10:12" x14ac:dyDescent="0.35">
      <c r="J70" t="s">
        <v>639</v>
      </c>
      <c r="K70" t="s">
        <v>273</v>
      </c>
      <c r="L70" t="s">
        <v>418</v>
      </c>
    </row>
    <row r="71" spans="10:12" x14ac:dyDescent="0.35">
      <c r="J71" t="s">
        <v>640</v>
      </c>
      <c r="K71" t="s">
        <v>273</v>
      </c>
      <c r="L71" t="s">
        <v>418</v>
      </c>
    </row>
    <row r="72" spans="10:12" x14ac:dyDescent="0.35">
      <c r="J72" t="s">
        <v>641</v>
      </c>
      <c r="K72" t="s">
        <v>268</v>
      </c>
      <c r="L72" t="s">
        <v>471</v>
      </c>
    </row>
    <row r="73" spans="10:12" x14ac:dyDescent="0.35">
      <c r="J73" t="s">
        <v>642</v>
      </c>
      <c r="K73" t="s">
        <v>268</v>
      </c>
      <c r="L73" t="s">
        <v>471</v>
      </c>
    </row>
    <row r="74" spans="10:12" x14ac:dyDescent="0.35">
      <c r="J74" t="s">
        <v>643</v>
      </c>
    </row>
    <row r="75" spans="10:12" x14ac:dyDescent="0.35">
      <c r="J75" t="s">
        <v>644</v>
      </c>
    </row>
    <row r="76" spans="10:12" x14ac:dyDescent="0.35">
      <c r="J76" t="s">
        <v>645</v>
      </c>
    </row>
    <row r="77" spans="10:12" x14ac:dyDescent="0.35">
      <c r="J77" t="s">
        <v>646</v>
      </c>
    </row>
    <row r="78" spans="10:12" x14ac:dyDescent="0.35">
      <c r="J78" t="s">
        <v>647</v>
      </c>
      <c r="K78" t="s">
        <v>449</v>
      </c>
      <c r="L78" t="s">
        <v>503</v>
      </c>
    </row>
    <row r="79" spans="10:12" x14ac:dyDescent="0.35">
      <c r="J79" t="s">
        <v>648</v>
      </c>
      <c r="K79" t="s">
        <v>449</v>
      </c>
      <c r="L79" t="s">
        <v>506</v>
      </c>
    </row>
    <row r="80" spans="10:12" x14ac:dyDescent="0.35">
      <c r="J80" t="s">
        <v>649</v>
      </c>
      <c r="K80" t="s">
        <v>449</v>
      </c>
      <c r="L80" t="s">
        <v>504</v>
      </c>
    </row>
    <row r="81" spans="10:12" x14ac:dyDescent="0.35">
      <c r="J81" t="s">
        <v>650</v>
      </c>
    </row>
    <row r="82" spans="10:12" x14ac:dyDescent="0.35">
      <c r="J82" t="s">
        <v>651</v>
      </c>
    </row>
    <row r="83" spans="10:12" x14ac:dyDescent="0.35">
      <c r="J83" t="s">
        <v>652</v>
      </c>
      <c r="K83" t="s">
        <v>259</v>
      </c>
      <c r="L83" t="s">
        <v>653</v>
      </c>
    </row>
    <row r="84" spans="10:12" x14ac:dyDescent="0.35">
      <c r="J84" t="s">
        <v>654</v>
      </c>
      <c r="K84" t="s">
        <v>259</v>
      </c>
      <c r="L84" t="s">
        <v>653</v>
      </c>
    </row>
    <row r="85" spans="10:12" x14ac:dyDescent="0.35">
      <c r="J85" t="s">
        <v>655</v>
      </c>
      <c r="K85" t="s">
        <v>259</v>
      </c>
      <c r="L85" t="s">
        <v>653</v>
      </c>
    </row>
    <row r="86" spans="10:12" x14ac:dyDescent="0.35">
      <c r="J86" t="s">
        <v>656</v>
      </c>
      <c r="K86" t="s">
        <v>259</v>
      </c>
      <c r="L86" t="s">
        <v>653</v>
      </c>
    </row>
    <row r="87" spans="10:12" x14ac:dyDescent="0.35">
      <c r="J87" t="s">
        <v>657</v>
      </c>
      <c r="K87" t="s">
        <v>273</v>
      </c>
      <c r="L87" t="s">
        <v>658</v>
      </c>
    </row>
    <row r="88" spans="10:12" x14ac:dyDescent="0.35">
      <c r="J88" t="s">
        <v>659</v>
      </c>
      <c r="K88" t="s">
        <v>273</v>
      </c>
      <c r="L88" t="s">
        <v>658</v>
      </c>
    </row>
    <row r="89" spans="10:12" x14ac:dyDescent="0.35">
      <c r="J89" t="s">
        <v>660</v>
      </c>
      <c r="K89" t="s">
        <v>268</v>
      </c>
      <c r="L89" t="s">
        <v>489</v>
      </c>
    </row>
    <row r="90" spans="10:12" x14ac:dyDescent="0.35">
      <c r="J90" t="s">
        <v>661</v>
      </c>
    </row>
    <row r="91" spans="10:12" x14ac:dyDescent="0.35">
      <c r="J91" t="s">
        <v>662</v>
      </c>
    </row>
    <row r="92" spans="10:12" x14ac:dyDescent="0.35">
      <c r="J92" t="s">
        <v>663</v>
      </c>
    </row>
    <row r="93" spans="10:12" x14ac:dyDescent="0.35">
      <c r="J93" t="s">
        <v>664</v>
      </c>
    </row>
    <row r="94" spans="10:12" x14ac:dyDescent="0.35">
      <c r="J94" t="s">
        <v>665</v>
      </c>
    </row>
    <row r="95" spans="10:12" x14ac:dyDescent="0.35">
      <c r="J95" t="s">
        <v>666</v>
      </c>
      <c r="K95" t="s">
        <v>259</v>
      </c>
      <c r="L95" t="s">
        <v>667</v>
      </c>
    </row>
    <row r="96" spans="10:12" x14ac:dyDescent="0.35">
      <c r="J96" t="s">
        <v>668</v>
      </c>
      <c r="K96" t="s">
        <v>259</v>
      </c>
      <c r="L96" t="s">
        <v>669</v>
      </c>
    </row>
    <row r="97" spans="10:12" x14ac:dyDescent="0.35">
      <c r="J97" t="s">
        <v>670</v>
      </c>
      <c r="K97" t="s">
        <v>671</v>
      </c>
      <c r="L97" t="s">
        <v>672</v>
      </c>
    </row>
    <row r="98" spans="10:12" x14ac:dyDescent="0.35">
      <c r="J98" t="s">
        <v>673</v>
      </c>
      <c r="K98" t="s">
        <v>671</v>
      </c>
      <c r="L98" t="s">
        <v>672</v>
      </c>
    </row>
    <row r="99" spans="10:12" x14ac:dyDescent="0.35">
      <c r="J99" t="s">
        <v>674</v>
      </c>
      <c r="K99" t="s">
        <v>265</v>
      </c>
      <c r="L99" t="s">
        <v>675</v>
      </c>
    </row>
    <row r="100" spans="10:12" x14ac:dyDescent="0.35">
      <c r="J100" t="s">
        <v>676</v>
      </c>
      <c r="K100" t="s">
        <v>265</v>
      </c>
      <c r="L100" t="s">
        <v>675</v>
      </c>
    </row>
    <row r="101" spans="10:12" x14ac:dyDescent="0.35">
      <c r="J101" t="s">
        <v>677</v>
      </c>
      <c r="K101" t="s">
        <v>333</v>
      </c>
      <c r="L101" t="s">
        <v>432</v>
      </c>
    </row>
    <row r="102" spans="10:12" x14ac:dyDescent="0.35">
      <c r="J102" t="s">
        <v>678</v>
      </c>
    </row>
  </sheetData>
  <phoneticPr fontId="4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60"/>
  <sheetViews>
    <sheetView workbookViewId="0">
      <selection activeCell="A24" sqref="A24:G24"/>
    </sheetView>
  </sheetViews>
  <sheetFormatPr defaultColWidth="9.19921875" defaultRowHeight="12.75" x14ac:dyDescent="0.35"/>
  <cols>
    <col min="1" max="1" width="10.19921875" style="3" bestFit="1" customWidth="1"/>
    <col min="2" max="2" width="17.265625" style="3" customWidth="1"/>
    <col min="3" max="3" width="13.46484375" style="3" customWidth="1"/>
    <col min="4" max="4" width="8.73046875" style="3" bestFit="1" customWidth="1"/>
    <col min="5" max="5" width="8.53125" style="3" bestFit="1" customWidth="1"/>
    <col min="6" max="6" width="17.73046875" style="3" bestFit="1" customWidth="1"/>
    <col min="7" max="8" width="6.46484375" style="3" bestFit="1" customWidth="1"/>
    <col min="9" max="9" width="6.265625" style="3" bestFit="1" customWidth="1"/>
    <col min="10" max="10" width="15.265625" style="3" bestFit="1" customWidth="1"/>
    <col min="11" max="11" width="14.73046875" style="3" bestFit="1" customWidth="1"/>
    <col min="12" max="12" width="15.265625" style="3" bestFit="1" customWidth="1"/>
    <col min="13" max="13" width="9" style="3" bestFit="1" customWidth="1"/>
    <col min="14" max="14" width="10.73046875" style="3" customWidth="1"/>
    <col min="15" max="15" width="7.46484375" style="3" bestFit="1" customWidth="1"/>
    <col min="16" max="16" width="8.46484375" style="3" bestFit="1" customWidth="1"/>
    <col min="17" max="17" width="17.73046875" style="3" bestFit="1" customWidth="1"/>
    <col min="18" max="18" width="7.46484375" style="3" bestFit="1" customWidth="1"/>
    <col min="19" max="22" width="2" style="3" bestFit="1" customWidth="1"/>
    <col min="23" max="16384" width="9.19921875" style="3"/>
  </cols>
  <sheetData>
    <row r="1" spans="1:26" x14ac:dyDescent="0.35">
      <c r="A1" t="s">
        <v>245</v>
      </c>
      <c r="B1" t="s">
        <v>246</v>
      </c>
      <c r="C1" t="s">
        <v>139</v>
      </c>
      <c r="D1" t="s">
        <v>93</v>
      </c>
      <c r="E1" t="s">
        <v>247</v>
      </c>
      <c r="F1" t="s">
        <v>248</v>
      </c>
      <c r="G1" t="s">
        <v>79</v>
      </c>
      <c r="H1" t="s">
        <v>249</v>
      </c>
      <c r="I1" t="s">
        <v>250</v>
      </c>
      <c r="J1" t="s">
        <v>251</v>
      </c>
      <c r="K1" t="s">
        <v>138</v>
      </c>
      <c r="L1" t="s">
        <v>252</v>
      </c>
      <c r="M1" t="s">
        <v>80</v>
      </c>
      <c r="N1" t="s">
        <v>253</v>
      </c>
      <c r="O1" t="s">
        <v>254</v>
      </c>
      <c r="P1" t="s">
        <v>255</v>
      </c>
      <c r="Q1" t="s">
        <v>256</v>
      </c>
      <c r="R1" t="s">
        <v>257</v>
      </c>
      <c r="S1"/>
      <c r="T1"/>
      <c r="U1"/>
      <c r="V1"/>
      <c r="W1"/>
      <c r="X1"/>
      <c r="Y1"/>
      <c r="Z1"/>
    </row>
    <row r="3" spans="1:26" x14ac:dyDescent="0.35">
      <c r="A3" s="3" t="s">
        <v>150</v>
      </c>
      <c r="B3" s="4" t="s">
        <v>77</v>
      </c>
      <c r="C3" s="4" t="s">
        <v>83</v>
      </c>
      <c r="D3" s="4" t="s">
        <v>149</v>
      </c>
    </row>
    <row r="4" spans="1:26" x14ac:dyDescent="0.35">
      <c r="B4" s="3" t="s">
        <v>78</v>
      </c>
      <c r="C4" s="3" t="s">
        <v>78</v>
      </c>
      <c r="D4" s="3" t="s">
        <v>91</v>
      </c>
    </row>
    <row r="5" spans="1:26" x14ac:dyDescent="0.35">
      <c r="B5" s="3" t="s">
        <v>89</v>
      </c>
      <c r="C5" s="3" t="s">
        <v>89</v>
      </c>
      <c r="D5" s="3" t="s">
        <v>92</v>
      </c>
    </row>
    <row r="7" spans="1:26" ht="13.15" thickBot="1" x14ac:dyDescent="0.4"/>
    <row r="8" spans="1:26" ht="32.25" thickBot="1" x14ac:dyDescent="0.85">
      <c r="C8" s="5" t="s">
        <v>48</v>
      </c>
      <c r="D8" s="6"/>
      <c r="E8" s="6"/>
      <c r="F8" s="6"/>
      <c r="G8" s="6"/>
      <c r="H8" s="6"/>
      <c r="I8" s="7"/>
    </row>
    <row r="12" spans="1:26" ht="13.15" thickBot="1" x14ac:dyDescent="0.4"/>
    <row r="13" spans="1:26" ht="13.5" thickBot="1" x14ac:dyDescent="0.45">
      <c r="A13" s="32" t="s">
        <v>0</v>
      </c>
    </row>
    <row r="14" spans="1:26" ht="26.25" x14ac:dyDescent="0.4">
      <c r="A14" s="31" t="s">
        <v>50</v>
      </c>
      <c r="B14" s="13" t="s">
        <v>51</v>
      </c>
      <c r="C14" s="13" t="s">
        <v>52</v>
      </c>
      <c r="D14" s="13" t="s">
        <v>53</v>
      </c>
      <c r="E14" s="13" t="s">
        <v>54</v>
      </c>
      <c r="F14" s="13" t="s">
        <v>55</v>
      </c>
      <c r="G14" s="12" t="s">
        <v>56</v>
      </c>
      <c r="H14" s="12" t="s">
        <v>57</v>
      </c>
      <c r="I14" s="12" t="s">
        <v>58</v>
      </c>
      <c r="J14" s="13" t="s">
        <v>59</v>
      </c>
      <c r="K14" s="13" t="s">
        <v>60</v>
      </c>
      <c r="L14" s="13" t="s">
        <v>61</v>
      </c>
      <c r="M14" s="12" t="s">
        <v>62</v>
      </c>
      <c r="N14" s="12" t="s">
        <v>63</v>
      </c>
      <c r="O14" s="12" t="s">
        <v>64</v>
      </c>
      <c r="P14" s="14" t="s">
        <v>65</v>
      </c>
      <c r="Q14" s="14" t="s">
        <v>66</v>
      </c>
    </row>
    <row r="15" spans="1:26" ht="131.25" x14ac:dyDescent="0.4">
      <c r="A15" s="14"/>
      <c r="B15" s="15" t="s">
        <v>2</v>
      </c>
      <c r="C15" s="16"/>
      <c r="D15" s="16"/>
      <c r="E15" s="16"/>
      <c r="F15" s="15" t="s">
        <v>1</v>
      </c>
      <c r="G15" s="17"/>
      <c r="H15" s="17"/>
      <c r="I15" s="17"/>
      <c r="J15" s="16"/>
      <c r="K15" s="18" t="s">
        <v>67</v>
      </c>
      <c r="L15" s="16"/>
      <c r="M15" s="16"/>
      <c r="N15" s="16"/>
      <c r="O15" s="16"/>
      <c r="P15" s="15" t="s">
        <v>68</v>
      </c>
      <c r="Q15" s="15" t="s">
        <v>1</v>
      </c>
    </row>
    <row r="16" spans="1:26" s="74" customFormat="1" ht="13.5" thickBot="1" x14ac:dyDescent="0.45">
      <c r="A16" s="73" t="s">
        <v>681</v>
      </c>
      <c r="B16" s="74">
        <v>0</v>
      </c>
      <c r="C16" s="74">
        <v>0</v>
      </c>
      <c r="D16" s="74">
        <v>0</v>
      </c>
      <c r="E16" s="74">
        <v>0</v>
      </c>
      <c r="F16" s="74">
        <v>3</v>
      </c>
      <c r="G16" s="74">
        <v>0</v>
      </c>
      <c r="H16" s="74">
        <v>0</v>
      </c>
      <c r="I16" s="74">
        <v>1</v>
      </c>
      <c r="J16" s="75">
        <v>-0.99998063999999998</v>
      </c>
      <c r="K16" s="75">
        <v>5.4314100000000002E-3</v>
      </c>
      <c r="L16" s="75">
        <v>-3.0378800000000002E-3</v>
      </c>
      <c r="M16" s="74">
        <v>0</v>
      </c>
      <c r="N16" s="74">
        <v>0</v>
      </c>
      <c r="O16" s="74">
        <v>0</v>
      </c>
      <c r="P16" s="74">
        <v>0</v>
      </c>
      <c r="Q16" s="74">
        <v>5</v>
      </c>
      <c r="R16" s="76" t="str">
        <f>CONCATENATE("""",A16,""",",B16,",",C16,",",D16,",",E16,",",F16,",",G16,",",H16,",",I16,",",J16,",",K16,",",L16,",",M16,",",N16,",",O16,",",P16,",",Q16)</f>
        <v>"T61",0,0,0,0,3,0,0,1,-0.99998064,0.00543141,-0.00303788,0,0,0,0,5</v>
      </c>
    </row>
    <row r="17" spans="1:22" ht="13.5" thickBot="1" x14ac:dyDescent="0.45">
      <c r="A17" s="32" t="s">
        <v>3</v>
      </c>
    </row>
    <row r="18" spans="1:22" ht="26.25" x14ac:dyDescent="0.4">
      <c r="A18" s="30" t="s">
        <v>50</v>
      </c>
      <c r="B18" s="20" t="s">
        <v>6</v>
      </c>
      <c r="C18" s="19" t="s">
        <v>7</v>
      </c>
      <c r="D18" s="19" t="s">
        <v>8</v>
      </c>
      <c r="E18" s="21" t="s">
        <v>9</v>
      </c>
      <c r="F18" s="22">
        <v>2</v>
      </c>
      <c r="G18" s="22">
        <v>3</v>
      </c>
      <c r="H18" s="22">
        <v>4</v>
      </c>
      <c r="I18" s="22">
        <v>5</v>
      </c>
      <c r="J18" s="22">
        <v>6</v>
      </c>
      <c r="K18" s="22">
        <v>7</v>
      </c>
      <c r="L18" s="22">
        <v>8</v>
      </c>
      <c r="M18" s="22">
        <v>9</v>
      </c>
      <c r="N18" s="22" t="s">
        <v>10</v>
      </c>
    </row>
    <row r="19" spans="1:22" ht="26.25" x14ac:dyDescent="0.4">
      <c r="A19" s="22"/>
      <c r="B19" s="22"/>
      <c r="C19" s="22"/>
      <c r="D19" s="22"/>
      <c r="E19" s="22">
        <v>1</v>
      </c>
      <c r="F19" s="22">
        <v>0</v>
      </c>
      <c r="G19" s="22">
        <v>0</v>
      </c>
      <c r="H19" s="22">
        <v>0</v>
      </c>
      <c r="I19" s="22">
        <v>1</v>
      </c>
      <c r="J19" s="22">
        <v>0</v>
      </c>
      <c r="K19" s="22">
        <v>0</v>
      </c>
      <c r="L19" s="22">
        <v>0</v>
      </c>
      <c r="M19" s="22">
        <v>1</v>
      </c>
      <c r="N19" s="23" t="s">
        <v>4</v>
      </c>
    </row>
    <row r="20" spans="1:22" s="91" customFormat="1" x14ac:dyDescent="0.35">
      <c r="A20" s="92" t="s">
        <v>688</v>
      </c>
      <c r="B20" s="91">
        <v>0</v>
      </c>
      <c r="C20" s="91">
        <v>0</v>
      </c>
      <c r="D20" s="91">
        <v>-1.7450000000000001E-4</v>
      </c>
      <c r="E20" s="91">
        <v>1</v>
      </c>
      <c r="F20" s="91">
        <v>0</v>
      </c>
      <c r="G20" s="91">
        <v>0</v>
      </c>
      <c r="H20" s="91">
        <v>0</v>
      </c>
      <c r="I20" s="91">
        <v>1</v>
      </c>
      <c r="J20" s="91">
        <v>0</v>
      </c>
      <c r="K20" s="91">
        <v>0</v>
      </c>
      <c r="L20" s="91">
        <v>0</v>
      </c>
      <c r="M20" s="91">
        <v>1</v>
      </c>
      <c r="N20" s="91">
        <v>0</v>
      </c>
      <c r="O20" s="91">
        <v>-60</v>
      </c>
      <c r="P20" s="91" t="s">
        <v>689</v>
      </c>
    </row>
    <row r="21" spans="1:22" ht="13.15" thickBot="1" x14ac:dyDescent="0.4"/>
    <row r="22" spans="1:22" ht="13.5" thickBot="1" x14ac:dyDescent="0.45">
      <c r="A22" s="32" t="s">
        <v>5</v>
      </c>
    </row>
    <row r="23" spans="1:22" ht="26.25" x14ac:dyDescent="0.4">
      <c r="A23" s="29" t="s">
        <v>50</v>
      </c>
      <c r="B23" s="25" t="s">
        <v>11</v>
      </c>
      <c r="C23" s="25" t="s">
        <v>12</v>
      </c>
      <c r="D23" s="24" t="s">
        <v>13</v>
      </c>
      <c r="E23" s="24" t="s">
        <v>14</v>
      </c>
      <c r="F23" s="24" t="s">
        <v>15</v>
      </c>
      <c r="G23" s="26" t="s">
        <v>16</v>
      </c>
      <c r="H23" s="25" t="s">
        <v>17</v>
      </c>
      <c r="I23" s="25" t="s">
        <v>18</v>
      </c>
      <c r="J23" s="24" t="s">
        <v>19</v>
      </c>
      <c r="K23" s="25" t="s">
        <v>20</v>
      </c>
      <c r="L23" s="25" t="s">
        <v>21</v>
      </c>
      <c r="M23" s="24" t="s">
        <v>22</v>
      </c>
      <c r="N23" s="24" t="s">
        <v>9</v>
      </c>
      <c r="O23" s="24">
        <v>2</v>
      </c>
      <c r="P23" s="24">
        <v>3</v>
      </c>
      <c r="Q23" s="24">
        <v>4</v>
      </c>
      <c r="R23" s="24">
        <v>5</v>
      </c>
      <c r="S23" s="24">
        <v>6</v>
      </c>
      <c r="T23" s="24">
        <v>7</v>
      </c>
      <c r="U23" s="24">
        <v>8</v>
      </c>
      <c r="V23" s="24">
        <v>9</v>
      </c>
    </row>
    <row r="24" spans="1:22" ht="13.15" x14ac:dyDescent="0.4">
      <c r="A24" s="27"/>
      <c r="B24" s="27"/>
      <c r="C24" s="27"/>
      <c r="D24" s="27"/>
      <c r="E24" s="28"/>
      <c r="F24" s="27"/>
      <c r="G24" s="27" t="s">
        <v>23</v>
      </c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</row>
    <row r="26" spans="1:22" x14ac:dyDescent="0.35">
      <c r="A26" t="s">
        <v>679</v>
      </c>
    </row>
    <row r="27" spans="1:22" x14ac:dyDescent="0.35">
      <c r="A27" t="s">
        <v>680</v>
      </c>
    </row>
    <row r="28" spans="1:22" x14ac:dyDescent="0.35">
      <c r="A28"/>
    </row>
    <row r="29" spans="1:22" x14ac:dyDescent="0.35">
      <c r="A29" s="3" t="s">
        <v>241</v>
      </c>
    </row>
    <row r="31" spans="1:22" s="46" customFormat="1" ht="13.15" x14ac:dyDescent="0.4">
      <c r="B31" s="47" t="s">
        <v>535</v>
      </c>
    </row>
    <row r="32" spans="1:22" s="46" customFormat="1" x14ac:dyDescent="0.35">
      <c r="A32" s="46" t="s">
        <v>536</v>
      </c>
      <c r="B32" s="48" t="s">
        <v>93</v>
      </c>
      <c r="C32" s="49" t="s">
        <v>241</v>
      </c>
      <c r="D32" s="50" t="s">
        <v>537</v>
      </c>
    </row>
    <row r="33" spans="1:4" s="46" customFormat="1" x14ac:dyDescent="0.35">
      <c r="B33" s="50" t="s">
        <v>537</v>
      </c>
    </row>
    <row r="35" spans="1:4" s="51" customFormat="1" ht="13.15" x14ac:dyDescent="0.4">
      <c r="B35" s="52" t="s">
        <v>538</v>
      </c>
    </row>
    <row r="36" spans="1:4" s="51" customFormat="1" x14ac:dyDescent="0.35">
      <c r="A36" s="51" t="s">
        <v>539</v>
      </c>
      <c r="B36" s="53" t="s">
        <v>93</v>
      </c>
      <c r="C36" s="54" t="s">
        <v>241</v>
      </c>
    </row>
    <row r="37" spans="1:4" s="51" customFormat="1" x14ac:dyDescent="0.35"/>
    <row r="39" spans="1:4" s="42" customFormat="1" ht="13.15" x14ac:dyDescent="0.4">
      <c r="B39" s="55" t="s">
        <v>540</v>
      </c>
    </row>
    <row r="40" spans="1:4" s="42" customFormat="1" x14ac:dyDescent="0.35">
      <c r="A40" s="42" t="s">
        <v>533</v>
      </c>
      <c r="B40" s="43" t="s">
        <v>93</v>
      </c>
      <c r="C40" s="44" t="s">
        <v>241</v>
      </c>
      <c r="D40" s="45" t="s">
        <v>534</v>
      </c>
    </row>
    <row r="41" spans="1:4" s="42" customFormat="1" x14ac:dyDescent="0.35">
      <c r="B41" s="45" t="s">
        <v>534</v>
      </c>
    </row>
    <row r="43" spans="1:4" s="56" customFormat="1" ht="13.15" x14ac:dyDescent="0.4">
      <c r="B43" s="57" t="s">
        <v>541</v>
      </c>
      <c r="D43" s="46"/>
    </row>
    <row r="44" spans="1:4" s="56" customFormat="1" x14ac:dyDescent="0.35">
      <c r="A44" s="56" t="s">
        <v>542</v>
      </c>
      <c r="B44" s="58" t="s">
        <v>93</v>
      </c>
      <c r="C44" s="59" t="s">
        <v>241</v>
      </c>
      <c r="D44" s="60" t="s">
        <v>543</v>
      </c>
    </row>
    <row r="45" spans="1:4" s="56" customFormat="1" x14ac:dyDescent="0.35">
      <c r="B45" s="60" t="s">
        <v>543</v>
      </c>
    </row>
    <row r="48" spans="1:4" s="56" customFormat="1" ht="13.15" x14ac:dyDescent="0.4">
      <c r="B48" s="57" t="s">
        <v>545</v>
      </c>
      <c r="D48" s="46"/>
    </row>
    <row r="49" spans="1:4" s="56" customFormat="1" x14ac:dyDescent="0.35">
      <c r="A49" s="56" t="s">
        <v>546</v>
      </c>
      <c r="B49" s="58" t="s">
        <v>93</v>
      </c>
      <c r="C49" s="59" t="s">
        <v>241</v>
      </c>
      <c r="D49" s="60" t="s">
        <v>553</v>
      </c>
    </row>
    <row r="50" spans="1:4" s="56" customFormat="1" x14ac:dyDescent="0.35">
      <c r="B50" s="60" t="s">
        <v>543</v>
      </c>
    </row>
    <row r="53" spans="1:4" ht="13.15" x14ac:dyDescent="0.4">
      <c r="A53" s="61" t="s">
        <v>544</v>
      </c>
    </row>
    <row r="54" spans="1:4" ht="13.15" x14ac:dyDescent="0.4">
      <c r="A54" s="61" t="s">
        <v>532</v>
      </c>
      <c r="D54" s="3" t="s">
        <v>547</v>
      </c>
    </row>
    <row r="55" spans="1:4" x14ac:dyDescent="0.35">
      <c r="D55" s="3" t="s">
        <v>548</v>
      </c>
    </row>
    <row r="56" spans="1:4" x14ac:dyDescent="0.35">
      <c r="D56" s="3" t="s">
        <v>549</v>
      </c>
    </row>
    <row r="57" spans="1:4" x14ac:dyDescent="0.35">
      <c r="D57" s="3" t="s">
        <v>550</v>
      </c>
    </row>
    <row r="58" spans="1:4" x14ac:dyDescent="0.35">
      <c r="D58" s="3" t="s">
        <v>551</v>
      </c>
    </row>
    <row r="59" spans="1:4" x14ac:dyDescent="0.35">
      <c r="D59" s="3" t="str">
        <f>CONCATENATE(D54,D55,D56,D57,D58)</f>
        <v>1,"0","329832056.184000","331387266.184000","777605.000000","777605.000000","3.7574775182562327e+09","2.2884300472512627e+06","-8.6143409786839038e+02","-6.9803562389540302e-03","1.1208063573576510e-02","-5.0189739096845199e-03","-6.1434111557900906e-04","1.5195292102136444e-04","2.5044428184628487e-05","-4.2392395342243092e-06","-1.7965212464332581e-06","5.6439330241000217e-07","-1.6298145055770874e-07","777605.000000","777605.000000","-2.2420194352387676e+09","3.3251082935239836e+06","5.0522669632406905e+02","-1.1054931191098281e-01","2.6338882977142930e-02","2.4115760600246471e-03","-7.9355458728969097e-04","-1.0487029736015552e-04","2.5199959054589272e-05","4.4546957477464340e-06","-1.0894145816564560e-06","-4.5893175149977410e-07","4.4703483581542969e-08","777605.000000","777605.000000","-1.0112120507583997e+09","1.3041854263800071e+06","2.2810136320546735e+02","-6.5475331651816723e-02","1.2948765361215919e-02","1.8233148303360828e-03","-3.5934004699811339e-04","-7.1434932093313348e-05","1.1460215318948030e-05","3.2113572505549214e-06","-6.6356733441352844e-09","-4.3736034726477540e-08","3.1804665923118591e-07"</v>
      </c>
    </row>
    <row r="60" spans="1:4" x14ac:dyDescent="0.35">
      <c r="D60" s="62" t="s">
        <v>552</v>
      </c>
    </row>
  </sheetData>
  <phoneticPr fontId="4" type="noConversion"/>
  <dataValidations count="3">
    <dataValidation type="list" allowBlank="1" showInputMessage="1" showErrorMessage="1" sqref="D9" xr:uid="{00000000-0002-0000-0200-000000000000}">
      <formula1>INDIRECT("myName")</formula1>
    </dataValidation>
    <dataValidation type="list" allowBlank="1" showInputMessage="1" showErrorMessage="1" sqref="B49 B32 B36 B40 B44" xr:uid="{00000000-0002-0000-0200-000001000000}">
      <formula1>INDIRECT("dataInstrRange")</formula1>
    </dataValidation>
    <dataValidation type="list" allowBlank="1" showInputMessage="1" showErrorMessage="1" sqref="C49 C40 C36 C32 C44" xr:uid="{00000000-0002-0000-0200-000002000000}">
      <formula1>INDIRECT(B32)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20"/>
  <sheetViews>
    <sheetView workbookViewId="0">
      <selection activeCell="M9" sqref="M9"/>
    </sheetView>
  </sheetViews>
  <sheetFormatPr defaultColWidth="12.19921875" defaultRowHeight="12.75" x14ac:dyDescent="0.35"/>
  <sheetData>
    <row r="1" spans="1:13" x14ac:dyDescent="0.35">
      <c r="A1" s="95"/>
    </row>
    <row r="2" spans="1:13" x14ac:dyDescent="0.35">
      <c r="A2" s="86"/>
    </row>
    <row r="4" spans="1:13" ht="12" customHeight="1" thickBot="1" x14ac:dyDescent="0.4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</row>
    <row r="5" spans="1:13" ht="15" x14ac:dyDescent="0.4">
      <c r="A5" s="167" t="s">
        <v>695</v>
      </c>
      <c r="B5" s="168"/>
      <c r="C5" s="168"/>
      <c r="D5" s="168"/>
      <c r="E5" s="168"/>
      <c r="F5" s="168"/>
      <c r="G5" s="168"/>
      <c r="H5" s="168"/>
      <c r="I5" s="168"/>
      <c r="J5" s="168"/>
      <c r="K5" s="168"/>
      <c r="L5" s="169"/>
    </row>
    <row r="6" spans="1:13" ht="13.15" x14ac:dyDescent="0.4">
      <c r="A6" s="96" t="s">
        <v>696</v>
      </c>
      <c r="B6" s="97" t="s">
        <v>697</v>
      </c>
      <c r="C6" s="170" t="s">
        <v>696</v>
      </c>
      <c r="D6" s="170"/>
      <c r="E6" s="170"/>
      <c r="F6" s="170" t="s">
        <v>697</v>
      </c>
      <c r="G6" s="170"/>
      <c r="H6" s="170"/>
      <c r="I6" s="97" t="s">
        <v>259</v>
      </c>
      <c r="J6" s="98" t="s">
        <v>686</v>
      </c>
      <c r="K6" s="97" t="s">
        <v>687</v>
      </c>
      <c r="L6" s="99" t="s">
        <v>698</v>
      </c>
    </row>
    <row r="7" spans="1:13" ht="13.15" x14ac:dyDescent="0.4">
      <c r="A7" s="96" t="s">
        <v>699</v>
      </c>
      <c r="B7" s="97" t="s">
        <v>699</v>
      </c>
      <c r="C7" s="97" t="s">
        <v>700</v>
      </c>
      <c r="D7" s="97" t="s">
        <v>701</v>
      </c>
      <c r="E7" s="97" t="s">
        <v>690</v>
      </c>
      <c r="F7" s="97" t="s">
        <v>699</v>
      </c>
      <c r="G7" s="97" t="s">
        <v>702</v>
      </c>
      <c r="H7" s="97" t="s">
        <v>703</v>
      </c>
      <c r="I7" s="97"/>
      <c r="J7" s="98"/>
      <c r="K7" s="97"/>
      <c r="L7" s="99" t="s">
        <v>704</v>
      </c>
    </row>
    <row r="8" spans="1:13" ht="14.65" thickBot="1" x14ac:dyDescent="0.5">
      <c r="A8" s="100">
        <v>274.733655</v>
      </c>
      <c r="B8" s="101">
        <v>-20.860143000000001</v>
      </c>
      <c r="C8" s="102">
        <f>FLOOR(A8/360*24,1)</f>
        <v>18</v>
      </c>
      <c r="D8" s="103">
        <f>FLOOR((A8/360*24-C8)*60,1)</f>
        <v>18</v>
      </c>
      <c r="E8" s="104">
        <f>((A8/360*24-C8)*60-D8)*60</f>
        <v>56.077199999991194</v>
      </c>
      <c r="F8" s="103">
        <f>IF(B8&lt;0,CEILING(B8,1),FLOOR(B8,1))</f>
        <v>-20</v>
      </c>
      <c r="G8" s="103">
        <f>FLOOR(ABS(B8-F8)*60,1)</f>
        <v>51</v>
      </c>
      <c r="H8" s="104">
        <f>(ABS(B8-F8)*60-G8)*60</f>
        <v>36.514800000002765</v>
      </c>
      <c r="I8" s="105">
        <f>COS(RADIANS(B8))*COS(RADIANS(A8))</f>
        <v>7.7114666281541289E-2</v>
      </c>
      <c r="J8" s="106">
        <f>COS(RADIANS(B8))*SIN(RADIANS(A8))</f>
        <v>-0.93126507026458982</v>
      </c>
      <c r="K8" s="105">
        <f>SIN(RADIANS(B8))</f>
        <v>-0.35608804690606388</v>
      </c>
      <c r="L8" s="107">
        <f>SQRT(I8^2+J8^2+K8^2)</f>
        <v>1</v>
      </c>
      <c r="M8" t="str">
        <f>CONCATENATE(LEFT(I8,12),",",LEFT(J8,10),",",LEFT(K8,10))</f>
        <v>0.0771146662,-0.9312650,-0.3560880</v>
      </c>
    </row>
    <row r="9" spans="1:13" x14ac:dyDescent="0.35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t="s">
        <v>711</v>
      </c>
    </row>
    <row r="10" spans="1:13" x14ac:dyDescent="0.35">
      <c r="A10" s="83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</row>
    <row r="11" spans="1:13" ht="13.15" x14ac:dyDescent="0.4">
      <c r="A11" s="109" t="s">
        <v>705</v>
      </c>
      <c r="B11" s="83"/>
      <c r="C11" s="83"/>
      <c r="D11" s="83"/>
      <c r="E11" s="2"/>
      <c r="F11" s="83"/>
      <c r="G11" s="83"/>
      <c r="H11" s="83"/>
      <c r="I11" s="83"/>
      <c r="J11" s="83"/>
      <c r="K11" s="83"/>
      <c r="L11" s="83"/>
    </row>
    <row r="12" spans="1:13" ht="13.15" x14ac:dyDescent="0.4">
      <c r="A12" s="84" t="s">
        <v>699</v>
      </c>
      <c r="B12" s="84" t="s">
        <v>694</v>
      </c>
      <c r="C12" s="84" t="s">
        <v>706</v>
      </c>
      <c r="D12" s="84" t="s">
        <v>707</v>
      </c>
      <c r="E12" s="2"/>
      <c r="F12" s="83"/>
      <c r="G12" s="83"/>
      <c r="H12" s="83"/>
      <c r="I12" s="83"/>
      <c r="J12" s="83"/>
      <c r="K12" s="83"/>
      <c r="L12" s="83"/>
    </row>
    <row r="13" spans="1:13" x14ac:dyDescent="0.35">
      <c r="A13" s="108">
        <v>-15</v>
      </c>
      <c r="B13" s="108">
        <v>0</v>
      </c>
      <c r="C13" s="108">
        <f>SIN(RADIANS(A13))</f>
        <v>-0.25881904510252074</v>
      </c>
      <c r="D13" s="108">
        <f>COS(RADIANS(A13))</f>
        <v>0.96592582628906831</v>
      </c>
      <c r="E13" s="2" t="str">
        <f>CONCATENATE(B13,",",LEFT(C13,10),",",LEFT(D13,10))</f>
        <v>0,-0.2588190,0.96592582</v>
      </c>
      <c r="F13" s="83"/>
      <c r="G13" s="83"/>
      <c r="H13" s="83"/>
      <c r="I13" s="83"/>
      <c r="J13" s="83"/>
      <c r="K13" s="83"/>
      <c r="L13" s="83"/>
    </row>
    <row r="14" spans="1:13" x14ac:dyDescent="0.35">
      <c r="A14" s="83"/>
      <c r="B14" s="83"/>
      <c r="C14" s="83"/>
      <c r="D14" s="83"/>
      <c r="E14" s="2" t="s">
        <v>708</v>
      </c>
      <c r="F14" s="83"/>
      <c r="G14" s="83"/>
      <c r="H14" s="83"/>
      <c r="I14" s="83"/>
      <c r="J14" s="83"/>
      <c r="K14" s="83"/>
      <c r="L14" s="83"/>
    </row>
    <row r="15" spans="1:13" x14ac:dyDescent="0.35">
      <c r="A15" s="108">
        <v>-165</v>
      </c>
      <c r="B15" s="108">
        <v>0</v>
      </c>
      <c r="C15" s="108">
        <f>SIN(RADIANS(A15))</f>
        <v>-0.25881904510252102</v>
      </c>
      <c r="D15" s="108">
        <f>COS(RADIANS(A15))</f>
        <v>-0.9659258262890682</v>
      </c>
      <c r="E15" s="2" t="str">
        <f>CONCATENATE(B15,",",LEFT(C15,10),",",LEFT(D15,10))</f>
        <v>0,-0.2588190,-0.9659258</v>
      </c>
      <c r="F15" s="83"/>
      <c r="G15" s="83"/>
      <c r="H15" s="83"/>
      <c r="I15" s="83"/>
      <c r="J15" s="83"/>
      <c r="K15" s="83"/>
      <c r="L15" s="83"/>
    </row>
    <row r="16" spans="1:13" x14ac:dyDescent="0.35">
      <c r="A16" s="83"/>
      <c r="B16" s="83"/>
      <c r="C16" s="83"/>
      <c r="D16" s="83"/>
      <c r="E16" s="2" t="s">
        <v>709</v>
      </c>
      <c r="F16" s="83"/>
      <c r="G16" s="83"/>
      <c r="H16" s="83"/>
      <c r="I16" s="83"/>
      <c r="J16" s="83"/>
      <c r="K16" s="83"/>
      <c r="L16" s="83"/>
    </row>
    <row r="20" spans="1:1" x14ac:dyDescent="0.35">
      <c r="A20" s="86" t="s">
        <v>710</v>
      </c>
    </row>
  </sheetData>
  <mergeCells count="3">
    <mergeCell ref="A5:L5"/>
    <mergeCell ref="C6:E6"/>
    <mergeCell ref="F6:H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V2:Y13"/>
  <sheetViews>
    <sheetView topLeftCell="V1" workbookViewId="0">
      <selection activeCell="V1" sqref="V1"/>
    </sheetView>
  </sheetViews>
  <sheetFormatPr defaultRowHeight="12.75" x14ac:dyDescent="0.35"/>
  <cols>
    <col min="1" max="2" width="2" bestFit="1" customWidth="1"/>
    <col min="3" max="4" width="12" bestFit="1" customWidth="1"/>
    <col min="5" max="6" width="7" bestFit="1" customWidth="1"/>
    <col min="7" max="7" width="9.53125" bestFit="1" customWidth="1"/>
    <col min="8" max="11" width="9" bestFit="1" customWidth="1"/>
    <col min="12" max="12" width="8.46484375" bestFit="1" customWidth="1"/>
    <col min="13" max="13" width="9" bestFit="1" customWidth="1"/>
    <col min="14" max="14" width="8.46484375" bestFit="1" customWidth="1"/>
    <col min="15" max="15" width="9" bestFit="1" customWidth="1"/>
    <col min="16" max="16" width="8.46484375" bestFit="1" customWidth="1"/>
    <col min="17" max="17" width="9" bestFit="1" customWidth="1"/>
    <col min="18" max="19" width="8.46484375" bestFit="1" customWidth="1"/>
    <col min="20" max="21" width="7" bestFit="1" customWidth="1"/>
    <col min="22" max="22" width="24.796875" customWidth="1"/>
    <col min="23" max="23" width="9.53125" bestFit="1" customWidth="1"/>
    <col min="24" max="24" width="9" bestFit="1" customWidth="1"/>
    <col min="25" max="25" width="8.46484375" bestFit="1" customWidth="1"/>
    <col min="26" max="27" width="9" bestFit="1" customWidth="1"/>
    <col min="28" max="28" width="8.46484375" bestFit="1" customWidth="1"/>
    <col min="29" max="29" width="9" bestFit="1" customWidth="1"/>
    <col min="30" max="30" width="8.46484375" bestFit="1" customWidth="1"/>
    <col min="31" max="31" width="9" bestFit="1" customWidth="1"/>
    <col min="32" max="32" width="8.46484375" bestFit="1" customWidth="1"/>
    <col min="33" max="34" width="9" bestFit="1" customWidth="1"/>
    <col min="35" max="36" width="7" bestFit="1" customWidth="1"/>
    <col min="37" max="37" width="9.53125" bestFit="1" customWidth="1"/>
    <col min="38" max="42" width="9" bestFit="1" customWidth="1"/>
    <col min="43" max="43" width="8.46484375" bestFit="1" customWidth="1"/>
    <col min="44" max="44" width="9" bestFit="1" customWidth="1"/>
    <col min="45" max="45" width="8.46484375" bestFit="1" customWidth="1"/>
    <col min="46" max="46" width="9" bestFit="1" customWidth="1"/>
    <col min="47" max="47" width="8.46484375" bestFit="1" customWidth="1"/>
    <col min="48" max="49" width="9" bestFit="1" customWidth="1"/>
  </cols>
  <sheetData>
    <row r="2" spans="22:25" x14ac:dyDescent="0.35">
      <c r="V2" t="s">
        <v>717</v>
      </c>
      <c r="W2" t="s">
        <v>712</v>
      </c>
    </row>
    <row r="3" spans="22:25" x14ac:dyDescent="0.35">
      <c r="V3" t="s">
        <v>718</v>
      </c>
      <c r="W3" t="s">
        <v>713</v>
      </c>
    </row>
    <row r="4" spans="22:25" x14ac:dyDescent="0.35">
      <c r="V4" t="s">
        <v>719</v>
      </c>
      <c r="W4" t="s">
        <v>714</v>
      </c>
    </row>
    <row r="5" spans="22:25" x14ac:dyDescent="0.35">
      <c r="V5" t="s">
        <v>720</v>
      </c>
      <c r="W5" t="s">
        <v>715</v>
      </c>
    </row>
    <row r="6" spans="22:25" x14ac:dyDescent="0.35">
      <c r="V6" t="s">
        <v>721</v>
      </c>
      <c r="W6" t="s">
        <v>716</v>
      </c>
    </row>
    <row r="9" spans="22:25" x14ac:dyDescent="0.35">
      <c r="V9" s="117" t="s">
        <v>717</v>
      </c>
      <c r="W9" s="10" t="s">
        <v>93</v>
      </c>
      <c r="X9" s="8" t="s">
        <v>219</v>
      </c>
      <c r="Y9" t="s">
        <v>712</v>
      </c>
    </row>
    <row r="10" spans="22:25" x14ac:dyDescent="0.35">
      <c r="V10" s="121" t="s">
        <v>718</v>
      </c>
      <c r="W10" s="10" t="s">
        <v>93</v>
      </c>
      <c r="X10" s="8" t="s">
        <v>219</v>
      </c>
      <c r="Y10" t="s">
        <v>713</v>
      </c>
    </row>
    <row r="11" spans="22:25" x14ac:dyDescent="0.35">
      <c r="V11" s="118" t="s">
        <v>719</v>
      </c>
      <c r="W11" s="10" t="s">
        <v>93</v>
      </c>
      <c r="X11" s="8" t="s">
        <v>219</v>
      </c>
      <c r="Y11" t="s">
        <v>714</v>
      </c>
    </row>
    <row r="12" spans="22:25" x14ac:dyDescent="0.35">
      <c r="V12" s="120" t="s">
        <v>720</v>
      </c>
      <c r="W12" s="10" t="s">
        <v>93</v>
      </c>
      <c r="X12" s="8" t="s">
        <v>219</v>
      </c>
      <c r="Y12" t="s">
        <v>715</v>
      </c>
    </row>
    <row r="13" spans="22:25" x14ac:dyDescent="0.35">
      <c r="V13" s="119" t="s">
        <v>721</v>
      </c>
      <c r="W13" s="10" t="s">
        <v>93</v>
      </c>
      <c r="X13" s="8" t="s">
        <v>219</v>
      </c>
      <c r="Y13" t="s">
        <v>716</v>
      </c>
    </row>
  </sheetData>
  <autoFilter ref="W2:W6" xr:uid="{00000000-0009-0000-0000-000004000000}"/>
  <dataValidations count="2">
    <dataValidation type="list" allowBlank="1" showInputMessage="1" showErrorMessage="1" sqref="X9:X13" xr:uid="{00000000-0002-0000-0400-000000000000}">
      <formula1>INDIRECT(W9)</formula1>
    </dataValidation>
    <dataValidation type="list" allowBlank="1" showInputMessage="1" showErrorMessage="1" sqref="W9:W13" xr:uid="{00000000-0002-0000-0400-000001000000}">
      <formula1>INDIRECT("dataInstrRange")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44"/>
  <sheetViews>
    <sheetView topLeftCell="A3" zoomScaleNormal="100" workbookViewId="0">
      <selection activeCell="A3" sqref="A3"/>
    </sheetView>
  </sheetViews>
  <sheetFormatPr defaultColWidth="12" defaultRowHeight="12.75" x14ac:dyDescent="0.35"/>
  <cols>
    <col min="2" max="2" width="23" bestFit="1" customWidth="1"/>
  </cols>
  <sheetData>
    <row r="1" spans="1:9" ht="17.25" x14ac:dyDescent="0.45">
      <c r="A1" s="132"/>
    </row>
    <row r="2" spans="1:9" s="166" customFormat="1" x14ac:dyDescent="0.35"/>
    <row r="3" spans="1:9" ht="17.25" x14ac:dyDescent="0.45">
      <c r="A3" s="132" t="s">
        <v>736</v>
      </c>
    </row>
    <row r="5" spans="1:9" s="136" customFormat="1" ht="13.15" x14ac:dyDescent="0.4">
      <c r="A5" s="138"/>
      <c r="C5" s="139"/>
      <c r="D5" s="139"/>
      <c r="E5" s="139"/>
      <c r="F5" s="139"/>
      <c r="G5" s="139"/>
      <c r="H5" s="140"/>
    </row>
    <row r="6" spans="1:9" s="136" customFormat="1" ht="13.15" x14ac:dyDescent="0.4">
      <c r="A6" s="138"/>
      <c r="B6" s="140"/>
      <c r="C6" s="141" t="s">
        <v>259</v>
      </c>
      <c r="D6" s="142" t="s">
        <v>686</v>
      </c>
      <c r="E6" s="143" t="s">
        <v>687</v>
      </c>
      <c r="F6" s="144" t="s">
        <v>722</v>
      </c>
      <c r="G6" s="145" t="s">
        <v>723</v>
      </c>
      <c r="H6" s="146" t="s">
        <v>724</v>
      </c>
    </row>
    <row r="7" spans="1:9" s="136" customFormat="1" ht="14.25" x14ac:dyDescent="0.45">
      <c r="A7" s="138"/>
      <c r="B7" s="140" t="s">
        <v>725</v>
      </c>
      <c r="C7" s="147" t="s">
        <v>726</v>
      </c>
      <c r="D7" s="148">
        <v>5.4314100000000002E-3</v>
      </c>
      <c r="E7" s="149">
        <v>-3.0378800000000002E-3</v>
      </c>
      <c r="F7" s="150">
        <f>ASIN(D7/COS(G7))</f>
        <v>5.4314617679916063E-3</v>
      </c>
      <c r="G7" s="151">
        <f>ASIN(E7)</f>
        <v>-3.0378846726408057E-3</v>
      </c>
      <c r="H7" s="152">
        <f>4.963571*1024</f>
        <v>5082.696704</v>
      </c>
    </row>
    <row r="8" spans="1:9" s="136" customFormat="1" ht="13.15" x14ac:dyDescent="0.4">
      <c r="A8" s="138"/>
      <c r="B8" s="140"/>
      <c r="C8" s="137"/>
      <c r="D8" s="137"/>
      <c r="E8" s="137"/>
      <c r="F8" s="153"/>
      <c r="G8" s="153"/>
      <c r="H8" s="153"/>
    </row>
    <row r="9" spans="1:9" s="136" customFormat="1" ht="13.15" x14ac:dyDescent="0.4">
      <c r="A9" s="138"/>
      <c r="B9" s="140" t="s">
        <v>733</v>
      </c>
      <c r="C9" s="154" t="s">
        <v>727</v>
      </c>
      <c r="D9" s="154"/>
      <c r="E9" s="154" t="s">
        <v>728</v>
      </c>
      <c r="F9" s="155" t="s">
        <v>722</v>
      </c>
      <c r="G9" s="155" t="s">
        <v>723</v>
      </c>
      <c r="H9" s="155"/>
    </row>
    <row r="10" spans="1:9" s="136" customFormat="1" ht="14.25" x14ac:dyDescent="0.45">
      <c r="A10" s="138"/>
      <c r="B10" s="156" t="s">
        <v>729</v>
      </c>
      <c r="C10" s="157">
        <f>E10/1000000/3.14159*180</f>
        <v>0</v>
      </c>
      <c r="D10" s="158"/>
      <c r="E10" s="159">
        <v>0</v>
      </c>
      <c r="F10" s="160"/>
      <c r="G10" s="160">
        <f>-E10/1000000</f>
        <v>0</v>
      </c>
      <c r="H10" s="153"/>
    </row>
    <row r="11" spans="1:9" s="136" customFormat="1" ht="14.25" x14ac:dyDescent="0.45">
      <c r="A11" s="138"/>
      <c r="B11" s="156" t="s">
        <v>730</v>
      </c>
      <c r="C11" s="157">
        <f>E11/1000000/3.14159*180</f>
        <v>5.7295827908797781E-2</v>
      </c>
      <c r="D11" s="158"/>
      <c r="E11" s="159">
        <f>1*1000</f>
        <v>1000</v>
      </c>
      <c r="F11" s="160">
        <f>E11/1000000</f>
        <v>1E-3</v>
      </c>
      <c r="G11" s="160"/>
      <c r="H11" s="153"/>
    </row>
    <row r="12" spans="1:9" s="136" customFormat="1" ht="13.15" x14ac:dyDescent="0.4">
      <c r="A12" s="138"/>
      <c r="B12" s="140"/>
      <c r="C12" s="137"/>
      <c r="D12" s="137"/>
      <c r="E12" s="161"/>
      <c r="F12" s="137"/>
      <c r="G12" s="137"/>
      <c r="H12" s="137"/>
    </row>
    <row r="13" spans="1:9" s="136" customFormat="1" ht="13.15" x14ac:dyDescent="0.4">
      <c r="A13" s="138"/>
      <c r="B13" s="140" t="s">
        <v>731</v>
      </c>
      <c r="C13" s="137"/>
      <c r="D13" s="137"/>
      <c r="E13" s="137"/>
      <c r="F13" s="162">
        <f>SUM(F7:F12)</f>
        <v>6.4314617679916064E-3</v>
      </c>
      <c r="G13" s="162">
        <f>SUM(G7:G12)</f>
        <v>-3.0378846726408057E-3</v>
      </c>
      <c r="H13" s="155"/>
    </row>
    <row r="14" spans="1:9" s="136" customFormat="1" ht="13.15" x14ac:dyDescent="0.4">
      <c r="A14" s="138"/>
      <c r="B14" s="140" t="s">
        <v>732</v>
      </c>
      <c r="C14" s="163">
        <f>-COS(G13)*COS(F13)</f>
        <v>-0.99997470394839305</v>
      </c>
      <c r="D14" s="164">
        <f>COS(G13)*SIN(F13)</f>
        <v>6.4313877529795591E-3</v>
      </c>
      <c r="E14" s="165">
        <f>SIN(G13)</f>
        <v>-3.0378800000000002E-3</v>
      </c>
      <c r="F14" s="137"/>
      <c r="G14" s="137"/>
      <c r="H14" s="137"/>
      <c r="I14" s="136" t="str">
        <f>CONCATENATE(LEFT(C14,11),",",LEFT(D14,11),",",LEFT(E14,11))</f>
        <v>-0.99997470,0.006431387,-0.00303788</v>
      </c>
    </row>
    <row r="15" spans="1:9" s="136" customFormat="1" ht="13.15" x14ac:dyDescent="0.4">
      <c r="A15" s="138"/>
      <c r="C15" s="137"/>
      <c r="D15" s="137"/>
      <c r="E15" s="137"/>
      <c r="F15" s="137"/>
      <c r="G15" s="137"/>
      <c r="H15" s="137"/>
      <c r="I15" s="136" t="s">
        <v>734</v>
      </c>
    </row>
    <row r="16" spans="1:9" s="134" customFormat="1" ht="13.15" x14ac:dyDescent="0.4">
      <c r="A16" s="133"/>
      <c r="C16" s="135"/>
      <c r="D16" s="135"/>
      <c r="E16" s="135"/>
      <c r="F16" s="135"/>
      <c r="G16" s="135"/>
      <c r="H16" s="135"/>
    </row>
    <row r="17" spans="1:9" ht="17.25" x14ac:dyDescent="0.45">
      <c r="A17" s="132" t="s">
        <v>737</v>
      </c>
    </row>
    <row r="19" spans="1:9" s="136" customFormat="1" ht="13.15" x14ac:dyDescent="0.4">
      <c r="A19" s="138"/>
      <c r="C19" s="139"/>
      <c r="D19" s="139"/>
      <c r="E19" s="139"/>
      <c r="F19" s="139"/>
      <c r="G19" s="139"/>
      <c r="H19" s="140"/>
    </row>
    <row r="20" spans="1:9" s="136" customFormat="1" ht="13.15" x14ac:dyDescent="0.4">
      <c r="A20" s="138"/>
      <c r="B20" s="140"/>
      <c r="C20" s="141" t="s">
        <v>259</v>
      </c>
      <c r="D20" s="142" t="s">
        <v>686</v>
      </c>
      <c r="E20" s="143" t="s">
        <v>687</v>
      </c>
      <c r="F20" s="144" t="s">
        <v>722</v>
      </c>
      <c r="G20" s="145" t="s">
        <v>723</v>
      </c>
      <c r="H20" s="146" t="s">
        <v>724</v>
      </c>
    </row>
    <row r="21" spans="1:9" s="136" customFormat="1" ht="14.25" x14ac:dyDescent="0.45">
      <c r="A21" s="138"/>
      <c r="B21" s="140" t="s">
        <v>725</v>
      </c>
      <c r="C21" s="147" t="s">
        <v>726</v>
      </c>
      <c r="D21" s="148">
        <v>5.4314100000000002E-3</v>
      </c>
      <c r="E21" s="149">
        <v>-3.0378800000000002E-3</v>
      </c>
      <c r="F21" s="150">
        <f>ASIN(D21/COS(G21))</f>
        <v>5.4314617679916063E-3</v>
      </c>
      <c r="G21" s="151">
        <f>ASIN(E21)</f>
        <v>-3.0378846726408057E-3</v>
      </c>
      <c r="H21" s="152">
        <f>4.963571*1024</f>
        <v>5082.696704</v>
      </c>
    </row>
    <row r="22" spans="1:9" s="136" customFormat="1" ht="13.15" x14ac:dyDescent="0.4">
      <c r="A22" s="138"/>
      <c r="B22" s="140"/>
      <c r="C22" s="137"/>
      <c r="D22" s="137"/>
      <c r="E22" s="137"/>
      <c r="F22" s="153"/>
      <c r="G22" s="153"/>
      <c r="H22" s="153"/>
    </row>
    <row r="23" spans="1:9" s="136" customFormat="1" ht="13.15" x14ac:dyDescent="0.4">
      <c r="A23" s="138"/>
      <c r="B23" s="140" t="s">
        <v>733</v>
      </c>
      <c r="C23" s="154" t="s">
        <v>727</v>
      </c>
      <c r="D23" s="154"/>
      <c r="E23" s="154" t="s">
        <v>728</v>
      </c>
      <c r="F23" s="155" t="s">
        <v>722</v>
      </c>
      <c r="G23" s="155" t="s">
        <v>723</v>
      </c>
      <c r="H23" s="155"/>
    </row>
    <row r="24" spans="1:9" s="136" customFormat="1" ht="14.25" x14ac:dyDescent="0.45">
      <c r="A24" s="138"/>
      <c r="B24" s="156" t="s">
        <v>729</v>
      </c>
      <c r="C24" s="157">
        <f>E24/1000000/3.14159*180</f>
        <v>5.7295827908797781E-2</v>
      </c>
      <c r="D24" s="158"/>
      <c r="E24" s="159">
        <f>1*1000</f>
        <v>1000</v>
      </c>
      <c r="F24" s="160"/>
      <c r="G24" s="160">
        <f>-E24/1000000</f>
        <v>-1E-3</v>
      </c>
      <c r="H24" s="153"/>
    </row>
    <row r="25" spans="1:9" s="136" customFormat="1" ht="14.25" x14ac:dyDescent="0.45">
      <c r="A25" s="138"/>
      <c r="B25" s="156" t="s">
        <v>730</v>
      </c>
      <c r="C25" s="157">
        <f>E25/1000000/3.14159*180</f>
        <v>0</v>
      </c>
      <c r="D25" s="158"/>
      <c r="E25" s="159">
        <v>0</v>
      </c>
      <c r="F25" s="160">
        <f>E25/1000000</f>
        <v>0</v>
      </c>
      <c r="G25" s="160"/>
      <c r="H25" s="153"/>
    </row>
    <row r="26" spans="1:9" s="136" customFormat="1" ht="13.15" x14ac:dyDescent="0.4">
      <c r="A26" s="138"/>
      <c r="B26" s="140"/>
      <c r="C26" s="137"/>
      <c r="D26" s="137"/>
      <c r="E26" s="161"/>
      <c r="F26" s="137"/>
      <c r="G26" s="137"/>
      <c r="H26" s="137"/>
    </row>
    <row r="27" spans="1:9" s="136" customFormat="1" ht="13.15" x14ac:dyDescent="0.4">
      <c r="A27" s="138"/>
      <c r="B27" s="140" t="s">
        <v>731</v>
      </c>
      <c r="C27" s="137"/>
      <c r="D27" s="137"/>
      <c r="E27" s="137"/>
      <c r="F27" s="162">
        <f>SUM(F21:F26)</f>
        <v>5.4314617679916063E-3</v>
      </c>
      <c r="G27" s="162">
        <f>SUM(G21:G26)</f>
        <v>-4.0378846726408062E-3</v>
      </c>
      <c r="H27" s="155"/>
    </row>
    <row r="28" spans="1:9" s="136" customFormat="1" ht="13.15" x14ac:dyDescent="0.4">
      <c r="A28" s="138"/>
      <c r="B28" s="140" t="s">
        <v>732</v>
      </c>
      <c r="C28" s="163">
        <f>-COS(G27)*COS(F27)</f>
        <v>-0.99997709752280395</v>
      </c>
      <c r="D28" s="164">
        <f>COS(G27)*SIN(F27)</f>
        <v>5.4313907842500281E-3</v>
      </c>
      <c r="E28" s="165">
        <f>SIN(G27)</f>
        <v>-4.0378737000261447E-3</v>
      </c>
      <c r="F28" s="137"/>
      <c r="G28" s="137"/>
      <c r="H28" s="137"/>
      <c r="I28" s="136" t="str">
        <f>CONCATENATE(LEFT(C28,11),",",LEFT(D28,11),",",LEFT(E28,11))</f>
        <v>-0.99997709,0.005431390,-0.00403787</v>
      </c>
    </row>
    <row r="29" spans="1:9" s="136" customFormat="1" ht="13.15" x14ac:dyDescent="0.4">
      <c r="A29" s="138"/>
      <c r="C29" s="137"/>
      <c r="D29" s="137"/>
      <c r="E29" s="137"/>
      <c r="F29" s="137"/>
      <c r="G29" s="137"/>
      <c r="H29" s="137"/>
      <c r="I29" s="136" t="s">
        <v>735</v>
      </c>
    </row>
    <row r="30" spans="1:9" s="134" customFormat="1" ht="13.15" x14ac:dyDescent="0.4">
      <c r="A30" s="133"/>
      <c r="C30" s="135"/>
      <c r="D30" s="135"/>
      <c r="E30" s="135"/>
      <c r="F30" s="135"/>
      <c r="G30" s="135"/>
      <c r="H30" s="135"/>
    </row>
    <row r="31" spans="1:9" ht="17.25" x14ac:dyDescent="0.45">
      <c r="A31" s="132" t="s">
        <v>738</v>
      </c>
    </row>
    <row r="33" spans="1:9" s="136" customFormat="1" ht="13.15" x14ac:dyDescent="0.4">
      <c r="A33" s="138"/>
      <c r="C33" s="139"/>
      <c r="D33" s="139"/>
      <c r="E33" s="139"/>
      <c r="F33" s="139"/>
      <c r="G33" s="139"/>
      <c r="H33" s="140"/>
    </row>
    <row r="34" spans="1:9" s="136" customFormat="1" ht="13.15" x14ac:dyDescent="0.4">
      <c r="A34" s="138"/>
      <c r="B34" s="140"/>
      <c r="C34" s="141" t="s">
        <v>259</v>
      </c>
      <c r="D34" s="142" t="s">
        <v>686</v>
      </c>
      <c r="E34" s="143" t="s">
        <v>687</v>
      </c>
      <c r="F34" s="144" t="s">
        <v>722</v>
      </c>
      <c r="G34" s="145" t="s">
        <v>723</v>
      </c>
      <c r="H34" s="146" t="s">
        <v>724</v>
      </c>
    </row>
    <row r="35" spans="1:9" s="136" customFormat="1" ht="14.25" x14ac:dyDescent="0.45">
      <c r="A35" s="138"/>
      <c r="B35" s="140" t="s">
        <v>725</v>
      </c>
      <c r="C35" s="147" t="s">
        <v>726</v>
      </c>
      <c r="D35" s="148">
        <v>5.4314100000000002E-3</v>
      </c>
      <c r="E35" s="149">
        <v>-3.0378800000000002E-3</v>
      </c>
      <c r="F35" s="150">
        <f>ASIN(D35/COS(G35))</f>
        <v>5.4314617679916063E-3</v>
      </c>
      <c r="G35" s="151">
        <f>ASIN(E35)</f>
        <v>-3.0378846726408057E-3</v>
      </c>
      <c r="H35" s="152">
        <f>4.963571*1024</f>
        <v>5082.696704</v>
      </c>
    </row>
    <row r="36" spans="1:9" s="136" customFormat="1" ht="13.15" x14ac:dyDescent="0.4">
      <c r="A36" s="138"/>
      <c r="B36" s="140"/>
      <c r="C36" s="137"/>
      <c r="D36" s="137"/>
      <c r="E36" s="137"/>
      <c r="F36" s="153"/>
      <c r="G36" s="153"/>
      <c r="H36" s="153"/>
    </row>
    <row r="37" spans="1:9" s="136" customFormat="1" ht="13.15" x14ac:dyDescent="0.4">
      <c r="A37" s="138"/>
      <c r="B37" s="140" t="s">
        <v>733</v>
      </c>
      <c r="C37" s="154" t="s">
        <v>727</v>
      </c>
      <c r="D37" s="154"/>
      <c r="E37" s="154" t="s">
        <v>728</v>
      </c>
      <c r="F37" s="155" t="s">
        <v>722</v>
      </c>
      <c r="G37" s="155" t="s">
        <v>723</v>
      </c>
      <c r="H37" s="155"/>
    </row>
    <row r="38" spans="1:9" s="136" customFormat="1" ht="14.25" x14ac:dyDescent="0.45">
      <c r="A38" s="138"/>
      <c r="B38" s="156" t="s">
        <v>729</v>
      </c>
      <c r="C38" s="157">
        <f>E38/1000000/3.14159*180</f>
        <v>5.7295827908797781E-2</v>
      </c>
      <c r="D38" s="158"/>
      <c r="E38" s="159">
        <f>1*1000</f>
        <v>1000</v>
      </c>
      <c r="F38" s="160"/>
      <c r="G38" s="160">
        <f>-E38/1000000</f>
        <v>-1E-3</v>
      </c>
      <c r="H38" s="153"/>
    </row>
    <row r="39" spans="1:9" s="136" customFormat="1" ht="14.25" x14ac:dyDescent="0.45">
      <c r="A39" s="138"/>
      <c r="B39" s="156" t="s">
        <v>730</v>
      </c>
      <c r="C39" s="157">
        <f>E39/1000000/3.14159*180</f>
        <v>0</v>
      </c>
      <c r="D39" s="158"/>
      <c r="E39" s="159">
        <v>0</v>
      </c>
      <c r="F39" s="160">
        <f>E39/1000000</f>
        <v>0</v>
      </c>
      <c r="G39" s="160"/>
      <c r="H39" s="153"/>
    </row>
    <row r="40" spans="1:9" s="136" customFormat="1" ht="13.15" x14ac:dyDescent="0.4">
      <c r="A40" s="138"/>
      <c r="B40" s="140"/>
      <c r="C40" s="137"/>
      <c r="D40" s="137"/>
      <c r="E40" s="161"/>
      <c r="F40" s="137"/>
      <c r="G40" s="137"/>
      <c r="H40" s="137"/>
    </row>
    <row r="41" spans="1:9" s="136" customFormat="1" ht="13.15" x14ac:dyDescent="0.4">
      <c r="A41" s="138"/>
      <c r="B41" s="140" t="s">
        <v>731</v>
      </c>
      <c r="C41" s="137"/>
      <c r="D41" s="137"/>
      <c r="E41" s="137"/>
      <c r="F41" s="162">
        <f>SUM(F35:F40)</f>
        <v>5.4314617679916063E-3</v>
      </c>
      <c r="G41" s="162">
        <f>SUM(G35:G40)</f>
        <v>-4.0378846726408062E-3</v>
      </c>
      <c r="H41" s="155"/>
    </row>
    <row r="42" spans="1:9" s="136" customFormat="1" ht="13.15" x14ac:dyDescent="0.4">
      <c r="A42" s="138"/>
      <c r="B42" s="140" t="s">
        <v>732</v>
      </c>
      <c r="C42" s="163">
        <f>-COS(G41)*COS(F41)</f>
        <v>-0.99997709752280395</v>
      </c>
      <c r="D42" s="164">
        <f>COS(G41)*SIN(F41)</f>
        <v>5.4313907842500281E-3</v>
      </c>
      <c r="E42" s="165">
        <f>SIN(G41)</f>
        <v>-4.0378737000261447E-3</v>
      </c>
      <c r="F42" s="137"/>
      <c r="G42" s="137"/>
      <c r="H42" s="137"/>
      <c r="I42" s="136" t="str">
        <f>CONCATENATE(LEFT(C42,11),",",LEFT(D42,11),",",LEFT(E42,11))</f>
        <v>-0.99997709,0.005431390,-0.00403787</v>
      </c>
    </row>
    <row r="43" spans="1:9" s="136" customFormat="1" ht="13.15" x14ac:dyDescent="0.4">
      <c r="A43" s="138"/>
      <c r="C43" s="137"/>
      <c r="D43" s="137"/>
      <c r="E43" s="137"/>
      <c r="F43" s="137"/>
      <c r="G43" s="137"/>
      <c r="H43" s="137"/>
      <c r="I43" s="136" t="s">
        <v>735</v>
      </c>
    </row>
    <row r="44" spans="1:9" s="134" customFormat="1" ht="13.15" x14ac:dyDescent="0.4">
      <c r="A44" s="133"/>
      <c r="C44" s="135"/>
      <c r="D44" s="135"/>
      <c r="E44" s="135"/>
      <c r="F44" s="135"/>
      <c r="G44" s="135"/>
      <c r="H44" s="1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Sequence_PROD</vt:lpstr>
      <vt:lpstr>CAS_Library</vt:lpstr>
      <vt:lpstr>Data</vt:lpstr>
      <vt:lpstr>Mu69 RADec</vt:lpstr>
      <vt:lpstr>CB1_params</vt:lpstr>
      <vt:lpstr>Offsets</vt:lpstr>
      <vt:lpstr>activity</vt:lpstr>
      <vt:lpstr>ALICE</vt:lpstr>
      <vt:lpstr>CDH</vt:lpstr>
      <vt:lpstr>dataInstrRange</vt:lpstr>
      <vt:lpstr>dataStepType</vt:lpstr>
      <vt:lpstr>DSN</vt:lpstr>
      <vt:lpstr>GNC</vt:lpstr>
      <vt:lpstr>LOAD</vt:lpstr>
      <vt:lpstr>LOR</vt:lpstr>
      <vt:lpstr>nonSasf</vt:lpstr>
      <vt:lpstr>note</vt:lpstr>
      <vt:lpstr>OBB</vt:lpstr>
      <vt:lpstr>PEP</vt:lpstr>
      <vt:lpstr>PROP</vt:lpstr>
      <vt:lpstr>RALPH</vt:lpstr>
      <vt:lpstr>REX</vt:lpstr>
      <vt:lpstr>RF</vt:lpstr>
      <vt:lpstr>SDC</vt:lpstr>
      <vt:lpstr>Sequence_PROD!seqCasRange</vt:lpstr>
      <vt:lpstr>Sequence_PROD!seqStepTypeRange</vt:lpstr>
      <vt:lpstr>SSR</vt:lpstr>
      <vt:lpstr>SWAP</vt:lpstr>
      <vt:lpstr>THERM</vt:lpstr>
      <vt:lpstr>TLM</vt:lpstr>
      <vt:lpstr>TRACK</vt:lpstr>
    </vt:vector>
  </TitlesOfParts>
  <Company>SwRI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</dc:creator>
  <cp:lastModifiedBy>Nicole Martin</cp:lastModifiedBy>
  <dcterms:created xsi:type="dcterms:W3CDTF">2006-08-23T16:36:47Z</dcterms:created>
  <dcterms:modified xsi:type="dcterms:W3CDTF">2026-06-08T15:18:19Z</dcterms:modified>
</cp:coreProperties>
</file>