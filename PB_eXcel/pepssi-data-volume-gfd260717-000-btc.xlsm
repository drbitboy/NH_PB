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rian.carcich\Downloads\"/>
    </mc:Choice>
  </mc:AlternateContent>
  <xr:revisionPtr revIDLastSave="0" documentId="8_{A2B6AB6C-3D55-489B-BE75-72ED5E82CC53}" xr6:coauthVersionLast="47" xr6:coauthVersionMax="47" xr10:uidLastSave="{00000000-0000-0000-0000-000000000000}"/>
  <bookViews>
    <workbookView xWindow="75" yWindow="795" windowWidth="28725" windowHeight="14355" xr2:uid="{E37B0ECA-4AF0-4B71-87C1-CCE1D848FFBD}"/>
  </bookViews>
  <sheets>
    <sheet name="PEPSSI Commanding" sheetId="2" r:id="rId1"/>
  </sheets>
  <definedNames>
    <definedName name="_xleta.T" hidden="1" xlm="1">#NAME?</definedName>
    <definedName name="c_\temp\nh_sandbox\">'PEPSSI Commanding'!$B$3:$B$4</definedName>
    <definedName name="End_Time">'PEPSSI Commanding'!$B$4</definedName>
    <definedName name="ExternalData_1" localSheetId="0" hidden="1">'PEPSSI Commanding'!$A$13:$D$37</definedName>
    <definedName name="Start_Time">'PEPSSI Commanding'!$B$3</definedName>
    <definedName name="Statesim_Files_Directory">'PEPSSI Commanding'!$B$2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F14" i="2" l="1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M36" i="2" s="1"/>
  <c r="X36" i="2" s="1"/>
  <c r="F37" i="2"/>
  <c r="G14" i="2"/>
  <c r="G15" i="2"/>
  <c r="G16" i="2" s="1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G28" i="2" s="1"/>
  <c r="G29" i="2" s="1"/>
  <c r="G30" i="2" s="1"/>
  <c r="G31" i="2" s="1"/>
  <c r="G32" i="2" s="1"/>
  <c r="G33" i="2" s="1"/>
  <c r="G34" i="2" s="1"/>
  <c r="G35" i="2" s="1"/>
  <c r="G36" i="2" s="1"/>
  <c r="G37" i="2" s="1"/>
  <c r="H37" i="2"/>
  <c r="I14" i="2"/>
  <c r="I15" i="2"/>
  <c r="I16" i="2" s="1"/>
  <c r="I31" i="2"/>
  <c r="I32" i="2"/>
  <c r="J37" i="2"/>
  <c r="L14" i="2"/>
  <c r="L15" i="2"/>
  <c r="L16" i="2" s="1"/>
  <c r="W16" i="2" s="1"/>
  <c r="AB16" i="2" s="1"/>
  <c r="L18" i="2"/>
  <c r="L19" i="2"/>
  <c r="L20" i="2" s="1"/>
  <c r="W20" i="2" s="1"/>
  <c r="AB20" i="2" s="1"/>
  <c r="L22" i="2"/>
  <c r="L23" i="2"/>
  <c r="L25" i="2"/>
  <c r="L26" i="2" s="1"/>
  <c r="W26" i="2" s="1"/>
  <c r="AB26" i="2" s="1"/>
  <c r="L33" i="2"/>
  <c r="L34" i="2" s="1"/>
  <c r="M14" i="2"/>
  <c r="M16" i="2"/>
  <c r="M20" i="2"/>
  <c r="M24" i="2"/>
  <c r="M32" i="2"/>
  <c r="N14" i="2"/>
  <c r="N15" i="2"/>
  <c r="N16" i="2" s="1"/>
  <c r="N17" i="2"/>
  <c r="N21" i="2"/>
  <c r="N22" i="2" s="1"/>
  <c r="Z22" i="2" s="1"/>
  <c r="N23" i="2"/>
  <c r="Z23" i="2" s="1"/>
  <c r="N26" i="2"/>
  <c r="N27" i="2"/>
  <c r="Z27" i="2" s="1"/>
  <c r="N34" i="2"/>
  <c r="N35" i="2"/>
  <c r="N36" i="2"/>
  <c r="Z36" i="2" s="1"/>
  <c r="O14" i="2"/>
  <c r="O15" i="2"/>
  <c r="O16" i="2"/>
  <c r="O17" i="2" s="1"/>
  <c r="O19" i="2"/>
  <c r="O20" i="2" s="1"/>
  <c r="V20" i="2" s="1"/>
  <c r="O21" i="2"/>
  <c r="O23" i="2"/>
  <c r="O24" i="2" s="1"/>
  <c r="O27" i="2"/>
  <c r="O28" i="2"/>
  <c r="O35" i="2"/>
  <c r="P14" i="2"/>
  <c r="P15" i="2"/>
  <c r="P16" i="2" s="1"/>
  <c r="P17" i="2"/>
  <c r="P18" i="2" s="1"/>
  <c r="P19" i="2" s="1"/>
  <c r="P20" i="2" s="1"/>
  <c r="P29" i="2"/>
  <c r="P30" i="2"/>
  <c r="P31" i="2"/>
  <c r="P32" i="2"/>
  <c r="P33" i="2" s="1"/>
  <c r="P34" i="2" s="1"/>
  <c r="P35" i="2" s="1"/>
  <c r="P36" i="2"/>
  <c r="P37" i="2"/>
  <c r="Q14" i="2"/>
  <c r="Q15" i="2"/>
  <c r="Q30" i="2"/>
  <c r="R14" i="2"/>
  <c r="R15" i="2"/>
  <c r="R28" i="2"/>
  <c r="T14" i="2"/>
  <c r="T16" i="2"/>
  <c r="T20" i="2"/>
  <c r="T36" i="2"/>
  <c r="U14" i="2"/>
  <c r="U16" i="2"/>
  <c r="U20" i="2"/>
  <c r="U36" i="2"/>
  <c r="V14" i="2"/>
  <c r="V15" i="2"/>
  <c r="V16" i="2"/>
  <c r="V19" i="2"/>
  <c r="AQ19" i="2" s="1"/>
  <c r="V23" i="2"/>
  <c r="AQ23" i="2" s="1"/>
  <c r="V27" i="2"/>
  <c r="AQ27" i="2" s="1"/>
  <c r="W14" i="2"/>
  <c r="W15" i="2"/>
  <c r="W18" i="2"/>
  <c r="W19" i="2"/>
  <c r="W22" i="2"/>
  <c r="W25" i="2"/>
  <c r="W33" i="2"/>
  <c r="X14" i="2"/>
  <c r="X16" i="2"/>
  <c r="Y14" i="2"/>
  <c r="Z14" i="2"/>
  <c r="Z15" i="2"/>
  <c r="Z16" i="2"/>
  <c r="Z21" i="2"/>
  <c r="Z26" i="2"/>
  <c r="Z34" i="2"/>
  <c r="Z35" i="2"/>
  <c r="AB14" i="2"/>
  <c r="AB15" i="2"/>
  <c r="AB18" i="2"/>
  <c r="AB19" i="2"/>
  <c r="AB22" i="2"/>
  <c r="AB25" i="2"/>
  <c r="AB33" i="2"/>
  <c r="AC14" i="2"/>
  <c r="AD14" i="2"/>
  <c r="AE14" i="2"/>
  <c r="AF14" i="2"/>
  <c r="AG14" i="2"/>
  <c r="AH14" i="2"/>
  <c r="AI14" i="2"/>
  <c r="AI16" i="2"/>
  <c r="AI20" i="2"/>
  <c r="AI36" i="2"/>
  <c r="AJ14" i="2"/>
  <c r="AJ16" i="2"/>
  <c r="AJ20" i="2"/>
  <c r="AK14" i="2"/>
  <c r="AL14" i="2"/>
  <c r="AM14" i="2"/>
  <c r="AN14" i="2"/>
  <c r="AO14" i="2"/>
  <c r="AP14" i="2"/>
  <c r="AQ14" i="2"/>
  <c r="AQ15" i="2"/>
  <c r="AQ20" i="2"/>
  <c r="AR14" i="2"/>
  <c r="AR15" i="2"/>
  <c r="AR19" i="2"/>
  <c r="AR20" i="2"/>
  <c r="AS14" i="2"/>
  <c r="AS15" i="2"/>
  <c r="AT14" i="2"/>
  <c r="AT15" i="2"/>
  <c r="AU14" i="2"/>
  <c r="AV14" i="2"/>
  <c r="AW14" i="2"/>
  <c r="AX14" i="2"/>
  <c r="AY14" i="2"/>
  <c r="AY16" i="2"/>
  <c r="AY20" i="2"/>
  <c r="AZ14" i="2"/>
  <c r="AZ16" i="2"/>
  <c r="AZ20" i="2"/>
  <c r="BA14" i="2"/>
  <c r="BB14" i="2"/>
  <c r="BC14" i="2"/>
  <c r="BD14" i="2"/>
  <c r="BE14" i="2"/>
  <c r="BF14" i="2"/>
  <c r="AQ16" i="2" l="1"/>
  <c r="AR16" i="2"/>
  <c r="J36" i="2"/>
  <c r="J35" i="2" s="1"/>
  <c r="Q37" i="2"/>
  <c r="H36" i="2"/>
  <c r="H35" i="2" s="1"/>
  <c r="M37" i="2"/>
  <c r="I33" i="2"/>
  <c r="I34" i="2" s="1"/>
  <c r="I35" i="2" s="1"/>
  <c r="I36" i="2" s="1"/>
  <c r="I37" i="2" s="1"/>
  <c r="M33" i="2"/>
  <c r="M29" i="2"/>
  <c r="R29" i="2"/>
  <c r="R30" i="2" s="1"/>
  <c r="R31" i="2" s="1"/>
  <c r="M25" i="2"/>
  <c r="I21" i="2"/>
  <c r="I22" i="2" s="1"/>
  <c r="M21" i="2"/>
  <c r="I17" i="2"/>
  <c r="I18" i="2" s="1"/>
  <c r="I19" i="2" s="1"/>
  <c r="I20" i="2" s="1"/>
  <c r="M17" i="2"/>
  <c r="O36" i="2"/>
  <c r="V35" i="2"/>
  <c r="O22" i="2"/>
  <c r="V22" i="2" s="1"/>
  <c r="V21" i="2"/>
  <c r="P21" i="2"/>
  <c r="P22" i="2" s="1"/>
  <c r="P23" i="2" s="1"/>
  <c r="P24" i="2" s="1"/>
  <c r="P25" i="2" s="1"/>
  <c r="P26" i="2" s="1"/>
  <c r="P27" i="2" s="1"/>
  <c r="P28" i="2" s="1"/>
  <c r="X20" i="2"/>
  <c r="O29" i="2"/>
  <c r="V28" i="2"/>
  <c r="L24" i="2"/>
  <c r="W24" i="2" s="1"/>
  <c r="AB24" i="2" s="1"/>
  <c r="W23" i="2"/>
  <c r="O18" i="2"/>
  <c r="V18" i="2" s="1"/>
  <c r="V17" i="2"/>
  <c r="U32" i="2"/>
  <c r="T32" i="2"/>
  <c r="X32" i="2"/>
  <c r="O25" i="2"/>
  <c r="V24" i="2"/>
  <c r="U24" i="2"/>
  <c r="T24" i="2"/>
  <c r="X24" i="2"/>
  <c r="N28" i="2"/>
  <c r="N24" i="2"/>
  <c r="L17" i="2"/>
  <c r="W17" i="2" s="1"/>
  <c r="AB17" i="2" s="1"/>
  <c r="AC15" i="2"/>
  <c r="AD15" i="2"/>
  <c r="N37" i="2"/>
  <c r="Z37" i="2" s="1"/>
  <c r="N18" i="2"/>
  <c r="Z17" i="2"/>
  <c r="W34" i="2"/>
  <c r="AB34" i="2" s="1"/>
  <c r="L35" i="2"/>
  <c r="L27" i="2"/>
  <c r="L21" i="2"/>
  <c r="W21" i="2" s="1"/>
  <c r="AB21" i="2" s="1"/>
  <c r="H34" i="2"/>
  <c r="H33" i="2" s="1"/>
  <c r="H32" i="2" s="1"/>
  <c r="H31" i="2" s="1"/>
  <c r="J34" i="2"/>
  <c r="J33" i="2" s="1"/>
  <c r="J32" i="2" s="1"/>
  <c r="J31" i="2" s="1"/>
  <c r="H30" i="2"/>
  <c r="H29" i="2" s="1"/>
  <c r="H28" i="2" s="1"/>
  <c r="H27" i="2" s="1"/>
  <c r="H26" i="2" s="1"/>
  <c r="H25" i="2" s="1"/>
  <c r="H24" i="2" s="1"/>
  <c r="H23" i="2" s="1"/>
  <c r="H22" i="2" s="1"/>
  <c r="H21" i="2" s="1"/>
  <c r="H20" i="2" s="1"/>
  <c r="H19" i="2" s="1"/>
  <c r="H18" i="2" s="1"/>
  <c r="H17" i="2" s="1"/>
  <c r="H16" i="2" s="1"/>
  <c r="H15" i="2" s="1"/>
  <c r="H14" i="2" s="1"/>
  <c r="J30" i="2"/>
  <c r="J29" i="2" s="1"/>
  <c r="J28" i="2" s="1"/>
  <c r="J27" i="2" s="1"/>
  <c r="J26" i="2" s="1"/>
  <c r="J25" i="2" s="1"/>
  <c r="J24" i="2" s="1"/>
  <c r="J23" i="2" s="1"/>
  <c r="J22" i="2" s="1"/>
  <c r="J21" i="2" s="1"/>
  <c r="J20" i="2" s="1"/>
  <c r="J19" i="2" s="1"/>
  <c r="J18" i="2" s="1"/>
  <c r="J17" i="2" s="1"/>
  <c r="J16" i="2" s="1"/>
  <c r="J15" i="2" s="1"/>
  <c r="J14" i="2" s="1"/>
  <c r="Q31" i="2"/>
  <c r="Q32" i="2" s="1"/>
  <c r="Y32" i="2" s="1"/>
  <c r="I23" i="2"/>
  <c r="I24" i="2" s="1"/>
  <c r="I25" i="2" s="1"/>
  <c r="I26" i="2" s="1"/>
  <c r="I27" i="2" s="1"/>
  <c r="I28" i="2" s="1"/>
  <c r="I29" i="2" s="1"/>
  <c r="I30" i="2" s="1"/>
  <c r="R32" i="2"/>
  <c r="R33" i="2" s="1"/>
  <c r="R34" i="2" s="1"/>
  <c r="R16" i="2"/>
  <c r="R17" i="2" s="1"/>
  <c r="R18" i="2" s="1"/>
  <c r="R19" i="2" s="1"/>
  <c r="R20" i="2" s="1"/>
  <c r="R21" i="2" s="1"/>
  <c r="Q16" i="2"/>
  <c r="Q17" i="2" s="1"/>
  <c r="Q18" i="2" s="1"/>
  <c r="Q19" i="2" s="1"/>
  <c r="Q20" i="2" s="1"/>
  <c r="M15" i="2"/>
  <c r="BF7" i="2"/>
  <c r="BD7" i="2"/>
  <c r="BB7" i="2"/>
  <c r="AZ7" i="2"/>
  <c r="AX7" i="2"/>
  <c r="AV7" i="2"/>
  <c r="AT7" i="2"/>
  <c r="AR7" i="2"/>
  <c r="AP7" i="2"/>
  <c r="AN7" i="2"/>
  <c r="AL7" i="2"/>
  <c r="AJ7" i="2"/>
  <c r="AH7" i="2"/>
  <c r="AF7" i="2"/>
  <c r="AD7" i="2"/>
  <c r="AB7" i="2"/>
  <c r="BF6" i="2"/>
  <c r="BE6" i="2"/>
  <c r="BB6" i="2"/>
  <c r="BA6" i="2"/>
  <c r="AX6" i="2"/>
  <c r="AW6" i="2"/>
  <c r="AT6" i="2"/>
  <c r="AS6" i="2"/>
  <c r="AP6" i="2"/>
  <c r="AO6" i="2"/>
  <c r="AL6" i="2"/>
  <c r="AK6" i="2"/>
  <c r="AH6" i="2"/>
  <c r="AG6" i="2"/>
  <c r="AD6" i="2"/>
  <c r="AC6" i="2"/>
  <c r="BF5" i="2"/>
  <c r="BE5" i="2"/>
  <c r="BD5" i="2"/>
  <c r="BC5" i="2"/>
  <c r="AX5" i="2"/>
  <c r="AW5" i="2"/>
  <c r="AV5" i="2"/>
  <c r="AU5" i="2"/>
  <c r="AP5" i="2"/>
  <c r="AO5" i="2"/>
  <c r="AN5" i="2"/>
  <c r="AM5" i="2"/>
  <c r="AH5" i="2"/>
  <c r="AG5" i="2"/>
  <c r="AF5" i="2"/>
  <c r="AE5" i="2"/>
  <c r="BF4" i="2"/>
  <c r="BE4" i="2"/>
  <c r="BD4" i="2"/>
  <c r="BC4" i="2"/>
  <c r="BB4" i="2"/>
  <c r="BA4" i="2"/>
  <c r="AZ4" i="2"/>
  <c r="AY4" i="2"/>
  <c r="AP4" i="2"/>
  <c r="AO4" i="2"/>
  <c r="AN4" i="2"/>
  <c r="AM4" i="2"/>
  <c r="AL4" i="2"/>
  <c r="AK4" i="2"/>
  <c r="AJ4" i="2"/>
  <c r="AI4" i="2"/>
  <c r="BF3" i="2"/>
  <c r="BE3" i="2"/>
  <c r="BD3" i="2"/>
  <c r="BC3" i="2"/>
  <c r="BB3" i="2"/>
  <c r="BA3" i="2"/>
  <c r="AZ3" i="2"/>
  <c r="AY3" i="2"/>
  <c r="AX3" i="2"/>
  <c r="AW3" i="2"/>
  <c r="AV3" i="2"/>
  <c r="AU3" i="2"/>
  <c r="AT3" i="2"/>
  <c r="AS3" i="2"/>
  <c r="AR3" i="2"/>
  <c r="AQ3" i="2"/>
  <c r="Y20" i="2" l="1"/>
  <c r="Q21" i="2"/>
  <c r="Q22" i="2" s="1"/>
  <c r="Q23" i="2" s="1"/>
  <c r="Q24" i="2" s="1"/>
  <c r="AE32" i="2"/>
  <c r="R22" i="2"/>
  <c r="AC21" i="2"/>
  <c r="AD21" i="2"/>
  <c r="R35" i="2"/>
  <c r="X15" i="2"/>
  <c r="T15" i="2"/>
  <c r="Y15" i="2"/>
  <c r="U15" i="2"/>
  <c r="AQ21" i="2"/>
  <c r="AT21" i="2"/>
  <c r="AS21" i="2"/>
  <c r="AR21" i="2"/>
  <c r="AS16" i="2"/>
  <c r="M26" i="2"/>
  <c r="X25" i="2"/>
  <c r="U25" i="2"/>
  <c r="T25" i="2"/>
  <c r="M34" i="2"/>
  <c r="T33" i="2"/>
  <c r="U33" i="2"/>
  <c r="X33" i="2"/>
  <c r="Y37" i="2"/>
  <c r="U37" i="2"/>
  <c r="T37" i="2"/>
  <c r="X37" i="2"/>
  <c r="Y16" i="2"/>
  <c r="AT17" i="2"/>
  <c r="AQ17" i="2"/>
  <c r="AR17" i="2"/>
  <c r="AS17" i="2"/>
  <c r="AC16" i="2"/>
  <c r="AD16" i="2"/>
  <c r="AK16" i="2"/>
  <c r="BB16" i="2"/>
  <c r="AL16" i="2"/>
  <c r="BA16" i="2"/>
  <c r="W27" i="2"/>
  <c r="L28" i="2"/>
  <c r="AC17" i="2"/>
  <c r="AD17" i="2"/>
  <c r="AM32" i="2"/>
  <c r="AI32" i="2"/>
  <c r="AQ18" i="2"/>
  <c r="AR18" i="2"/>
  <c r="AQ28" i="2"/>
  <c r="AT16" i="2"/>
  <c r="AQ22" i="2"/>
  <c r="AT22" i="2"/>
  <c r="AS22" i="2"/>
  <c r="AR22" i="2"/>
  <c r="W35" i="2"/>
  <c r="AB35" i="2" s="1"/>
  <c r="L36" i="2"/>
  <c r="Z18" i="2"/>
  <c r="AT18" i="2" s="1"/>
  <c r="N19" i="2"/>
  <c r="Z24" i="2"/>
  <c r="N25" i="2"/>
  <c r="Z25" i="2" s="1"/>
  <c r="AR24" i="2"/>
  <c r="AY24" i="2"/>
  <c r="AZ24" i="2"/>
  <c r="AQ24" i="2"/>
  <c r="O30" i="2"/>
  <c r="V29" i="2"/>
  <c r="AQ35" i="2"/>
  <c r="M18" i="2"/>
  <c r="T17" i="2"/>
  <c r="BA17" i="2" s="1"/>
  <c r="U17" i="2"/>
  <c r="X17" i="2"/>
  <c r="Y17" i="2" s="1"/>
  <c r="M22" i="2"/>
  <c r="T21" i="2"/>
  <c r="BB21" i="2" s="1"/>
  <c r="X21" i="2"/>
  <c r="Y21" i="2" s="1"/>
  <c r="U21" i="2"/>
  <c r="M30" i="2"/>
  <c r="U29" i="2"/>
  <c r="T29" i="2"/>
  <c r="X29" i="2"/>
  <c r="Q33" i="2"/>
  <c r="Q34" i="2" s="1"/>
  <c r="Q35" i="2" s="1"/>
  <c r="Q36" i="2" s="1"/>
  <c r="Y36" i="2" s="1"/>
  <c r="Z28" i="2"/>
  <c r="N29" i="2"/>
  <c r="AI24" i="2"/>
  <c r="AJ24" i="2"/>
  <c r="O26" i="2"/>
  <c r="V26" i="2" s="1"/>
  <c r="V25" i="2"/>
  <c r="AB23" i="2"/>
  <c r="AR23" i="2"/>
  <c r="V36" i="2"/>
  <c r="O37" i="2"/>
  <c r="V37" i="2" s="1"/>
  <c r="AE8" i="2"/>
  <c r="AE12" i="2" s="1"/>
  <c r="AC8" i="2"/>
  <c r="AC12" i="2" s="1"/>
  <c r="AF8" i="2"/>
  <c r="AF12" i="2" s="1"/>
  <c r="AG8" i="2"/>
  <c r="AG12" i="2" s="1"/>
  <c r="AZ8" i="2"/>
  <c r="AZ12" i="2" s="1"/>
  <c r="AY8" i="2"/>
  <c r="AY12" i="2" s="1"/>
  <c r="AB8" i="2"/>
  <c r="AB12" i="2" s="1"/>
  <c r="AQ8" i="2"/>
  <c r="AQ12" i="2" s="1"/>
  <c r="BF8" i="2"/>
  <c r="BF12" i="2" s="1"/>
  <c r="BE8" i="2"/>
  <c r="BE12" i="2" s="1"/>
  <c r="AO8" i="2"/>
  <c r="AO12" i="2" s="1"/>
  <c r="BB8" i="2"/>
  <c r="BB12" i="2" s="1"/>
  <c r="AW8" i="2"/>
  <c r="AW12" i="2" s="1"/>
  <c r="AK8" i="2"/>
  <c r="AK12" i="2" s="1"/>
  <c r="AD8" i="2"/>
  <c r="AD12" i="2" s="1"/>
  <c r="AR8" i="2"/>
  <c r="AR12" i="2" s="1"/>
  <c r="AH8" i="2"/>
  <c r="AH12" i="2" s="1"/>
  <c r="BA8" i="2"/>
  <c r="BA12" i="2" s="1"/>
  <c r="AL8" i="2"/>
  <c r="AL12" i="2" s="1"/>
  <c r="AP8" i="2"/>
  <c r="AP12" i="2" s="1"/>
  <c r="AN8" i="2"/>
  <c r="AN12" i="2" s="1"/>
  <c r="AT8" i="2"/>
  <c r="AT12" i="2" s="1"/>
  <c r="AV8" i="2"/>
  <c r="AV12" i="2" s="1"/>
  <c r="AX8" i="2"/>
  <c r="AX12" i="2" s="1"/>
  <c r="AI8" i="2"/>
  <c r="AI12" i="2" s="1"/>
  <c r="AM8" i="2"/>
  <c r="AM12" i="2" s="1"/>
  <c r="AS8" i="2"/>
  <c r="AS12" i="2" s="1"/>
  <c r="AU8" i="2"/>
  <c r="AU12" i="2" s="1"/>
  <c r="BC8" i="2"/>
  <c r="BC12" i="2" s="1"/>
  <c r="BD8" i="2"/>
  <c r="BD12" i="2" s="1"/>
  <c r="AJ8" i="2"/>
  <c r="AJ12" i="2" s="1"/>
  <c r="AE17" i="2" l="1"/>
  <c r="AG17" i="2"/>
  <c r="AF17" i="2"/>
  <c r="AH17" i="2"/>
  <c r="AV17" i="2"/>
  <c r="AW17" i="2"/>
  <c r="AX17" i="2"/>
  <c r="AU17" i="2"/>
  <c r="AE21" i="2"/>
  <c r="AG21" i="2"/>
  <c r="AF21" i="2"/>
  <c r="AH21" i="2"/>
  <c r="AU21" i="2"/>
  <c r="AV21" i="2"/>
  <c r="AW21" i="2"/>
  <c r="AX21" i="2"/>
  <c r="T18" i="2"/>
  <c r="U18" i="2"/>
  <c r="X18" i="2"/>
  <c r="Y18" i="2" s="1"/>
  <c r="M19" i="2"/>
  <c r="AS18" i="2"/>
  <c r="L29" i="2"/>
  <c r="W28" i="2"/>
  <c r="BC17" i="2"/>
  <c r="AY17" i="2"/>
  <c r="AE16" i="2"/>
  <c r="AG16" i="2"/>
  <c r="AM16" i="2"/>
  <c r="AO16" i="2"/>
  <c r="AN16" i="2"/>
  <c r="AH16" i="2"/>
  <c r="BC16" i="2"/>
  <c r="BD16" i="2"/>
  <c r="BE16" i="2"/>
  <c r="BF16" i="2"/>
  <c r="AF16" i="2"/>
  <c r="AP16" i="2"/>
  <c r="AX16" i="2"/>
  <c r="AV16" i="2"/>
  <c r="AU16" i="2"/>
  <c r="AW16" i="2"/>
  <c r="AI33" i="2"/>
  <c r="AJ33" i="2"/>
  <c r="BF21" i="2"/>
  <c r="AQ36" i="2"/>
  <c r="AY36" i="2"/>
  <c r="N30" i="2"/>
  <c r="Z29" i="2"/>
  <c r="AK21" i="2"/>
  <c r="AM21" i="2"/>
  <c r="AO21" i="2"/>
  <c r="AJ21" i="2"/>
  <c r="AP21" i="2"/>
  <c r="AN21" i="2"/>
  <c r="AI21" i="2"/>
  <c r="AL21" i="2"/>
  <c r="AQ29" i="2"/>
  <c r="AY29" i="2"/>
  <c r="BA29" i="2"/>
  <c r="AS29" i="2"/>
  <c r="N20" i="2"/>
  <c r="Z20" i="2" s="1"/>
  <c r="Z19" i="2"/>
  <c r="AB27" i="2"/>
  <c r="AR27" i="2"/>
  <c r="BF17" i="2"/>
  <c r="BB17" i="2"/>
  <c r="T34" i="2"/>
  <c r="U34" i="2"/>
  <c r="X34" i="2"/>
  <c r="Y34" i="2" s="1"/>
  <c r="M35" i="2"/>
  <c r="BE21" i="2"/>
  <c r="BA21" i="2"/>
  <c r="AE15" i="2"/>
  <c r="AF15" i="2"/>
  <c r="AG15" i="2"/>
  <c r="AH15" i="2"/>
  <c r="AU15" i="2"/>
  <c r="AV15" i="2"/>
  <c r="AW15" i="2"/>
  <c r="AX15" i="2"/>
  <c r="R23" i="2"/>
  <c r="AC22" i="2"/>
  <c r="AD22" i="2"/>
  <c r="AQ26" i="2"/>
  <c r="AR26" i="2"/>
  <c r="AK29" i="2"/>
  <c r="AI29" i="2"/>
  <c r="V30" i="2"/>
  <c r="O31" i="2"/>
  <c r="BE17" i="2"/>
  <c r="AI37" i="2"/>
  <c r="AI25" i="2"/>
  <c r="AJ25" i="2"/>
  <c r="T26" i="2"/>
  <c r="AZ26" i="2" s="1"/>
  <c r="U26" i="2"/>
  <c r="X26" i="2"/>
  <c r="M27" i="2"/>
  <c r="BD21" i="2"/>
  <c r="AZ21" i="2"/>
  <c r="AI15" i="2"/>
  <c r="AJ15" i="2"/>
  <c r="AK15" i="2"/>
  <c r="AL15" i="2"/>
  <c r="AM15" i="2"/>
  <c r="AN15" i="2"/>
  <c r="AO15" i="2"/>
  <c r="AP15" i="2"/>
  <c r="AY15" i="2"/>
  <c r="AZ15" i="2"/>
  <c r="BA15" i="2"/>
  <c r="BB15" i="2"/>
  <c r="BC15" i="2"/>
  <c r="BD15" i="2"/>
  <c r="BE15" i="2"/>
  <c r="BF15" i="2"/>
  <c r="R36" i="2"/>
  <c r="AS36" i="2" s="1"/>
  <c r="Q25" i="2"/>
  <c r="Y24" i="2"/>
  <c r="T30" i="2"/>
  <c r="U30" i="2"/>
  <c r="X30" i="2"/>
  <c r="Y30" i="2"/>
  <c r="M31" i="2"/>
  <c r="AD18" i="2"/>
  <c r="AC18" i="2"/>
  <c r="AY37" i="2"/>
  <c r="AQ37" i="2"/>
  <c r="AQ25" i="2"/>
  <c r="AR25" i="2"/>
  <c r="AY25" i="2"/>
  <c r="AZ25" i="2"/>
  <c r="T22" i="2"/>
  <c r="U22" i="2"/>
  <c r="X22" i="2"/>
  <c r="Y22" i="2"/>
  <c r="M23" i="2"/>
  <c r="AI17" i="2"/>
  <c r="AK17" i="2"/>
  <c r="AM17" i="2"/>
  <c r="AO17" i="2"/>
  <c r="AP17" i="2"/>
  <c r="AN17" i="2"/>
  <c r="AJ17" i="2"/>
  <c r="AL17" i="2"/>
  <c r="AR35" i="2"/>
  <c r="W36" i="2"/>
  <c r="L37" i="2"/>
  <c r="W37" i="2" s="1"/>
  <c r="AB37" i="2" s="1"/>
  <c r="BD17" i="2"/>
  <c r="AZ17" i="2"/>
  <c r="Y33" i="2"/>
  <c r="BC21" i="2"/>
  <c r="AY21" i="2"/>
  <c r="AF20" i="2"/>
  <c r="AH20" i="2"/>
  <c r="AN20" i="2"/>
  <c r="AP20" i="2"/>
  <c r="AG20" i="2"/>
  <c r="AM20" i="2"/>
  <c r="BC20" i="2"/>
  <c r="BD20" i="2"/>
  <c r="BE20" i="2"/>
  <c r="BF20" i="2"/>
  <c r="AU20" i="2"/>
  <c r="AW20" i="2"/>
  <c r="AX20" i="2"/>
  <c r="AE20" i="2"/>
  <c r="AO20" i="2"/>
  <c r="AV20" i="2"/>
  <c r="AF34" i="2" l="1"/>
  <c r="AE34" i="2"/>
  <c r="AH34" i="2"/>
  <c r="AG34" i="2"/>
  <c r="AF18" i="2"/>
  <c r="AH18" i="2"/>
  <c r="AG18" i="2"/>
  <c r="AE18" i="2"/>
  <c r="AV18" i="2"/>
  <c r="AX18" i="2"/>
  <c r="AU18" i="2"/>
  <c r="AW18" i="2"/>
  <c r="AE30" i="2"/>
  <c r="AE33" i="2"/>
  <c r="AF33" i="2"/>
  <c r="Q26" i="2"/>
  <c r="Y25" i="2"/>
  <c r="AQ30" i="2"/>
  <c r="AU30" i="2"/>
  <c r="BC30" i="2"/>
  <c r="AY30" i="2"/>
  <c r="U35" i="2"/>
  <c r="X35" i="2"/>
  <c r="Y35" i="2"/>
  <c r="T35" i="2"/>
  <c r="AJ34" i="2"/>
  <c r="AL34" i="2"/>
  <c r="AN34" i="2"/>
  <c r="AP34" i="2"/>
  <c r="AO34" i="2"/>
  <c r="AM34" i="2"/>
  <c r="AI34" i="2"/>
  <c r="AK34" i="2"/>
  <c r="AM36" i="2"/>
  <c r="AE36" i="2"/>
  <c r="AC29" i="2"/>
  <c r="BA36" i="2"/>
  <c r="AW36" i="2"/>
  <c r="BE36" i="2"/>
  <c r="AM33" i="2"/>
  <c r="AD36" i="2"/>
  <c r="AL36" i="2"/>
  <c r="AC36" i="2"/>
  <c r="AK36" i="2"/>
  <c r="R37" i="2"/>
  <c r="AB36" i="2"/>
  <c r="AJ36" i="2"/>
  <c r="T23" i="2"/>
  <c r="U23" i="2"/>
  <c r="X23" i="2"/>
  <c r="Y23" i="2" s="1"/>
  <c r="AI22" i="2"/>
  <c r="AK22" i="2"/>
  <c r="AM22" i="2"/>
  <c r="AO22" i="2"/>
  <c r="AL22" i="2"/>
  <c r="AJ22" i="2"/>
  <c r="AP22" i="2"/>
  <c r="AN22" i="2"/>
  <c r="BB22" i="2"/>
  <c r="BC22" i="2"/>
  <c r="BD22" i="2"/>
  <c r="BE22" i="2"/>
  <c r="AY22" i="2"/>
  <c r="BF22" i="2"/>
  <c r="AZ22" i="2"/>
  <c r="BA22" i="2"/>
  <c r="AZ37" i="2"/>
  <c r="X31" i="2"/>
  <c r="Y31" i="2" s="1"/>
  <c r="U31" i="2"/>
  <c r="T31" i="2"/>
  <c r="AI30" i="2"/>
  <c r="AM30" i="2"/>
  <c r="M28" i="2"/>
  <c r="U27" i="2"/>
  <c r="X27" i="2"/>
  <c r="T27" i="2"/>
  <c r="AI26" i="2"/>
  <c r="AJ26" i="2"/>
  <c r="AY26" i="2"/>
  <c r="R24" i="2"/>
  <c r="AS23" i="2"/>
  <c r="AT23" i="2"/>
  <c r="AD23" i="2"/>
  <c r="AC23" i="2"/>
  <c r="AC19" i="2"/>
  <c r="AD19" i="2"/>
  <c r="AS19" i="2"/>
  <c r="AT19" i="2"/>
  <c r="AO36" i="2"/>
  <c r="AG36" i="2"/>
  <c r="Z30" i="2"/>
  <c r="AG30" i="2" s="1"/>
  <c r="N31" i="2"/>
  <c r="AZ36" i="2"/>
  <c r="AV36" i="2"/>
  <c r="BD36" i="2"/>
  <c r="AB28" i="2"/>
  <c r="AR28" i="2"/>
  <c r="AF24" i="2"/>
  <c r="AE24" i="2"/>
  <c r="AH24" i="2"/>
  <c r="AG24" i="2"/>
  <c r="BC24" i="2"/>
  <c r="AW24" i="2"/>
  <c r="AO24" i="2"/>
  <c r="BD24" i="2"/>
  <c r="AX24" i="2"/>
  <c r="AM24" i="2"/>
  <c r="AV24" i="2"/>
  <c r="AP24" i="2"/>
  <c r="AU24" i="2"/>
  <c r="BE24" i="2"/>
  <c r="AN24" i="2"/>
  <c r="BF24" i="2"/>
  <c r="AD20" i="2"/>
  <c r="AC20" i="2"/>
  <c r="AL20" i="2"/>
  <c r="AS20" i="2"/>
  <c r="AK20" i="2"/>
  <c r="BA20" i="2"/>
  <c r="BB20" i="2"/>
  <c r="AT20" i="2"/>
  <c r="AP36" i="2"/>
  <c r="AH36" i="2"/>
  <c r="BF36" i="2"/>
  <c r="AU36" i="2"/>
  <c r="BC36" i="2"/>
  <c r="L30" i="2"/>
  <c r="W29" i="2"/>
  <c r="U19" i="2"/>
  <c r="Y19" i="2"/>
  <c r="T19" i="2"/>
  <c r="X19" i="2"/>
  <c r="AJ18" i="2"/>
  <c r="AL18" i="2"/>
  <c r="AN18" i="2"/>
  <c r="AP18" i="2"/>
  <c r="AI18" i="2"/>
  <c r="AK18" i="2"/>
  <c r="AO18" i="2"/>
  <c r="AM18" i="2"/>
  <c r="BA18" i="2"/>
  <c r="BF18" i="2"/>
  <c r="BB18" i="2"/>
  <c r="BC18" i="2"/>
  <c r="AY18" i="2"/>
  <c r="BD18" i="2"/>
  <c r="BE18" i="2"/>
  <c r="AZ18" i="2"/>
  <c r="AE22" i="2"/>
  <c r="AG22" i="2"/>
  <c r="AF22" i="2"/>
  <c r="AH22" i="2"/>
  <c r="AU22" i="2"/>
  <c r="AV22" i="2"/>
  <c r="AX22" i="2"/>
  <c r="AW22" i="2"/>
  <c r="AR37" i="2"/>
  <c r="AJ37" i="2"/>
  <c r="V31" i="2"/>
  <c r="O32" i="2"/>
  <c r="AD34" i="2"/>
  <c r="AC34" i="2"/>
  <c r="AN36" i="2"/>
  <c r="AF36" i="2"/>
  <c r="AT36" i="2"/>
  <c r="AX36" i="2"/>
  <c r="AR36" i="2"/>
  <c r="BB36" i="2"/>
  <c r="AN33" i="2"/>
  <c r="AE23" i="2" l="1"/>
  <c r="AF23" i="2"/>
  <c r="AG23" i="2"/>
  <c r="AH23" i="2"/>
  <c r="AU23" i="2"/>
  <c r="AV23" i="2"/>
  <c r="AW23" i="2"/>
  <c r="AX23" i="2"/>
  <c r="AE31" i="2"/>
  <c r="V32" i="2"/>
  <c r="O33" i="2"/>
  <c r="AB29" i="2"/>
  <c r="AZ29" i="2"/>
  <c r="AR29" i="2"/>
  <c r="AJ29" i="2"/>
  <c r="BB29" i="2"/>
  <c r="AL29" i="2"/>
  <c r="AT29" i="2"/>
  <c r="N32" i="2"/>
  <c r="Z31" i="2"/>
  <c r="R25" i="2"/>
  <c r="AL24" i="2"/>
  <c r="AK24" i="2"/>
  <c r="BB24" i="2"/>
  <c r="AT24" i="2"/>
  <c r="BA24" i="2"/>
  <c r="AD24" i="2"/>
  <c r="AC24" i="2"/>
  <c r="AS24" i="2"/>
  <c r="AO30" i="2"/>
  <c r="AI31" i="2"/>
  <c r="AK31" i="2"/>
  <c r="AM31" i="2"/>
  <c r="AO31" i="2"/>
  <c r="AI23" i="2"/>
  <c r="AJ23" i="2"/>
  <c r="AK23" i="2"/>
  <c r="AL23" i="2"/>
  <c r="AM23" i="2"/>
  <c r="AN23" i="2"/>
  <c r="AO23" i="2"/>
  <c r="AP23" i="2"/>
  <c r="AY23" i="2"/>
  <c r="AZ23" i="2"/>
  <c r="BA23" i="2"/>
  <c r="BB23" i="2"/>
  <c r="BC23" i="2"/>
  <c r="BD23" i="2"/>
  <c r="BE23" i="2"/>
  <c r="BF23" i="2"/>
  <c r="AS35" i="2"/>
  <c r="AT35" i="2"/>
  <c r="AC35" i="2"/>
  <c r="AD35" i="2"/>
  <c r="BE30" i="2"/>
  <c r="AS30" i="2"/>
  <c r="AQ31" i="2"/>
  <c r="AS31" i="2"/>
  <c r="AU31" i="2"/>
  <c r="AW31" i="2"/>
  <c r="AY31" i="2"/>
  <c r="BA31" i="2"/>
  <c r="BC31" i="2"/>
  <c r="BE31" i="2"/>
  <c r="AI19" i="2"/>
  <c r="AJ19" i="2"/>
  <c r="AK19" i="2"/>
  <c r="AL19" i="2"/>
  <c r="AM19" i="2"/>
  <c r="AN19" i="2"/>
  <c r="AO19" i="2"/>
  <c r="AP19" i="2"/>
  <c r="AY19" i="2"/>
  <c r="AZ19" i="2"/>
  <c r="BA19" i="2"/>
  <c r="BB19" i="2"/>
  <c r="BC19" i="2"/>
  <c r="BD19" i="2"/>
  <c r="BE19" i="2"/>
  <c r="BF19" i="2"/>
  <c r="W30" i="2"/>
  <c r="L31" i="2"/>
  <c r="AC30" i="2"/>
  <c r="AK30" i="2"/>
  <c r="AI35" i="2"/>
  <c r="AJ35" i="2"/>
  <c r="AK35" i="2"/>
  <c r="AL35" i="2"/>
  <c r="AM35" i="2"/>
  <c r="AN35" i="2"/>
  <c r="AO35" i="2"/>
  <c r="AP35" i="2"/>
  <c r="AZ35" i="2"/>
  <c r="BD35" i="2"/>
  <c r="BA35" i="2"/>
  <c r="BE35" i="2"/>
  <c r="BC35" i="2"/>
  <c r="BB35" i="2"/>
  <c r="BF35" i="2"/>
  <c r="AY35" i="2"/>
  <c r="AX30" i="2"/>
  <c r="AE19" i="2"/>
  <c r="AF19" i="2"/>
  <c r="AG19" i="2"/>
  <c r="AH19" i="2"/>
  <c r="AU19" i="2"/>
  <c r="AV19" i="2"/>
  <c r="AW19" i="2"/>
  <c r="AX19" i="2"/>
  <c r="T28" i="2"/>
  <c r="X28" i="2"/>
  <c r="U28" i="2"/>
  <c r="AD29" i="2"/>
  <c r="AE35" i="2"/>
  <c r="AF35" i="2"/>
  <c r="AG35" i="2"/>
  <c r="AH35" i="2"/>
  <c r="AV35" i="2"/>
  <c r="AW35" i="2"/>
  <c r="AU35" i="2"/>
  <c r="AX35" i="2"/>
  <c r="BA30" i="2"/>
  <c r="AF25" i="2"/>
  <c r="AH25" i="2"/>
  <c r="AG25" i="2"/>
  <c r="AE25" i="2"/>
  <c r="BC25" i="2"/>
  <c r="AN25" i="2"/>
  <c r="AV25" i="2"/>
  <c r="AP25" i="2"/>
  <c r="AW25" i="2"/>
  <c r="BE25" i="2"/>
  <c r="AO25" i="2"/>
  <c r="AX25" i="2"/>
  <c r="BF25" i="2"/>
  <c r="AM25" i="2"/>
  <c r="AU25" i="2"/>
  <c r="BD25" i="2"/>
  <c r="AI27" i="2"/>
  <c r="AJ27" i="2"/>
  <c r="AY27" i="2"/>
  <c r="AZ27" i="2"/>
  <c r="AD37" i="2"/>
  <c r="AC37" i="2"/>
  <c r="AH37" i="2"/>
  <c r="AM37" i="2"/>
  <c r="BC37" i="2"/>
  <c r="AE37" i="2"/>
  <c r="AO37" i="2"/>
  <c r="AP37" i="2"/>
  <c r="AG37" i="2"/>
  <c r="AN37" i="2"/>
  <c r="AT37" i="2"/>
  <c r="AV37" i="2"/>
  <c r="BD37" i="2"/>
  <c r="BB37" i="2"/>
  <c r="AF37" i="2"/>
  <c r="AK37" i="2"/>
  <c r="AL37" i="2"/>
  <c r="AS37" i="2"/>
  <c r="AW37" i="2"/>
  <c r="BA37" i="2"/>
  <c r="BE37" i="2"/>
  <c r="AX37" i="2"/>
  <c r="BF37" i="2"/>
  <c r="AU37" i="2"/>
  <c r="BB30" i="2"/>
  <c r="AW30" i="2"/>
  <c r="Q27" i="2"/>
  <c r="Y26" i="2"/>
  <c r="AB30" i="2" l="1"/>
  <c r="AF30" i="2"/>
  <c r="AR30" i="2"/>
  <c r="AZ30" i="2"/>
  <c r="AP30" i="2"/>
  <c r="BD30" i="2"/>
  <c r="AJ30" i="2"/>
  <c r="AV30" i="2"/>
  <c r="AN30" i="2"/>
  <c r="R26" i="2"/>
  <c r="AL25" i="2"/>
  <c r="AK25" i="2"/>
  <c r="BA25" i="2"/>
  <c r="AD25" i="2"/>
  <c r="AT25" i="2"/>
  <c r="AS25" i="2"/>
  <c r="BB25" i="2"/>
  <c r="AC25" i="2"/>
  <c r="AI28" i="2"/>
  <c r="AK28" i="2"/>
  <c r="AL28" i="2"/>
  <c r="AJ28" i="2"/>
  <c r="AY28" i="2"/>
  <c r="AZ28" i="2"/>
  <c r="BA28" i="2"/>
  <c r="BB28" i="2"/>
  <c r="AE26" i="2"/>
  <c r="AG26" i="2"/>
  <c r="AH26" i="2"/>
  <c r="AF26" i="2"/>
  <c r="BE26" i="2"/>
  <c r="AX26" i="2"/>
  <c r="BD26" i="2"/>
  <c r="AU26" i="2"/>
  <c r="AV26" i="2"/>
  <c r="AW26" i="2"/>
  <c r="AP26" i="2"/>
  <c r="AN26" i="2"/>
  <c r="BF26" i="2"/>
  <c r="BC26" i="2"/>
  <c r="AM26" i="2"/>
  <c r="AO26" i="2"/>
  <c r="AH30" i="2"/>
  <c r="AS28" i="2"/>
  <c r="AC28" i="2"/>
  <c r="AD28" i="2"/>
  <c r="AT28" i="2"/>
  <c r="AT30" i="2"/>
  <c r="AC31" i="2"/>
  <c r="AG31" i="2"/>
  <c r="Z32" i="2"/>
  <c r="N33" i="2"/>
  <c r="Z33" i="2" s="1"/>
  <c r="O34" i="2"/>
  <c r="V34" i="2" s="1"/>
  <c r="V33" i="2"/>
  <c r="Q28" i="2"/>
  <c r="Y27" i="2"/>
  <c r="AD30" i="2"/>
  <c r="BF30" i="2"/>
  <c r="AL30" i="2"/>
  <c r="L32" i="2"/>
  <c r="W32" i="2" s="1"/>
  <c r="AT32" i="2" s="1"/>
  <c r="W31" i="2"/>
  <c r="AP31" i="2"/>
  <c r="AQ32" i="2"/>
  <c r="BA32" i="2"/>
  <c r="BE32" i="2"/>
  <c r="AS32" i="2"/>
  <c r="AW32" i="2"/>
  <c r="AY32" i="2"/>
  <c r="BC32" i="2"/>
  <c r="AR32" i="2"/>
  <c r="AU32" i="2"/>
  <c r="AQ33" i="2" l="1"/>
  <c r="AT33" i="2"/>
  <c r="AS33" i="2"/>
  <c r="AV33" i="2"/>
  <c r="AW33" i="2"/>
  <c r="AX33" i="2"/>
  <c r="AY33" i="2"/>
  <c r="AZ33" i="2"/>
  <c r="BA33" i="2"/>
  <c r="BB33" i="2"/>
  <c r="BC33" i="2"/>
  <c r="BD33" i="2"/>
  <c r="BE33" i="2"/>
  <c r="BF33" i="2"/>
  <c r="AR33" i="2"/>
  <c r="AU33" i="2"/>
  <c r="AX32" i="2"/>
  <c r="BF32" i="2"/>
  <c r="AB31" i="2"/>
  <c r="AR31" i="2"/>
  <c r="AV31" i="2"/>
  <c r="AZ31" i="2"/>
  <c r="BD31" i="2"/>
  <c r="AF31" i="2"/>
  <c r="AJ31" i="2"/>
  <c r="AN31" i="2"/>
  <c r="AT31" i="2"/>
  <c r="AX31" i="2"/>
  <c r="BB31" i="2"/>
  <c r="BF31" i="2"/>
  <c r="AR34" i="2"/>
  <c r="AU34" i="2"/>
  <c r="AQ34" i="2"/>
  <c r="AT34" i="2"/>
  <c r="AS34" i="2"/>
  <c r="AV34" i="2"/>
  <c r="AX34" i="2"/>
  <c r="AY34" i="2"/>
  <c r="AZ34" i="2"/>
  <c r="BB34" i="2"/>
  <c r="BD34" i="2"/>
  <c r="BF34" i="2"/>
  <c r="AW34" i="2"/>
  <c r="BA34" i="2"/>
  <c r="BC34" i="2"/>
  <c r="BE34" i="2"/>
  <c r="AD31" i="2"/>
  <c r="AC26" i="2"/>
  <c r="AD26" i="2"/>
  <c r="R27" i="2"/>
  <c r="AG27" i="2" s="1"/>
  <c r="AS26" i="2"/>
  <c r="BA26" i="2"/>
  <c r="BB26" i="2"/>
  <c r="AT26" i="2"/>
  <c r="AK26" i="2"/>
  <c r="AL26" i="2"/>
  <c r="AB32" i="2"/>
  <c r="AF32" i="2"/>
  <c r="AN32" i="2"/>
  <c r="AJ32" i="2"/>
  <c r="AP27" i="2"/>
  <c r="BB32" i="2"/>
  <c r="AC33" i="2"/>
  <c r="AD33" i="2"/>
  <c r="AL33" i="2"/>
  <c r="AK33" i="2"/>
  <c r="AO33" i="2"/>
  <c r="AG33" i="2"/>
  <c r="AH33" i="2"/>
  <c r="AP33" i="2"/>
  <c r="AZ32" i="2"/>
  <c r="AV32" i="2"/>
  <c r="BD32" i="2"/>
  <c r="AL31" i="2"/>
  <c r="Q29" i="2"/>
  <c r="Y29" i="2" s="1"/>
  <c r="Y28" i="2"/>
  <c r="AC32" i="2"/>
  <c r="AD32" i="2"/>
  <c r="AO32" i="2"/>
  <c r="AH32" i="2"/>
  <c r="AL32" i="2"/>
  <c r="AK32" i="2"/>
  <c r="AG32" i="2"/>
  <c r="AP32" i="2"/>
  <c r="AH31" i="2"/>
  <c r="BD27" i="2" l="1"/>
  <c r="AN27" i="2"/>
  <c r="AU27" i="2"/>
  <c r="BC27" i="2"/>
  <c r="BE27" i="2"/>
  <c r="AX27" i="2"/>
  <c r="AH27" i="2"/>
  <c r="AF29" i="2"/>
  <c r="AG29" i="2"/>
  <c r="AH29" i="2"/>
  <c r="AE29" i="2"/>
  <c r="AV29" i="2"/>
  <c r="BD29" i="2"/>
  <c r="AP29" i="2"/>
  <c r="AM29" i="2"/>
  <c r="AW29" i="2"/>
  <c r="BE29" i="2"/>
  <c r="AU29" i="2"/>
  <c r="AX29" i="2"/>
  <c r="BF29" i="2"/>
  <c r="BC29" i="2"/>
  <c r="AN29" i="2"/>
  <c r="AO29" i="2"/>
  <c r="AF27" i="2"/>
  <c r="AM27" i="2"/>
  <c r="AE27" i="2"/>
  <c r="AE28" i="2"/>
  <c r="AG28" i="2"/>
  <c r="AF28" i="2"/>
  <c r="AH28" i="2"/>
  <c r="AX28" i="2"/>
  <c r="AU28" i="2"/>
  <c r="AV28" i="2"/>
  <c r="AW28" i="2"/>
  <c r="AN28" i="2"/>
  <c r="BE28" i="2"/>
  <c r="AM28" i="2"/>
  <c r="AO28" i="2"/>
  <c r="BF28" i="2"/>
  <c r="BD28" i="2"/>
  <c r="AP28" i="2"/>
  <c r="BC28" i="2"/>
  <c r="BF27" i="2"/>
  <c r="AO27" i="2"/>
  <c r="AW27" i="2"/>
  <c r="AS27" i="2"/>
  <c r="AT27" i="2"/>
  <c r="AC27" i="2"/>
  <c r="AD27" i="2"/>
  <c r="AK27" i="2"/>
  <c r="BA27" i="2"/>
  <c r="AL27" i="2"/>
  <c r="BB27" i="2"/>
  <c r="AV27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44901D2-6F30-4769-A1CF-D8EF214D934B}" keepAlive="1" name="Query - DoyToDateTime" description="Connection to the 'DoyToDateTime' query in the workbook." type="5" refreshedVersion="0" background="1">
    <dbPr connection="Provider=Microsoft.Mashup.OleDb.1;Data Source=$Workbook$;Location=DoyToDateTime;Extended Properties=&quot;&quot;" command="SELECT * FROM [DoyToDateTime]"/>
  </connection>
  <connection id="2" xr16:uid="{8B6ED232-E470-4881-9930-F337E10EFAAF}" keepAlive="1" name="Query - fnIsValidStatesimFilename" description="Connection to the 'fnIsValidStatesimFilename' query in the workbook." type="5" refreshedVersion="0" background="1">
    <dbPr connection="Provider=Microsoft.Mashup.OleDb.1;Data Source=$Workbook$;Location=fnIsValidStatesimFilename;Extended Properties=&quot;&quot;" command="SELECT * FROM [fnIsValidStatesimFilename]"/>
  </connection>
  <connection id="3" xr16:uid="{39E04D95-F2FF-44EB-A1A8-751AC71BF5F8}" keepAlive="1" name="Query - fnTransformSingleFile" description="Connection to the 'fnTransformSingleFile' query in the workbook." type="5" refreshedVersion="0" background="1">
    <dbPr connection="Provider=Microsoft.Mashup.OleDb.1;Data Source=$Workbook$;Location=fnTransformSingleFile;Extended Properties=&quot;&quot;" command="SELECT * FROM [fnTransformSingleFile]"/>
  </connection>
  <connection id="4" xr16:uid="{8B16F172-CD33-4974-97F7-2ED5B5CF62DD}" keepAlive="1" name="Query - FolderPath" description="Connection to the 'FolderPath' query in the workbook." type="5" refreshedVersion="0" background="1">
    <dbPr connection="Provider=Microsoft.Mashup.OleDb.1;Data Source=$Workbook$;Location=FolderPath;Extended Properties=&quot;&quot;" command="SELECT * FROM [FolderPath]"/>
  </connection>
  <connection id="5" xr16:uid="{60082B1E-1FE0-4271-9744-A99A32E63B59}" keepAlive="1" name="Query - PEPSSI Commanding" description="Connection to the 'PEPSSI Commanding' query in the workbook." type="5" refreshedVersion="8" background="1" saveData="1">
    <dbPr connection="Provider=Microsoft.Mashup.OleDb.1;Data Source=$Workbook$;Location=&quot;PEPSSI Commanding&quot;;Extended Properties=&quot;&quot;" command="SELECT * FROM [PEPSSI Commanding]"/>
  </connection>
  <connection id="6" xr16:uid="{77774A49-05B1-4AA0-8D8D-F1138D983691}" keepAlive="1" name="Query - SampleFile" description="Connection to the 'SampleFile' query in the workbook." type="5" refreshedVersion="0" background="1">
    <dbPr connection="Provider=Microsoft.Mashup.OleDb.1;Data Source=$Workbook$;Location=SampleFile;Extended Properties=&quot;&quot;" command="SELECT * FROM [SampleFile]"/>
  </connection>
  <connection id="7" xr16:uid="{D5B88F6F-D183-437D-9229-5C45052A2427}" keepAlive="1" name="Query - TemplateSource" description="Connection to the 'TemplateSource' query in the workbook." type="5" refreshedVersion="0" background="1">
    <dbPr connection="Provider=Microsoft.Mashup.OleDb.1;Data Source=$Workbook$;Location=TemplateSource;Extended Properties=&quot;&quot;" command="SELECT * FROM [TemplateSource]"/>
  </connection>
  <connection id="8" xr16:uid="{A296BBC9-E5DF-49DE-AF62-445BA055099A}" keepAlive="1" name="Query - Transform Single File" description="Connection to the 'Transform Single File' query in the workbook." type="5" refreshedVersion="0" background="1" saveData="1">
    <dbPr connection="Provider=Microsoft.Mashup.OleDb.1;Data Source=$Workbook$;Location=&quot;Transform Single File&quot;;Extended Properties=&quot;&quot;" command="SELECT * FROM [Transform Single File]"/>
  </connection>
</connections>
</file>

<file path=xl/sharedStrings.xml><?xml version="1.0" encoding="utf-8"?>
<sst xmlns="http://schemas.openxmlformats.org/spreadsheetml/2006/main" count="164" uniqueCount="96">
  <si>
    <t>Statesim Files Directory</t>
  </si>
  <si>
    <t>c:\temp\nh-sandbox\</t>
  </si>
  <si>
    <t>CommandStr</t>
  </si>
  <si>
    <t>MET</t>
  </si>
  <si>
    <t>cmd</t>
  </si>
  <si>
    <t>arg</t>
  </si>
  <si>
    <t>PEPSSI_LVPS_POWER</t>
  </si>
  <si>
    <t>ON</t>
  </si>
  <si>
    <t/>
  </si>
  <si>
    <t>PEPSSI_MAC_RUN</t>
  </si>
  <si>
    <t>MAC</t>
  </si>
  <si>
    <t>10</t>
  </si>
  <si>
    <t>PEPSSI_SPECTRUM_INTERVAL</t>
  </si>
  <si>
    <t>N2</t>
  </si>
  <si>
    <t>N3</t>
  </si>
  <si>
    <t>300</t>
  </si>
  <si>
    <t>N1</t>
  </si>
  <si>
    <t>PEPSSI_STAT_INT</t>
  </si>
  <si>
    <t>STAT</t>
  </si>
  <si>
    <t>40</t>
  </si>
  <si>
    <t>7200</t>
  </si>
  <si>
    <t>3600</t>
  </si>
  <si>
    <t>360</t>
  </si>
  <si>
    <t>900</t>
  </si>
  <si>
    <t>102</t>
  </si>
  <si>
    <t>104</t>
  </si>
  <si>
    <t>105</t>
  </si>
  <si>
    <t>111</t>
  </si>
  <si>
    <t>103</t>
  </si>
  <si>
    <t>109</t>
  </si>
  <si>
    <t>Measured Avg packet sizes (bits)→</t>
  </si>
  <si>
    <t>HSK3</t>
  </si>
  <si>
    <t>→</t>
  </si>
  <si>
    <t>DT4</t>
  </si>
  <si>
    <t>DT3</t>
  </si>
  <si>
    <t>DT2</t>
  </si>
  <si>
    <t>DT1</t>
  </si>
  <si>
    <t>binary check</t>
  </si>
  <si>
    <r>
      <rPr>
        <sz val="11"/>
        <color theme="1"/>
        <rFont val="Aptos Narrow"/>
        <family val="2"/>
      </rPr>
      <t>→</t>
    </r>
    <r>
      <rPr>
        <sz val="11"/>
        <color theme="1"/>
        <rFont val="Aptos Narrow"/>
        <family val="2"/>
        <scheme val="minor"/>
      </rPr>
      <t>DT4</t>
    </r>
  </si>
  <si>
    <t>→DT3|DT2</t>
  </si>
  <si>
    <t>→HSK3</t>
  </si>
  <si>
    <t>→DT1</t>
  </si>
  <si>
    <t>→DT3</t>
  </si>
  <si>
    <t>→DT2</t>
  </si>
  <si>
    <t>Param</t>
  </si>
  <si>
    <t>Macr/Par</t>
  </si>
  <si>
    <t>Macro</t>
  </si>
  <si>
    <t>SSRRAte</t>
  </si>
  <si>
    <t>ProdRate</t>
  </si>
  <si>
    <t>cmd+arg</t>
  </si>
  <si>
    <t>MET Start</t>
  </si>
  <si>
    <t>MET End</t>
  </si>
  <si>
    <t>Offset fr Start</t>
  </si>
  <si>
    <t>Offset to End</t>
  </si>
  <si>
    <t>N2 disabled</t>
  </si>
  <si>
    <t>105-110
s/12h</t>
  </si>
  <si>
    <t>102
active?</t>
  </si>
  <si>
    <t>TrgAssess
bit/s</t>
  </si>
  <si>
    <t>BRD
bit/s</t>
  </si>
  <si>
    <t>STAT
bit/s</t>
  </si>
  <si>
    <t>N1
bit/s</t>
  </si>
  <si>
    <t>N2
bit/s</t>
  </si>
  <si>
    <t>N3
bit/s</t>
  </si>
  <si>
    <t>_</t>
  </si>
  <si>
    <t>N2
bit/s4</t>
  </si>
  <si>
    <t>DT2DT1</t>
  </si>
  <si>
    <t>DT3DT1</t>
  </si>
  <si>
    <t>DT3DT2</t>
  </si>
  <si>
    <t>DT3DT2DT1</t>
  </si>
  <si>
    <t>DT4DT1</t>
  </si>
  <si>
    <t>DT4DT2</t>
  </si>
  <si>
    <t>DT4DT2DT1</t>
  </si>
  <si>
    <t>DT4DT3</t>
  </si>
  <si>
    <t>DT4DT3DT1</t>
  </si>
  <si>
    <t>DT4DT3DT2</t>
  </si>
  <si>
    <t>DT4DT3DT2DT1</t>
  </si>
  <si>
    <t>HSK3DT1</t>
  </si>
  <si>
    <t>HSK3DT2</t>
  </si>
  <si>
    <t>HSK3DT2DT1</t>
  </si>
  <si>
    <t>HSK3DT3</t>
  </si>
  <si>
    <t>HSK3DT3DT1</t>
  </si>
  <si>
    <t>HSK3DT3DT2</t>
  </si>
  <si>
    <t>HSK3DT3DT2DT1</t>
  </si>
  <si>
    <t>HSK3DT4</t>
  </si>
  <si>
    <t>HSK3DT4DT1</t>
  </si>
  <si>
    <t>HSK3DT4DT2</t>
  </si>
  <si>
    <t>HSK3DT4DT2DT1</t>
  </si>
  <si>
    <t>HSK3DT4DT3</t>
  </si>
  <si>
    <t>HSK3DT4DT3DT1</t>
  </si>
  <si>
    <t>HSK3DT4DT3DT2</t>
  </si>
  <si>
    <t>HSK3DT4DT3DT2DT1</t>
  </si>
  <si>
    <t>_2</t>
  </si>
  <si>
    <t>_3</t>
  </si>
  <si>
    <t>_4</t>
  </si>
  <si>
    <t>1</t>
  </si>
  <si>
    <t>1800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</si>
</sst>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"/>
    <numFmt numFmtId="166" formatCode="_(* #,##0.0000_);_(* \(#,##0.0\);_(* \-??_);_(@_)"/>
  </numFmts>
  <fonts count="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</font>
    <font>
      <b/>
      <sz val="11"/>
      <color theme="1"/>
      <name val="Calibri"/>
      <family val="2"/>
    </font>
    <font>
      <b/>
      <sz val="8"/>
      <color theme="1"/>
      <name val="Calibri"/>
      <family val="2"/>
    </font>
    <font>
      <sz val="9"/>
      <color theme="1"/>
      <name val="Calibri"/>
      <family val="2"/>
    </font>
    <font>
      <sz val="11"/>
      <color theme="1"/>
      <name val="Calibri"/>
      <family val="2"/>
    </font>
    <font>
      <b/>
      <sz val="14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6337778862885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164" fontId="0" fillId="0" borderId="0" xfId="0" applyNumberFormat="1" applyAlignment="1">
      <alignment horizontal="center"/>
    </xf>
    <xf numFmtId="1" fontId="0" fillId="0" borderId="0" xfId="0" applyNumberFormat="1"/>
    <xf numFmtId="164" fontId="0" fillId="0" borderId="0" xfId="0" applyNumberFormat="1"/>
    <xf numFmtId="164" fontId="0" fillId="2" borderId="0" xfId="0" applyNumberFormat="1" applyFill="1"/>
    <xf numFmtId="164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164" fontId="0" fillId="2" borderId="0" xfId="0" applyNumberFormat="1" applyFill="1" applyAlignment="1">
      <alignment horizontal="right"/>
    </xf>
    <xf numFmtId="165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5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2" fillId="0" borderId="0" xfId="0" applyFont="1" applyAlignment="1">
      <alignment horizontal="center" wrapText="1"/>
    </xf>
    <xf numFmtId="1" fontId="2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right" wrapText="1"/>
    </xf>
    <xf numFmtId="1" fontId="2" fillId="0" borderId="0" xfId="0" applyNumberFormat="1" applyFont="1" applyAlignment="1">
      <alignment horizontal="right" wrapText="1"/>
    </xf>
    <xf numFmtId="165" fontId="2" fillId="3" borderId="0" xfId="0" applyNumberFormat="1" applyFont="1" applyFill="1" applyAlignment="1">
      <alignment horizontal="center" wrapText="1"/>
    </xf>
    <xf numFmtId="0" fontId="2" fillId="3" borderId="0" xfId="0" applyFont="1" applyFill="1" applyAlignment="1">
      <alignment horizontal="center" wrapText="1"/>
    </xf>
    <xf numFmtId="0" fontId="2" fillId="4" borderId="0" xfId="0" applyFont="1" applyFill="1" applyAlignment="1">
      <alignment horizontal="center" wrapText="1"/>
    </xf>
    <xf numFmtId="0" fontId="3" fillId="0" borderId="4" xfId="0" applyFont="1" applyBorder="1" applyAlignment="1">
      <alignment horizontal="center" wrapText="1"/>
    </xf>
    <xf numFmtId="0" fontId="3" fillId="0" borderId="5" xfId="0" applyFont="1" applyBorder="1" applyAlignment="1">
      <alignment horizontal="center" wrapText="1"/>
    </xf>
    <xf numFmtId="0" fontId="3" fillId="0" borderId="6" xfId="0" applyFont="1" applyBorder="1" applyAlignment="1">
      <alignment horizontal="center" wrapText="1"/>
    </xf>
    <xf numFmtId="166" fontId="0" fillId="0" borderId="0" xfId="0" applyNumberFormat="1" applyAlignment="1">
      <alignment horizontal="right"/>
    </xf>
    <xf numFmtId="166" fontId="4" fillId="0" borderId="0" xfId="0" applyNumberFormat="1" applyFont="1" applyAlignment="1">
      <alignment horizontal="right"/>
    </xf>
    <xf numFmtId="166" fontId="0" fillId="0" borderId="0" xfId="0" applyNumberFormat="1"/>
    <xf numFmtId="164" fontId="5" fillId="2" borderId="0" xfId="0" applyNumberFormat="1" applyFont="1" applyFill="1" applyAlignment="1">
      <alignment horizontal="right"/>
    </xf>
    <xf numFmtId="0" fontId="0" fillId="5" borderId="0" xfId="0" applyFill="1"/>
    <xf numFmtId="164" fontId="0" fillId="5" borderId="0" xfId="0" applyNumberFormat="1" applyFill="1"/>
    <xf numFmtId="0" fontId="0" fillId="5" borderId="0" xfId="0" applyFill="1" applyAlignment="1">
      <alignment horizontal="right"/>
    </xf>
    <xf numFmtId="1" fontId="0" fillId="5" borderId="0" xfId="0" applyNumberFormat="1" applyFill="1" applyAlignment="1">
      <alignment horizontal="right"/>
    </xf>
  </cellXfs>
  <cellStyles count="1">
    <cellStyle name="Normal" xfId="0" builtinId="0"/>
  </cellStyles>
  <dxfs count="78"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bottom style="thin">
          <color auto="1"/>
        </bottom>
        <vertical/>
        <horizontal/>
      </border>
    </dxf>
    <dxf>
      <border>
        <top style="thin">
          <color auto="1"/>
        </top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border>
        <bottom style="thin">
          <color auto="1"/>
        </bottom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bottom style="thin">
          <color auto="1"/>
        </bottom>
        <vertical/>
        <horizontal/>
      </border>
    </dxf>
    <dxf>
      <border>
        <top style="thin">
          <color auto="1"/>
        </top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border>
        <bottom style="thin">
          <color auto="1"/>
        </bottom>
        <vertical/>
        <horizontal/>
      </border>
    </dxf>
    <dxf>
      <border>
        <top style="thin">
          <color auto="1"/>
        </top>
        <vertical/>
        <horizontal/>
      </border>
    </dxf>
    <dxf>
      <border>
        <bottom style="thin">
          <color auto="1"/>
        </bottom>
        <vertical/>
        <horizontal/>
      </border>
    </dxf>
    <dxf>
      <border>
        <top style="thin">
          <color auto="1"/>
        </top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border>
        <top style="thin">
          <color auto="1"/>
        </top>
        <vertical/>
        <horizontal/>
      </border>
    </dxf>
    <dxf>
      <border>
        <bottom style="thin">
          <color auto="1"/>
        </bottom>
        <vertical/>
        <horizontal/>
      </border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4" formatCode="0.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justifyLastLine="0" shrinkToFit="0" readingOrder="0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6" formatCode="_(* #,##0.0000_);_(* \(#,##0.0\);_(* \-??_);_(@_)"/>
    </dxf>
    <dxf>
      <numFmt numFmtId="164" formatCode="0.0"/>
      <fill>
        <patternFill patternType="solid">
          <fgColor indexed="64"/>
          <bgColor theme="4" tint="0.79998168889431442"/>
        </patternFill>
      </fill>
    </dxf>
    <dxf>
      <numFmt numFmtId="164" formatCode="0.0"/>
      <fill>
        <patternFill patternType="solid">
          <fgColor indexed="64"/>
          <bgColor theme="4" tint="0.79998168889431442"/>
        </patternFill>
      </fill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164" formatCode="0.0"/>
      <fill>
        <patternFill patternType="solid">
          <fgColor indexed="64"/>
          <bgColor theme="4" tint="0.7999816888943144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7</xdr:row>
          <xdr:rowOff>104775</xdr:rowOff>
        </xdr:from>
        <xdr:to>
          <xdr:col>1</xdr:col>
          <xdr:colOff>676275</xdr:colOff>
          <xdr:row>11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ptos Narrow"/>
                </a:rPr>
                <a:t>Refresh Table</a:t>
              </a: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ptos Narrow"/>
                </a:rPr>
                <a:t>(Read Statesim Files)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4C205776-0ABB-47A5-9111-8FEAA22FE1FF}" autoFormatId="16" applyNumberFormats="0" applyBorderFormats="0" applyFontFormats="0" applyPatternFormats="0" applyAlignmentFormats="0" applyWidthHeightFormats="0">
  <queryTableRefresh nextId="68" unboundColumnsRight="54">
    <queryTableFields count="58">
      <queryTableField id="3" name="CommandStr" tableColumnId="3"/>
      <queryTableField id="4" name="MET" tableColumnId="4"/>
      <queryTableField id="5" name="cmd" tableColumnId="5"/>
      <queryTableField id="6" name="arg" tableColumnId="6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  <queryTableField id="34" dataBound="0" tableColumnId="34"/>
      <queryTableField id="35" dataBound="0" tableColumnId="35"/>
      <queryTableField id="36" dataBound="0" tableColumnId="36"/>
      <queryTableField id="37" dataBound="0" tableColumnId="37"/>
      <queryTableField id="38" dataBound="0" tableColumnId="38"/>
      <queryTableField id="39" dataBound="0" tableColumnId="39"/>
      <queryTableField id="40" dataBound="0" tableColumnId="40"/>
      <queryTableField id="41" dataBound="0" tableColumnId="41"/>
      <queryTableField id="42" dataBound="0" tableColumnId="42"/>
      <queryTableField id="43" dataBound="0" tableColumnId="43"/>
      <queryTableField id="44" dataBound="0" tableColumnId="44"/>
      <queryTableField id="45" dataBound="0" tableColumnId="45"/>
      <queryTableField id="46" dataBound="0" tableColumnId="46"/>
      <queryTableField id="47" dataBound="0" tableColumnId="47"/>
      <queryTableField id="48" dataBound="0" tableColumnId="48"/>
      <queryTableField id="49" dataBound="0" tableColumnId="49"/>
      <queryTableField id="50" dataBound="0" tableColumnId="50"/>
      <queryTableField id="51" dataBound="0" tableColumnId="51"/>
      <queryTableField id="52" dataBound="0" tableColumnId="52"/>
      <queryTableField id="53" dataBound="0" tableColumnId="53"/>
      <queryTableField id="54" dataBound="0" tableColumnId="54"/>
      <queryTableField id="55" dataBound="0" tableColumnId="55"/>
      <queryTableField id="56" dataBound="0" tableColumnId="56"/>
      <queryTableField id="57" dataBound="0" tableColumnId="57"/>
      <queryTableField id="58" dataBound="0" tableColumnId="58"/>
      <queryTableField id="59" dataBound="0" tableColumnId="59"/>
      <queryTableField id="60" dataBound="0" tableColumnId="60"/>
      <queryTableField id="61" dataBound="0" tableColumnId="61"/>
      <queryTableField id="62" dataBound="0" tableColumnId="62"/>
      <queryTableField id="63" dataBound="0" tableColumnId="63"/>
      <queryTableField id="64" dataBound="0" tableColumnId="64"/>
      <queryTableField id="65" dataBound="0" tableColumnId="65"/>
      <queryTableField id="66" dataBound="0" tableColumnId="66"/>
      <queryTableField id="67" dataBound="0" tableColumnId="6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13E2D2D-0475-4764-9ED1-02C00E0A549A}" name="PEPSSI_Commanding" displayName="PEPSSI_Commanding" ref="A13:BF37" tableType="queryTable" totalsRowShown="0">
  <tableColumns count="58">
    <tableColumn id="3" xr3:uid="{2388C90F-2358-4631-83F5-0F5E6C4A0452}" uniqueName="3" name="CommandStr" queryTableFieldId="3"/>
    <tableColumn id="4" xr3:uid="{E3799C3A-4B31-4D4E-8397-EE7909C117C2}" uniqueName="4" name="MET" queryTableFieldId="4"/>
    <tableColumn id="5" xr3:uid="{DE120A99-B5F2-4B1A-A22E-A9BEEE9C55B0}" uniqueName="5" name="cmd" queryTableFieldId="5"/>
    <tableColumn id="6" xr3:uid="{19AF7F27-0D9D-4BCE-A533-94878B619783}" uniqueName="6" name="arg" queryTableFieldId="6"/>
    <tableColumn id="14" xr3:uid="{662EB3B0-32F5-402D-80A6-61D3564CADAD}" uniqueName="14" name="_" queryTableFieldId="14" dataDxfId="70"/>
    <tableColumn id="15" xr3:uid="{9C5328F3-FA02-47D1-83DC-B1DBCA9D89BA}" uniqueName="15" name="cmd+arg" queryTableFieldId="15" dataDxfId="69">
      <calculatedColumnFormula>_xlfn.TEXTJOIN("+",TRUE,$C14:$D14)</calculatedColumnFormula>
    </tableColumn>
    <tableColumn id="16" xr3:uid="{F4B97D7B-76B9-472C-BE55-DDF523C91B54}" uniqueName="16" name="MET Start" queryTableFieldId="16" dataDxfId="68">
      <calculatedColumnFormula>IF($C14="ON",$B14,G13)</calculatedColumnFormula>
    </tableColumn>
    <tableColumn id="17" xr3:uid="{75D7A893-75C0-4A6D-8B25-0B595F60D7D7}" uniqueName="17" name="MET End" queryTableFieldId="17" dataDxfId="67">
      <calculatedColumnFormula>IF($C14="OFF",$B14,IF($B15="",$B14+31500000,IF($F15="MAC+111",$B15,H15)))</calculatedColumnFormula>
    </tableColumn>
    <tableColumn id="18" xr3:uid="{FE7FC58F-1F68-4601-9509-6833A5279466}" uniqueName="18" name="Offset fr Start" queryTableFieldId="18" dataDxfId="66">
      <calculatedColumnFormula>IF(OR($C14="ON",$F14="MAC+111"),0,I13+1)</calculatedColumnFormula>
    </tableColumn>
    <tableColumn id="19" xr3:uid="{2E9987EA-D81C-4D54-957D-0506DB032AC5}" uniqueName="19" name="Offset to End" queryTableFieldId="19" dataDxfId="65">
      <calculatedColumnFormula>IF($C14="OFF",0,IF($F15="MAC+111",1,J15+1))</calculatedColumnFormula>
    </tableColumn>
    <tableColumn id="20" xr3:uid="{462F98F8-6248-4D4E-8AD2-6EC7109B2E52}" uniqueName="20" name="_2" queryTableFieldId="20" dataDxfId="64"/>
    <tableColumn id="21" xr3:uid="{0FBD6B38-B1E1-4E9C-81A5-CA14B2F9084A}" uniqueName="21" name="N1" queryTableFieldId="21" dataDxfId="77">
      <calculatedColumnFormula>IF($C14="ON","",IF($C14="N1",$D14,L13))</calculatedColumnFormula>
    </tableColumn>
    <tableColumn id="22" xr3:uid="{A5045F8C-7AE0-4763-BBC4-A4CC8954069F}" uniqueName="22" name="N2" queryTableFieldId="22" dataDxfId="76">
      <calculatedColumnFormula>IF($C14="ON","",IF($C14="N2",$D14,IF($F14="MAC+103",3,IF($F14="MAC+104",2,M13))))</calculatedColumnFormula>
    </tableColumn>
    <tableColumn id="23" xr3:uid="{9B014DB1-4E67-4325-A7FF-B51BB73C144C}" uniqueName="23" name="N3" queryTableFieldId="23" dataDxfId="75">
      <calculatedColumnFormula>IF($C14="ON","",IF($C14="N3",$D14,N13))</calculatedColumnFormula>
    </tableColumn>
    <tableColumn id="24" xr3:uid="{5660ED6E-B39C-41E9-9202-1674D6671C41}" uniqueName="24" name="STAT" queryTableFieldId="24" dataDxfId="74">
      <calculatedColumnFormula>IF($C14="ON","",IF($C14="STAT",$D14,O13))</calculatedColumnFormula>
    </tableColumn>
    <tableColumn id="25" xr3:uid="{12FF0207-469E-4F94-A1F8-EBA478DE17D3}" uniqueName="25" name="N2 disabled" queryTableFieldId="25" dataDxfId="73">
      <calculatedColumnFormula>IF($C14="ON","",IF(AND($C14="MAC",LEN($D14)=3,"105"&lt;=$D14,$D14&lt;="110"),"",IF(AND($C14="MAC",LEN($D14)=3,"103"&lt;=$D14,$D14&lt;="104"),"disabled",P13)))</calculatedColumnFormula>
    </tableColumn>
    <tableColumn id="26" xr3:uid="{5E06349F-774C-418E-B3FB-63D723605E5A}" uniqueName="26" name="105-110_x000a_s/12h" queryTableFieldId="26" dataDxfId="72">
      <calculatedColumnFormula>IF(F14="ON","",IF($F14="MAC+105",300,IF($F14="MAC+106",600,IF($F14="MAC+107",840,IF($F14="MAC+108",1200,IF($F14="MAC+109",1800,IF($F14="MAC+110",43200,Q13)))))))</calculatedColumnFormula>
    </tableColumn>
    <tableColumn id="27" xr3:uid="{64AF562B-F04F-41BB-8ECA-C5897F819C6A}" uniqueName="27" name="102_x000a_active?" queryTableFieldId="27" dataDxfId="71">
      <calculatedColumnFormula>IF($C14="ON","",IF($F14="MAC+102","102",R13))</calculatedColumnFormula>
    </tableColumn>
    <tableColumn id="28" xr3:uid="{EBBF58EA-A53F-4BBA-A5D0-7897A48C89F7}" uniqueName="28" name="_3" queryTableFieldId="28" dataDxfId="63"/>
    <tableColumn id="29" xr3:uid="{3369BB1D-534B-4412-A3BF-FEC6F2C8BBA1}" uniqueName="29" name="TrgAssess_x000a_bit/s" queryTableFieldId="29" dataDxfId="62">
      <calculatedColumnFormula>IF($M14="",0,T$1/64/$M14)</calculatedColumnFormula>
    </tableColumn>
    <tableColumn id="30" xr3:uid="{55B18AA0-1F9B-467A-B1E9-BA2EE8619FDC}" uniqueName="30" name="BRD_x000a_bit/s" queryTableFieldId="30" dataDxfId="61">
      <calculatedColumnFormula>IF($M14="",0,U$1/64/$M14)</calculatedColumnFormula>
    </tableColumn>
    <tableColumn id="31" xr3:uid="{090EFE20-88EA-4674-BD37-BEF6B463F4DB}" uniqueName="31" name="STAT_x000a_bit/s" queryTableFieldId="31" dataDxfId="60">
      <calculatedColumnFormula>IF($O14="",0,V$1/$O14)</calculatedColumnFormula>
    </tableColumn>
    <tableColumn id="32" xr3:uid="{B18EAE2A-70E1-4898-A71B-5A3C36BF4EE0}" uniqueName="32" name="N1_x000a_bit/s" queryTableFieldId="32" dataDxfId="59">
      <calculatedColumnFormula>IF($L14="",0,W$1/$L14)</calculatedColumnFormula>
    </tableColumn>
    <tableColumn id="33" xr3:uid="{E4838A52-964A-4DE1-B5E0-0AE42E730F68}" uniqueName="33" name="N2_x000a_bit/s" queryTableFieldId="33" dataDxfId="58">
      <calculatedColumnFormula>IF(OR($M14="",$P14&lt;&gt;""),0,X$1/$M14)</calculatedColumnFormula>
    </tableColumn>
    <tableColumn id="34" xr3:uid="{FB6527D2-6F60-4531-AE7F-873F0C6AB8D6}" uniqueName="34" name="N2_x000a_bit/s4" queryTableFieldId="34" dataDxfId="57">
      <calculatedColumnFormula>IF($M14="",0,IF($Q14="",1,Q14/43200)*X14)</calculatedColumnFormula>
    </tableColumn>
    <tableColumn id="35" xr3:uid="{9E653D53-4500-4832-A022-C911049DBBA5}" uniqueName="35" name="N3_x000a_bit/s" queryTableFieldId="35" dataDxfId="56">
      <calculatedColumnFormula>IF($N14="",0,Z$1/$N14)</calculatedColumnFormula>
    </tableColumn>
    <tableColumn id="36" xr3:uid="{8ED16EFB-45C9-4EDA-AF99-AA59788EFFC4}" uniqueName="36" name="_4" queryTableFieldId="36" dataDxfId="55"/>
    <tableColumn id="37" xr3:uid="{84B53164-2455-4095-84F3-40F1C7BB6A8F}" uniqueName="37" name="DT1" queryTableFieldId="37" dataDxfId="54">
      <calculatedColumnFormula>IF(AB$3&lt;&gt;"",$V14,0)+IF(AB$4&lt;&gt;"",$T14,0)+IF(AB$5&lt;&gt;"",$Y14+IF($R14&lt;&gt;"102",$U14,0),0)+IF(AB$6&lt;&gt;"",$Z14+IF($R14="102",$U14,0),0)+IF(AB$7&lt;&gt;"",$W14,0)</calculatedColumnFormula>
    </tableColumn>
    <tableColumn id="38" xr3:uid="{8ED05B90-FD0D-4641-9784-41EE0A0AF784}" uniqueName="38" name="DT2" queryTableFieldId="38" dataDxfId="53">
      <calculatedColumnFormula>IF(AC$3&lt;&gt;"",$V14,0)+IF(AC$4&lt;&gt;"",$T14,0)+IF(AC$5&lt;&gt;"",$Y14+IF($R14&lt;&gt;"102",$U14,0),0)+IF(AC$6&lt;&gt;"",$Z14+IF($R14="102",$U14,0),0)+IF(AC$7&lt;&gt;"",$W14,0)</calculatedColumnFormula>
    </tableColumn>
    <tableColumn id="39" xr3:uid="{21A56DFA-7B01-43C3-AF52-C1FE5F2B5F13}" uniqueName="39" name="DT2DT1" queryTableFieldId="39" dataDxfId="52">
      <calculatedColumnFormula>IF(AD$3&lt;&gt;"",$V14,0)+IF(AD$4&lt;&gt;"",$T14,0)+IF(AD$5&lt;&gt;"",$Y14+IF($R14&lt;&gt;"102",$U14,0),0)+IF(AD$6&lt;&gt;"",$Z14+IF($R14="102",$U14,0),0)+IF(AD$7&lt;&gt;"",$W14,0)</calculatedColumnFormula>
    </tableColumn>
    <tableColumn id="40" xr3:uid="{ABBC0F6B-242D-4D3F-8BFD-C7DB67A6041A}" uniqueName="40" name="DT3" queryTableFieldId="40" dataDxfId="51">
      <calculatedColumnFormula>IF(AE$3&lt;&gt;"",$V14,0)+IF(AE$4&lt;&gt;"",$T14,0)+IF(AE$5&lt;&gt;"",$Y14+IF($R14&lt;&gt;"102",$U14,0),0)+IF(AE$6&lt;&gt;"",$Z14+IF($R14="102",$U14,0),0)+IF(AE$7&lt;&gt;"",$W14,0)</calculatedColumnFormula>
    </tableColumn>
    <tableColumn id="41" xr3:uid="{3F23E520-626C-43EB-A4F2-E99DE76487E9}" uniqueName="41" name="DT3DT1" queryTableFieldId="41" dataDxfId="50">
      <calculatedColumnFormula>IF(AF$3&lt;&gt;"",$V14,0)+IF(AF$4&lt;&gt;"",$T14,0)+IF(AF$5&lt;&gt;"",$Y14+IF($R14&lt;&gt;"102",$U14,0),0)+IF(AF$6&lt;&gt;"",$Z14+IF($R14="102",$U14,0),0)+IF(AF$7&lt;&gt;"",$W14,0)</calculatedColumnFormula>
    </tableColumn>
    <tableColumn id="42" xr3:uid="{776A660A-2DBC-4653-A779-A310CE3B8EFA}" uniqueName="42" name="DT3DT2" queryTableFieldId="42" dataDxfId="49">
      <calculatedColumnFormula>IF(AG$3&lt;&gt;"",$V14,0)+IF(AG$4&lt;&gt;"",$T14,0)+IF(AG$5&lt;&gt;"",$Y14+IF($R14&lt;&gt;"102",$U14,0),0)+IF(AG$6&lt;&gt;"",$Z14+IF($R14="102",$U14,0),0)+IF(AG$7&lt;&gt;"",$W14,0)</calculatedColumnFormula>
    </tableColumn>
    <tableColumn id="43" xr3:uid="{3931049E-EE8F-4899-BA67-94BC1581C220}" uniqueName="43" name="DT3DT2DT1" queryTableFieldId="43" dataDxfId="48">
      <calculatedColumnFormula>IF(AH$3&lt;&gt;"",$V14,0)+IF(AH$4&lt;&gt;"",$T14,0)+IF(AH$5&lt;&gt;"",$Y14+IF($R14&lt;&gt;"102",$U14,0),0)+IF(AH$6&lt;&gt;"",$Z14+IF($R14="102",$U14,0),0)+IF(AH$7&lt;&gt;"",$W14,0)</calculatedColumnFormula>
    </tableColumn>
    <tableColumn id="44" xr3:uid="{45E0294F-A66B-4BAE-9827-ED3AF39988D8}" uniqueName="44" name="DT4" queryTableFieldId="44" dataDxfId="47">
      <calculatedColumnFormula>IF(AI$3&lt;&gt;"",$V14,0)+IF(AI$4&lt;&gt;"",$T14,0)+IF(AI$5&lt;&gt;"",$Y14+IF($R14&lt;&gt;"102",$U14,0),0)+IF(AI$6&lt;&gt;"",$Z14+IF($R14="102",$U14,0),0)+IF(AI$7&lt;&gt;"",$W14,0)</calculatedColumnFormula>
    </tableColumn>
    <tableColumn id="45" xr3:uid="{99868B73-D9CB-4D6A-AF51-3624F4A08C17}" uniqueName="45" name="DT4DT1" queryTableFieldId="45" dataDxfId="46">
      <calculatedColumnFormula>IF(AJ$3&lt;&gt;"",$V14,0)+IF(AJ$4&lt;&gt;"",$T14,0)+IF(AJ$5&lt;&gt;"",$Y14+IF($R14&lt;&gt;"102",$U14,0),0)+IF(AJ$6&lt;&gt;"",$Z14+IF($R14="102",$U14,0),0)+IF(AJ$7&lt;&gt;"",$W14,0)</calculatedColumnFormula>
    </tableColumn>
    <tableColumn id="46" xr3:uid="{EFB5ACA6-D706-49A0-B305-CF2DDF0D3A87}" uniqueName="46" name="DT4DT2" queryTableFieldId="46" dataDxfId="45">
      <calculatedColumnFormula>IF(AK$3&lt;&gt;"",$V14,0)+IF(AK$4&lt;&gt;"",$T14,0)+IF(AK$5&lt;&gt;"",$Y14+IF($R14&lt;&gt;"102",$U14,0),0)+IF(AK$6&lt;&gt;"",$Z14+IF($R14="102",$U14,0),0)+IF(AK$7&lt;&gt;"",$W14,0)</calculatedColumnFormula>
    </tableColumn>
    <tableColumn id="47" xr3:uid="{0FA7BE0E-A683-4A99-A12C-6395E23C069D}" uniqueName="47" name="DT4DT2DT1" queryTableFieldId="47" dataDxfId="44">
      <calculatedColumnFormula>IF(AL$3&lt;&gt;"",$V14,0)+IF(AL$4&lt;&gt;"",$T14,0)+IF(AL$5&lt;&gt;"",$Y14+IF($R14&lt;&gt;"102",$U14,0),0)+IF(AL$6&lt;&gt;"",$Z14+IF($R14="102",$U14,0),0)+IF(AL$7&lt;&gt;"",$W14,0)</calculatedColumnFormula>
    </tableColumn>
    <tableColumn id="48" xr3:uid="{866498C8-9DEB-40C1-AE1D-5446ABF86309}" uniqueName="48" name="DT4DT3" queryTableFieldId="48" dataDxfId="43">
      <calculatedColumnFormula>IF(AM$3&lt;&gt;"",$V14,0)+IF(AM$4&lt;&gt;"",$T14,0)+IF(AM$5&lt;&gt;"",$Y14+IF($R14&lt;&gt;"102",$U14,0),0)+IF(AM$6&lt;&gt;"",$Z14+IF($R14="102",$U14,0),0)+IF(AM$7&lt;&gt;"",$W14,0)</calculatedColumnFormula>
    </tableColumn>
    <tableColumn id="49" xr3:uid="{DE51AB0F-398F-434A-A627-E3880F0FFF3B}" uniqueName="49" name="DT4DT3DT1" queryTableFieldId="49" dataDxfId="42">
      <calculatedColumnFormula>IF(AN$3&lt;&gt;"",$V14,0)+IF(AN$4&lt;&gt;"",$T14,0)+IF(AN$5&lt;&gt;"",$Y14+IF($R14&lt;&gt;"102",$U14,0),0)+IF(AN$6&lt;&gt;"",$Z14+IF($R14="102",$U14,0),0)+IF(AN$7&lt;&gt;"",$W14,0)</calculatedColumnFormula>
    </tableColumn>
    <tableColumn id="50" xr3:uid="{24D12476-4596-45B8-9EC7-FF4B6C4868AA}" uniqueName="50" name="DT4DT3DT2" queryTableFieldId="50" dataDxfId="41">
      <calculatedColumnFormula>IF(AO$3&lt;&gt;"",$V14,0)+IF(AO$4&lt;&gt;"",$T14,0)+IF(AO$5&lt;&gt;"",$Y14+IF($R14&lt;&gt;"102",$U14,0),0)+IF(AO$6&lt;&gt;"",$Z14+IF($R14="102",$U14,0),0)+IF(AO$7&lt;&gt;"",$W14,0)</calculatedColumnFormula>
    </tableColumn>
    <tableColumn id="51" xr3:uid="{BF1BC10A-846C-4E7A-80B1-4CE86A71826B}" uniqueName="51" name="DT4DT3DT2DT1" queryTableFieldId="51" dataDxfId="40">
      <calculatedColumnFormula>IF(AP$3&lt;&gt;"",$V14,0)+IF(AP$4&lt;&gt;"",$T14,0)+IF(AP$5&lt;&gt;"",$Y14+IF($R14&lt;&gt;"102",$U14,0),0)+IF(AP$6&lt;&gt;"",$Z14+IF($R14="102",$U14,0),0)+IF(AP$7&lt;&gt;"",$W14,0)</calculatedColumnFormula>
    </tableColumn>
    <tableColumn id="52" xr3:uid="{95949A76-5F02-40FF-B992-A0BF67500C10}" uniqueName="52" name="HSK3" queryTableFieldId="52" dataDxfId="39">
      <calculatedColumnFormula>IF(AQ$3&lt;&gt;"",$V14,0)+IF(AQ$4&lt;&gt;"",$T14,0)+IF(AQ$5&lt;&gt;"",$Y14+IF($R14&lt;&gt;"102",$U14,0),0)+IF(AQ$6&lt;&gt;"",$Z14+IF($R14="102",$U14,0),0)+IF(AQ$7&lt;&gt;"",$W14,0)</calculatedColumnFormula>
    </tableColumn>
    <tableColumn id="53" xr3:uid="{307C564A-1F74-4881-BCCE-13EC1452AB24}" uniqueName="53" name="HSK3DT1" queryTableFieldId="53" dataDxfId="38">
      <calculatedColumnFormula>IF(AR$3&lt;&gt;"",$V14,0)+IF(AR$4&lt;&gt;"",$T14,0)+IF(AR$5&lt;&gt;"",$Y14+IF($R14&lt;&gt;"102",$U14,0),0)+IF(AR$6&lt;&gt;"",$Z14+IF($R14="102",$U14,0),0)+IF(AR$7&lt;&gt;"",$W14,0)</calculatedColumnFormula>
    </tableColumn>
    <tableColumn id="54" xr3:uid="{31145E34-B3F6-4838-86EB-3080DB6BD4E4}" uniqueName="54" name="HSK3DT2" queryTableFieldId="54" dataDxfId="37">
      <calculatedColumnFormula>IF(AS$3&lt;&gt;"",$V14,0)+IF(AS$4&lt;&gt;"",$T14,0)+IF(AS$5&lt;&gt;"",$Y14+IF($R14&lt;&gt;"102",$U14,0),0)+IF(AS$6&lt;&gt;"",$Z14+IF($R14="102",$U14,0),0)+IF(AS$7&lt;&gt;"",$W14,0)</calculatedColumnFormula>
    </tableColumn>
    <tableColumn id="55" xr3:uid="{C60BC714-1883-4909-B09B-55828E53F790}" uniqueName="55" name="HSK3DT2DT1" queryTableFieldId="55" dataDxfId="36">
      <calculatedColumnFormula>IF(AT$3&lt;&gt;"",$V14,0)+IF(AT$4&lt;&gt;"",$T14,0)+IF(AT$5&lt;&gt;"",$Y14+IF($R14&lt;&gt;"102",$U14,0),0)+IF(AT$6&lt;&gt;"",$Z14+IF($R14="102",$U14,0),0)+IF(AT$7&lt;&gt;"",$W14,0)</calculatedColumnFormula>
    </tableColumn>
    <tableColumn id="56" xr3:uid="{539D70BE-7180-4948-807E-02785FDFA316}" uniqueName="56" name="HSK3DT3" queryTableFieldId="56" dataDxfId="35">
      <calculatedColumnFormula>IF(AU$3&lt;&gt;"",$V14,0)+IF(AU$4&lt;&gt;"",$T14,0)+IF(AU$5&lt;&gt;"",$Y14+IF($R14&lt;&gt;"102",$U14,0),0)+IF(AU$6&lt;&gt;"",$Z14+IF($R14="102",$U14,0),0)+IF(AU$7&lt;&gt;"",$W14,0)</calculatedColumnFormula>
    </tableColumn>
    <tableColumn id="57" xr3:uid="{F8CBCA95-E968-4270-90F8-E641A2335AB9}" uniqueName="57" name="HSK3DT3DT1" queryTableFieldId="57" dataDxfId="34">
      <calculatedColumnFormula>IF(AV$3&lt;&gt;"",$V14,0)+IF(AV$4&lt;&gt;"",$T14,0)+IF(AV$5&lt;&gt;"",$Y14+IF($R14&lt;&gt;"102",$U14,0),0)+IF(AV$6&lt;&gt;"",$Z14+IF($R14="102",$U14,0),0)+IF(AV$7&lt;&gt;"",$W14,0)</calculatedColumnFormula>
    </tableColumn>
    <tableColumn id="58" xr3:uid="{3BAC3E93-4423-4691-BC9B-E63079B3B99F}" uniqueName="58" name="HSK3DT3DT2" queryTableFieldId="58" dataDxfId="33">
      <calculatedColumnFormula>IF(AW$3&lt;&gt;"",$V14,0)+IF(AW$4&lt;&gt;"",$T14,0)+IF(AW$5&lt;&gt;"",$Y14+IF($R14&lt;&gt;"102",$U14,0),0)+IF(AW$6&lt;&gt;"",$Z14+IF($R14="102",$U14,0),0)+IF(AW$7&lt;&gt;"",$W14,0)</calculatedColumnFormula>
    </tableColumn>
    <tableColumn id="59" xr3:uid="{53527FBB-C0D6-424D-9010-9E99BA6320A2}" uniqueName="59" name="HSK3DT3DT2DT1" queryTableFieldId="59" dataDxfId="32">
      <calculatedColumnFormula>IF(AX$3&lt;&gt;"",$V14,0)+IF(AX$4&lt;&gt;"",$T14,0)+IF(AX$5&lt;&gt;"",$Y14+IF($R14&lt;&gt;"102",$U14,0),0)+IF(AX$6&lt;&gt;"",$Z14+IF($R14="102",$U14,0),0)+IF(AX$7&lt;&gt;"",$W14,0)</calculatedColumnFormula>
    </tableColumn>
    <tableColumn id="60" xr3:uid="{3802271E-84EE-44DF-A3AA-C2A5937DE7D3}" uniqueName="60" name="HSK3DT4" queryTableFieldId="60" dataDxfId="31">
      <calculatedColumnFormula>IF(AY$3&lt;&gt;"",$V14,0)+IF(AY$4&lt;&gt;"",$T14,0)+IF(AY$5&lt;&gt;"",$Y14+IF($R14&lt;&gt;"102",$U14,0),0)+IF(AY$6&lt;&gt;"",$Z14+IF($R14="102",$U14,0),0)+IF(AY$7&lt;&gt;"",$W14,0)</calculatedColumnFormula>
    </tableColumn>
    <tableColumn id="61" xr3:uid="{4B716812-FB9E-43F7-9335-7F3244735086}" uniqueName="61" name="HSK3DT4DT1" queryTableFieldId="61" dataDxfId="30">
      <calculatedColumnFormula>IF(AZ$3&lt;&gt;"",$V14,0)+IF(AZ$4&lt;&gt;"",$T14,0)+IF(AZ$5&lt;&gt;"",$Y14+IF($R14&lt;&gt;"102",$U14,0),0)+IF(AZ$6&lt;&gt;"",$Z14+IF($R14="102",$U14,0),0)+IF(AZ$7&lt;&gt;"",$W14,0)</calculatedColumnFormula>
    </tableColumn>
    <tableColumn id="62" xr3:uid="{50915A5B-8D34-4817-8459-454663B4516A}" uniqueName="62" name="HSK3DT4DT2" queryTableFieldId="62" dataDxfId="29">
      <calculatedColumnFormula>IF(BA$3&lt;&gt;"",$V14,0)+IF(BA$4&lt;&gt;"",$T14,0)+IF(BA$5&lt;&gt;"",$Y14+IF($R14&lt;&gt;"102",$U14,0),0)+IF(BA$6&lt;&gt;"",$Z14+IF($R14="102",$U14,0),0)+IF(BA$7&lt;&gt;"",$W14,0)</calculatedColumnFormula>
    </tableColumn>
    <tableColumn id="63" xr3:uid="{F1C56DB0-C72D-47E2-AA9A-5F2DC0A90416}" uniqueName="63" name="HSK3DT4DT2DT1" queryTableFieldId="63" dataDxfId="28">
      <calculatedColumnFormula>IF(BB$3&lt;&gt;"",$V14,0)+IF(BB$4&lt;&gt;"",$T14,0)+IF(BB$5&lt;&gt;"",$Y14+IF($R14&lt;&gt;"102",$U14,0),0)+IF(BB$6&lt;&gt;"",$Z14+IF($R14="102",$U14,0),0)+IF(BB$7&lt;&gt;"",$W14,0)</calculatedColumnFormula>
    </tableColumn>
    <tableColumn id="64" xr3:uid="{90EACDF9-5441-4162-BD22-9A7E1B0CEFAB}" uniqueName="64" name="HSK3DT4DT3" queryTableFieldId="64" dataDxfId="27">
      <calculatedColumnFormula>IF(BC$3&lt;&gt;"",$V14,0)+IF(BC$4&lt;&gt;"",$T14,0)+IF(BC$5&lt;&gt;"",$Y14+IF($R14&lt;&gt;"102",$U14,0),0)+IF(BC$6&lt;&gt;"",$Z14+IF($R14="102",$U14,0),0)+IF(BC$7&lt;&gt;"",$W14,0)</calculatedColumnFormula>
    </tableColumn>
    <tableColumn id="65" xr3:uid="{660BF87B-D83D-455A-A38B-255500770A17}" uniqueName="65" name="HSK3DT4DT3DT1" queryTableFieldId="65" dataDxfId="26">
      <calculatedColumnFormula>IF(BD$3&lt;&gt;"",$V14,0)+IF(BD$4&lt;&gt;"",$T14,0)+IF(BD$5&lt;&gt;"",$Y14+IF($R14&lt;&gt;"102",$U14,0),0)+IF(BD$6&lt;&gt;"",$Z14+IF($R14="102",$U14,0),0)+IF(BD$7&lt;&gt;"",$W14,0)</calculatedColumnFormula>
    </tableColumn>
    <tableColumn id="66" xr3:uid="{71447BA7-412D-422C-A628-EDBB897FD3A4}" uniqueName="66" name="HSK3DT4DT3DT2" queryTableFieldId="66" dataDxfId="25">
      <calculatedColumnFormula>IF(BE$3&lt;&gt;"",$V14,0)+IF(BE$4&lt;&gt;"",$T14,0)+IF(BE$5&lt;&gt;"",$Y14+IF($R14&lt;&gt;"102",$U14,0),0)+IF(BE$6&lt;&gt;"",$Z14+IF($R14="102",$U14,0),0)+IF(BE$7&lt;&gt;"",$W14,0)</calculatedColumnFormula>
    </tableColumn>
    <tableColumn id="67" xr3:uid="{F5A113A1-274F-4A94-B976-33A83A2461B6}" uniqueName="67" name="HSK3DT4DT3DT2DT1" queryTableFieldId="67" dataDxfId="24">
      <calculatedColumnFormula>IF(BF$3&lt;&gt;"",$V14,0)+IF(BF$4&lt;&gt;"",$T14,0)+IF(BF$5&lt;&gt;"",$Y14+IF($R14&lt;&gt;"102",$U14,0),0)+IF(BF$6&lt;&gt;"",$Z14+IF($R14="102",$U14,0),0)+IF(BF$7&lt;&gt;"",$W14,0)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F7E5-3778-4E6F-95C9-3B407AF7671D}">
  <sheetPr codeName="Sheet2"/>
  <dimension ref="A1:BF37"/>
  <sheetViews>
    <sheetView tabSelected="1" zoomScaleNormal="100" workbookViewId="0">
      <selection activeCell="A14" sqref="A14"/>
    </sheetView>
  </sheetViews>
  <sheetFormatPr defaultRowHeight="15" x14ac:dyDescent="0.25"/>
  <cols>
    <col min="1" max="1" width="26.7109375" bestFit="1" customWidth="1"/>
    <col min="2" max="2" width="10" bestFit="1" customWidth="1"/>
    <col min="3" max="3" width="5.140625" bestFit="1" customWidth="1"/>
    <col min="4" max="4" width="5" bestFit="1" customWidth="1"/>
    <col min="5" max="5" width="1.85546875" style="4" bestFit="1" customWidth="1"/>
    <col min="6" max="6" width="10.140625" bestFit="1" customWidth="1"/>
    <col min="7" max="8" width="10" bestFit="1" customWidth="1"/>
    <col min="9" max="9" width="8.42578125" bestFit="1" customWidth="1"/>
    <col min="10" max="10" width="8.85546875" bestFit="1" customWidth="1"/>
    <col min="11" max="11" width="2.85546875" style="4" bestFit="1" customWidth="1"/>
    <col min="12" max="12" width="5" bestFit="1" customWidth="1"/>
    <col min="13" max="13" width="4" bestFit="1" customWidth="1"/>
    <col min="14" max="14" width="5" bestFit="1" customWidth="1"/>
    <col min="15" max="15" width="5.28515625" bestFit="1" customWidth="1"/>
    <col min="16" max="16" width="11.42578125" bestFit="1" customWidth="1"/>
    <col min="17" max="17" width="7.7109375" bestFit="1" customWidth="1"/>
    <col min="18" max="18" width="7.28515625" bestFit="1" customWidth="1"/>
    <col min="19" max="19" width="2.85546875" style="4" bestFit="1" customWidth="1"/>
    <col min="20" max="20" width="9.5703125" bestFit="1" customWidth="1"/>
    <col min="21" max="21" width="9" bestFit="1" customWidth="1"/>
    <col min="22" max="25" width="10" bestFit="1" customWidth="1"/>
    <col min="26" max="26" width="9" bestFit="1" customWidth="1"/>
    <col min="27" max="27" width="3" style="30" bestFit="1" customWidth="1"/>
    <col min="28" max="28" width="10" bestFit="1" customWidth="1"/>
    <col min="29" max="29" width="9" bestFit="1" customWidth="1"/>
    <col min="30" max="34" width="10" bestFit="1" customWidth="1"/>
    <col min="35" max="35" width="8" bestFit="1" customWidth="1"/>
    <col min="36" max="36" width="10" bestFit="1" customWidth="1"/>
    <col min="37" max="37" width="9" bestFit="1" customWidth="1"/>
    <col min="38" max="41" width="10" bestFit="1" customWidth="1"/>
    <col min="42" max="42" width="10.42578125" bestFit="1" customWidth="1"/>
    <col min="43" max="49" width="10" bestFit="1" customWidth="1"/>
    <col min="50" max="50" width="10.5703125" bestFit="1" customWidth="1"/>
    <col min="51" max="53" width="10" bestFit="1" customWidth="1"/>
    <col min="54" max="54" width="10.5703125" bestFit="1" customWidth="1"/>
    <col min="55" max="55" width="10" bestFit="1" customWidth="1"/>
    <col min="56" max="58" width="10.5703125" bestFit="1" customWidth="1"/>
  </cols>
  <sheetData>
    <row r="1" spans="1:58" s="3" customFormat="1" x14ac:dyDescent="0.25">
      <c r="A1" s="1"/>
      <c r="B1" s="2"/>
      <c r="E1" s="4"/>
      <c r="F1" s="5"/>
      <c r="G1" s="6"/>
      <c r="H1" s="6"/>
      <c r="I1" s="5"/>
      <c r="J1" s="5"/>
      <c r="K1" s="4"/>
      <c r="P1" s="1"/>
      <c r="R1" s="5"/>
      <c r="S1" s="7" t="s">
        <v>30</v>
      </c>
      <c r="T1" s="8">
        <v>526</v>
      </c>
      <c r="U1" s="8">
        <v>2087</v>
      </c>
      <c r="V1" s="3">
        <v>512</v>
      </c>
      <c r="W1" s="3">
        <v>1988</v>
      </c>
      <c r="X1" s="3">
        <v>1266</v>
      </c>
      <c r="Y1" s="3">
        <v>1266</v>
      </c>
      <c r="Z1" s="3">
        <v>18176</v>
      </c>
      <c r="AA1" s="30"/>
    </row>
    <row r="2" spans="1:58" x14ac:dyDescent="0.25">
      <c r="A2" s="10" t="s">
        <v>0</v>
      </c>
      <c r="B2" s="31" t="s">
        <v>1</v>
      </c>
      <c r="C2" s="31"/>
      <c r="D2" s="31"/>
      <c r="E2" s="32"/>
      <c r="F2" s="33"/>
      <c r="G2" s="34"/>
      <c r="H2" s="6"/>
      <c r="I2" s="10"/>
      <c r="J2" s="10"/>
      <c r="P2" s="9"/>
      <c r="R2" s="10"/>
      <c r="T2" s="8"/>
      <c r="U2" s="8"/>
    </row>
    <row r="3" spans="1:58" x14ac:dyDescent="0.25">
      <c r="H3" s="6"/>
      <c r="I3" s="10"/>
      <c r="J3" s="10"/>
      <c r="P3" s="9"/>
      <c r="R3" s="10"/>
      <c r="T3" s="8"/>
      <c r="U3" s="8"/>
      <c r="Z3" s="10" t="s">
        <v>31</v>
      </c>
      <c r="AA3" s="30" t="s">
        <v>32</v>
      </c>
      <c r="AQ3" s="10" t="str">
        <f t="shared" ref="AQ3:BF6" si="0">$Z3</f>
        <v>HSK3</v>
      </c>
      <c r="AR3" s="10" t="str">
        <f t="shared" si="0"/>
        <v>HSK3</v>
      </c>
      <c r="AS3" s="10" t="str">
        <f t="shared" si="0"/>
        <v>HSK3</v>
      </c>
      <c r="AT3" s="10" t="str">
        <f t="shared" si="0"/>
        <v>HSK3</v>
      </c>
      <c r="AU3" s="10" t="str">
        <f t="shared" si="0"/>
        <v>HSK3</v>
      </c>
      <c r="AV3" s="10" t="str">
        <f t="shared" si="0"/>
        <v>HSK3</v>
      </c>
      <c r="AW3" s="10" t="str">
        <f t="shared" si="0"/>
        <v>HSK3</v>
      </c>
      <c r="AX3" s="10" t="str">
        <f t="shared" si="0"/>
        <v>HSK3</v>
      </c>
      <c r="AY3" s="10" t="str">
        <f t="shared" si="0"/>
        <v>HSK3</v>
      </c>
      <c r="AZ3" s="10" t="str">
        <f t="shared" si="0"/>
        <v>HSK3</v>
      </c>
      <c r="BA3" s="10" t="str">
        <f t="shared" si="0"/>
        <v>HSK3</v>
      </c>
      <c r="BB3" s="10" t="str">
        <f t="shared" si="0"/>
        <v>HSK3</v>
      </c>
      <c r="BC3" s="10" t="str">
        <f t="shared" si="0"/>
        <v>HSK3</v>
      </c>
      <c r="BD3" s="10" t="str">
        <f t="shared" si="0"/>
        <v>HSK3</v>
      </c>
      <c r="BE3" s="10" t="str">
        <f t="shared" si="0"/>
        <v>HSK3</v>
      </c>
      <c r="BF3" s="10" t="str">
        <f t="shared" si="0"/>
        <v>HSK3</v>
      </c>
    </row>
    <row r="4" spans="1:58" x14ac:dyDescent="0.25">
      <c r="H4" s="6"/>
      <c r="I4" s="10"/>
      <c r="J4" s="10"/>
      <c r="P4" s="9"/>
      <c r="R4" s="10"/>
      <c r="T4" s="8"/>
      <c r="U4" s="8"/>
      <c r="Z4" s="10" t="s">
        <v>33</v>
      </c>
      <c r="AA4" s="30" t="s">
        <v>32</v>
      </c>
      <c r="AB4" s="10"/>
      <c r="AI4" s="10" t="str">
        <f t="shared" ref="AI4:AP4" si="1">$Z4</f>
        <v>DT4</v>
      </c>
      <c r="AJ4" s="10" t="str">
        <f t="shared" si="1"/>
        <v>DT4</v>
      </c>
      <c r="AK4" s="10" t="str">
        <f t="shared" si="1"/>
        <v>DT4</v>
      </c>
      <c r="AL4" s="10" t="str">
        <f t="shared" si="1"/>
        <v>DT4</v>
      </c>
      <c r="AM4" s="10" t="str">
        <f t="shared" si="1"/>
        <v>DT4</v>
      </c>
      <c r="AN4" s="10" t="str">
        <f t="shared" si="1"/>
        <v>DT4</v>
      </c>
      <c r="AO4" s="10" t="str">
        <f t="shared" si="1"/>
        <v>DT4</v>
      </c>
      <c r="AP4" s="10" t="str">
        <f t="shared" si="1"/>
        <v>DT4</v>
      </c>
      <c r="AR4" s="10"/>
      <c r="AY4" s="10" t="str">
        <f t="shared" si="0"/>
        <v>DT4</v>
      </c>
      <c r="AZ4" s="10" t="str">
        <f t="shared" si="0"/>
        <v>DT4</v>
      </c>
      <c r="BA4" s="10" t="str">
        <f t="shared" si="0"/>
        <v>DT4</v>
      </c>
      <c r="BB4" s="10" t="str">
        <f t="shared" si="0"/>
        <v>DT4</v>
      </c>
      <c r="BC4" s="10" t="str">
        <f t="shared" si="0"/>
        <v>DT4</v>
      </c>
      <c r="BD4" s="10" t="str">
        <f t="shared" si="0"/>
        <v>DT4</v>
      </c>
      <c r="BE4" s="10" t="str">
        <f t="shared" si="0"/>
        <v>DT4</v>
      </c>
      <c r="BF4" s="10" t="str">
        <f t="shared" si="0"/>
        <v>DT4</v>
      </c>
    </row>
    <row r="5" spans="1:58" x14ac:dyDescent="0.25">
      <c r="A5" s="9"/>
      <c r="B5" s="2"/>
      <c r="F5" s="10"/>
      <c r="G5" s="6"/>
      <c r="H5" s="6"/>
      <c r="I5" s="10"/>
      <c r="J5" s="10"/>
      <c r="P5" s="9"/>
      <c r="R5" s="10"/>
      <c r="T5" s="8"/>
      <c r="U5" s="8"/>
      <c r="Z5" s="10" t="s">
        <v>34</v>
      </c>
      <c r="AA5" s="30" t="s">
        <v>32</v>
      </c>
      <c r="AB5" s="10"/>
      <c r="AE5" s="10" t="str">
        <f t="shared" ref="AE5:AP5" si="2">$Z5</f>
        <v>DT3</v>
      </c>
      <c r="AF5" s="10" t="str">
        <f t="shared" si="2"/>
        <v>DT3</v>
      </c>
      <c r="AG5" s="10" t="str">
        <f t="shared" si="2"/>
        <v>DT3</v>
      </c>
      <c r="AH5" s="10" t="str">
        <f t="shared" si="2"/>
        <v>DT3</v>
      </c>
      <c r="AJ5" s="10"/>
      <c r="AM5" s="10" t="str">
        <f t="shared" si="2"/>
        <v>DT3</v>
      </c>
      <c r="AN5" s="10" t="str">
        <f t="shared" si="2"/>
        <v>DT3</v>
      </c>
      <c r="AO5" s="10" t="str">
        <f t="shared" si="2"/>
        <v>DT3</v>
      </c>
      <c r="AP5" s="10" t="str">
        <f t="shared" si="2"/>
        <v>DT3</v>
      </c>
      <c r="AR5" s="10"/>
      <c r="AU5" s="10" t="str">
        <f t="shared" si="0"/>
        <v>DT3</v>
      </c>
      <c r="AV5" s="10" t="str">
        <f t="shared" si="0"/>
        <v>DT3</v>
      </c>
      <c r="AW5" s="10" t="str">
        <f t="shared" si="0"/>
        <v>DT3</v>
      </c>
      <c r="AX5" s="10" t="str">
        <f t="shared" si="0"/>
        <v>DT3</v>
      </c>
      <c r="AZ5" s="10"/>
      <c r="BC5" s="10" t="str">
        <f t="shared" si="0"/>
        <v>DT3</v>
      </c>
      <c r="BD5" s="10" t="str">
        <f t="shared" si="0"/>
        <v>DT3</v>
      </c>
      <c r="BE5" s="10" t="str">
        <f t="shared" si="0"/>
        <v>DT3</v>
      </c>
      <c r="BF5" s="10" t="str">
        <f t="shared" si="0"/>
        <v>DT3</v>
      </c>
    </row>
    <row r="6" spans="1:58" x14ac:dyDescent="0.25">
      <c r="A6" s="9"/>
      <c r="B6" s="2"/>
      <c r="F6" s="10"/>
      <c r="G6" s="6"/>
      <c r="H6" s="6"/>
      <c r="I6" s="10"/>
      <c r="J6" s="10"/>
      <c r="P6" s="9"/>
      <c r="R6" s="10"/>
      <c r="T6" s="8"/>
      <c r="U6" s="8"/>
      <c r="Z6" s="10" t="s">
        <v>35</v>
      </c>
      <c r="AA6" s="30" t="s">
        <v>32</v>
      </c>
      <c r="AB6" s="10"/>
      <c r="AC6" s="10" t="str">
        <f t="shared" ref="AC6:AP6" si="3">$Z6</f>
        <v>DT2</v>
      </c>
      <c r="AD6" s="10" t="str">
        <f t="shared" si="3"/>
        <v>DT2</v>
      </c>
      <c r="AF6" s="10"/>
      <c r="AG6" s="10" t="str">
        <f t="shared" si="3"/>
        <v>DT2</v>
      </c>
      <c r="AH6" s="10" t="str">
        <f t="shared" si="3"/>
        <v>DT2</v>
      </c>
      <c r="AJ6" s="10"/>
      <c r="AK6" s="10" t="str">
        <f t="shared" si="3"/>
        <v>DT2</v>
      </c>
      <c r="AL6" s="10" t="str">
        <f t="shared" si="3"/>
        <v>DT2</v>
      </c>
      <c r="AN6" s="10"/>
      <c r="AO6" s="10" t="str">
        <f t="shared" si="3"/>
        <v>DT2</v>
      </c>
      <c r="AP6" s="10" t="str">
        <f t="shared" si="3"/>
        <v>DT2</v>
      </c>
      <c r="AR6" s="10"/>
      <c r="AS6" s="10" t="str">
        <f t="shared" si="0"/>
        <v>DT2</v>
      </c>
      <c r="AT6" s="10" t="str">
        <f t="shared" si="0"/>
        <v>DT2</v>
      </c>
      <c r="AV6" s="10"/>
      <c r="AW6" s="10" t="str">
        <f t="shared" si="0"/>
        <v>DT2</v>
      </c>
      <c r="AX6" s="10" t="str">
        <f t="shared" si="0"/>
        <v>DT2</v>
      </c>
      <c r="AZ6" s="10"/>
      <c r="BA6" s="10" t="str">
        <f t="shared" si="0"/>
        <v>DT2</v>
      </c>
      <c r="BB6" s="10" t="str">
        <f t="shared" si="0"/>
        <v>DT2</v>
      </c>
      <c r="BD6" s="10"/>
      <c r="BE6" s="10" t="str">
        <f t="shared" si="0"/>
        <v>DT2</v>
      </c>
      <c r="BF6" s="10" t="str">
        <f t="shared" si="0"/>
        <v>DT2</v>
      </c>
    </row>
    <row r="7" spans="1:58" x14ac:dyDescent="0.25">
      <c r="A7" s="9"/>
      <c r="B7" s="2"/>
      <c r="F7" s="10"/>
      <c r="G7" s="6"/>
      <c r="H7" s="6"/>
      <c r="I7" s="10"/>
      <c r="J7" s="10"/>
      <c r="P7" s="9"/>
      <c r="R7" s="10"/>
      <c r="T7" s="8"/>
      <c r="U7" s="8"/>
      <c r="Z7" s="10" t="s">
        <v>36</v>
      </c>
      <c r="AA7" s="30" t="s">
        <v>32</v>
      </c>
      <c r="AB7" s="10" t="str">
        <f>$Z7</f>
        <v>DT1</v>
      </c>
      <c r="AD7" s="10" t="str">
        <f>$Z7</f>
        <v>DT1</v>
      </c>
      <c r="AF7" s="10" t="str">
        <f>$Z7</f>
        <v>DT1</v>
      </c>
      <c r="AH7" s="10" t="str">
        <f>$Z7</f>
        <v>DT1</v>
      </c>
      <c r="AJ7" s="10" t="str">
        <f>$Z7</f>
        <v>DT1</v>
      </c>
      <c r="AL7" s="10" t="str">
        <f>$Z7</f>
        <v>DT1</v>
      </c>
      <c r="AN7" s="10" t="str">
        <f>$Z7</f>
        <v>DT1</v>
      </c>
      <c r="AP7" s="10" t="str">
        <f>$Z7</f>
        <v>DT1</v>
      </c>
      <c r="AR7" s="10" t="str">
        <f>$Z7</f>
        <v>DT1</v>
      </c>
      <c r="AT7" s="10" t="str">
        <f>$Z7</f>
        <v>DT1</v>
      </c>
      <c r="AV7" s="10" t="str">
        <f>$Z7</f>
        <v>DT1</v>
      </c>
      <c r="AX7" s="10" t="str">
        <f>$Z7</f>
        <v>DT1</v>
      </c>
      <c r="AZ7" s="10" t="str">
        <f>$Z7</f>
        <v>DT1</v>
      </c>
      <c r="BB7" s="10" t="str">
        <f>$Z7</f>
        <v>DT1</v>
      </c>
      <c r="BD7" s="10" t="str">
        <f>$Z7</f>
        <v>DT1</v>
      </c>
      <c r="BF7" s="10" t="str">
        <f>$Z7</f>
        <v>DT1</v>
      </c>
    </row>
    <row r="8" spans="1:58" x14ac:dyDescent="0.25">
      <c r="A8" s="9"/>
      <c r="B8" s="2"/>
      <c r="F8" s="10"/>
      <c r="G8" s="6"/>
      <c r="H8" s="6"/>
      <c r="I8" s="10"/>
      <c r="J8" s="10"/>
      <c r="P8" s="9"/>
      <c r="R8" s="10"/>
      <c r="T8" s="8"/>
      <c r="U8" s="8"/>
      <c r="Z8" s="10" t="s">
        <v>37</v>
      </c>
      <c r="AA8" s="30" t="s">
        <v>32</v>
      </c>
      <c r="AB8">
        <f>IF(AB7="",0,1)+IF(AB6="",0,2)+IF(AB5="",0,4)+IF(AB4="",0,8)+IF(AB3="",0,16)</f>
        <v>1</v>
      </c>
      <c r="AC8">
        <f t="shared" ref="AC8:BF8" si="4">IF(AC7="",0,1)+IF(AC6="",0,2)+IF(AC5="",0,4)+IF(AC4="",0,8)+IF(AC3="",0,16)</f>
        <v>2</v>
      </c>
      <c r="AD8">
        <f t="shared" si="4"/>
        <v>3</v>
      </c>
      <c r="AE8">
        <f t="shared" si="4"/>
        <v>4</v>
      </c>
      <c r="AF8">
        <f t="shared" si="4"/>
        <v>5</v>
      </c>
      <c r="AG8">
        <f t="shared" si="4"/>
        <v>6</v>
      </c>
      <c r="AH8">
        <f t="shared" si="4"/>
        <v>7</v>
      </c>
      <c r="AI8">
        <f t="shared" si="4"/>
        <v>8</v>
      </c>
      <c r="AJ8">
        <f t="shared" si="4"/>
        <v>9</v>
      </c>
      <c r="AK8">
        <f t="shared" si="4"/>
        <v>10</v>
      </c>
      <c r="AL8">
        <f t="shared" si="4"/>
        <v>11</v>
      </c>
      <c r="AM8">
        <f t="shared" si="4"/>
        <v>12</v>
      </c>
      <c r="AN8">
        <f t="shared" si="4"/>
        <v>13</v>
      </c>
      <c r="AO8">
        <f t="shared" si="4"/>
        <v>14</v>
      </c>
      <c r="AP8">
        <f t="shared" si="4"/>
        <v>15</v>
      </c>
      <c r="AQ8">
        <f t="shared" si="4"/>
        <v>16</v>
      </c>
      <c r="AR8">
        <f t="shared" si="4"/>
        <v>17</v>
      </c>
      <c r="AS8">
        <f t="shared" si="4"/>
        <v>18</v>
      </c>
      <c r="AT8">
        <f t="shared" si="4"/>
        <v>19</v>
      </c>
      <c r="AU8">
        <f t="shared" si="4"/>
        <v>20</v>
      </c>
      <c r="AV8">
        <f t="shared" si="4"/>
        <v>21</v>
      </c>
      <c r="AW8">
        <f t="shared" si="4"/>
        <v>22</v>
      </c>
      <c r="AX8">
        <f t="shared" si="4"/>
        <v>23</v>
      </c>
      <c r="AY8">
        <f t="shared" si="4"/>
        <v>24</v>
      </c>
      <c r="AZ8">
        <f t="shared" si="4"/>
        <v>25</v>
      </c>
      <c r="BA8">
        <f t="shared" si="4"/>
        <v>26</v>
      </c>
      <c r="BB8">
        <f t="shared" si="4"/>
        <v>27</v>
      </c>
      <c r="BC8">
        <f t="shared" si="4"/>
        <v>28</v>
      </c>
      <c r="BD8">
        <f t="shared" si="4"/>
        <v>29</v>
      </c>
      <c r="BE8">
        <f t="shared" si="4"/>
        <v>30</v>
      </c>
      <c r="BF8">
        <f t="shared" si="4"/>
        <v>31</v>
      </c>
    </row>
    <row r="9" spans="1:58" x14ac:dyDescent="0.25">
      <c r="A9" s="9"/>
      <c r="B9" s="2"/>
      <c r="F9" s="10"/>
      <c r="G9" s="6"/>
      <c r="H9" s="6"/>
      <c r="I9" s="10"/>
      <c r="J9" s="10"/>
      <c r="P9" s="9"/>
      <c r="R9" s="10"/>
      <c r="T9" s="8"/>
      <c r="U9" s="8"/>
    </row>
    <row r="10" spans="1:58" x14ac:dyDescent="0.25">
      <c r="A10" s="9"/>
      <c r="B10" s="2"/>
      <c r="F10" s="10"/>
      <c r="G10" s="6"/>
      <c r="H10" s="6"/>
      <c r="I10" s="10"/>
      <c r="J10" s="10"/>
      <c r="P10" s="9"/>
      <c r="R10" s="10"/>
      <c r="T10" s="8"/>
      <c r="U10" s="8"/>
    </row>
    <row r="11" spans="1:58" x14ac:dyDescent="0.25">
      <c r="A11" s="9"/>
      <c r="B11" s="2"/>
      <c r="F11" s="10"/>
      <c r="G11" s="6"/>
      <c r="H11" s="6"/>
      <c r="I11" s="10"/>
      <c r="J11" s="10"/>
      <c r="P11" s="9"/>
      <c r="R11" s="10"/>
      <c r="T11" s="11" t="s">
        <v>38</v>
      </c>
      <c r="U11" s="11" t="s">
        <v>39</v>
      </c>
      <c r="V11" s="9" t="s">
        <v>40</v>
      </c>
      <c r="W11" s="9" t="s">
        <v>41</v>
      </c>
      <c r="X11" s="9"/>
      <c r="Y11" s="9" t="s">
        <v>42</v>
      </c>
      <c r="Z11" s="9" t="s">
        <v>43</v>
      </c>
    </row>
    <row r="12" spans="1:58" x14ac:dyDescent="0.25">
      <c r="A12" s="9"/>
      <c r="B12" s="2"/>
      <c r="F12" s="10"/>
      <c r="G12" s="6"/>
      <c r="H12" s="6"/>
      <c r="I12" s="10"/>
      <c r="J12" s="10"/>
      <c r="L12" s="9" t="s">
        <v>44</v>
      </c>
      <c r="M12" s="9" t="s">
        <v>44</v>
      </c>
      <c r="N12" s="9" t="s">
        <v>44</v>
      </c>
      <c r="O12" s="9" t="s">
        <v>44</v>
      </c>
      <c r="P12" s="9"/>
      <c r="Q12" s="9" t="s">
        <v>45</v>
      </c>
      <c r="R12" s="9" t="s">
        <v>46</v>
      </c>
      <c r="T12" s="12" t="s">
        <v>47</v>
      </c>
      <c r="U12" s="12" t="s">
        <v>47</v>
      </c>
      <c r="V12" s="12" t="s">
        <v>47</v>
      </c>
      <c r="W12" s="12" t="s">
        <v>47</v>
      </c>
      <c r="X12" s="13" t="s">
        <v>48</v>
      </c>
      <c r="Y12" s="12" t="s">
        <v>47</v>
      </c>
      <c r="Z12" s="12" t="s">
        <v>47</v>
      </c>
      <c r="AB12" s="14" t="str">
        <f>IF(OR(AB$8=1,AB$8=2,AB$8=4,AB$8=8,AB$8=16),"Single","")</f>
        <v>Single</v>
      </c>
      <c r="AC12" s="15" t="str">
        <f t="shared" ref="AC12:BF12" si="5">IF(OR(AC$8=1,AC$8=2,AC$8=4,AC$8=8,AC$8=16),"Single","")</f>
        <v>Single</v>
      </c>
      <c r="AD12" s="15" t="str">
        <f t="shared" si="5"/>
        <v/>
      </c>
      <c r="AE12" s="15" t="str">
        <f t="shared" si="5"/>
        <v>Single</v>
      </c>
      <c r="AF12" s="15" t="str">
        <f t="shared" si="5"/>
        <v/>
      </c>
      <c r="AG12" s="15" t="str">
        <f t="shared" si="5"/>
        <v/>
      </c>
      <c r="AH12" s="15" t="str">
        <f t="shared" si="5"/>
        <v/>
      </c>
      <c r="AI12" s="15" t="str">
        <f t="shared" si="5"/>
        <v>Single</v>
      </c>
      <c r="AJ12" s="15" t="str">
        <f t="shared" si="5"/>
        <v/>
      </c>
      <c r="AK12" s="15" t="str">
        <f t="shared" si="5"/>
        <v/>
      </c>
      <c r="AL12" s="15" t="str">
        <f t="shared" si="5"/>
        <v/>
      </c>
      <c r="AM12" s="15" t="str">
        <f t="shared" si="5"/>
        <v/>
      </c>
      <c r="AN12" s="15" t="str">
        <f t="shared" si="5"/>
        <v/>
      </c>
      <c r="AO12" s="15" t="str">
        <f t="shared" si="5"/>
        <v/>
      </c>
      <c r="AP12" s="15" t="str">
        <f t="shared" si="5"/>
        <v/>
      </c>
      <c r="AQ12" s="15" t="str">
        <f t="shared" si="5"/>
        <v>Single</v>
      </c>
      <c r="AR12" s="15" t="str">
        <f t="shared" si="5"/>
        <v/>
      </c>
      <c r="AS12" s="15" t="str">
        <f t="shared" si="5"/>
        <v/>
      </c>
      <c r="AT12" s="15" t="str">
        <f t="shared" si="5"/>
        <v/>
      </c>
      <c r="AU12" s="15" t="str">
        <f t="shared" si="5"/>
        <v/>
      </c>
      <c r="AV12" s="15" t="str">
        <f t="shared" si="5"/>
        <v/>
      </c>
      <c r="AW12" s="15" t="str">
        <f t="shared" si="5"/>
        <v/>
      </c>
      <c r="AX12" s="15" t="str">
        <f t="shared" si="5"/>
        <v/>
      </c>
      <c r="AY12" s="15" t="str">
        <f t="shared" si="5"/>
        <v/>
      </c>
      <c r="AZ12" s="15" t="str">
        <f t="shared" si="5"/>
        <v/>
      </c>
      <c r="BA12" s="15" t="str">
        <f t="shared" si="5"/>
        <v/>
      </c>
      <c r="BB12" s="15" t="str">
        <f t="shared" si="5"/>
        <v/>
      </c>
      <c r="BC12" s="15" t="str">
        <f t="shared" si="5"/>
        <v/>
      </c>
      <c r="BD12" s="15" t="str">
        <f t="shared" si="5"/>
        <v/>
      </c>
      <c r="BE12" s="15" t="str">
        <f t="shared" si="5"/>
        <v/>
      </c>
      <c r="BF12" s="16" t="str">
        <f t="shared" si="5"/>
        <v/>
      </c>
    </row>
    <row r="13" spans="1:58" s="17" customFormat="1" ht="30" x14ac:dyDescent="0.25">
      <c r="A13" t="s">
        <v>2</v>
      </c>
      <c r="B13" t="s">
        <v>3</v>
      </c>
      <c r="C13" t="s">
        <v>4</v>
      </c>
      <c r="D13" t="s">
        <v>5</v>
      </c>
      <c r="E13" s="4" t="s">
        <v>63</v>
      </c>
      <c r="F13" s="19" t="s">
        <v>49</v>
      </c>
      <c r="G13" s="20" t="s">
        <v>50</v>
      </c>
      <c r="H13" s="18" t="s">
        <v>51</v>
      </c>
      <c r="I13" s="17" t="s">
        <v>52</v>
      </c>
      <c r="J13" s="17" t="s">
        <v>53</v>
      </c>
      <c r="K13" s="4" t="s">
        <v>91</v>
      </c>
      <c r="L13" s="17" t="s">
        <v>16</v>
      </c>
      <c r="M13" s="17" t="s">
        <v>13</v>
      </c>
      <c r="N13" s="17" t="s">
        <v>14</v>
      </c>
      <c r="O13" s="17" t="s">
        <v>18</v>
      </c>
      <c r="P13" s="17" t="s">
        <v>54</v>
      </c>
      <c r="Q13" s="17" t="s">
        <v>55</v>
      </c>
      <c r="R13" s="17" t="s">
        <v>56</v>
      </c>
      <c r="S13" s="4" t="s">
        <v>92</v>
      </c>
      <c r="T13" s="21" t="s">
        <v>57</v>
      </c>
      <c r="U13" s="21" t="s">
        <v>58</v>
      </c>
      <c r="V13" s="22" t="s">
        <v>59</v>
      </c>
      <c r="W13" s="22" t="s">
        <v>60</v>
      </c>
      <c r="X13" s="23" t="s">
        <v>61</v>
      </c>
      <c r="Y13" s="22" t="s">
        <v>64</v>
      </c>
      <c r="Z13" s="22" t="s">
        <v>62</v>
      </c>
      <c r="AA13" s="30" t="s">
        <v>93</v>
      </c>
      <c r="AB13" s="24" t="s">
        <v>36</v>
      </c>
      <c r="AC13" s="25" t="s">
        <v>35</v>
      </c>
      <c r="AD13" s="25" t="s">
        <v>65</v>
      </c>
      <c r="AE13" s="25" t="s">
        <v>34</v>
      </c>
      <c r="AF13" s="25" t="s">
        <v>66</v>
      </c>
      <c r="AG13" s="25" t="s">
        <v>67</v>
      </c>
      <c r="AH13" s="25" t="s">
        <v>68</v>
      </c>
      <c r="AI13" s="25" t="s">
        <v>33</v>
      </c>
      <c r="AJ13" s="25" t="s">
        <v>69</v>
      </c>
      <c r="AK13" s="25" t="s">
        <v>70</v>
      </c>
      <c r="AL13" s="25" t="s">
        <v>71</v>
      </c>
      <c r="AM13" s="25" t="s">
        <v>72</v>
      </c>
      <c r="AN13" s="25" t="s">
        <v>73</v>
      </c>
      <c r="AO13" s="25" t="s">
        <v>74</v>
      </c>
      <c r="AP13" s="25" t="s">
        <v>75</v>
      </c>
      <c r="AQ13" s="25" t="s">
        <v>31</v>
      </c>
      <c r="AR13" s="25" t="s">
        <v>76</v>
      </c>
      <c r="AS13" s="25" t="s">
        <v>77</v>
      </c>
      <c r="AT13" s="25" t="s">
        <v>78</v>
      </c>
      <c r="AU13" s="25" t="s">
        <v>79</v>
      </c>
      <c r="AV13" s="25" t="s">
        <v>80</v>
      </c>
      <c r="AW13" s="25" t="s">
        <v>81</v>
      </c>
      <c r="AX13" s="25" t="s">
        <v>82</v>
      </c>
      <c r="AY13" s="25" t="s">
        <v>83</v>
      </c>
      <c r="AZ13" s="25" t="s">
        <v>84</v>
      </c>
      <c r="BA13" s="25" t="s">
        <v>85</v>
      </c>
      <c r="BB13" s="25" t="s">
        <v>86</v>
      </c>
      <c r="BC13" s="25" t="s">
        <v>87</v>
      </c>
      <c r="BD13" s="25" t="s">
        <v>88</v>
      </c>
      <c r="BE13" s="25" t="s">
        <v>89</v>
      </c>
      <c r="BF13" s="26" t="s">
        <v>90</v>
      </c>
    </row>
    <row r="14" spans="1:58" x14ac:dyDescent="0.25">
      <c r="A14" t="s">
        <v>6</v>
      </c>
      <c r="B14">
        <v>644923315</v>
      </c>
      <c r="C14" t="s">
        <v>7</v>
      </c>
      <c r="D14" t="s">
        <v>8</v>
      </c>
      <c r="F14" s="10" t="str">
        <f t="shared" ref="F14:F37" si="6">_xlfn.TEXTJOIN("+",TRUE,$C14:$D14)</f>
        <v>ON</v>
      </c>
      <c r="G14" s="6">
        <f t="shared" ref="G14:G37" si="7">IF($C14="ON",$B14,G13)</f>
        <v>644923315</v>
      </c>
      <c r="H14" s="6">
        <f t="shared" ref="H14:H37" si="8">IF($C14="OFF",$B14,IF($B15="",$B14+31500000,IF($F15="MAC+111",$B15,H15)))</f>
        <v>646883515</v>
      </c>
      <c r="I14" s="10">
        <f t="shared" ref="I14:I37" si="9">IF(OR($C14="ON",$F14="MAC+111"),0,I13+1)</f>
        <v>0</v>
      </c>
      <c r="J14" s="10">
        <f t="shared" ref="J14:J37" si="10">IF($C14="OFF",0,IF($F15="MAC+111",1,J15+1))</f>
        <v>17</v>
      </c>
      <c r="L14" t="str">
        <f t="shared" ref="L14:L37" si="11">IF($C14="ON","",IF($C14="N1",$D14,L13))</f>
        <v/>
      </c>
      <c r="M14" t="str">
        <f t="shared" ref="M14:M37" si="12">IF($C14="ON","",IF($C14="N2",$D14,IF($F14="MAC+103",3,IF($F14="MAC+104",2,M13))))</f>
        <v/>
      </c>
      <c r="N14" t="str">
        <f t="shared" ref="N14:N37" si="13">IF($C14="ON","",IF($C14="N3",$D14,N13))</f>
        <v/>
      </c>
      <c r="O14" t="str">
        <f t="shared" ref="O14:O37" si="14">IF($C14="ON","",IF($C14="STAT",$D14,O13))</f>
        <v/>
      </c>
      <c r="P14" s="9" t="str">
        <f t="shared" ref="P14:P37" si="15">IF($C14="ON","",IF(AND($C14="MAC",LEN($D14)=3,"105"&lt;=$D14,$D14&lt;="110"),"",IF(AND($C14="MAC",LEN($D14)=3,"103"&lt;=$D14,$D14&lt;="104"),"disabled",P13)))</f>
        <v/>
      </c>
      <c r="Q14" t="str">
        <f t="shared" ref="Q14:Q37" si="16">IF(F14="ON","",IF($F14="MAC+105",300,IF($F14="MAC+106",600,IF($F14="MAC+107",840,IF($F14="MAC+108",1200,IF($F14="MAC+109",1800,IF($F14="MAC+110",43200,Q13)))))))</f>
        <v/>
      </c>
      <c r="R14" s="10" t="str">
        <f t="shared" ref="R14:R37" si="17">IF($C14="ON","",IF($F14="MAC+102","102",R13))</f>
        <v/>
      </c>
      <c r="T14" s="27">
        <f t="shared" ref="T14:T37" si="18">IF($M14="",0,T$1/64/$M14)</f>
        <v>0</v>
      </c>
      <c r="U14" s="27">
        <f t="shared" ref="U14:U37" si="19">IF($M14="",0,U$1/64/$M14)</f>
        <v>0</v>
      </c>
      <c r="V14" s="27">
        <f t="shared" ref="V14:V37" si="20">IF($O14="",0,V$1/$O14)</f>
        <v>0</v>
      </c>
      <c r="W14" s="27">
        <f t="shared" ref="W14:W37" si="21">IF($L14="",0,W$1/$L14)</f>
        <v>0</v>
      </c>
      <c r="X14" s="27">
        <f t="shared" ref="X14:X37" si="22">IF(OR($M14="",$P14&lt;&gt;""),0,X$1/$M14)</f>
        <v>0</v>
      </c>
      <c r="Y14" s="27">
        <f t="shared" ref="Y14:Y37" si="23">IF($M14="",0,IF($Q14="",1,Q14/43200)*X14)</f>
        <v>0</v>
      </c>
      <c r="Z14" s="27">
        <f t="shared" ref="Z14:Z37" si="24">IF($N14="",0,Z$1/$N14)</f>
        <v>0</v>
      </c>
      <c r="AB14" s="28">
        <f t="shared" ref="AB14:AB37" si="25">IF(AB$3&lt;&gt;"",$V14,0)+IF(AB$4&lt;&gt;"",$T14,0)+IF(AB$5&lt;&gt;"",$Y14+IF($R14&lt;&gt;"102",$U14,0),0)+IF(AB$6&lt;&gt;"",$Z14+IF($R14="102",$U14,0),0)+IF(AB$7&lt;&gt;"",$W14,0)</f>
        <v>0</v>
      </c>
      <c r="AC14" s="28">
        <f t="shared" ref="AC14:AC37" si="26">IF(AC$3&lt;&gt;"",$V14,0)+IF(AC$4&lt;&gt;"",$T14,0)+IF(AC$5&lt;&gt;"",$Y14+IF($R14&lt;&gt;"102",$U14,0),0)+IF(AC$6&lt;&gt;"",$Z14+IF($R14="102",$U14,0),0)+IF(AC$7&lt;&gt;"",$W14,0)</f>
        <v>0</v>
      </c>
      <c r="AD14" s="28">
        <f t="shared" ref="AD14:AD37" si="27">IF(AD$3&lt;&gt;"",$V14,0)+IF(AD$4&lt;&gt;"",$T14,0)+IF(AD$5&lt;&gt;"",$Y14+IF($R14&lt;&gt;"102",$U14,0),0)+IF(AD$6&lt;&gt;"",$Z14+IF($R14="102",$U14,0),0)+IF(AD$7&lt;&gt;"",$W14,0)</f>
        <v>0</v>
      </c>
      <c r="AE14" s="28">
        <f t="shared" ref="AE14:AE37" si="28">IF(AE$3&lt;&gt;"",$V14,0)+IF(AE$4&lt;&gt;"",$T14,0)+IF(AE$5&lt;&gt;"",$Y14+IF($R14&lt;&gt;"102",$U14,0),0)+IF(AE$6&lt;&gt;"",$Z14+IF($R14="102",$U14,0),0)+IF(AE$7&lt;&gt;"",$W14,0)</f>
        <v>0</v>
      </c>
      <c r="AF14" s="28">
        <f t="shared" ref="AF14:AF37" si="29">IF(AF$3&lt;&gt;"",$V14,0)+IF(AF$4&lt;&gt;"",$T14,0)+IF(AF$5&lt;&gt;"",$Y14+IF($R14&lt;&gt;"102",$U14,0),0)+IF(AF$6&lt;&gt;"",$Z14+IF($R14="102",$U14,0),0)+IF(AF$7&lt;&gt;"",$W14,0)</f>
        <v>0</v>
      </c>
      <c r="AG14" s="28">
        <f t="shared" ref="AG14:AG37" si="30">IF(AG$3&lt;&gt;"",$V14,0)+IF(AG$4&lt;&gt;"",$T14,0)+IF(AG$5&lt;&gt;"",$Y14+IF($R14&lt;&gt;"102",$U14,0),0)+IF(AG$6&lt;&gt;"",$Z14+IF($R14="102",$U14,0),0)+IF(AG$7&lt;&gt;"",$W14,0)</f>
        <v>0</v>
      </c>
      <c r="AH14" s="28">
        <f t="shared" ref="AH14:AH37" si="31">IF(AH$3&lt;&gt;"",$V14,0)+IF(AH$4&lt;&gt;"",$T14,0)+IF(AH$5&lt;&gt;"",$Y14+IF($R14&lt;&gt;"102",$U14,0),0)+IF(AH$6&lt;&gt;"",$Z14+IF($R14="102",$U14,0),0)+IF(AH$7&lt;&gt;"",$W14,0)</f>
        <v>0</v>
      </c>
      <c r="AI14" s="28">
        <f t="shared" ref="AI14:AI37" si="32">IF(AI$3&lt;&gt;"",$V14,0)+IF(AI$4&lt;&gt;"",$T14,0)+IF(AI$5&lt;&gt;"",$Y14+IF($R14&lt;&gt;"102",$U14,0),0)+IF(AI$6&lt;&gt;"",$Z14+IF($R14="102",$U14,0),0)+IF(AI$7&lt;&gt;"",$W14,0)</f>
        <v>0</v>
      </c>
      <c r="AJ14" s="28">
        <f t="shared" ref="AJ14:AJ37" si="33">IF(AJ$3&lt;&gt;"",$V14,0)+IF(AJ$4&lt;&gt;"",$T14,0)+IF(AJ$5&lt;&gt;"",$Y14+IF($R14&lt;&gt;"102",$U14,0),0)+IF(AJ$6&lt;&gt;"",$Z14+IF($R14="102",$U14,0),0)+IF(AJ$7&lt;&gt;"",$W14,0)</f>
        <v>0</v>
      </c>
      <c r="AK14" s="28">
        <f t="shared" ref="AK14:AK37" si="34">IF(AK$3&lt;&gt;"",$V14,0)+IF(AK$4&lt;&gt;"",$T14,0)+IF(AK$5&lt;&gt;"",$Y14+IF($R14&lt;&gt;"102",$U14,0),0)+IF(AK$6&lt;&gt;"",$Z14+IF($R14="102",$U14,0),0)+IF(AK$7&lt;&gt;"",$W14,0)</f>
        <v>0</v>
      </c>
      <c r="AL14" s="28">
        <f t="shared" ref="AL14:AL37" si="35">IF(AL$3&lt;&gt;"",$V14,0)+IF(AL$4&lt;&gt;"",$T14,0)+IF(AL$5&lt;&gt;"",$Y14+IF($R14&lt;&gt;"102",$U14,0),0)+IF(AL$6&lt;&gt;"",$Z14+IF($R14="102",$U14,0),0)+IF(AL$7&lt;&gt;"",$W14,0)</f>
        <v>0</v>
      </c>
      <c r="AM14" s="28">
        <f t="shared" ref="AM14:AM37" si="36">IF(AM$3&lt;&gt;"",$V14,0)+IF(AM$4&lt;&gt;"",$T14,0)+IF(AM$5&lt;&gt;"",$Y14+IF($R14&lt;&gt;"102",$U14,0),0)+IF(AM$6&lt;&gt;"",$Z14+IF($R14="102",$U14,0),0)+IF(AM$7&lt;&gt;"",$W14,0)</f>
        <v>0</v>
      </c>
      <c r="AN14" s="28">
        <f t="shared" ref="AN14:AN37" si="37">IF(AN$3&lt;&gt;"",$V14,0)+IF(AN$4&lt;&gt;"",$T14,0)+IF(AN$5&lt;&gt;"",$Y14+IF($R14&lt;&gt;"102",$U14,0),0)+IF(AN$6&lt;&gt;"",$Z14+IF($R14="102",$U14,0),0)+IF(AN$7&lt;&gt;"",$W14,0)</f>
        <v>0</v>
      </c>
      <c r="AO14" s="28">
        <f t="shared" ref="AO14:AO37" si="38">IF(AO$3&lt;&gt;"",$V14,0)+IF(AO$4&lt;&gt;"",$T14,0)+IF(AO$5&lt;&gt;"",$Y14+IF($R14&lt;&gt;"102",$U14,0),0)+IF(AO$6&lt;&gt;"",$Z14+IF($R14="102",$U14,0),0)+IF(AO$7&lt;&gt;"",$W14,0)</f>
        <v>0</v>
      </c>
      <c r="AP14" s="28">
        <f t="shared" ref="AP14:AP37" si="39">IF(AP$3&lt;&gt;"",$V14,0)+IF(AP$4&lt;&gt;"",$T14,0)+IF(AP$5&lt;&gt;"",$Y14+IF($R14&lt;&gt;"102",$U14,0),0)+IF(AP$6&lt;&gt;"",$Z14+IF($R14="102",$U14,0),0)+IF(AP$7&lt;&gt;"",$W14,0)</f>
        <v>0</v>
      </c>
      <c r="AQ14" s="28">
        <f t="shared" ref="AQ14:AQ37" si="40">IF(AQ$3&lt;&gt;"",$V14,0)+IF(AQ$4&lt;&gt;"",$T14,0)+IF(AQ$5&lt;&gt;"",$Y14+IF($R14&lt;&gt;"102",$U14,0),0)+IF(AQ$6&lt;&gt;"",$Z14+IF($R14="102",$U14,0),0)+IF(AQ$7&lt;&gt;"",$W14,0)</f>
        <v>0</v>
      </c>
      <c r="AR14" s="28">
        <f t="shared" ref="AR14:AR37" si="41">IF(AR$3&lt;&gt;"",$V14,0)+IF(AR$4&lt;&gt;"",$T14,0)+IF(AR$5&lt;&gt;"",$Y14+IF($R14&lt;&gt;"102",$U14,0),0)+IF(AR$6&lt;&gt;"",$Z14+IF($R14="102",$U14,0),0)+IF(AR$7&lt;&gt;"",$W14,0)</f>
        <v>0</v>
      </c>
      <c r="AS14" s="28">
        <f t="shared" ref="AS14:AS37" si="42">IF(AS$3&lt;&gt;"",$V14,0)+IF(AS$4&lt;&gt;"",$T14,0)+IF(AS$5&lt;&gt;"",$Y14+IF($R14&lt;&gt;"102",$U14,0),0)+IF(AS$6&lt;&gt;"",$Z14+IF($R14="102",$U14,0),0)+IF(AS$7&lt;&gt;"",$W14,0)</f>
        <v>0</v>
      </c>
      <c r="AT14" s="28">
        <f t="shared" ref="AT14:AT37" si="43">IF(AT$3&lt;&gt;"",$V14,0)+IF(AT$4&lt;&gt;"",$T14,0)+IF(AT$5&lt;&gt;"",$Y14+IF($R14&lt;&gt;"102",$U14,0),0)+IF(AT$6&lt;&gt;"",$Z14+IF($R14="102",$U14,0),0)+IF(AT$7&lt;&gt;"",$W14,0)</f>
        <v>0</v>
      </c>
      <c r="AU14" s="28">
        <f t="shared" ref="AU14:AU37" si="44">IF(AU$3&lt;&gt;"",$V14,0)+IF(AU$4&lt;&gt;"",$T14,0)+IF(AU$5&lt;&gt;"",$Y14+IF($R14&lt;&gt;"102",$U14,0),0)+IF(AU$6&lt;&gt;"",$Z14+IF($R14="102",$U14,0),0)+IF(AU$7&lt;&gt;"",$W14,0)</f>
        <v>0</v>
      </c>
      <c r="AV14" s="28">
        <f t="shared" ref="AV14:AV37" si="45">IF(AV$3&lt;&gt;"",$V14,0)+IF(AV$4&lt;&gt;"",$T14,0)+IF(AV$5&lt;&gt;"",$Y14+IF($R14&lt;&gt;"102",$U14,0),0)+IF(AV$6&lt;&gt;"",$Z14+IF($R14="102",$U14,0),0)+IF(AV$7&lt;&gt;"",$W14,0)</f>
        <v>0</v>
      </c>
      <c r="AW14" s="28">
        <f t="shared" ref="AW14:AW37" si="46">IF(AW$3&lt;&gt;"",$V14,0)+IF(AW$4&lt;&gt;"",$T14,0)+IF(AW$5&lt;&gt;"",$Y14+IF($R14&lt;&gt;"102",$U14,0),0)+IF(AW$6&lt;&gt;"",$Z14+IF($R14="102",$U14,0),0)+IF(AW$7&lt;&gt;"",$W14,0)</f>
        <v>0</v>
      </c>
      <c r="AX14" s="28">
        <f t="shared" ref="AX14:AX37" si="47">IF(AX$3&lt;&gt;"",$V14,0)+IF(AX$4&lt;&gt;"",$T14,0)+IF(AX$5&lt;&gt;"",$Y14+IF($R14&lt;&gt;"102",$U14,0),0)+IF(AX$6&lt;&gt;"",$Z14+IF($R14="102",$U14,0),0)+IF(AX$7&lt;&gt;"",$W14,0)</f>
        <v>0</v>
      </c>
      <c r="AY14" s="28">
        <f t="shared" ref="AY14:AY37" si="48">IF(AY$3&lt;&gt;"",$V14,0)+IF(AY$4&lt;&gt;"",$T14,0)+IF(AY$5&lt;&gt;"",$Y14+IF($R14&lt;&gt;"102",$U14,0),0)+IF(AY$6&lt;&gt;"",$Z14+IF($R14="102",$U14,0),0)+IF(AY$7&lt;&gt;"",$W14,0)</f>
        <v>0</v>
      </c>
      <c r="AZ14" s="28">
        <f t="shared" ref="AZ14:AZ37" si="49">IF(AZ$3&lt;&gt;"",$V14,0)+IF(AZ$4&lt;&gt;"",$T14,0)+IF(AZ$5&lt;&gt;"",$Y14+IF($R14&lt;&gt;"102",$U14,0),0)+IF(AZ$6&lt;&gt;"",$Z14+IF($R14="102",$U14,0),0)+IF(AZ$7&lt;&gt;"",$W14,0)</f>
        <v>0</v>
      </c>
      <c r="BA14" s="28">
        <f t="shared" ref="BA14:BA37" si="50">IF(BA$3&lt;&gt;"",$V14,0)+IF(BA$4&lt;&gt;"",$T14,0)+IF(BA$5&lt;&gt;"",$Y14+IF($R14&lt;&gt;"102",$U14,0),0)+IF(BA$6&lt;&gt;"",$Z14+IF($R14="102",$U14,0),0)+IF(BA$7&lt;&gt;"",$W14,0)</f>
        <v>0</v>
      </c>
      <c r="BB14" s="28">
        <f t="shared" ref="BB14:BB37" si="51">IF(BB$3&lt;&gt;"",$V14,0)+IF(BB$4&lt;&gt;"",$T14,0)+IF(BB$5&lt;&gt;"",$Y14+IF($R14&lt;&gt;"102",$U14,0),0)+IF(BB$6&lt;&gt;"",$Z14+IF($R14="102",$U14,0),0)+IF(BB$7&lt;&gt;"",$W14,0)</f>
        <v>0</v>
      </c>
      <c r="BC14" s="28">
        <f t="shared" ref="BC14:BC37" si="52">IF(BC$3&lt;&gt;"",$V14,0)+IF(BC$4&lt;&gt;"",$T14,0)+IF(BC$5&lt;&gt;"",$Y14+IF($R14&lt;&gt;"102",$U14,0),0)+IF(BC$6&lt;&gt;"",$Z14+IF($R14="102",$U14,0),0)+IF(BC$7&lt;&gt;"",$W14,0)</f>
        <v>0</v>
      </c>
      <c r="BD14" s="28">
        <f t="shared" ref="BD14:BD37" si="53">IF(BD$3&lt;&gt;"",$V14,0)+IF(BD$4&lt;&gt;"",$T14,0)+IF(BD$5&lt;&gt;"",$Y14+IF($R14&lt;&gt;"102",$U14,0),0)+IF(BD$6&lt;&gt;"",$Z14+IF($R14="102",$U14,0),0)+IF(BD$7&lt;&gt;"",$W14,0)</f>
        <v>0</v>
      </c>
      <c r="BE14" s="28">
        <f t="shared" ref="BE14:BE37" si="54">IF(BE$3&lt;&gt;"",$V14,0)+IF(BE$4&lt;&gt;"",$T14,0)+IF(BE$5&lt;&gt;"",$Y14+IF($R14&lt;&gt;"102",$U14,0),0)+IF(BE$6&lt;&gt;"",$Z14+IF($R14="102",$U14,0),0)+IF(BE$7&lt;&gt;"",$W14,0)</f>
        <v>0</v>
      </c>
      <c r="BF14" s="28">
        <f t="shared" ref="BF14:BF37" si="55">IF(BF$3&lt;&gt;"",$V14,0)+IF(BF$4&lt;&gt;"",$T14,0)+IF(BF$5&lt;&gt;"",$Y14+IF($R14&lt;&gt;"102",$U14,0),0)+IF(BF$6&lt;&gt;"",$Z14+IF($R14="102",$U14,0),0)+IF(BF$7&lt;&gt;"",$W14,0)</f>
        <v>0</v>
      </c>
    </row>
    <row r="15" spans="1:58" x14ac:dyDescent="0.25">
      <c r="A15" t="s">
        <v>9</v>
      </c>
      <c r="B15">
        <v>644923360</v>
      </c>
      <c r="C15" t="s">
        <v>10</v>
      </c>
      <c r="D15" t="s">
        <v>11</v>
      </c>
      <c r="F15" s="10" t="str">
        <f t="shared" si="6"/>
        <v>MAC+10</v>
      </c>
      <c r="G15" s="6">
        <f t="shared" si="7"/>
        <v>644923315</v>
      </c>
      <c r="H15" s="6">
        <f t="shared" si="8"/>
        <v>646883515</v>
      </c>
      <c r="I15" s="10">
        <f t="shared" si="9"/>
        <v>1</v>
      </c>
      <c r="J15" s="10">
        <f t="shared" si="10"/>
        <v>16</v>
      </c>
      <c r="L15" t="str">
        <f t="shared" si="11"/>
        <v/>
      </c>
      <c r="M15" t="str">
        <f t="shared" si="12"/>
        <v/>
      </c>
      <c r="N15" t="str">
        <f t="shared" si="13"/>
        <v/>
      </c>
      <c r="O15" t="str">
        <f t="shared" si="14"/>
        <v/>
      </c>
      <c r="P15" t="str">
        <f t="shared" si="15"/>
        <v/>
      </c>
      <c r="Q15" t="str">
        <f t="shared" si="16"/>
        <v/>
      </c>
      <c r="R15" t="str">
        <f t="shared" si="17"/>
        <v/>
      </c>
      <c r="T15" s="29">
        <f t="shared" si="18"/>
        <v>0</v>
      </c>
      <c r="U15" s="29">
        <f t="shared" si="19"/>
        <v>0</v>
      </c>
      <c r="V15" s="29">
        <f t="shared" si="20"/>
        <v>0</v>
      </c>
      <c r="W15" s="29">
        <f t="shared" si="21"/>
        <v>0</v>
      </c>
      <c r="X15" s="29">
        <f t="shared" si="22"/>
        <v>0</v>
      </c>
      <c r="Y15" s="29">
        <f t="shared" si="23"/>
        <v>0</v>
      </c>
      <c r="Z15" s="29">
        <f t="shared" si="24"/>
        <v>0</v>
      </c>
      <c r="AB15" s="29">
        <f t="shared" si="25"/>
        <v>0</v>
      </c>
      <c r="AC15" s="29">
        <f t="shared" si="26"/>
        <v>0</v>
      </c>
      <c r="AD15" s="29">
        <f t="shared" si="27"/>
        <v>0</v>
      </c>
      <c r="AE15" s="29">
        <f t="shared" si="28"/>
        <v>0</v>
      </c>
      <c r="AF15" s="29">
        <f t="shared" si="29"/>
        <v>0</v>
      </c>
      <c r="AG15" s="29">
        <f t="shared" si="30"/>
        <v>0</v>
      </c>
      <c r="AH15" s="29">
        <f t="shared" si="31"/>
        <v>0</v>
      </c>
      <c r="AI15" s="29">
        <f t="shared" si="32"/>
        <v>0</v>
      </c>
      <c r="AJ15" s="29">
        <f t="shared" si="33"/>
        <v>0</v>
      </c>
      <c r="AK15" s="29">
        <f t="shared" si="34"/>
        <v>0</v>
      </c>
      <c r="AL15" s="29">
        <f t="shared" si="35"/>
        <v>0</v>
      </c>
      <c r="AM15" s="29">
        <f t="shared" si="36"/>
        <v>0</v>
      </c>
      <c r="AN15" s="29">
        <f t="shared" si="37"/>
        <v>0</v>
      </c>
      <c r="AO15" s="29">
        <f t="shared" si="38"/>
        <v>0</v>
      </c>
      <c r="AP15" s="29">
        <f t="shared" si="39"/>
        <v>0</v>
      </c>
      <c r="AQ15" s="29">
        <f t="shared" si="40"/>
        <v>0</v>
      </c>
      <c r="AR15" s="29">
        <f t="shared" si="41"/>
        <v>0</v>
      </c>
      <c r="AS15" s="29">
        <f t="shared" si="42"/>
        <v>0</v>
      </c>
      <c r="AT15" s="29">
        <f t="shared" si="43"/>
        <v>0</v>
      </c>
      <c r="AU15" s="29">
        <f t="shared" si="44"/>
        <v>0</v>
      </c>
      <c r="AV15" s="29">
        <f t="shared" si="45"/>
        <v>0</v>
      </c>
      <c r="AW15" s="29">
        <f t="shared" si="46"/>
        <v>0</v>
      </c>
      <c r="AX15" s="29">
        <f t="shared" si="47"/>
        <v>0</v>
      </c>
      <c r="AY15" s="29">
        <f t="shared" si="48"/>
        <v>0</v>
      </c>
      <c r="AZ15" s="29">
        <f t="shared" si="49"/>
        <v>0</v>
      </c>
      <c r="BA15" s="29">
        <f t="shared" si="50"/>
        <v>0</v>
      </c>
      <c r="BB15" s="29">
        <f t="shared" si="51"/>
        <v>0</v>
      </c>
      <c r="BC15" s="29">
        <f t="shared" si="52"/>
        <v>0</v>
      </c>
      <c r="BD15" s="29">
        <f t="shared" si="53"/>
        <v>0</v>
      </c>
      <c r="BE15" s="29">
        <f t="shared" si="54"/>
        <v>0</v>
      </c>
      <c r="BF15" s="29">
        <f t="shared" si="55"/>
        <v>0</v>
      </c>
    </row>
    <row r="16" spans="1:58" x14ac:dyDescent="0.25">
      <c r="A16" t="s">
        <v>12</v>
      </c>
      <c r="B16">
        <v>644923360</v>
      </c>
      <c r="C16" t="s">
        <v>13</v>
      </c>
      <c r="D16" t="s">
        <v>11</v>
      </c>
      <c r="F16" s="10" t="str">
        <f t="shared" si="6"/>
        <v>N2+10</v>
      </c>
      <c r="G16" s="6">
        <f t="shared" si="7"/>
        <v>644923315</v>
      </c>
      <c r="H16" s="6">
        <f t="shared" si="8"/>
        <v>646883515</v>
      </c>
      <c r="I16" s="10">
        <f t="shared" si="9"/>
        <v>2</v>
      </c>
      <c r="J16" s="10">
        <f t="shared" si="10"/>
        <v>15</v>
      </c>
      <c r="L16" t="str">
        <f t="shared" si="11"/>
        <v/>
      </c>
      <c r="M16" t="str">
        <f t="shared" si="12"/>
        <v>10</v>
      </c>
      <c r="N16" t="str">
        <f t="shared" si="13"/>
        <v/>
      </c>
      <c r="O16" t="str">
        <f t="shared" si="14"/>
        <v/>
      </c>
      <c r="P16" t="str">
        <f t="shared" si="15"/>
        <v/>
      </c>
      <c r="Q16" t="str">
        <f t="shared" si="16"/>
        <v/>
      </c>
      <c r="R16" t="str">
        <f t="shared" si="17"/>
        <v/>
      </c>
      <c r="T16" s="29">
        <f t="shared" si="18"/>
        <v>0.82187500000000002</v>
      </c>
      <c r="U16" s="29">
        <f t="shared" si="19"/>
        <v>3.2609374999999998</v>
      </c>
      <c r="V16" s="29">
        <f t="shared" si="20"/>
        <v>0</v>
      </c>
      <c r="W16" s="29">
        <f t="shared" si="21"/>
        <v>0</v>
      </c>
      <c r="X16" s="29">
        <f t="shared" si="22"/>
        <v>126.6</v>
      </c>
      <c r="Y16" s="29">
        <f t="shared" si="23"/>
        <v>126.6</v>
      </c>
      <c r="Z16" s="29">
        <f t="shared" si="24"/>
        <v>0</v>
      </c>
      <c r="AB16" s="29">
        <f t="shared" si="25"/>
        <v>0</v>
      </c>
      <c r="AC16" s="29">
        <f t="shared" si="26"/>
        <v>0</v>
      </c>
      <c r="AD16" s="29">
        <f t="shared" si="27"/>
        <v>0</v>
      </c>
      <c r="AE16" s="29">
        <f t="shared" si="28"/>
        <v>129.86093750000001</v>
      </c>
      <c r="AF16" s="29">
        <f t="shared" si="29"/>
        <v>129.86093750000001</v>
      </c>
      <c r="AG16" s="29">
        <f t="shared" si="30"/>
        <v>129.86093750000001</v>
      </c>
      <c r="AH16" s="29">
        <f t="shared" si="31"/>
        <v>129.86093750000001</v>
      </c>
      <c r="AI16" s="29">
        <f t="shared" si="32"/>
        <v>0.82187500000000002</v>
      </c>
      <c r="AJ16" s="29">
        <f t="shared" si="33"/>
        <v>0.82187500000000002</v>
      </c>
      <c r="AK16" s="29">
        <f t="shared" si="34"/>
        <v>0.82187500000000002</v>
      </c>
      <c r="AL16" s="29">
        <f t="shared" si="35"/>
        <v>0.82187500000000002</v>
      </c>
      <c r="AM16" s="29">
        <f t="shared" si="36"/>
        <v>130.68281250000001</v>
      </c>
      <c r="AN16" s="29">
        <f t="shared" si="37"/>
        <v>130.68281250000001</v>
      </c>
      <c r="AO16" s="29">
        <f t="shared" si="38"/>
        <v>130.68281250000001</v>
      </c>
      <c r="AP16" s="29">
        <f t="shared" si="39"/>
        <v>130.68281250000001</v>
      </c>
      <c r="AQ16" s="29">
        <f t="shared" si="40"/>
        <v>0</v>
      </c>
      <c r="AR16" s="29">
        <f t="shared" si="41"/>
        <v>0</v>
      </c>
      <c r="AS16" s="29">
        <f t="shared" si="42"/>
        <v>0</v>
      </c>
      <c r="AT16" s="29">
        <f t="shared" si="43"/>
        <v>0</v>
      </c>
      <c r="AU16" s="29">
        <f t="shared" si="44"/>
        <v>129.86093750000001</v>
      </c>
      <c r="AV16" s="29">
        <f t="shared" si="45"/>
        <v>129.86093750000001</v>
      </c>
      <c r="AW16" s="29">
        <f t="shared" si="46"/>
        <v>129.86093750000001</v>
      </c>
      <c r="AX16" s="29">
        <f t="shared" si="47"/>
        <v>129.86093750000001</v>
      </c>
      <c r="AY16" s="29">
        <f t="shared" si="48"/>
        <v>0.82187500000000002</v>
      </c>
      <c r="AZ16" s="29">
        <f t="shared" si="49"/>
        <v>0.82187500000000002</v>
      </c>
      <c r="BA16" s="29">
        <f t="shared" si="50"/>
        <v>0.82187500000000002</v>
      </c>
      <c r="BB16" s="29">
        <f t="shared" si="51"/>
        <v>0.82187500000000002</v>
      </c>
      <c r="BC16" s="29">
        <f t="shared" si="52"/>
        <v>130.68281250000001</v>
      </c>
      <c r="BD16" s="29">
        <f t="shared" si="53"/>
        <v>130.68281250000001</v>
      </c>
      <c r="BE16" s="29">
        <f t="shared" si="54"/>
        <v>130.68281250000001</v>
      </c>
      <c r="BF16" s="29">
        <f t="shared" si="55"/>
        <v>130.68281250000001</v>
      </c>
    </row>
    <row r="17" spans="1:58" x14ac:dyDescent="0.25">
      <c r="A17" t="s">
        <v>12</v>
      </c>
      <c r="B17">
        <v>644923361</v>
      </c>
      <c r="C17" t="s">
        <v>14</v>
      </c>
      <c r="D17" t="s">
        <v>15</v>
      </c>
      <c r="F17" s="10" t="str">
        <f t="shared" si="6"/>
        <v>N3+300</v>
      </c>
      <c r="G17" s="6">
        <f t="shared" si="7"/>
        <v>644923315</v>
      </c>
      <c r="H17" s="6">
        <f t="shared" si="8"/>
        <v>646883515</v>
      </c>
      <c r="I17" s="10">
        <f t="shared" si="9"/>
        <v>3</v>
      </c>
      <c r="J17" s="10">
        <f t="shared" si="10"/>
        <v>14</v>
      </c>
      <c r="L17" t="str">
        <f t="shared" si="11"/>
        <v/>
      </c>
      <c r="M17" t="str">
        <f t="shared" si="12"/>
        <v>10</v>
      </c>
      <c r="N17" t="str">
        <f t="shared" si="13"/>
        <v>300</v>
      </c>
      <c r="O17" t="str">
        <f t="shared" si="14"/>
        <v/>
      </c>
      <c r="P17" t="str">
        <f t="shared" si="15"/>
        <v/>
      </c>
      <c r="Q17" t="str">
        <f t="shared" si="16"/>
        <v/>
      </c>
      <c r="R17" t="str">
        <f t="shared" si="17"/>
        <v/>
      </c>
      <c r="T17" s="29">
        <f t="shared" si="18"/>
        <v>0.82187500000000002</v>
      </c>
      <c r="U17" s="29">
        <f t="shared" si="19"/>
        <v>3.2609374999999998</v>
      </c>
      <c r="V17" s="29">
        <f t="shared" si="20"/>
        <v>0</v>
      </c>
      <c r="W17" s="29">
        <f t="shared" si="21"/>
        <v>0</v>
      </c>
      <c r="X17" s="29">
        <f t="shared" si="22"/>
        <v>126.6</v>
      </c>
      <c r="Y17" s="29">
        <f t="shared" si="23"/>
        <v>126.6</v>
      </c>
      <c r="Z17" s="29">
        <f t="shared" si="24"/>
        <v>60.586666666666666</v>
      </c>
      <c r="AB17" s="29">
        <f t="shared" si="25"/>
        <v>0</v>
      </c>
      <c r="AC17" s="29">
        <f t="shared" si="26"/>
        <v>60.586666666666666</v>
      </c>
      <c r="AD17" s="29">
        <f t="shared" si="27"/>
        <v>60.586666666666666</v>
      </c>
      <c r="AE17" s="29">
        <f t="shared" si="28"/>
        <v>129.86093750000001</v>
      </c>
      <c r="AF17" s="29">
        <f t="shared" si="29"/>
        <v>129.86093750000001</v>
      </c>
      <c r="AG17" s="29">
        <f t="shared" si="30"/>
        <v>190.44760416666668</v>
      </c>
      <c r="AH17" s="29">
        <f t="shared" si="31"/>
        <v>190.44760416666668</v>
      </c>
      <c r="AI17" s="29">
        <f t="shared" si="32"/>
        <v>0.82187500000000002</v>
      </c>
      <c r="AJ17" s="29">
        <f t="shared" si="33"/>
        <v>0.82187500000000002</v>
      </c>
      <c r="AK17" s="29">
        <f t="shared" si="34"/>
        <v>61.408541666666665</v>
      </c>
      <c r="AL17" s="29">
        <f t="shared" si="35"/>
        <v>61.408541666666665</v>
      </c>
      <c r="AM17" s="29">
        <f t="shared" si="36"/>
        <v>130.68281250000001</v>
      </c>
      <c r="AN17" s="29">
        <f t="shared" si="37"/>
        <v>130.68281250000001</v>
      </c>
      <c r="AO17" s="29">
        <f t="shared" si="38"/>
        <v>191.26947916666668</v>
      </c>
      <c r="AP17" s="29">
        <f t="shared" si="39"/>
        <v>191.26947916666668</v>
      </c>
      <c r="AQ17" s="29">
        <f t="shared" si="40"/>
        <v>0</v>
      </c>
      <c r="AR17" s="29">
        <f t="shared" si="41"/>
        <v>0</v>
      </c>
      <c r="AS17" s="29">
        <f t="shared" si="42"/>
        <v>60.586666666666666</v>
      </c>
      <c r="AT17" s="29">
        <f t="shared" si="43"/>
        <v>60.586666666666666</v>
      </c>
      <c r="AU17" s="29">
        <f t="shared" si="44"/>
        <v>129.86093750000001</v>
      </c>
      <c r="AV17" s="29">
        <f t="shared" si="45"/>
        <v>129.86093750000001</v>
      </c>
      <c r="AW17" s="29">
        <f t="shared" si="46"/>
        <v>190.44760416666668</v>
      </c>
      <c r="AX17" s="29">
        <f t="shared" si="47"/>
        <v>190.44760416666668</v>
      </c>
      <c r="AY17" s="29">
        <f t="shared" si="48"/>
        <v>0.82187500000000002</v>
      </c>
      <c r="AZ17" s="29">
        <f t="shared" si="49"/>
        <v>0.82187500000000002</v>
      </c>
      <c r="BA17" s="29">
        <f t="shared" si="50"/>
        <v>61.408541666666665</v>
      </c>
      <c r="BB17" s="29">
        <f t="shared" si="51"/>
        <v>61.408541666666665</v>
      </c>
      <c r="BC17" s="29">
        <f t="shared" si="52"/>
        <v>130.68281250000001</v>
      </c>
      <c r="BD17" s="29">
        <f t="shared" si="53"/>
        <v>130.68281250000001</v>
      </c>
      <c r="BE17" s="29">
        <f t="shared" si="54"/>
        <v>191.26947916666668</v>
      </c>
      <c r="BF17" s="29">
        <f t="shared" si="55"/>
        <v>191.26947916666668</v>
      </c>
    </row>
    <row r="18" spans="1:58" x14ac:dyDescent="0.25">
      <c r="A18" t="s">
        <v>12</v>
      </c>
      <c r="B18">
        <v>644923362</v>
      </c>
      <c r="C18" t="s">
        <v>16</v>
      </c>
      <c r="D18" t="s">
        <v>11</v>
      </c>
      <c r="F18" s="10" t="str">
        <f t="shared" si="6"/>
        <v>N1+10</v>
      </c>
      <c r="G18" s="6">
        <f t="shared" si="7"/>
        <v>644923315</v>
      </c>
      <c r="H18" s="6">
        <f t="shared" si="8"/>
        <v>646883515</v>
      </c>
      <c r="I18" s="10">
        <f t="shared" si="9"/>
        <v>4</v>
      </c>
      <c r="J18" s="10">
        <f t="shared" si="10"/>
        <v>13</v>
      </c>
      <c r="L18" t="str">
        <f t="shared" si="11"/>
        <v>10</v>
      </c>
      <c r="M18" t="str">
        <f t="shared" si="12"/>
        <v>10</v>
      </c>
      <c r="N18" t="str">
        <f t="shared" si="13"/>
        <v>300</v>
      </c>
      <c r="O18" t="str">
        <f t="shared" si="14"/>
        <v/>
      </c>
      <c r="P18" t="str">
        <f t="shared" si="15"/>
        <v/>
      </c>
      <c r="Q18" t="str">
        <f t="shared" si="16"/>
        <v/>
      </c>
      <c r="R18" t="str">
        <f t="shared" si="17"/>
        <v/>
      </c>
      <c r="T18" s="29">
        <f t="shared" si="18"/>
        <v>0.82187500000000002</v>
      </c>
      <c r="U18" s="29">
        <f t="shared" si="19"/>
        <v>3.2609374999999998</v>
      </c>
      <c r="V18" s="29">
        <f t="shared" si="20"/>
        <v>0</v>
      </c>
      <c r="W18" s="29">
        <f t="shared" si="21"/>
        <v>198.8</v>
      </c>
      <c r="X18" s="29">
        <f t="shared" si="22"/>
        <v>126.6</v>
      </c>
      <c r="Y18" s="29">
        <f t="shared" si="23"/>
        <v>126.6</v>
      </c>
      <c r="Z18" s="29">
        <f t="shared" si="24"/>
        <v>60.586666666666666</v>
      </c>
      <c r="AB18" s="29">
        <f t="shared" si="25"/>
        <v>198.8</v>
      </c>
      <c r="AC18" s="29">
        <f t="shared" si="26"/>
        <v>60.586666666666666</v>
      </c>
      <c r="AD18" s="29">
        <f t="shared" si="27"/>
        <v>259.38666666666666</v>
      </c>
      <c r="AE18" s="29">
        <f t="shared" si="28"/>
        <v>129.86093750000001</v>
      </c>
      <c r="AF18" s="29">
        <f t="shared" si="29"/>
        <v>328.66093750000005</v>
      </c>
      <c r="AG18" s="29">
        <f t="shared" si="30"/>
        <v>190.44760416666668</v>
      </c>
      <c r="AH18" s="29">
        <f t="shared" si="31"/>
        <v>389.24760416666669</v>
      </c>
      <c r="AI18" s="29">
        <f t="shared" si="32"/>
        <v>0.82187500000000002</v>
      </c>
      <c r="AJ18" s="29">
        <f t="shared" si="33"/>
        <v>199.62187500000002</v>
      </c>
      <c r="AK18" s="29">
        <f t="shared" si="34"/>
        <v>61.408541666666665</v>
      </c>
      <c r="AL18" s="29">
        <f t="shared" si="35"/>
        <v>260.20854166666669</v>
      </c>
      <c r="AM18" s="29">
        <f t="shared" si="36"/>
        <v>130.68281250000001</v>
      </c>
      <c r="AN18" s="29">
        <f t="shared" si="37"/>
        <v>329.48281250000002</v>
      </c>
      <c r="AO18" s="29">
        <f t="shared" si="38"/>
        <v>191.26947916666668</v>
      </c>
      <c r="AP18" s="29">
        <f t="shared" si="39"/>
        <v>390.06947916666672</v>
      </c>
      <c r="AQ18" s="29">
        <f t="shared" si="40"/>
        <v>0</v>
      </c>
      <c r="AR18" s="29">
        <f t="shared" si="41"/>
        <v>198.8</v>
      </c>
      <c r="AS18" s="29">
        <f t="shared" si="42"/>
        <v>60.586666666666666</v>
      </c>
      <c r="AT18" s="29">
        <f t="shared" si="43"/>
        <v>259.38666666666666</v>
      </c>
      <c r="AU18" s="29">
        <f t="shared" si="44"/>
        <v>129.86093750000001</v>
      </c>
      <c r="AV18" s="29">
        <f t="shared" si="45"/>
        <v>328.66093750000005</v>
      </c>
      <c r="AW18" s="29">
        <f t="shared" si="46"/>
        <v>190.44760416666668</v>
      </c>
      <c r="AX18" s="29">
        <f t="shared" si="47"/>
        <v>389.24760416666669</v>
      </c>
      <c r="AY18" s="29">
        <f t="shared" si="48"/>
        <v>0.82187500000000002</v>
      </c>
      <c r="AZ18" s="29">
        <f t="shared" si="49"/>
        <v>199.62187500000002</v>
      </c>
      <c r="BA18" s="29">
        <f t="shared" si="50"/>
        <v>61.408541666666665</v>
      </c>
      <c r="BB18" s="29">
        <f t="shared" si="51"/>
        <v>260.20854166666669</v>
      </c>
      <c r="BC18" s="29">
        <f t="shared" si="52"/>
        <v>130.68281250000001</v>
      </c>
      <c r="BD18" s="29">
        <f t="shared" si="53"/>
        <v>329.48281250000002</v>
      </c>
      <c r="BE18" s="29">
        <f t="shared" si="54"/>
        <v>191.26947916666668</v>
      </c>
      <c r="BF18" s="29">
        <f t="shared" si="55"/>
        <v>390.06947916666672</v>
      </c>
    </row>
    <row r="19" spans="1:58" x14ac:dyDescent="0.25">
      <c r="A19" t="s">
        <v>17</v>
      </c>
      <c r="B19">
        <v>644923363</v>
      </c>
      <c r="C19" t="s">
        <v>18</v>
      </c>
      <c r="D19" t="s">
        <v>94</v>
      </c>
      <c r="F19" s="10" t="str">
        <f t="shared" si="6"/>
        <v>STAT+1</v>
      </c>
      <c r="G19" s="6">
        <f t="shared" si="7"/>
        <v>644923315</v>
      </c>
      <c r="H19" s="6">
        <f t="shared" si="8"/>
        <v>646883515</v>
      </c>
      <c r="I19" s="10">
        <f t="shared" si="9"/>
        <v>5</v>
      </c>
      <c r="J19" s="10">
        <f t="shared" si="10"/>
        <v>12</v>
      </c>
      <c r="L19" t="str">
        <f t="shared" si="11"/>
        <v>10</v>
      </c>
      <c r="M19" t="str">
        <f t="shared" si="12"/>
        <v>10</v>
      </c>
      <c r="N19" t="str">
        <f t="shared" si="13"/>
        <v>300</v>
      </c>
      <c r="O19" t="str">
        <f t="shared" si="14"/>
        <v>1</v>
      </c>
      <c r="P19" t="str">
        <f t="shared" si="15"/>
        <v/>
      </c>
      <c r="Q19" t="str">
        <f t="shared" si="16"/>
        <v/>
      </c>
      <c r="R19" t="str">
        <f t="shared" si="17"/>
        <v/>
      </c>
      <c r="T19" s="29">
        <f t="shared" si="18"/>
        <v>0.82187500000000002</v>
      </c>
      <c r="U19" s="29">
        <f t="shared" si="19"/>
        <v>3.2609374999999998</v>
      </c>
      <c r="V19" s="29">
        <f t="shared" si="20"/>
        <v>512</v>
      </c>
      <c r="W19" s="29">
        <f t="shared" si="21"/>
        <v>198.8</v>
      </c>
      <c r="X19" s="29">
        <f t="shared" si="22"/>
        <v>126.6</v>
      </c>
      <c r="Y19" s="29">
        <f t="shared" si="23"/>
        <v>126.6</v>
      </c>
      <c r="Z19" s="29">
        <f t="shared" si="24"/>
        <v>60.586666666666666</v>
      </c>
      <c r="AB19" s="29">
        <f t="shared" si="25"/>
        <v>198.8</v>
      </c>
      <c r="AC19" s="29">
        <f t="shared" si="26"/>
        <v>60.586666666666666</v>
      </c>
      <c r="AD19" s="29">
        <f t="shared" si="27"/>
        <v>259.38666666666666</v>
      </c>
      <c r="AE19" s="29">
        <f t="shared" si="28"/>
        <v>129.86093750000001</v>
      </c>
      <c r="AF19" s="29">
        <f t="shared" si="29"/>
        <v>328.66093750000005</v>
      </c>
      <c r="AG19" s="29">
        <f t="shared" si="30"/>
        <v>190.44760416666668</v>
      </c>
      <c r="AH19" s="29">
        <f t="shared" si="31"/>
        <v>389.24760416666669</v>
      </c>
      <c r="AI19" s="29">
        <f t="shared" si="32"/>
        <v>0.82187500000000002</v>
      </c>
      <c r="AJ19" s="29">
        <f t="shared" si="33"/>
        <v>199.62187500000002</v>
      </c>
      <c r="AK19" s="29">
        <f t="shared" si="34"/>
        <v>61.408541666666665</v>
      </c>
      <c r="AL19" s="29">
        <f t="shared" si="35"/>
        <v>260.20854166666669</v>
      </c>
      <c r="AM19" s="29">
        <f t="shared" si="36"/>
        <v>130.68281250000001</v>
      </c>
      <c r="AN19" s="29">
        <f t="shared" si="37"/>
        <v>329.48281250000002</v>
      </c>
      <c r="AO19" s="29">
        <f t="shared" si="38"/>
        <v>191.26947916666668</v>
      </c>
      <c r="AP19" s="29">
        <f t="shared" si="39"/>
        <v>390.06947916666672</v>
      </c>
      <c r="AQ19" s="29">
        <f t="shared" si="40"/>
        <v>512</v>
      </c>
      <c r="AR19" s="29">
        <f t="shared" si="41"/>
        <v>710.8</v>
      </c>
      <c r="AS19" s="29">
        <f t="shared" si="42"/>
        <v>572.5866666666667</v>
      </c>
      <c r="AT19" s="29">
        <f t="shared" si="43"/>
        <v>771.38666666666677</v>
      </c>
      <c r="AU19" s="29">
        <f t="shared" si="44"/>
        <v>641.86093749999998</v>
      </c>
      <c r="AV19" s="29">
        <f t="shared" si="45"/>
        <v>840.66093750000005</v>
      </c>
      <c r="AW19" s="29">
        <f t="shared" si="46"/>
        <v>702.44760416666668</v>
      </c>
      <c r="AX19" s="29">
        <f t="shared" si="47"/>
        <v>901.24760416666663</v>
      </c>
      <c r="AY19" s="29">
        <f t="shared" si="48"/>
        <v>512.82187499999998</v>
      </c>
      <c r="AZ19" s="29">
        <f t="shared" si="49"/>
        <v>711.62187500000005</v>
      </c>
      <c r="BA19" s="29">
        <f t="shared" si="50"/>
        <v>573.40854166666668</v>
      </c>
      <c r="BB19" s="29">
        <f t="shared" si="51"/>
        <v>772.20854166666663</v>
      </c>
      <c r="BC19" s="29">
        <f t="shared" si="52"/>
        <v>642.68281249999995</v>
      </c>
      <c r="BD19" s="29">
        <f t="shared" si="53"/>
        <v>841.48281249999991</v>
      </c>
      <c r="BE19" s="29">
        <f t="shared" si="54"/>
        <v>703.26947916666666</v>
      </c>
      <c r="BF19" s="29">
        <f t="shared" si="55"/>
        <v>902.06947916666672</v>
      </c>
    </row>
    <row r="20" spans="1:58" x14ac:dyDescent="0.25">
      <c r="A20" t="s">
        <v>12</v>
      </c>
      <c r="B20">
        <v>644924846</v>
      </c>
      <c r="C20" t="s">
        <v>13</v>
      </c>
      <c r="D20" t="s">
        <v>19</v>
      </c>
      <c r="F20" s="10" t="str">
        <f t="shared" si="6"/>
        <v>N2+40</v>
      </c>
      <c r="G20" s="6">
        <f t="shared" si="7"/>
        <v>644923315</v>
      </c>
      <c r="H20" s="6">
        <f t="shared" si="8"/>
        <v>646883515</v>
      </c>
      <c r="I20" s="10">
        <f t="shared" si="9"/>
        <v>6</v>
      </c>
      <c r="J20" s="10">
        <f t="shared" si="10"/>
        <v>11</v>
      </c>
      <c r="L20" t="str">
        <f t="shared" si="11"/>
        <v>10</v>
      </c>
      <c r="M20" t="str">
        <f t="shared" si="12"/>
        <v>40</v>
      </c>
      <c r="N20" t="str">
        <f t="shared" si="13"/>
        <v>300</v>
      </c>
      <c r="O20" t="str">
        <f t="shared" si="14"/>
        <v>1</v>
      </c>
      <c r="P20" t="str">
        <f t="shared" si="15"/>
        <v/>
      </c>
      <c r="Q20" t="str">
        <f t="shared" si="16"/>
        <v/>
      </c>
      <c r="R20" t="str">
        <f t="shared" si="17"/>
        <v/>
      </c>
      <c r="T20" s="29">
        <f t="shared" si="18"/>
        <v>0.20546875000000001</v>
      </c>
      <c r="U20" s="29">
        <f t="shared" si="19"/>
        <v>0.81523437499999996</v>
      </c>
      <c r="V20" s="29">
        <f t="shared" si="20"/>
        <v>512</v>
      </c>
      <c r="W20" s="29">
        <f t="shared" si="21"/>
        <v>198.8</v>
      </c>
      <c r="X20" s="29">
        <f t="shared" si="22"/>
        <v>31.65</v>
      </c>
      <c r="Y20" s="29">
        <f t="shared" si="23"/>
        <v>31.65</v>
      </c>
      <c r="Z20" s="29">
        <f t="shared" si="24"/>
        <v>60.586666666666666</v>
      </c>
      <c r="AB20" s="29">
        <f t="shared" si="25"/>
        <v>198.8</v>
      </c>
      <c r="AC20" s="29">
        <f t="shared" si="26"/>
        <v>60.586666666666666</v>
      </c>
      <c r="AD20" s="29">
        <f t="shared" si="27"/>
        <v>259.38666666666666</v>
      </c>
      <c r="AE20" s="29">
        <f t="shared" si="28"/>
        <v>32.465234375000001</v>
      </c>
      <c r="AF20" s="29">
        <f t="shared" si="29"/>
        <v>231.26523437500001</v>
      </c>
      <c r="AG20" s="29">
        <f t="shared" si="30"/>
        <v>93.051901041666667</v>
      </c>
      <c r="AH20" s="29">
        <f t="shared" si="31"/>
        <v>291.85190104166668</v>
      </c>
      <c r="AI20" s="29">
        <f t="shared" si="32"/>
        <v>0.20546875000000001</v>
      </c>
      <c r="AJ20" s="29">
        <f t="shared" si="33"/>
        <v>199.00546875000001</v>
      </c>
      <c r="AK20" s="29">
        <f t="shared" si="34"/>
        <v>60.792135416666667</v>
      </c>
      <c r="AL20" s="29">
        <f t="shared" si="35"/>
        <v>259.59213541666668</v>
      </c>
      <c r="AM20" s="29">
        <f t="shared" si="36"/>
        <v>32.670703125000003</v>
      </c>
      <c r="AN20" s="29">
        <f t="shared" si="37"/>
        <v>231.470703125</v>
      </c>
      <c r="AO20" s="29">
        <f t="shared" si="38"/>
        <v>93.257369791666662</v>
      </c>
      <c r="AP20" s="29">
        <f t="shared" si="39"/>
        <v>292.0573697916667</v>
      </c>
      <c r="AQ20" s="29">
        <f t="shared" si="40"/>
        <v>512</v>
      </c>
      <c r="AR20" s="29">
        <f t="shared" si="41"/>
        <v>710.8</v>
      </c>
      <c r="AS20" s="29">
        <f t="shared" si="42"/>
        <v>572.5866666666667</v>
      </c>
      <c r="AT20" s="29">
        <f t="shared" si="43"/>
        <v>771.38666666666677</v>
      </c>
      <c r="AU20" s="29">
        <f t="shared" si="44"/>
        <v>544.46523437500002</v>
      </c>
      <c r="AV20" s="29">
        <f t="shared" si="45"/>
        <v>743.26523437500009</v>
      </c>
      <c r="AW20" s="29">
        <f t="shared" si="46"/>
        <v>605.05190104166672</v>
      </c>
      <c r="AX20" s="29">
        <f t="shared" si="47"/>
        <v>803.85190104166668</v>
      </c>
      <c r="AY20" s="29">
        <f t="shared" si="48"/>
        <v>512.20546875000002</v>
      </c>
      <c r="AZ20" s="29">
        <f t="shared" si="49"/>
        <v>711.00546875000009</v>
      </c>
      <c r="BA20" s="29">
        <f t="shared" si="50"/>
        <v>572.79213541666672</v>
      </c>
      <c r="BB20" s="29">
        <f t="shared" si="51"/>
        <v>771.59213541666668</v>
      </c>
      <c r="BC20" s="29">
        <f t="shared" si="52"/>
        <v>544.67070312500005</v>
      </c>
      <c r="BD20" s="29">
        <f t="shared" si="53"/>
        <v>743.470703125</v>
      </c>
      <c r="BE20" s="29">
        <f t="shared" si="54"/>
        <v>605.25736979166675</v>
      </c>
      <c r="BF20" s="29">
        <f t="shared" si="55"/>
        <v>804.05736979166682</v>
      </c>
    </row>
    <row r="21" spans="1:58" x14ac:dyDescent="0.25">
      <c r="A21" t="s">
        <v>12</v>
      </c>
      <c r="B21">
        <v>644924847</v>
      </c>
      <c r="C21" t="s">
        <v>14</v>
      </c>
      <c r="D21" t="s">
        <v>20</v>
      </c>
      <c r="F21" s="10" t="str">
        <f t="shared" si="6"/>
        <v>N3+7200</v>
      </c>
      <c r="G21" s="6">
        <f t="shared" si="7"/>
        <v>644923315</v>
      </c>
      <c r="H21" s="6">
        <f t="shared" si="8"/>
        <v>646883515</v>
      </c>
      <c r="I21" s="10">
        <f t="shared" si="9"/>
        <v>7</v>
      </c>
      <c r="J21" s="10">
        <f t="shared" si="10"/>
        <v>10</v>
      </c>
      <c r="L21" t="str">
        <f t="shared" si="11"/>
        <v>10</v>
      </c>
      <c r="M21" t="str">
        <f t="shared" si="12"/>
        <v>40</v>
      </c>
      <c r="N21" t="str">
        <f t="shared" si="13"/>
        <v>7200</v>
      </c>
      <c r="O21" t="str">
        <f t="shared" si="14"/>
        <v>1</v>
      </c>
      <c r="P21" t="str">
        <f t="shared" si="15"/>
        <v/>
      </c>
      <c r="Q21" t="str">
        <f t="shared" si="16"/>
        <v/>
      </c>
      <c r="R21" t="str">
        <f t="shared" si="17"/>
        <v/>
      </c>
      <c r="T21" s="29">
        <f t="shared" si="18"/>
        <v>0.20546875000000001</v>
      </c>
      <c r="U21" s="29">
        <f t="shared" si="19"/>
        <v>0.81523437499999996</v>
      </c>
      <c r="V21" s="29">
        <f t="shared" si="20"/>
        <v>512</v>
      </c>
      <c r="W21" s="29">
        <f t="shared" si="21"/>
        <v>198.8</v>
      </c>
      <c r="X21" s="29">
        <f t="shared" si="22"/>
        <v>31.65</v>
      </c>
      <c r="Y21" s="29">
        <f t="shared" si="23"/>
        <v>31.65</v>
      </c>
      <c r="Z21" s="29">
        <f t="shared" si="24"/>
        <v>2.5244444444444443</v>
      </c>
      <c r="AB21" s="29">
        <f t="shared" si="25"/>
        <v>198.8</v>
      </c>
      <c r="AC21" s="29">
        <f t="shared" si="26"/>
        <v>2.5244444444444443</v>
      </c>
      <c r="AD21" s="29">
        <f t="shared" si="27"/>
        <v>201.32444444444445</v>
      </c>
      <c r="AE21" s="29">
        <f t="shared" si="28"/>
        <v>32.465234375000001</v>
      </c>
      <c r="AF21" s="29">
        <f t="shared" si="29"/>
        <v>231.26523437500001</v>
      </c>
      <c r="AG21" s="29">
        <f t="shared" si="30"/>
        <v>34.989678819444443</v>
      </c>
      <c r="AH21" s="29">
        <f t="shared" si="31"/>
        <v>233.78967881944445</v>
      </c>
      <c r="AI21" s="29">
        <f t="shared" si="32"/>
        <v>0.20546875000000001</v>
      </c>
      <c r="AJ21" s="29">
        <f t="shared" si="33"/>
        <v>199.00546875000001</v>
      </c>
      <c r="AK21" s="29">
        <f t="shared" si="34"/>
        <v>2.7299131944444444</v>
      </c>
      <c r="AL21" s="29">
        <f t="shared" si="35"/>
        <v>201.52991319444445</v>
      </c>
      <c r="AM21" s="29">
        <f t="shared" si="36"/>
        <v>32.670703125000003</v>
      </c>
      <c r="AN21" s="29">
        <f t="shared" si="37"/>
        <v>231.470703125</v>
      </c>
      <c r="AO21" s="29">
        <f t="shared" si="38"/>
        <v>35.195147569444444</v>
      </c>
      <c r="AP21" s="29">
        <f t="shared" si="39"/>
        <v>233.99514756944444</v>
      </c>
      <c r="AQ21" s="29">
        <f t="shared" si="40"/>
        <v>512</v>
      </c>
      <c r="AR21" s="29">
        <f t="shared" si="41"/>
        <v>710.8</v>
      </c>
      <c r="AS21" s="29">
        <f t="shared" si="42"/>
        <v>514.5244444444445</v>
      </c>
      <c r="AT21" s="29">
        <f t="shared" si="43"/>
        <v>713.32444444444445</v>
      </c>
      <c r="AU21" s="29">
        <f t="shared" si="44"/>
        <v>544.46523437500002</v>
      </c>
      <c r="AV21" s="29">
        <f t="shared" si="45"/>
        <v>743.26523437500009</v>
      </c>
      <c r="AW21" s="29">
        <f t="shared" si="46"/>
        <v>546.98967881944452</v>
      </c>
      <c r="AX21" s="29">
        <f t="shared" si="47"/>
        <v>745.78967881944459</v>
      </c>
      <c r="AY21" s="29">
        <f t="shared" si="48"/>
        <v>512.20546875000002</v>
      </c>
      <c r="AZ21" s="29">
        <f t="shared" si="49"/>
        <v>711.00546875000009</v>
      </c>
      <c r="BA21" s="29">
        <f t="shared" si="50"/>
        <v>514.72991319444452</v>
      </c>
      <c r="BB21" s="29">
        <f t="shared" si="51"/>
        <v>713.52991319444459</v>
      </c>
      <c r="BC21" s="29">
        <f t="shared" si="52"/>
        <v>544.67070312500005</v>
      </c>
      <c r="BD21" s="29">
        <f t="shared" si="53"/>
        <v>743.470703125</v>
      </c>
      <c r="BE21" s="29">
        <f t="shared" si="54"/>
        <v>547.19514756944454</v>
      </c>
      <c r="BF21" s="29">
        <f t="shared" si="55"/>
        <v>745.9951475694445</v>
      </c>
    </row>
    <row r="22" spans="1:58" x14ac:dyDescent="0.25">
      <c r="A22" t="s">
        <v>12</v>
      </c>
      <c r="B22">
        <v>644924848</v>
      </c>
      <c r="C22" t="s">
        <v>16</v>
      </c>
      <c r="D22" t="s">
        <v>21</v>
      </c>
      <c r="F22" s="10" t="str">
        <f t="shared" si="6"/>
        <v>N1+3600</v>
      </c>
      <c r="G22" s="6">
        <f t="shared" si="7"/>
        <v>644923315</v>
      </c>
      <c r="H22" s="6">
        <f t="shared" si="8"/>
        <v>646883515</v>
      </c>
      <c r="I22" s="10">
        <f t="shared" si="9"/>
        <v>8</v>
      </c>
      <c r="J22" s="10">
        <f t="shared" si="10"/>
        <v>9</v>
      </c>
      <c r="L22" t="str">
        <f t="shared" si="11"/>
        <v>3600</v>
      </c>
      <c r="M22" t="str">
        <f t="shared" si="12"/>
        <v>40</v>
      </c>
      <c r="N22" t="str">
        <f t="shared" si="13"/>
        <v>7200</v>
      </c>
      <c r="O22" t="str">
        <f t="shared" si="14"/>
        <v>1</v>
      </c>
      <c r="P22" t="str">
        <f t="shared" si="15"/>
        <v/>
      </c>
      <c r="Q22" t="str">
        <f t="shared" si="16"/>
        <v/>
      </c>
      <c r="R22" t="str">
        <f t="shared" si="17"/>
        <v/>
      </c>
      <c r="T22" s="29">
        <f t="shared" si="18"/>
        <v>0.20546875000000001</v>
      </c>
      <c r="U22" s="29">
        <f t="shared" si="19"/>
        <v>0.81523437499999996</v>
      </c>
      <c r="V22" s="29">
        <f t="shared" si="20"/>
        <v>512</v>
      </c>
      <c r="W22" s="29">
        <f t="shared" si="21"/>
        <v>0.55222222222222217</v>
      </c>
      <c r="X22" s="29">
        <f t="shared" si="22"/>
        <v>31.65</v>
      </c>
      <c r="Y22" s="29">
        <f t="shared" si="23"/>
        <v>31.65</v>
      </c>
      <c r="Z22" s="29">
        <f t="shared" si="24"/>
        <v>2.5244444444444443</v>
      </c>
      <c r="AB22" s="29">
        <f t="shared" si="25"/>
        <v>0.55222222222222217</v>
      </c>
      <c r="AC22" s="29">
        <f t="shared" si="26"/>
        <v>2.5244444444444443</v>
      </c>
      <c r="AD22" s="29">
        <f t="shared" si="27"/>
        <v>3.0766666666666662</v>
      </c>
      <c r="AE22" s="29">
        <f t="shared" si="28"/>
        <v>32.465234375000001</v>
      </c>
      <c r="AF22" s="29">
        <f t="shared" si="29"/>
        <v>33.017456597222221</v>
      </c>
      <c r="AG22" s="29">
        <f t="shared" si="30"/>
        <v>34.989678819444443</v>
      </c>
      <c r="AH22" s="29">
        <f t="shared" si="31"/>
        <v>35.541901041666662</v>
      </c>
      <c r="AI22" s="29">
        <f t="shared" si="32"/>
        <v>0.20546875000000001</v>
      </c>
      <c r="AJ22" s="29">
        <f t="shared" si="33"/>
        <v>0.75769097222222215</v>
      </c>
      <c r="AK22" s="29">
        <f t="shared" si="34"/>
        <v>2.7299131944444444</v>
      </c>
      <c r="AL22" s="29">
        <f t="shared" si="35"/>
        <v>3.2821354166666667</v>
      </c>
      <c r="AM22" s="29">
        <f t="shared" si="36"/>
        <v>32.670703125000003</v>
      </c>
      <c r="AN22" s="29">
        <f t="shared" si="37"/>
        <v>33.222925347222223</v>
      </c>
      <c r="AO22" s="29">
        <f t="shared" si="38"/>
        <v>35.195147569444444</v>
      </c>
      <c r="AP22" s="29">
        <f t="shared" si="39"/>
        <v>35.747369791666664</v>
      </c>
      <c r="AQ22" s="29">
        <f t="shared" si="40"/>
        <v>512</v>
      </c>
      <c r="AR22" s="29">
        <f t="shared" si="41"/>
        <v>512.55222222222221</v>
      </c>
      <c r="AS22" s="29">
        <f t="shared" si="42"/>
        <v>514.5244444444445</v>
      </c>
      <c r="AT22" s="29">
        <f t="shared" si="43"/>
        <v>515.07666666666671</v>
      </c>
      <c r="AU22" s="29">
        <f t="shared" si="44"/>
        <v>544.46523437500002</v>
      </c>
      <c r="AV22" s="29">
        <f t="shared" si="45"/>
        <v>545.01745659722224</v>
      </c>
      <c r="AW22" s="29">
        <f t="shared" si="46"/>
        <v>546.98967881944452</v>
      </c>
      <c r="AX22" s="29">
        <f t="shared" si="47"/>
        <v>547.54190104166673</v>
      </c>
      <c r="AY22" s="29">
        <f t="shared" si="48"/>
        <v>512.20546875000002</v>
      </c>
      <c r="AZ22" s="29">
        <f t="shared" si="49"/>
        <v>512.75769097222224</v>
      </c>
      <c r="BA22" s="29">
        <f t="shared" si="50"/>
        <v>514.72991319444452</v>
      </c>
      <c r="BB22" s="29">
        <f t="shared" si="51"/>
        <v>515.28213541666673</v>
      </c>
      <c r="BC22" s="29">
        <f t="shared" si="52"/>
        <v>544.67070312500005</v>
      </c>
      <c r="BD22" s="29">
        <f t="shared" si="53"/>
        <v>545.22292534722226</v>
      </c>
      <c r="BE22" s="29">
        <f t="shared" si="54"/>
        <v>547.19514756944454</v>
      </c>
      <c r="BF22" s="29">
        <f t="shared" si="55"/>
        <v>547.74736979166676</v>
      </c>
    </row>
    <row r="23" spans="1:58" x14ac:dyDescent="0.25">
      <c r="A23" t="s">
        <v>17</v>
      </c>
      <c r="B23">
        <v>644924849</v>
      </c>
      <c r="C23" t="s">
        <v>18</v>
      </c>
      <c r="D23" t="s">
        <v>15</v>
      </c>
      <c r="F23" s="10" t="str">
        <f t="shared" si="6"/>
        <v>STAT+300</v>
      </c>
      <c r="G23" s="6">
        <f t="shared" si="7"/>
        <v>644923315</v>
      </c>
      <c r="H23" s="6">
        <f t="shared" si="8"/>
        <v>646883515</v>
      </c>
      <c r="I23" s="10">
        <f t="shared" si="9"/>
        <v>9</v>
      </c>
      <c r="J23" s="10">
        <f t="shared" si="10"/>
        <v>8</v>
      </c>
      <c r="L23" t="str">
        <f t="shared" si="11"/>
        <v>3600</v>
      </c>
      <c r="M23" t="str">
        <f t="shared" si="12"/>
        <v>40</v>
      </c>
      <c r="N23" t="str">
        <f t="shared" si="13"/>
        <v>7200</v>
      </c>
      <c r="O23" t="str">
        <f t="shared" si="14"/>
        <v>300</v>
      </c>
      <c r="P23" t="str">
        <f t="shared" si="15"/>
        <v/>
      </c>
      <c r="Q23" t="str">
        <f t="shared" si="16"/>
        <v/>
      </c>
      <c r="R23" t="str">
        <f t="shared" si="17"/>
        <v/>
      </c>
      <c r="T23" s="29">
        <f t="shared" si="18"/>
        <v>0.20546875000000001</v>
      </c>
      <c r="U23" s="29">
        <f t="shared" si="19"/>
        <v>0.81523437499999996</v>
      </c>
      <c r="V23" s="29">
        <f t="shared" si="20"/>
        <v>1.7066666666666668</v>
      </c>
      <c r="W23" s="29">
        <f t="shared" si="21"/>
        <v>0.55222222222222217</v>
      </c>
      <c r="X23" s="29">
        <f t="shared" si="22"/>
        <v>31.65</v>
      </c>
      <c r="Y23" s="29">
        <f t="shared" si="23"/>
        <v>31.65</v>
      </c>
      <c r="Z23" s="29">
        <f t="shared" si="24"/>
        <v>2.5244444444444443</v>
      </c>
      <c r="AB23" s="29">
        <f t="shared" si="25"/>
        <v>0.55222222222222217</v>
      </c>
      <c r="AC23" s="29">
        <f t="shared" si="26"/>
        <v>2.5244444444444443</v>
      </c>
      <c r="AD23" s="29">
        <f t="shared" si="27"/>
        <v>3.0766666666666662</v>
      </c>
      <c r="AE23" s="29">
        <f t="shared" si="28"/>
        <v>32.465234375000001</v>
      </c>
      <c r="AF23" s="29">
        <f t="shared" si="29"/>
        <v>33.017456597222221</v>
      </c>
      <c r="AG23" s="29">
        <f t="shared" si="30"/>
        <v>34.989678819444443</v>
      </c>
      <c r="AH23" s="29">
        <f t="shared" si="31"/>
        <v>35.541901041666662</v>
      </c>
      <c r="AI23" s="29">
        <f t="shared" si="32"/>
        <v>0.20546875000000001</v>
      </c>
      <c r="AJ23" s="29">
        <f t="shared" si="33"/>
        <v>0.75769097222222215</v>
      </c>
      <c r="AK23" s="29">
        <f t="shared" si="34"/>
        <v>2.7299131944444444</v>
      </c>
      <c r="AL23" s="29">
        <f t="shared" si="35"/>
        <v>3.2821354166666667</v>
      </c>
      <c r="AM23" s="29">
        <f t="shared" si="36"/>
        <v>32.670703125000003</v>
      </c>
      <c r="AN23" s="29">
        <f t="shared" si="37"/>
        <v>33.222925347222223</v>
      </c>
      <c r="AO23" s="29">
        <f t="shared" si="38"/>
        <v>35.195147569444444</v>
      </c>
      <c r="AP23" s="29">
        <f t="shared" si="39"/>
        <v>35.747369791666664</v>
      </c>
      <c r="AQ23" s="29">
        <f t="shared" si="40"/>
        <v>1.7066666666666668</v>
      </c>
      <c r="AR23" s="29">
        <f t="shared" si="41"/>
        <v>2.2588888888888889</v>
      </c>
      <c r="AS23" s="29">
        <f t="shared" si="42"/>
        <v>4.2311111111111108</v>
      </c>
      <c r="AT23" s="29">
        <f t="shared" si="43"/>
        <v>4.7833333333333332</v>
      </c>
      <c r="AU23" s="29">
        <f t="shared" si="44"/>
        <v>34.171901041666665</v>
      </c>
      <c r="AV23" s="29">
        <f t="shared" si="45"/>
        <v>34.724123263888885</v>
      </c>
      <c r="AW23" s="29">
        <f t="shared" si="46"/>
        <v>36.696345486111106</v>
      </c>
      <c r="AX23" s="29">
        <f t="shared" si="47"/>
        <v>37.248567708333326</v>
      </c>
      <c r="AY23" s="29">
        <f t="shared" si="48"/>
        <v>1.9121354166666669</v>
      </c>
      <c r="AZ23" s="29">
        <f t="shared" si="49"/>
        <v>2.464357638888889</v>
      </c>
      <c r="BA23" s="29">
        <f t="shared" si="50"/>
        <v>4.4365798611111114</v>
      </c>
      <c r="BB23" s="29">
        <f t="shared" si="51"/>
        <v>4.9888020833333337</v>
      </c>
      <c r="BC23" s="29">
        <f t="shared" si="52"/>
        <v>34.377369791666666</v>
      </c>
      <c r="BD23" s="29">
        <f t="shared" si="53"/>
        <v>34.929592013888886</v>
      </c>
      <c r="BE23" s="29">
        <f t="shared" si="54"/>
        <v>36.901814236111107</v>
      </c>
      <c r="BF23" s="29">
        <f t="shared" si="55"/>
        <v>37.454036458333327</v>
      </c>
    </row>
    <row r="24" spans="1:58" x14ac:dyDescent="0.25">
      <c r="A24" t="s">
        <v>12</v>
      </c>
      <c r="B24">
        <v>644924995</v>
      </c>
      <c r="C24" t="s">
        <v>13</v>
      </c>
      <c r="D24" t="s">
        <v>22</v>
      </c>
      <c r="F24" s="10" t="str">
        <f t="shared" si="6"/>
        <v>N2+360</v>
      </c>
      <c r="G24" s="6">
        <f t="shared" si="7"/>
        <v>644923315</v>
      </c>
      <c r="H24" s="6">
        <f t="shared" si="8"/>
        <v>646883515</v>
      </c>
      <c r="I24" s="10">
        <f t="shared" si="9"/>
        <v>10</v>
      </c>
      <c r="J24" s="10">
        <f t="shared" si="10"/>
        <v>7</v>
      </c>
      <c r="L24" t="str">
        <f t="shared" si="11"/>
        <v>3600</v>
      </c>
      <c r="M24" t="str">
        <f t="shared" si="12"/>
        <v>360</v>
      </c>
      <c r="N24" t="str">
        <f t="shared" si="13"/>
        <v>7200</v>
      </c>
      <c r="O24" t="str">
        <f t="shared" si="14"/>
        <v>300</v>
      </c>
      <c r="P24" t="str">
        <f t="shared" si="15"/>
        <v/>
      </c>
      <c r="Q24" t="str">
        <f t="shared" si="16"/>
        <v/>
      </c>
      <c r="R24" t="str">
        <f t="shared" si="17"/>
        <v/>
      </c>
      <c r="T24" s="29">
        <f t="shared" si="18"/>
        <v>2.282986111111111E-2</v>
      </c>
      <c r="U24" s="29">
        <f t="shared" si="19"/>
        <v>9.0581597222222227E-2</v>
      </c>
      <c r="V24" s="29">
        <f t="shared" si="20"/>
        <v>1.7066666666666668</v>
      </c>
      <c r="W24" s="29">
        <f t="shared" si="21"/>
        <v>0.55222222222222217</v>
      </c>
      <c r="X24" s="29">
        <f t="shared" si="22"/>
        <v>3.5166666666666666</v>
      </c>
      <c r="Y24" s="29">
        <f t="shared" si="23"/>
        <v>3.5166666666666666</v>
      </c>
      <c r="Z24" s="29">
        <f t="shared" si="24"/>
        <v>2.5244444444444443</v>
      </c>
      <c r="AB24" s="29">
        <f t="shared" si="25"/>
        <v>0.55222222222222217</v>
      </c>
      <c r="AC24" s="29">
        <f t="shared" si="26"/>
        <v>2.5244444444444443</v>
      </c>
      <c r="AD24" s="29">
        <f t="shared" si="27"/>
        <v>3.0766666666666662</v>
      </c>
      <c r="AE24" s="29">
        <f t="shared" si="28"/>
        <v>3.6072482638888888</v>
      </c>
      <c r="AF24" s="29">
        <f t="shared" si="29"/>
        <v>4.1594704861111111</v>
      </c>
      <c r="AG24" s="29">
        <f t="shared" si="30"/>
        <v>6.1316927083333326</v>
      </c>
      <c r="AH24" s="29">
        <f t="shared" si="31"/>
        <v>6.683914930555555</v>
      </c>
      <c r="AI24" s="29">
        <f t="shared" si="32"/>
        <v>2.282986111111111E-2</v>
      </c>
      <c r="AJ24" s="29">
        <f t="shared" si="33"/>
        <v>0.57505208333333324</v>
      </c>
      <c r="AK24" s="29">
        <f t="shared" si="34"/>
        <v>2.5472743055555553</v>
      </c>
      <c r="AL24" s="29">
        <f t="shared" si="35"/>
        <v>3.0994965277777773</v>
      </c>
      <c r="AM24" s="29">
        <f t="shared" si="36"/>
        <v>3.6300781249999998</v>
      </c>
      <c r="AN24" s="29">
        <f t="shared" si="37"/>
        <v>4.1823003472222222</v>
      </c>
      <c r="AO24" s="29">
        <f t="shared" si="38"/>
        <v>6.1545225694444436</v>
      </c>
      <c r="AP24" s="29">
        <f t="shared" si="39"/>
        <v>6.706744791666666</v>
      </c>
      <c r="AQ24" s="29">
        <f t="shared" si="40"/>
        <v>1.7066666666666668</v>
      </c>
      <c r="AR24" s="29">
        <f t="shared" si="41"/>
        <v>2.2588888888888889</v>
      </c>
      <c r="AS24" s="29">
        <f t="shared" si="42"/>
        <v>4.2311111111111108</v>
      </c>
      <c r="AT24" s="29">
        <f t="shared" si="43"/>
        <v>4.7833333333333332</v>
      </c>
      <c r="AU24" s="29">
        <f t="shared" si="44"/>
        <v>5.3139149305555557</v>
      </c>
      <c r="AV24" s="29">
        <f t="shared" si="45"/>
        <v>5.8661371527777781</v>
      </c>
      <c r="AW24" s="29">
        <f t="shared" si="46"/>
        <v>7.8383593749999996</v>
      </c>
      <c r="AX24" s="29">
        <f t="shared" si="47"/>
        <v>8.3905815972222211</v>
      </c>
      <c r="AY24" s="29">
        <f t="shared" si="48"/>
        <v>1.7294965277777778</v>
      </c>
      <c r="AZ24" s="29">
        <f t="shared" si="49"/>
        <v>2.28171875</v>
      </c>
      <c r="BA24" s="29">
        <f t="shared" si="50"/>
        <v>4.2539409722222219</v>
      </c>
      <c r="BB24" s="29">
        <f t="shared" si="51"/>
        <v>4.8061631944444443</v>
      </c>
      <c r="BC24" s="29">
        <f t="shared" si="52"/>
        <v>5.3367447916666668</v>
      </c>
      <c r="BD24" s="29">
        <f t="shared" si="53"/>
        <v>5.8889670138888892</v>
      </c>
      <c r="BE24" s="29">
        <f t="shared" si="54"/>
        <v>7.8611892361111106</v>
      </c>
      <c r="BF24" s="29">
        <f t="shared" si="55"/>
        <v>8.4134114583333321</v>
      </c>
    </row>
    <row r="25" spans="1:58" x14ac:dyDescent="0.25">
      <c r="A25" t="s">
        <v>12</v>
      </c>
      <c r="B25">
        <v>644924998</v>
      </c>
      <c r="C25" t="s">
        <v>16</v>
      </c>
      <c r="D25" t="s">
        <v>22</v>
      </c>
      <c r="F25" s="10" t="str">
        <f t="shared" si="6"/>
        <v>N1+360</v>
      </c>
      <c r="G25" s="6">
        <f t="shared" si="7"/>
        <v>644923315</v>
      </c>
      <c r="H25" s="6">
        <f t="shared" si="8"/>
        <v>646883515</v>
      </c>
      <c r="I25" s="10">
        <f t="shared" si="9"/>
        <v>11</v>
      </c>
      <c r="J25" s="10">
        <f t="shared" si="10"/>
        <v>6</v>
      </c>
      <c r="L25" t="str">
        <f t="shared" si="11"/>
        <v>360</v>
      </c>
      <c r="M25" t="str">
        <f t="shared" si="12"/>
        <v>360</v>
      </c>
      <c r="N25" t="str">
        <f t="shared" si="13"/>
        <v>7200</v>
      </c>
      <c r="O25" t="str">
        <f t="shared" si="14"/>
        <v>300</v>
      </c>
      <c r="P25" t="str">
        <f t="shared" si="15"/>
        <v/>
      </c>
      <c r="Q25" t="str">
        <f t="shared" si="16"/>
        <v/>
      </c>
      <c r="R25" t="str">
        <f t="shared" si="17"/>
        <v/>
      </c>
      <c r="T25" s="29">
        <f t="shared" si="18"/>
        <v>2.282986111111111E-2</v>
      </c>
      <c r="U25" s="29">
        <f t="shared" si="19"/>
        <v>9.0581597222222227E-2</v>
      </c>
      <c r="V25" s="29">
        <f t="shared" si="20"/>
        <v>1.7066666666666668</v>
      </c>
      <c r="W25" s="29">
        <f t="shared" si="21"/>
        <v>5.5222222222222221</v>
      </c>
      <c r="X25" s="29">
        <f t="shared" si="22"/>
        <v>3.5166666666666666</v>
      </c>
      <c r="Y25" s="29">
        <f t="shared" si="23"/>
        <v>3.5166666666666666</v>
      </c>
      <c r="Z25" s="29">
        <f t="shared" si="24"/>
        <v>2.5244444444444443</v>
      </c>
      <c r="AB25" s="29">
        <f t="shared" si="25"/>
        <v>5.5222222222222221</v>
      </c>
      <c r="AC25" s="29">
        <f t="shared" si="26"/>
        <v>2.5244444444444443</v>
      </c>
      <c r="AD25" s="29">
        <f t="shared" si="27"/>
        <v>8.0466666666666669</v>
      </c>
      <c r="AE25" s="29">
        <f t="shared" si="28"/>
        <v>3.6072482638888888</v>
      </c>
      <c r="AF25" s="29">
        <f t="shared" si="29"/>
        <v>9.12947048611111</v>
      </c>
      <c r="AG25" s="29">
        <f t="shared" si="30"/>
        <v>6.1316927083333326</v>
      </c>
      <c r="AH25" s="29">
        <f t="shared" si="31"/>
        <v>11.653914930555555</v>
      </c>
      <c r="AI25" s="29">
        <f t="shared" si="32"/>
        <v>2.282986111111111E-2</v>
      </c>
      <c r="AJ25" s="29">
        <f t="shared" si="33"/>
        <v>5.5450520833333332</v>
      </c>
      <c r="AK25" s="29">
        <f t="shared" si="34"/>
        <v>2.5472743055555553</v>
      </c>
      <c r="AL25" s="29">
        <f t="shared" si="35"/>
        <v>8.0694965277777779</v>
      </c>
      <c r="AM25" s="29">
        <f t="shared" si="36"/>
        <v>3.6300781249999998</v>
      </c>
      <c r="AN25" s="29">
        <f t="shared" si="37"/>
        <v>9.1523003472222229</v>
      </c>
      <c r="AO25" s="29">
        <f t="shared" si="38"/>
        <v>6.1545225694444436</v>
      </c>
      <c r="AP25" s="29">
        <f t="shared" si="39"/>
        <v>11.676744791666666</v>
      </c>
      <c r="AQ25" s="29">
        <f t="shared" si="40"/>
        <v>1.7066666666666668</v>
      </c>
      <c r="AR25" s="29">
        <f t="shared" si="41"/>
        <v>7.2288888888888891</v>
      </c>
      <c r="AS25" s="29">
        <f t="shared" si="42"/>
        <v>4.2311111111111108</v>
      </c>
      <c r="AT25" s="29">
        <f t="shared" si="43"/>
        <v>9.7533333333333339</v>
      </c>
      <c r="AU25" s="29">
        <f t="shared" si="44"/>
        <v>5.3139149305555557</v>
      </c>
      <c r="AV25" s="29">
        <f t="shared" si="45"/>
        <v>10.836137152777777</v>
      </c>
      <c r="AW25" s="29">
        <f t="shared" si="46"/>
        <v>7.8383593749999996</v>
      </c>
      <c r="AX25" s="29">
        <f t="shared" si="47"/>
        <v>13.360581597222222</v>
      </c>
      <c r="AY25" s="29">
        <f t="shared" si="48"/>
        <v>1.7294965277777778</v>
      </c>
      <c r="AZ25" s="29">
        <f t="shared" si="49"/>
        <v>7.2517187500000002</v>
      </c>
      <c r="BA25" s="29">
        <f t="shared" si="50"/>
        <v>4.2539409722222219</v>
      </c>
      <c r="BB25" s="29">
        <f t="shared" si="51"/>
        <v>9.7761631944444431</v>
      </c>
      <c r="BC25" s="29">
        <f t="shared" si="52"/>
        <v>5.3367447916666668</v>
      </c>
      <c r="BD25" s="29">
        <f t="shared" si="53"/>
        <v>10.85896701388889</v>
      </c>
      <c r="BE25" s="29">
        <f t="shared" si="54"/>
        <v>7.8611892361111106</v>
      </c>
      <c r="BF25" s="29">
        <f t="shared" si="55"/>
        <v>13.383411458333333</v>
      </c>
    </row>
    <row r="26" spans="1:58" x14ac:dyDescent="0.25">
      <c r="A26" t="s">
        <v>12</v>
      </c>
      <c r="B26">
        <v>644925001</v>
      </c>
      <c r="C26" t="s">
        <v>14</v>
      </c>
      <c r="D26" t="s">
        <v>23</v>
      </c>
      <c r="F26" s="10" t="str">
        <f t="shared" si="6"/>
        <v>N3+900</v>
      </c>
      <c r="G26" s="6">
        <f t="shared" si="7"/>
        <v>644923315</v>
      </c>
      <c r="H26" s="6">
        <f t="shared" si="8"/>
        <v>646883515</v>
      </c>
      <c r="I26" s="10">
        <f t="shared" si="9"/>
        <v>12</v>
      </c>
      <c r="J26" s="10">
        <f t="shared" si="10"/>
        <v>5</v>
      </c>
      <c r="L26" t="str">
        <f t="shared" si="11"/>
        <v>360</v>
      </c>
      <c r="M26" t="str">
        <f t="shared" si="12"/>
        <v>360</v>
      </c>
      <c r="N26" t="str">
        <f t="shared" si="13"/>
        <v>900</v>
      </c>
      <c r="O26" t="str">
        <f t="shared" si="14"/>
        <v>300</v>
      </c>
      <c r="P26" t="str">
        <f t="shared" si="15"/>
        <v/>
      </c>
      <c r="Q26" t="str">
        <f t="shared" si="16"/>
        <v/>
      </c>
      <c r="R26" t="str">
        <f t="shared" si="17"/>
        <v/>
      </c>
      <c r="T26" s="29">
        <f t="shared" si="18"/>
        <v>2.282986111111111E-2</v>
      </c>
      <c r="U26" s="29">
        <f t="shared" si="19"/>
        <v>9.0581597222222227E-2</v>
      </c>
      <c r="V26" s="29">
        <f t="shared" si="20"/>
        <v>1.7066666666666668</v>
      </c>
      <c r="W26" s="29">
        <f t="shared" si="21"/>
        <v>5.5222222222222221</v>
      </c>
      <c r="X26" s="29">
        <f t="shared" si="22"/>
        <v>3.5166666666666666</v>
      </c>
      <c r="Y26" s="29">
        <f t="shared" si="23"/>
        <v>3.5166666666666666</v>
      </c>
      <c r="Z26" s="29">
        <f t="shared" si="24"/>
        <v>20.195555555555554</v>
      </c>
      <c r="AB26" s="29">
        <f t="shared" si="25"/>
        <v>5.5222222222222221</v>
      </c>
      <c r="AC26" s="29">
        <f t="shared" si="26"/>
        <v>20.195555555555554</v>
      </c>
      <c r="AD26" s="29">
        <f t="shared" si="27"/>
        <v>25.717777777777776</v>
      </c>
      <c r="AE26" s="29">
        <f t="shared" si="28"/>
        <v>3.6072482638888888</v>
      </c>
      <c r="AF26" s="29">
        <f t="shared" si="29"/>
        <v>9.12947048611111</v>
      </c>
      <c r="AG26" s="29">
        <f t="shared" si="30"/>
        <v>23.802803819444442</v>
      </c>
      <c r="AH26" s="29">
        <f t="shared" si="31"/>
        <v>29.325026041666664</v>
      </c>
      <c r="AI26" s="29">
        <f t="shared" si="32"/>
        <v>2.282986111111111E-2</v>
      </c>
      <c r="AJ26" s="29">
        <f t="shared" si="33"/>
        <v>5.5450520833333332</v>
      </c>
      <c r="AK26" s="29">
        <f t="shared" si="34"/>
        <v>20.218385416666667</v>
      </c>
      <c r="AL26" s="29">
        <f t="shared" si="35"/>
        <v>25.740607638888889</v>
      </c>
      <c r="AM26" s="29">
        <f t="shared" si="36"/>
        <v>3.6300781249999998</v>
      </c>
      <c r="AN26" s="29">
        <f t="shared" si="37"/>
        <v>9.1523003472222229</v>
      </c>
      <c r="AO26" s="29">
        <f t="shared" si="38"/>
        <v>23.825633680555555</v>
      </c>
      <c r="AP26" s="29">
        <f t="shared" si="39"/>
        <v>29.347855902777777</v>
      </c>
      <c r="AQ26" s="29">
        <f t="shared" si="40"/>
        <v>1.7066666666666668</v>
      </c>
      <c r="AR26" s="29">
        <f t="shared" si="41"/>
        <v>7.2288888888888891</v>
      </c>
      <c r="AS26" s="29">
        <f t="shared" si="42"/>
        <v>21.902222222222221</v>
      </c>
      <c r="AT26" s="29">
        <f t="shared" si="43"/>
        <v>27.424444444444443</v>
      </c>
      <c r="AU26" s="29">
        <f t="shared" si="44"/>
        <v>5.3139149305555557</v>
      </c>
      <c r="AV26" s="29">
        <f t="shared" si="45"/>
        <v>10.836137152777777</v>
      </c>
      <c r="AW26" s="29">
        <f t="shared" si="46"/>
        <v>25.509470486111109</v>
      </c>
      <c r="AX26" s="29">
        <f t="shared" si="47"/>
        <v>31.031692708333331</v>
      </c>
      <c r="AY26" s="29">
        <f t="shared" si="48"/>
        <v>1.7294965277777778</v>
      </c>
      <c r="AZ26" s="29">
        <f t="shared" si="49"/>
        <v>7.2517187500000002</v>
      </c>
      <c r="BA26" s="29">
        <f t="shared" si="50"/>
        <v>21.92505208333333</v>
      </c>
      <c r="BB26" s="29">
        <f t="shared" si="51"/>
        <v>27.447274305555553</v>
      </c>
      <c r="BC26" s="29">
        <f t="shared" si="52"/>
        <v>5.3367447916666668</v>
      </c>
      <c r="BD26" s="29">
        <f t="shared" si="53"/>
        <v>10.85896701388889</v>
      </c>
      <c r="BE26" s="29">
        <f t="shared" si="54"/>
        <v>25.532300347222222</v>
      </c>
      <c r="BF26" s="29">
        <f t="shared" si="55"/>
        <v>31.054522569444444</v>
      </c>
    </row>
    <row r="27" spans="1:58" x14ac:dyDescent="0.25">
      <c r="A27" t="s">
        <v>17</v>
      </c>
      <c r="B27">
        <v>644925004</v>
      </c>
      <c r="C27" t="s">
        <v>18</v>
      </c>
      <c r="D27" t="s">
        <v>95</v>
      </c>
      <c r="F27" s="10" t="str">
        <f t="shared" si="6"/>
        <v>STAT+1800</v>
      </c>
      <c r="G27" s="6">
        <f t="shared" si="7"/>
        <v>644923315</v>
      </c>
      <c r="H27" s="6">
        <f t="shared" si="8"/>
        <v>646883515</v>
      </c>
      <c r="I27" s="10">
        <f t="shared" si="9"/>
        <v>13</v>
      </c>
      <c r="J27" s="10">
        <f t="shared" si="10"/>
        <v>4</v>
      </c>
      <c r="L27" t="str">
        <f t="shared" si="11"/>
        <v>360</v>
      </c>
      <c r="M27" t="str">
        <f t="shared" si="12"/>
        <v>360</v>
      </c>
      <c r="N27" t="str">
        <f t="shared" si="13"/>
        <v>900</v>
      </c>
      <c r="O27" t="str">
        <f t="shared" si="14"/>
        <v>1800</v>
      </c>
      <c r="P27" t="str">
        <f t="shared" si="15"/>
        <v/>
      </c>
      <c r="Q27" t="str">
        <f t="shared" si="16"/>
        <v/>
      </c>
      <c r="R27" t="str">
        <f t="shared" si="17"/>
        <v/>
      </c>
      <c r="T27" s="29">
        <f t="shared" si="18"/>
        <v>2.282986111111111E-2</v>
      </c>
      <c r="U27" s="29">
        <f t="shared" si="19"/>
        <v>9.0581597222222227E-2</v>
      </c>
      <c r="V27" s="29">
        <f t="shared" si="20"/>
        <v>0.28444444444444444</v>
      </c>
      <c r="W27" s="29">
        <f t="shared" si="21"/>
        <v>5.5222222222222221</v>
      </c>
      <c r="X27" s="29">
        <f t="shared" si="22"/>
        <v>3.5166666666666666</v>
      </c>
      <c r="Y27" s="29">
        <f t="shared" si="23"/>
        <v>3.5166666666666666</v>
      </c>
      <c r="Z27" s="29">
        <f t="shared" si="24"/>
        <v>20.195555555555554</v>
      </c>
      <c r="AB27" s="29">
        <f t="shared" si="25"/>
        <v>5.5222222222222221</v>
      </c>
      <c r="AC27" s="29">
        <f t="shared" si="26"/>
        <v>20.195555555555554</v>
      </c>
      <c r="AD27" s="29">
        <f t="shared" si="27"/>
        <v>25.717777777777776</v>
      </c>
      <c r="AE27" s="29">
        <f t="shared" si="28"/>
        <v>3.6072482638888888</v>
      </c>
      <c r="AF27" s="29">
        <f t="shared" si="29"/>
        <v>9.12947048611111</v>
      </c>
      <c r="AG27" s="29">
        <f t="shared" si="30"/>
        <v>23.802803819444442</v>
      </c>
      <c r="AH27" s="29">
        <f t="shared" si="31"/>
        <v>29.325026041666664</v>
      </c>
      <c r="AI27" s="29">
        <f t="shared" si="32"/>
        <v>2.282986111111111E-2</v>
      </c>
      <c r="AJ27" s="29">
        <f t="shared" si="33"/>
        <v>5.5450520833333332</v>
      </c>
      <c r="AK27" s="29">
        <f t="shared" si="34"/>
        <v>20.218385416666667</v>
      </c>
      <c r="AL27" s="29">
        <f t="shared" si="35"/>
        <v>25.740607638888889</v>
      </c>
      <c r="AM27" s="29">
        <f t="shared" si="36"/>
        <v>3.6300781249999998</v>
      </c>
      <c r="AN27" s="29">
        <f t="shared" si="37"/>
        <v>9.1523003472222229</v>
      </c>
      <c r="AO27" s="29">
        <f t="shared" si="38"/>
        <v>23.825633680555555</v>
      </c>
      <c r="AP27" s="29">
        <f t="shared" si="39"/>
        <v>29.347855902777777</v>
      </c>
      <c r="AQ27" s="29">
        <f t="shared" si="40"/>
        <v>0.28444444444444444</v>
      </c>
      <c r="AR27" s="29">
        <f t="shared" si="41"/>
        <v>5.8066666666666666</v>
      </c>
      <c r="AS27" s="29">
        <f t="shared" si="42"/>
        <v>20.479999999999997</v>
      </c>
      <c r="AT27" s="29">
        <f t="shared" si="43"/>
        <v>26.002222222222219</v>
      </c>
      <c r="AU27" s="29">
        <f t="shared" si="44"/>
        <v>3.8916927083333333</v>
      </c>
      <c r="AV27" s="29">
        <f t="shared" si="45"/>
        <v>9.4139149305555563</v>
      </c>
      <c r="AW27" s="29">
        <f t="shared" si="46"/>
        <v>24.087248263888888</v>
      </c>
      <c r="AX27" s="29">
        <f t="shared" si="47"/>
        <v>29.60947048611111</v>
      </c>
      <c r="AY27" s="29">
        <f t="shared" si="48"/>
        <v>0.30727430555555557</v>
      </c>
      <c r="AZ27" s="29">
        <f t="shared" si="49"/>
        <v>5.8294965277777777</v>
      </c>
      <c r="BA27" s="29">
        <f t="shared" si="50"/>
        <v>20.50282986111111</v>
      </c>
      <c r="BB27" s="29">
        <f t="shared" si="51"/>
        <v>26.025052083333332</v>
      </c>
      <c r="BC27" s="29">
        <f t="shared" si="52"/>
        <v>3.9145225694444443</v>
      </c>
      <c r="BD27" s="29">
        <f t="shared" si="53"/>
        <v>9.4367447916666656</v>
      </c>
      <c r="BE27" s="29">
        <f t="shared" si="54"/>
        <v>24.110078124999998</v>
      </c>
      <c r="BF27" s="29">
        <f t="shared" si="55"/>
        <v>29.63230034722222</v>
      </c>
    </row>
    <row r="28" spans="1:58" x14ac:dyDescent="0.25">
      <c r="A28" t="s">
        <v>9</v>
      </c>
      <c r="B28">
        <v>644925055</v>
      </c>
      <c r="C28" t="s">
        <v>10</v>
      </c>
      <c r="D28" t="s">
        <v>24</v>
      </c>
      <c r="F28" s="10" t="str">
        <f t="shared" si="6"/>
        <v>MAC+102</v>
      </c>
      <c r="G28" s="6">
        <f t="shared" si="7"/>
        <v>644923315</v>
      </c>
      <c r="H28" s="6">
        <f t="shared" si="8"/>
        <v>646883515</v>
      </c>
      <c r="I28" s="10">
        <f t="shared" si="9"/>
        <v>14</v>
      </c>
      <c r="J28" s="10">
        <f t="shared" si="10"/>
        <v>3</v>
      </c>
      <c r="L28" t="str">
        <f t="shared" si="11"/>
        <v>360</v>
      </c>
      <c r="M28" t="str">
        <f t="shared" si="12"/>
        <v>360</v>
      </c>
      <c r="N28" t="str">
        <f t="shared" si="13"/>
        <v>900</v>
      </c>
      <c r="O28" t="str">
        <f t="shared" si="14"/>
        <v>1800</v>
      </c>
      <c r="P28" t="str">
        <f t="shared" si="15"/>
        <v/>
      </c>
      <c r="Q28" t="str">
        <f t="shared" si="16"/>
        <v/>
      </c>
      <c r="R28" t="str">
        <f t="shared" si="17"/>
        <v>102</v>
      </c>
      <c r="T28" s="29">
        <f t="shared" si="18"/>
        <v>2.282986111111111E-2</v>
      </c>
      <c r="U28" s="29">
        <f t="shared" si="19"/>
        <v>9.0581597222222227E-2</v>
      </c>
      <c r="V28" s="29">
        <f t="shared" si="20"/>
        <v>0.28444444444444444</v>
      </c>
      <c r="W28" s="29">
        <f t="shared" si="21"/>
        <v>5.5222222222222221</v>
      </c>
      <c r="X28" s="29">
        <f t="shared" si="22"/>
        <v>3.5166666666666666</v>
      </c>
      <c r="Y28" s="29">
        <f t="shared" si="23"/>
        <v>3.5166666666666666</v>
      </c>
      <c r="Z28" s="29">
        <f t="shared" si="24"/>
        <v>20.195555555555554</v>
      </c>
      <c r="AB28" s="29">
        <f t="shared" si="25"/>
        <v>5.5222222222222221</v>
      </c>
      <c r="AC28" s="29">
        <f t="shared" si="26"/>
        <v>20.286137152777776</v>
      </c>
      <c r="AD28" s="29">
        <f t="shared" si="27"/>
        <v>25.808359374999998</v>
      </c>
      <c r="AE28" s="29">
        <f t="shared" si="28"/>
        <v>3.5166666666666666</v>
      </c>
      <c r="AF28" s="29">
        <f t="shared" si="29"/>
        <v>9.0388888888888879</v>
      </c>
      <c r="AG28" s="29">
        <f t="shared" si="30"/>
        <v>23.802803819444442</v>
      </c>
      <c r="AH28" s="29">
        <f t="shared" si="31"/>
        <v>29.325026041666664</v>
      </c>
      <c r="AI28" s="29">
        <f t="shared" si="32"/>
        <v>2.282986111111111E-2</v>
      </c>
      <c r="AJ28" s="29">
        <f t="shared" si="33"/>
        <v>5.5450520833333332</v>
      </c>
      <c r="AK28" s="29">
        <f t="shared" si="34"/>
        <v>20.308967013888889</v>
      </c>
      <c r="AL28" s="29">
        <f t="shared" si="35"/>
        <v>25.831189236111111</v>
      </c>
      <c r="AM28" s="29">
        <f t="shared" si="36"/>
        <v>3.5394965277777777</v>
      </c>
      <c r="AN28" s="29">
        <f t="shared" si="37"/>
        <v>9.0617187500000007</v>
      </c>
      <c r="AO28" s="29">
        <f t="shared" si="38"/>
        <v>23.825633680555555</v>
      </c>
      <c r="AP28" s="29">
        <f t="shared" si="39"/>
        <v>29.347855902777777</v>
      </c>
      <c r="AQ28" s="29">
        <f t="shared" si="40"/>
        <v>0.28444444444444444</v>
      </c>
      <c r="AR28" s="29">
        <f t="shared" si="41"/>
        <v>5.8066666666666666</v>
      </c>
      <c r="AS28" s="29">
        <f t="shared" si="42"/>
        <v>20.570581597222219</v>
      </c>
      <c r="AT28" s="29">
        <f t="shared" si="43"/>
        <v>26.092803819444441</v>
      </c>
      <c r="AU28" s="29">
        <f t="shared" si="44"/>
        <v>3.8011111111111111</v>
      </c>
      <c r="AV28" s="29">
        <f t="shared" si="45"/>
        <v>9.3233333333333341</v>
      </c>
      <c r="AW28" s="29">
        <f t="shared" si="46"/>
        <v>24.087248263888888</v>
      </c>
      <c r="AX28" s="29">
        <f t="shared" si="47"/>
        <v>29.60947048611111</v>
      </c>
      <c r="AY28" s="29">
        <f t="shared" si="48"/>
        <v>0.30727430555555557</v>
      </c>
      <c r="AZ28" s="29">
        <f t="shared" si="49"/>
        <v>5.8294965277777777</v>
      </c>
      <c r="BA28" s="29">
        <f t="shared" si="50"/>
        <v>20.593411458333332</v>
      </c>
      <c r="BB28" s="29">
        <f t="shared" si="51"/>
        <v>26.115633680555554</v>
      </c>
      <c r="BC28" s="29">
        <f t="shared" si="52"/>
        <v>3.8239409722222222</v>
      </c>
      <c r="BD28" s="29">
        <f t="shared" si="53"/>
        <v>9.3461631944444434</v>
      </c>
      <c r="BE28" s="29">
        <f t="shared" si="54"/>
        <v>24.110078124999998</v>
      </c>
      <c r="BF28" s="29">
        <f t="shared" si="55"/>
        <v>29.63230034722222</v>
      </c>
    </row>
    <row r="29" spans="1:58" x14ac:dyDescent="0.25">
      <c r="A29" t="s">
        <v>9</v>
      </c>
      <c r="B29">
        <v>644925655</v>
      </c>
      <c r="C29" t="s">
        <v>10</v>
      </c>
      <c r="D29" t="s">
        <v>25</v>
      </c>
      <c r="F29" s="10" t="str">
        <f t="shared" si="6"/>
        <v>MAC+104</v>
      </c>
      <c r="G29" s="6">
        <f t="shared" si="7"/>
        <v>644923315</v>
      </c>
      <c r="H29" s="6">
        <f t="shared" si="8"/>
        <v>646883515</v>
      </c>
      <c r="I29" s="10">
        <f t="shared" si="9"/>
        <v>15</v>
      </c>
      <c r="J29" s="10">
        <f t="shared" si="10"/>
        <v>2</v>
      </c>
      <c r="L29" t="str">
        <f t="shared" si="11"/>
        <v>360</v>
      </c>
      <c r="M29">
        <f t="shared" si="12"/>
        <v>2</v>
      </c>
      <c r="N29" t="str">
        <f t="shared" si="13"/>
        <v>900</v>
      </c>
      <c r="O29" t="str">
        <f t="shared" si="14"/>
        <v>1800</v>
      </c>
      <c r="P29" t="str">
        <f t="shared" si="15"/>
        <v>disabled</v>
      </c>
      <c r="Q29" t="str">
        <f t="shared" si="16"/>
        <v/>
      </c>
      <c r="R29" t="str">
        <f t="shared" si="17"/>
        <v>102</v>
      </c>
      <c r="T29" s="29">
        <f t="shared" si="18"/>
        <v>4.109375</v>
      </c>
      <c r="U29" s="29">
        <f t="shared" si="19"/>
        <v>16.3046875</v>
      </c>
      <c r="V29" s="29">
        <f t="shared" si="20"/>
        <v>0.28444444444444444</v>
      </c>
      <c r="W29" s="29">
        <f t="shared" si="21"/>
        <v>5.5222222222222221</v>
      </c>
      <c r="X29" s="29">
        <f t="shared" si="22"/>
        <v>0</v>
      </c>
      <c r="Y29" s="29">
        <f t="shared" si="23"/>
        <v>0</v>
      </c>
      <c r="Z29" s="29">
        <f t="shared" si="24"/>
        <v>20.195555555555554</v>
      </c>
      <c r="AB29" s="29">
        <f t="shared" si="25"/>
        <v>5.5222222222222221</v>
      </c>
      <c r="AC29" s="29">
        <f t="shared" si="26"/>
        <v>36.500243055555558</v>
      </c>
      <c r="AD29" s="29">
        <f t="shared" si="27"/>
        <v>42.022465277777783</v>
      </c>
      <c r="AE29" s="29">
        <f t="shared" si="28"/>
        <v>0</v>
      </c>
      <c r="AF29" s="29">
        <f t="shared" si="29"/>
        <v>5.5222222222222221</v>
      </c>
      <c r="AG29" s="29">
        <f t="shared" si="30"/>
        <v>36.500243055555558</v>
      </c>
      <c r="AH29" s="29">
        <f t="shared" si="31"/>
        <v>42.022465277777783</v>
      </c>
      <c r="AI29" s="29">
        <f t="shared" si="32"/>
        <v>4.109375</v>
      </c>
      <c r="AJ29" s="29">
        <f t="shared" si="33"/>
        <v>9.6315972222222221</v>
      </c>
      <c r="AK29" s="29">
        <f t="shared" si="34"/>
        <v>40.609618055555558</v>
      </c>
      <c r="AL29" s="29">
        <f t="shared" si="35"/>
        <v>46.131840277777783</v>
      </c>
      <c r="AM29" s="29">
        <f t="shared" si="36"/>
        <v>4.109375</v>
      </c>
      <c r="AN29" s="29">
        <f t="shared" si="37"/>
        <v>9.6315972222222221</v>
      </c>
      <c r="AO29" s="29">
        <f t="shared" si="38"/>
        <v>40.609618055555558</v>
      </c>
      <c r="AP29" s="29">
        <f t="shared" si="39"/>
        <v>46.131840277777783</v>
      </c>
      <c r="AQ29" s="29">
        <f t="shared" si="40"/>
        <v>0.28444444444444444</v>
      </c>
      <c r="AR29" s="29">
        <f t="shared" si="41"/>
        <v>5.8066666666666666</v>
      </c>
      <c r="AS29" s="29">
        <f t="shared" si="42"/>
        <v>36.784687500000004</v>
      </c>
      <c r="AT29" s="29">
        <f t="shared" si="43"/>
        <v>42.30690972222223</v>
      </c>
      <c r="AU29" s="29">
        <f t="shared" si="44"/>
        <v>0.28444444444444444</v>
      </c>
      <c r="AV29" s="29">
        <f t="shared" si="45"/>
        <v>5.8066666666666666</v>
      </c>
      <c r="AW29" s="29">
        <f t="shared" si="46"/>
        <v>36.784687500000004</v>
      </c>
      <c r="AX29" s="29">
        <f t="shared" si="47"/>
        <v>42.30690972222223</v>
      </c>
      <c r="AY29" s="29">
        <f t="shared" si="48"/>
        <v>4.3938194444444445</v>
      </c>
      <c r="AZ29" s="29">
        <f t="shared" si="49"/>
        <v>9.9160416666666666</v>
      </c>
      <c r="BA29" s="29">
        <f t="shared" si="50"/>
        <v>40.894062500000004</v>
      </c>
      <c r="BB29" s="29">
        <f t="shared" si="51"/>
        <v>46.41628472222223</v>
      </c>
      <c r="BC29" s="29">
        <f t="shared" si="52"/>
        <v>4.3938194444444445</v>
      </c>
      <c r="BD29" s="29">
        <f t="shared" si="53"/>
        <v>9.9160416666666666</v>
      </c>
      <c r="BE29" s="29">
        <f t="shared" si="54"/>
        <v>40.894062500000004</v>
      </c>
      <c r="BF29" s="29">
        <f t="shared" si="55"/>
        <v>46.41628472222223</v>
      </c>
    </row>
    <row r="30" spans="1:58" x14ac:dyDescent="0.25">
      <c r="A30" t="s">
        <v>9</v>
      </c>
      <c r="B30">
        <v>644926255</v>
      </c>
      <c r="C30" t="s">
        <v>10</v>
      </c>
      <c r="D30" t="s">
        <v>26</v>
      </c>
      <c r="F30" s="10" t="str">
        <f t="shared" si="6"/>
        <v>MAC+105</v>
      </c>
      <c r="G30" s="6">
        <f t="shared" si="7"/>
        <v>644923315</v>
      </c>
      <c r="H30" s="6">
        <f t="shared" si="8"/>
        <v>646883515</v>
      </c>
      <c r="I30" s="10">
        <f t="shared" si="9"/>
        <v>16</v>
      </c>
      <c r="J30" s="10">
        <f t="shared" si="10"/>
        <v>1</v>
      </c>
      <c r="L30" t="str">
        <f t="shared" si="11"/>
        <v>360</v>
      </c>
      <c r="M30">
        <f t="shared" si="12"/>
        <v>2</v>
      </c>
      <c r="N30" t="str">
        <f t="shared" si="13"/>
        <v>900</v>
      </c>
      <c r="O30" t="str">
        <f t="shared" si="14"/>
        <v>1800</v>
      </c>
      <c r="P30" t="str">
        <f t="shared" si="15"/>
        <v/>
      </c>
      <c r="Q30">
        <f t="shared" si="16"/>
        <v>300</v>
      </c>
      <c r="R30" t="str">
        <f t="shared" si="17"/>
        <v>102</v>
      </c>
      <c r="T30" s="29">
        <f t="shared" si="18"/>
        <v>4.109375</v>
      </c>
      <c r="U30" s="29">
        <f t="shared" si="19"/>
        <v>16.3046875</v>
      </c>
      <c r="V30" s="29">
        <f t="shared" si="20"/>
        <v>0.28444444444444444</v>
      </c>
      <c r="W30" s="29">
        <f t="shared" si="21"/>
        <v>5.5222222222222221</v>
      </c>
      <c r="X30" s="29">
        <f t="shared" si="22"/>
        <v>633</v>
      </c>
      <c r="Y30" s="29">
        <f t="shared" si="23"/>
        <v>4.395833333333333</v>
      </c>
      <c r="Z30" s="29">
        <f t="shared" si="24"/>
        <v>20.195555555555554</v>
      </c>
      <c r="AB30" s="29">
        <f t="shared" si="25"/>
        <v>5.5222222222222221</v>
      </c>
      <c r="AC30" s="29">
        <f t="shared" si="26"/>
        <v>36.500243055555558</v>
      </c>
      <c r="AD30" s="29">
        <f t="shared" si="27"/>
        <v>42.022465277777783</v>
      </c>
      <c r="AE30" s="29">
        <f t="shared" si="28"/>
        <v>4.395833333333333</v>
      </c>
      <c r="AF30" s="29">
        <f t="shared" si="29"/>
        <v>9.9180555555555543</v>
      </c>
      <c r="AG30" s="29">
        <f t="shared" si="30"/>
        <v>40.896076388888893</v>
      </c>
      <c r="AH30" s="29">
        <f t="shared" si="31"/>
        <v>46.418298611111112</v>
      </c>
      <c r="AI30" s="29">
        <f t="shared" si="32"/>
        <v>4.109375</v>
      </c>
      <c r="AJ30" s="29">
        <f t="shared" si="33"/>
        <v>9.6315972222222221</v>
      </c>
      <c r="AK30" s="29">
        <f t="shared" si="34"/>
        <v>40.609618055555558</v>
      </c>
      <c r="AL30" s="29">
        <f t="shared" si="35"/>
        <v>46.131840277777783</v>
      </c>
      <c r="AM30" s="29">
        <f t="shared" si="36"/>
        <v>8.5052083333333321</v>
      </c>
      <c r="AN30" s="29">
        <f t="shared" si="37"/>
        <v>14.027430555555554</v>
      </c>
      <c r="AO30" s="29">
        <f t="shared" si="38"/>
        <v>45.005451388888886</v>
      </c>
      <c r="AP30" s="29">
        <f t="shared" si="39"/>
        <v>50.527673611111112</v>
      </c>
      <c r="AQ30" s="29">
        <f t="shared" si="40"/>
        <v>0.28444444444444444</v>
      </c>
      <c r="AR30" s="29">
        <f t="shared" si="41"/>
        <v>5.8066666666666666</v>
      </c>
      <c r="AS30" s="29">
        <f t="shared" si="42"/>
        <v>36.784687500000004</v>
      </c>
      <c r="AT30" s="29">
        <f t="shared" si="43"/>
        <v>42.30690972222223</v>
      </c>
      <c r="AU30" s="29">
        <f t="shared" si="44"/>
        <v>4.6802777777777775</v>
      </c>
      <c r="AV30" s="29">
        <f t="shared" si="45"/>
        <v>10.202500000000001</v>
      </c>
      <c r="AW30" s="29">
        <f t="shared" si="46"/>
        <v>41.180520833333333</v>
      </c>
      <c r="AX30" s="29">
        <f t="shared" si="47"/>
        <v>46.702743055555558</v>
      </c>
      <c r="AY30" s="29">
        <f t="shared" si="48"/>
        <v>4.3938194444444445</v>
      </c>
      <c r="AZ30" s="29">
        <f t="shared" si="49"/>
        <v>9.9160416666666666</v>
      </c>
      <c r="BA30" s="29">
        <f t="shared" si="50"/>
        <v>40.894062500000004</v>
      </c>
      <c r="BB30" s="29">
        <f t="shared" si="51"/>
        <v>46.41628472222223</v>
      </c>
      <c r="BC30" s="29">
        <f t="shared" si="52"/>
        <v>8.7896527777777784</v>
      </c>
      <c r="BD30" s="29">
        <f t="shared" si="53"/>
        <v>14.311875000000001</v>
      </c>
      <c r="BE30" s="29">
        <f t="shared" si="54"/>
        <v>45.289895833333333</v>
      </c>
      <c r="BF30" s="29">
        <f t="shared" si="55"/>
        <v>50.812118055555558</v>
      </c>
    </row>
    <row r="31" spans="1:58" x14ac:dyDescent="0.25">
      <c r="A31" t="s">
        <v>9</v>
      </c>
      <c r="B31">
        <v>646883515</v>
      </c>
      <c r="C31" t="s">
        <v>10</v>
      </c>
      <c r="D31" t="s">
        <v>27</v>
      </c>
      <c r="F31" s="10" t="str">
        <f t="shared" si="6"/>
        <v>MAC+111</v>
      </c>
      <c r="G31" s="6">
        <f t="shared" si="7"/>
        <v>644923315</v>
      </c>
      <c r="H31" s="6">
        <f t="shared" si="8"/>
        <v>678385315</v>
      </c>
      <c r="I31" s="10">
        <f t="shared" si="9"/>
        <v>0</v>
      </c>
      <c r="J31" s="10">
        <f t="shared" si="10"/>
        <v>7</v>
      </c>
      <c r="L31" t="str">
        <f t="shared" si="11"/>
        <v>360</v>
      </c>
      <c r="M31">
        <f t="shared" si="12"/>
        <v>2</v>
      </c>
      <c r="N31" t="str">
        <f t="shared" si="13"/>
        <v>900</v>
      </c>
      <c r="O31" t="str">
        <f t="shared" si="14"/>
        <v>1800</v>
      </c>
      <c r="P31" t="str">
        <f t="shared" si="15"/>
        <v/>
      </c>
      <c r="Q31">
        <f t="shared" si="16"/>
        <v>300</v>
      </c>
      <c r="R31" t="str">
        <f t="shared" si="17"/>
        <v>102</v>
      </c>
      <c r="T31" s="29">
        <f t="shared" si="18"/>
        <v>4.109375</v>
      </c>
      <c r="U31" s="29">
        <f t="shared" si="19"/>
        <v>16.3046875</v>
      </c>
      <c r="V31" s="29">
        <f t="shared" si="20"/>
        <v>0.28444444444444444</v>
      </c>
      <c r="W31" s="29">
        <f t="shared" si="21"/>
        <v>5.5222222222222221</v>
      </c>
      <c r="X31" s="29">
        <f t="shared" si="22"/>
        <v>633</v>
      </c>
      <c r="Y31" s="29">
        <f t="shared" si="23"/>
        <v>4.395833333333333</v>
      </c>
      <c r="Z31" s="29">
        <f t="shared" si="24"/>
        <v>20.195555555555554</v>
      </c>
      <c r="AB31" s="29">
        <f t="shared" si="25"/>
        <v>5.5222222222222221</v>
      </c>
      <c r="AC31" s="29">
        <f t="shared" si="26"/>
        <v>36.500243055555558</v>
      </c>
      <c r="AD31" s="29">
        <f t="shared" si="27"/>
        <v>42.022465277777783</v>
      </c>
      <c r="AE31" s="29">
        <f t="shared" si="28"/>
        <v>4.395833333333333</v>
      </c>
      <c r="AF31" s="29">
        <f t="shared" si="29"/>
        <v>9.9180555555555543</v>
      </c>
      <c r="AG31" s="29">
        <f t="shared" si="30"/>
        <v>40.896076388888893</v>
      </c>
      <c r="AH31" s="29">
        <f t="shared" si="31"/>
        <v>46.418298611111112</v>
      </c>
      <c r="AI31" s="29">
        <f t="shared" si="32"/>
        <v>4.109375</v>
      </c>
      <c r="AJ31" s="29">
        <f t="shared" si="33"/>
        <v>9.6315972222222221</v>
      </c>
      <c r="AK31" s="29">
        <f t="shared" si="34"/>
        <v>40.609618055555558</v>
      </c>
      <c r="AL31" s="29">
        <f t="shared" si="35"/>
        <v>46.131840277777783</v>
      </c>
      <c r="AM31" s="29">
        <f t="shared" si="36"/>
        <v>8.5052083333333321</v>
      </c>
      <c r="AN31" s="29">
        <f t="shared" si="37"/>
        <v>14.027430555555554</v>
      </c>
      <c r="AO31" s="29">
        <f t="shared" si="38"/>
        <v>45.005451388888886</v>
      </c>
      <c r="AP31" s="29">
        <f t="shared" si="39"/>
        <v>50.527673611111112</v>
      </c>
      <c r="AQ31" s="29">
        <f t="shared" si="40"/>
        <v>0.28444444444444444</v>
      </c>
      <c r="AR31" s="29">
        <f t="shared" si="41"/>
        <v>5.8066666666666666</v>
      </c>
      <c r="AS31" s="29">
        <f t="shared" si="42"/>
        <v>36.784687500000004</v>
      </c>
      <c r="AT31" s="29">
        <f t="shared" si="43"/>
        <v>42.30690972222223</v>
      </c>
      <c r="AU31" s="29">
        <f t="shared" si="44"/>
        <v>4.6802777777777775</v>
      </c>
      <c r="AV31" s="29">
        <f t="shared" si="45"/>
        <v>10.202500000000001</v>
      </c>
      <c r="AW31" s="29">
        <f t="shared" si="46"/>
        <v>41.180520833333333</v>
      </c>
      <c r="AX31" s="29">
        <f t="shared" si="47"/>
        <v>46.702743055555558</v>
      </c>
      <c r="AY31" s="29">
        <f t="shared" si="48"/>
        <v>4.3938194444444445</v>
      </c>
      <c r="AZ31" s="29">
        <f t="shared" si="49"/>
        <v>9.9160416666666666</v>
      </c>
      <c r="BA31" s="29">
        <f t="shared" si="50"/>
        <v>40.894062500000004</v>
      </c>
      <c r="BB31" s="29">
        <f t="shared" si="51"/>
        <v>46.41628472222223</v>
      </c>
      <c r="BC31" s="29">
        <f t="shared" si="52"/>
        <v>8.7896527777777784</v>
      </c>
      <c r="BD31" s="29">
        <f t="shared" si="53"/>
        <v>14.311875000000001</v>
      </c>
      <c r="BE31" s="29">
        <f t="shared" si="54"/>
        <v>45.289895833333333</v>
      </c>
      <c r="BF31" s="29">
        <f t="shared" si="55"/>
        <v>50.812118055555558</v>
      </c>
    </row>
    <row r="32" spans="1:58" x14ac:dyDescent="0.25">
      <c r="A32" t="s">
        <v>12</v>
      </c>
      <c r="B32">
        <v>646884115</v>
      </c>
      <c r="C32" t="s">
        <v>13</v>
      </c>
      <c r="D32" t="s">
        <v>22</v>
      </c>
      <c r="F32" s="10" t="str">
        <f t="shared" si="6"/>
        <v>N2+360</v>
      </c>
      <c r="G32" s="6">
        <f t="shared" si="7"/>
        <v>644923315</v>
      </c>
      <c r="H32" s="6">
        <f t="shared" si="8"/>
        <v>678385315</v>
      </c>
      <c r="I32" s="10">
        <f t="shared" si="9"/>
        <v>1</v>
      </c>
      <c r="J32" s="10">
        <f t="shared" si="10"/>
        <v>6</v>
      </c>
      <c r="L32" t="str">
        <f t="shared" si="11"/>
        <v>360</v>
      </c>
      <c r="M32" t="str">
        <f t="shared" si="12"/>
        <v>360</v>
      </c>
      <c r="N32" t="str">
        <f t="shared" si="13"/>
        <v>900</v>
      </c>
      <c r="O32" t="str">
        <f t="shared" si="14"/>
        <v>1800</v>
      </c>
      <c r="P32" t="str">
        <f t="shared" si="15"/>
        <v/>
      </c>
      <c r="Q32">
        <f t="shared" si="16"/>
        <v>300</v>
      </c>
      <c r="R32" t="str">
        <f t="shared" si="17"/>
        <v>102</v>
      </c>
      <c r="T32" s="29">
        <f t="shared" si="18"/>
        <v>2.282986111111111E-2</v>
      </c>
      <c r="U32" s="29">
        <f t="shared" si="19"/>
        <v>9.0581597222222227E-2</v>
      </c>
      <c r="V32" s="29">
        <f t="shared" si="20"/>
        <v>0.28444444444444444</v>
      </c>
      <c r="W32" s="29">
        <f t="shared" si="21"/>
        <v>5.5222222222222221</v>
      </c>
      <c r="X32" s="29">
        <f t="shared" si="22"/>
        <v>3.5166666666666666</v>
      </c>
      <c r="Y32" s="29">
        <f t="shared" si="23"/>
        <v>2.4421296296296295E-2</v>
      </c>
      <c r="Z32" s="29">
        <f t="shared" si="24"/>
        <v>20.195555555555554</v>
      </c>
      <c r="AB32" s="29">
        <f t="shared" si="25"/>
        <v>5.5222222222222221</v>
      </c>
      <c r="AC32" s="29">
        <f t="shared" si="26"/>
        <v>20.286137152777776</v>
      </c>
      <c r="AD32" s="29">
        <f t="shared" si="27"/>
        <v>25.808359374999998</v>
      </c>
      <c r="AE32" s="29">
        <f t="shared" si="28"/>
        <v>2.4421296296296295E-2</v>
      </c>
      <c r="AF32" s="29">
        <f t="shared" si="29"/>
        <v>5.5466435185185183</v>
      </c>
      <c r="AG32" s="29">
        <f t="shared" si="30"/>
        <v>20.310558449074072</v>
      </c>
      <c r="AH32" s="29">
        <f t="shared" si="31"/>
        <v>25.832780671296295</v>
      </c>
      <c r="AI32" s="29">
        <f t="shared" si="32"/>
        <v>2.282986111111111E-2</v>
      </c>
      <c r="AJ32" s="29">
        <f t="shared" si="33"/>
        <v>5.5450520833333332</v>
      </c>
      <c r="AK32" s="29">
        <f t="shared" si="34"/>
        <v>20.308967013888889</v>
      </c>
      <c r="AL32" s="29">
        <f t="shared" si="35"/>
        <v>25.831189236111111</v>
      </c>
      <c r="AM32" s="29">
        <f t="shared" si="36"/>
        <v>4.7251157407407401E-2</v>
      </c>
      <c r="AN32" s="29">
        <f t="shared" si="37"/>
        <v>5.5694733796296294</v>
      </c>
      <c r="AO32" s="29">
        <f t="shared" si="38"/>
        <v>20.333388310185185</v>
      </c>
      <c r="AP32" s="29">
        <f t="shared" si="39"/>
        <v>25.855610532407407</v>
      </c>
      <c r="AQ32" s="29">
        <f t="shared" si="40"/>
        <v>0.28444444444444444</v>
      </c>
      <c r="AR32" s="29">
        <f t="shared" si="41"/>
        <v>5.8066666666666666</v>
      </c>
      <c r="AS32" s="29">
        <f t="shared" si="42"/>
        <v>20.570581597222219</v>
      </c>
      <c r="AT32" s="29">
        <f t="shared" si="43"/>
        <v>26.092803819444441</v>
      </c>
      <c r="AU32" s="29">
        <f t="shared" si="44"/>
        <v>0.30886574074074075</v>
      </c>
      <c r="AV32" s="29">
        <f t="shared" si="45"/>
        <v>5.8310879629629628</v>
      </c>
      <c r="AW32" s="29">
        <f t="shared" si="46"/>
        <v>20.595002893518519</v>
      </c>
      <c r="AX32" s="29">
        <f t="shared" si="47"/>
        <v>26.117225115740741</v>
      </c>
      <c r="AY32" s="29">
        <f t="shared" si="48"/>
        <v>0.30727430555555557</v>
      </c>
      <c r="AZ32" s="29">
        <f t="shared" si="49"/>
        <v>5.8294965277777777</v>
      </c>
      <c r="BA32" s="29">
        <f t="shared" si="50"/>
        <v>20.593411458333332</v>
      </c>
      <c r="BB32" s="29">
        <f t="shared" si="51"/>
        <v>26.115633680555554</v>
      </c>
      <c r="BC32" s="29">
        <f t="shared" si="52"/>
        <v>0.33169560185185187</v>
      </c>
      <c r="BD32" s="29">
        <f t="shared" si="53"/>
        <v>5.8539178240740739</v>
      </c>
      <c r="BE32" s="29">
        <f t="shared" si="54"/>
        <v>20.617832754629628</v>
      </c>
      <c r="BF32" s="29">
        <f t="shared" si="55"/>
        <v>26.14005497685185</v>
      </c>
    </row>
    <row r="33" spans="1:58" x14ac:dyDescent="0.25">
      <c r="A33" t="s">
        <v>12</v>
      </c>
      <c r="B33">
        <v>646884118</v>
      </c>
      <c r="C33" t="s">
        <v>16</v>
      </c>
      <c r="D33" t="s">
        <v>22</v>
      </c>
      <c r="F33" s="10" t="str">
        <f t="shared" si="6"/>
        <v>N1+360</v>
      </c>
      <c r="G33" s="6">
        <f t="shared" si="7"/>
        <v>644923315</v>
      </c>
      <c r="H33" s="6">
        <f t="shared" si="8"/>
        <v>678385315</v>
      </c>
      <c r="I33" s="10">
        <f t="shared" si="9"/>
        <v>2</v>
      </c>
      <c r="J33" s="10">
        <f t="shared" si="10"/>
        <v>5</v>
      </c>
      <c r="L33" t="str">
        <f t="shared" si="11"/>
        <v>360</v>
      </c>
      <c r="M33" t="str">
        <f t="shared" si="12"/>
        <v>360</v>
      </c>
      <c r="N33" t="str">
        <f t="shared" si="13"/>
        <v>900</v>
      </c>
      <c r="O33" t="str">
        <f t="shared" si="14"/>
        <v>1800</v>
      </c>
      <c r="P33" t="str">
        <f t="shared" si="15"/>
        <v/>
      </c>
      <c r="Q33">
        <f t="shared" si="16"/>
        <v>300</v>
      </c>
      <c r="R33" t="str">
        <f t="shared" si="17"/>
        <v>102</v>
      </c>
      <c r="T33" s="29">
        <f t="shared" si="18"/>
        <v>2.282986111111111E-2</v>
      </c>
      <c r="U33" s="29">
        <f t="shared" si="19"/>
        <v>9.0581597222222227E-2</v>
      </c>
      <c r="V33" s="29">
        <f t="shared" si="20"/>
        <v>0.28444444444444444</v>
      </c>
      <c r="W33" s="29">
        <f t="shared" si="21"/>
        <v>5.5222222222222221</v>
      </c>
      <c r="X33" s="29">
        <f t="shared" si="22"/>
        <v>3.5166666666666666</v>
      </c>
      <c r="Y33" s="29">
        <f t="shared" si="23"/>
        <v>2.4421296296296295E-2</v>
      </c>
      <c r="Z33" s="29">
        <f t="shared" si="24"/>
        <v>20.195555555555554</v>
      </c>
      <c r="AB33" s="29">
        <f t="shared" si="25"/>
        <v>5.5222222222222221</v>
      </c>
      <c r="AC33" s="29">
        <f t="shared" si="26"/>
        <v>20.286137152777776</v>
      </c>
      <c r="AD33" s="29">
        <f t="shared" si="27"/>
        <v>25.808359374999998</v>
      </c>
      <c r="AE33" s="29">
        <f t="shared" si="28"/>
        <v>2.4421296296296295E-2</v>
      </c>
      <c r="AF33" s="29">
        <f t="shared" si="29"/>
        <v>5.5466435185185183</v>
      </c>
      <c r="AG33" s="29">
        <f t="shared" si="30"/>
        <v>20.310558449074072</v>
      </c>
      <c r="AH33" s="29">
        <f t="shared" si="31"/>
        <v>25.832780671296295</v>
      </c>
      <c r="AI33" s="29">
        <f t="shared" si="32"/>
        <v>2.282986111111111E-2</v>
      </c>
      <c r="AJ33" s="29">
        <f t="shared" si="33"/>
        <v>5.5450520833333332</v>
      </c>
      <c r="AK33" s="29">
        <f t="shared" si="34"/>
        <v>20.308967013888889</v>
      </c>
      <c r="AL33" s="29">
        <f t="shared" si="35"/>
        <v>25.831189236111111</v>
      </c>
      <c r="AM33" s="29">
        <f t="shared" si="36"/>
        <v>4.7251157407407401E-2</v>
      </c>
      <c r="AN33" s="29">
        <f t="shared" si="37"/>
        <v>5.5694733796296294</v>
      </c>
      <c r="AO33" s="29">
        <f t="shared" si="38"/>
        <v>20.333388310185185</v>
      </c>
      <c r="AP33" s="29">
        <f t="shared" si="39"/>
        <v>25.855610532407407</v>
      </c>
      <c r="AQ33" s="29">
        <f t="shared" si="40"/>
        <v>0.28444444444444444</v>
      </c>
      <c r="AR33" s="29">
        <f t="shared" si="41"/>
        <v>5.8066666666666666</v>
      </c>
      <c r="AS33" s="29">
        <f t="shared" si="42"/>
        <v>20.570581597222219</v>
      </c>
      <c r="AT33" s="29">
        <f t="shared" si="43"/>
        <v>26.092803819444441</v>
      </c>
      <c r="AU33" s="29">
        <f t="shared" si="44"/>
        <v>0.30886574074074075</v>
      </c>
      <c r="AV33" s="29">
        <f t="shared" si="45"/>
        <v>5.8310879629629628</v>
      </c>
      <c r="AW33" s="29">
        <f t="shared" si="46"/>
        <v>20.595002893518519</v>
      </c>
      <c r="AX33" s="29">
        <f t="shared" si="47"/>
        <v>26.117225115740741</v>
      </c>
      <c r="AY33" s="29">
        <f t="shared" si="48"/>
        <v>0.30727430555555557</v>
      </c>
      <c r="AZ33" s="29">
        <f t="shared" si="49"/>
        <v>5.8294965277777777</v>
      </c>
      <c r="BA33" s="29">
        <f t="shared" si="50"/>
        <v>20.593411458333332</v>
      </c>
      <c r="BB33" s="29">
        <f t="shared" si="51"/>
        <v>26.115633680555554</v>
      </c>
      <c r="BC33" s="29">
        <f t="shared" si="52"/>
        <v>0.33169560185185187</v>
      </c>
      <c r="BD33" s="29">
        <f t="shared" si="53"/>
        <v>5.8539178240740739</v>
      </c>
      <c r="BE33" s="29">
        <f t="shared" si="54"/>
        <v>20.617832754629628</v>
      </c>
      <c r="BF33" s="29">
        <f t="shared" si="55"/>
        <v>26.14005497685185</v>
      </c>
    </row>
    <row r="34" spans="1:58" x14ac:dyDescent="0.25">
      <c r="A34" t="s">
        <v>12</v>
      </c>
      <c r="B34">
        <v>646884121</v>
      </c>
      <c r="C34" t="s">
        <v>14</v>
      </c>
      <c r="D34" t="s">
        <v>20</v>
      </c>
      <c r="F34" s="10" t="str">
        <f t="shared" si="6"/>
        <v>N3+7200</v>
      </c>
      <c r="G34" s="6">
        <f t="shared" si="7"/>
        <v>644923315</v>
      </c>
      <c r="H34" s="6">
        <f t="shared" si="8"/>
        <v>678385315</v>
      </c>
      <c r="I34" s="10">
        <f t="shared" si="9"/>
        <v>3</v>
      </c>
      <c r="J34" s="10">
        <f t="shared" si="10"/>
        <v>4</v>
      </c>
      <c r="L34" t="str">
        <f t="shared" si="11"/>
        <v>360</v>
      </c>
      <c r="M34" t="str">
        <f t="shared" si="12"/>
        <v>360</v>
      </c>
      <c r="N34" t="str">
        <f t="shared" si="13"/>
        <v>7200</v>
      </c>
      <c r="O34" t="str">
        <f t="shared" si="14"/>
        <v>1800</v>
      </c>
      <c r="P34" t="str">
        <f t="shared" si="15"/>
        <v/>
      </c>
      <c r="Q34">
        <f t="shared" si="16"/>
        <v>300</v>
      </c>
      <c r="R34" t="str">
        <f t="shared" si="17"/>
        <v>102</v>
      </c>
      <c r="T34" s="29">
        <f t="shared" si="18"/>
        <v>2.282986111111111E-2</v>
      </c>
      <c r="U34" s="29">
        <f t="shared" si="19"/>
        <v>9.0581597222222227E-2</v>
      </c>
      <c r="V34" s="29">
        <f t="shared" si="20"/>
        <v>0.28444444444444444</v>
      </c>
      <c r="W34" s="29">
        <f t="shared" si="21"/>
        <v>5.5222222222222221</v>
      </c>
      <c r="X34" s="29">
        <f t="shared" si="22"/>
        <v>3.5166666666666666</v>
      </c>
      <c r="Y34" s="29">
        <f t="shared" si="23"/>
        <v>2.4421296296296295E-2</v>
      </c>
      <c r="Z34" s="29">
        <f t="shared" si="24"/>
        <v>2.5244444444444443</v>
      </c>
      <c r="AB34" s="29">
        <f t="shared" si="25"/>
        <v>5.5222222222222221</v>
      </c>
      <c r="AC34" s="29">
        <f t="shared" si="26"/>
        <v>2.6150260416666664</v>
      </c>
      <c r="AD34" s="29">
        <f t="shared" si="27"/>
        <v>8.137248263888889</v>
      </c>
      <c r="AE34" s="29">
        <f t="shared" si="28"/>
        <v>2.4421296296296295E-2</v>
      </c>
      <c r="AF34" s="29">
        <f t="shared" si="29"/>
        <v>5.5466435185185183</v>
      </c>
      <c r="AG34" s="29">
        <f t="shared" si="30"/>
        <v>2.6394473379629626</v>
      </c>
      <c r="AH34" s="29">
        <f t="shared" si="31"/>
        <v>8.1616695601851852</v>
      </c>
      <c r="AI34" s="29">
        <f t="shared" si="32"/>
        <v>2.282986111111111E-2</v>
      </c>
      <c r="AJ34" s="29">
        <f t="shared" si="33"/>
        <v>5.5450520833333332</v>
      </c>
      <c r="AK34" s="29">
        <f t="shared" si="34"/>
        <v>2.6378559027777775</v>
      </c>
      <c r="AL34" s="29">
        <f t="shared" si="35"/>
        <v>8.1600781250000001</v>
      </c>
      <c r="AM34" s="29">
        <f t="shared" si="36"/>
        <v>4.7251157407407401E-2</v>
      </c>
      <c r="AN34" s="29">
        <f t="shared" si="37"/>
        <v>5.5694733796296294</v>
      </c>
      <c r="AO34" s="29">
        <f t="shared" si="38"/>
        <v>2.6622771990740737</v>
      </c>
      <c r="AP34" s="29">
        <f t="shared" si="39"/>
        <v>8.1844994212962963</v>
      </c>
      <c r="AQ34" s="29">
        <f t="shared" si="40"/>
        <v>0.28444444444444444</v>
      </c>
      <c r="AR34" s="29">
        <f t="shared" si="41"/>
        <v>5.8066666666666666</v>
      </c>
      <c r="AS34" s="29">
        <f t="shared" si="42"/>
        <v>2.8994704861111109</v>
      </c>
      <c r="AT34" s="29">
        <f t="shared" si="43"/>
        <v>8.4216927083333335</v>
      </c>
      <c r="AU34" s="29">
        <f t="shared" si="44"/>
        <v>0.30886574074074075</v>
      </c>
      <c r="AV34" s="29">
        <f t="shared" si="45"/>
        <v>5.8310879629629628</v>
      </c>
      <c r="AW34" s="29">
        <f t="shared" si="46"/>
        <v>2.9238917824074071</v>
      </c>
      <c r="AX34" s="29">
        <f t="shared" si="47"/>
        <v>8.4461140046296297</v>
      </c>
      <c r="AY34" s="29">
        <f t="shared" si="48"/>
        <v>0.30727430555555557</v>
      </c>
      <c r="AZ34" s="29">
        <f t="shared" si="49"/>
        <v>5.8294965277777777</v>
      </c>
      <c r="BA34" s="29">
        <f t="shared" si="50"/>
        <v>2.922300347222222</v>
      </c>
      <c r="BB34" s="29">
        <f t="shared" si="51"/>
        <v>8.4445225694444446</v>
      </c>
      <c r="BC34" s="29">
        <f t="shared" si="52"/>
        <v>0.33169560185185187</v>
      </c>
      <c r="BD34" s="29">
        <f t="shared" si="53"/>
        <v>5.8539178240740739</v>
      </c>
      <c r="BE34" s="29">
        <f t="shared" si="54"/>
        <v>2.9467216435185182</v>
      </c>
      <c r="BF34" s="29">
        <f t="shared" si="55"/>
        <v>8.4689438657407408</v>
      </c>
    </row>
    <row r="35" spans="1:58" x14ac:dyDescent="0.25">
      <c r="A35" t="s">
        <v>17</v>
      </c>
      <c r="B35">
        <v>646884124</v>
      </c>
      <c r="C35" t="s">
        <v>18</v>
      </c>
      <c r="D35" t="s">
        <v>95</v>
      </c>
      <c r="F35" s="10" t="str">
        <f t="shared" si="6"/>
        <v>STAT+1800</v>
      </c>
      <c r="G35" s="6">
        <f t="shared" si="7"/>
        <v>644923315</v>
      </c>
      <c r="H35" s="6">
        <f t="shared" si="8"/>
        <v>678385315</v>
      </c>
      <c r="I35" s="10">
        <f t="shared" si="9"/>
        <v>4</v>
      </c>
      <c r="J35" s="10">
        <f t="shared" si="10"/>
        <v>3</v>
      </c>
      <c r="L35" t="str">
        <f t="shared" si="11"/>
        <v>360</v>
      </c>
      <c r="M35" t="str">
        <f t="shared" si="12"/>
        <v>360</v>
      </c>
      <c r="N35" t="str">
        <f t="shared" si="13"/>
        <v>7200</v>
      </c>
      <c r="O35" t="str">
        <f t="shared" si="14"/>
        <v>1800</v>
      </c>
      <c r="P35" t="str">
        <f t="shared" si="15"/>
        <v/>
      </c>
      <c r="Q35">
        <f t="shared" si="16"/>
        <v>300</v>
      </c>
      <c r="R35" t="str">
        <f t="shared" si="17"/>
        <v>102</v>
      </c>
      <c r="T35" s="29">
        <f t="shared" si="18"/>
        <v>2.282986111111111E-2</v>
      </c>
      <c r="U35" s="29">
        <f t="shared" si="19"/>
        <v>9.0581597222222227E-2</v>
      </c>
      <c r="V35" s="29">
        <f t="shared" si="20"/>
        <v>0.28444444444444444</v>
      </c>
      <c r="W35" s="29">
        <f t="shared" si="21"/>
        <v>5.5222222222222221</v>
      </c>
      <c r="X35" s="29">
        <f t="shared" si="22"/>
        <v>3.5166666666666666</v>
      </c>
      <c r="Y35" s="29">
        <f t="shared" si="23"/>
        <v>2.4421296296296295E-2</v>
      </c>
      <c r="Z35" s="29">
        <f t="shared" si="24"/>
        <v>2.5244444444444443</v>
      </c>
      <c r="AB35" s="29">
        <f t="shared" si="25"/>
        <v>5.5222222222222221</v>
      </c>
      <c r="AC35" s="29">
        <f t="shared" si="26"/>
        <v>2.6150260416666664</v>
      </c>
      <c r="AD35" s="29">
        <f t="shared" si="27"/>
        <v>8.137248263888889</v>
      </c>
      <c r="AE35" s="29">
        <f t="shared" si="28"/>
        <v>2.4421296296296295E-2</v>
      </c>
      <c r="AF35" s="29">
        <f t="shared" si="29"/>
        <v>5.5466435185185183</v>
      </c>
      <c r="AG35" s="29">
        <f t="shared" si="30"/>
        <v>2.6394473379629626</v>
      </c>
      <c r="AH35" s="29">
        <f t="shared" si="31"/>
        <v>8.1616695601851852</v>
      </c>
      <c r="AI35" s="29">
        <f t="shared" si="32"/>
        <v>2.282986111111111E-2</v>
      </c>
      <c r="AJ35" s="29">
        <f t="shared" si="33"/>
        <v>5.5450520833333332</v>
      </c>
      <c r="AK35" s="29">
        <f t="shared" si="34"/>
        <v>2.6378559027777775</v>
      </c>
      <c r="AL35" s="29">
        <f t="shared" si="35"/>
        <v>8.1600781250000001</v>
      </c>
      <c r="AM35" s="29">
        <f t="shared" si="36"/>
        <v>4.7251157407407401E-2</v>
      </c>
      <c r="AN35" s="29">
        <f t="shared" si="37"/>
        <v>5.5694733796296294</v>
      </c>
      <c r="AO35" s="29">
        <f t="shared" si="38"/>
        <v>2.6622771990740737</v>
      </c>
      <c r="AP35" s="29">
        <f t="shared" si="39"/>
        <v>8.1844994212962963</v>
      </c>
      <c r="AQ35" s="29">
        <f t="shared" si="40"/>
        <v>0.28444444444444444</v>
      </c>
      <c r="AR35" s="29">
        <f t="shared" si="41"/>
        <v>5.8066666666666666</v>
      </c>
      <c r="AS35" s="29">
        <f t="shared" si="42"/>
        <v>2.8994704861111109</v>
      </c>
      <c r="AT35" s="29">
        <f t="shared" si="43"/>
        <v>8.4216927083333335</v>
      </c>
      <c r="AU35" s="29">
        <f t="shared" si="44"/>
        <v>0.30886574074074075</v>
      </c>
      <c r="AV35" s="29">
        <f t="shared" si="45"/>
        <v>5.8310879629629628</v>
      </c>
      <c r="AW35" s="29">
        <f t="shared" si="46"/>
        <v>2.9238917824074071</v>
      </c>
      <c r="AX35" s="29">
        <f t="shared" si="47"/>
        <v>8.4461140046296297</v>
      </c>
      <c r="AY35" s="29">
        <f t="shared" si="48"/>
        <v>0.30727430555555557</v>
      </c>
      <c r="AZ35" s="29">
        <f t="shared" si="49"/>
        <v>5.8294965277777777</v>
      </c>
      <c r="BA35" s="29">
        <f t="shared" si="50"/>
        <v>2.922300347222222</v>
      </c>
      <c r="BB35" s="29">
        <f t="shared" si="51"/>
        <v>8.4445225694444446</v>
      </c>
      <c r="BC35" s="29">
        <f t="shared" si="52"/>
        <v>0.33169560185185187</v>
      </c>
      <c r="BD35" s="29">
        <f t="shared" si="53"/>
        <v>5.8539178240740739</v>
      </c>
      <c r="BE35" s="29">
        <f t="shared" si="54"/>
        <v>2.9467216435185182</v>
      </c>
      <c r="BF35" s="29">
        <f t="shared" si="55"/>
        <v>8.4689438657407408</v>
      </c>
    </row>
    <row r="36" spans="1:58" x14ac:dyDescent="0.25">
      <c r="A36" t="s">
        <v>9</v>
      </c>
      <c r="B36">
        <v>646884715</v>
      </c>
      <c r="C36" t="s">
        <v>10</v>
      </c>
      <c r="D36" t="s">
        <v>28</v>
      </c>
      <c r="F36" s="10" t="str">
        <f t="shared" si="6"/>
        <v>MAC+103</v>
      </c>
      <c r="G36" s="6">
        <f t="shared" si="7"/>
        <v>644923315</v>
      </c>
      <c r="H36" s="6">
        <f t="shared" si="8"/>
        <v>678385315</v>
      </c>
      <c r="I36" s="10">
        <f t="shared" si="9"/>
        <v>5</v>
      </c>
      <c r="J36" s="10">
        <f t="shared" si="10"/>
        <v>2</v>
      </c>
      <c r="L36" t="str">
        <f t="shared" si="11"/>
        <v>360</v>
      </c>
      <c r="M36">
        <f t="shared" si="12"/>
        <v>3</v>
      </c>
      <c r="N36" t="str">
        <f t="shared" si="13"/>
        <v>7200</v>
      </c>
      <c r="O36" t="str">
        <f t="shared" si="14"/>
        <v>1800</v>
      </c>
      <c r="P36" t="str">
        <f t="shared" si="15"/>
        <v>disabled</v>
      </c>
      <c r="Q36">
        <f t="shared" si="16"/>
        <v>300</v>
      </c>
      <c r="R36" t="str">
        <f t="shared" si="17"/>
        <v>102</v>
      </c>
      <c r="T36" s="29">
        <f t="shared" si="18"/>
        <v>2.7395833333333335</v>
      </c>
      <c r="U36" s="29">
        <f t="shared" si="19"/>
        <v>10.869791666666666</v>
      </c>
      <c r="V36" s="29">
        <f t="shared" si="20"/>
        <v>0.28444444444444444</v>
      </c>
      <c r="W36" s="29">
        <f t="shared" si="21"/>
        <v>5.5222222222222221</v>
      </c>
      <c r="X36" s="29">
        <f t="shared" si="22"/>
        <v>0</v>
      </c>
      <c r="Y36" s="29">
        <f t="shared" si="23"/>
        <v>0</v>
      </c>
      <c r="Z36" s="29">
        <f t="shared" si="24"/>
        <v>2.5244444444444443</v>
      </c>
      <c r="AB36" s="29">
        <f t="shared" si="25"/>
        <v>5.5222222222222221</v>
      </c>
      <c r="AC36" s="29">
        <f t="shared" si="26"/>
        <v>13.394236111111111</v>
      </c>
      <c r="AD36" s="29">
        <f t="shared" si="27"/>
        <v>18.916458333333331</v>
      </c>
      <c r="AE36" s="29">
        <f t="shared" si="28"/>
        <v>0</v>
      </c>
      <c r="AF36" s="29">
        <f t="shared" si="29"/>
        <v>5.5222222222222221</v>
      </c>
      <c r="AG36" s="29">
        <f t="shared" si="30"/>
        <v>13.394236111111111</v>
      </c>
      <c r="AH36" s="29">
        <f t="shared" si="31"/>
        <v>18.916458333333331</v>
      </c>
      <c r="AI36" s="29">
        <f t="shared" si="32"/>
        <v>2.7395833333333335</v>
      </c>
      <c r="AJ36" s="29">
        <f t="shared" si="33"/>
        <v>8.2618055555555561</v>
      </c>
      <c r="AK36" s="29">
        <f t="shared" si="34"/>
        <v>16.133819444444445</v>
      </c>
      <c r="AL36" s="29">
        <f t="shared" si="35"/>
        <v>21.656041666666667</v>
      </c>
      <c r="AM36" s="29">
        <f t="shared" si="36"/>
        <v>2.7395833333333335</v>
      </c>
      <c r="AN36" s="29">
        <f t="shared" si="37"/>
        <v>8.2618055555555561</v>
      </c>
      <c r="AO36" s="29">
        <f t="shared" si="38"/>
        <v>16.133819444444445</v>
      </c>
      <c r="AP36" s="29">
        <f t="shared" si="39"/>
        <v>21.656041666666667</v>
      </c>
      <c r="AQ36" s="29">
        <f t="shared" si="40"/>
        <v>0.28444444444444444</v>
      </c>
      <c r="AR36" s="29">
        <f t="shared" si="41"/>
        <v>5.8066666666666666</v>
      </c>
      <c r="AS36" s="29">
        <f t="shared" si="42"/>
        <v>13.678680555555555</v>
      </c>
      <c r="AT36" s="29">
        <f t="shared" si="43"/>
        <v>19.200902777777777</v>
      </c>
      <c r="AU36" s="29">
        <f t="shared" si="44"/>
        <v>0.28444444444444444</v>
      </c>
      <c r="AV36" s="29">
        <f t="shared" si="45"/>
        <v>5.8066666666666666</v>
      </c>
      <c r="AW36" s="29">
        <f t="shared" si="46"/>
        <v>13.678680555555555</v>
      </c>
      <c r="AX36" s="29">
        <f t="shared" si="47"/>
        <v>19.200902777777777</v>
      </c>
      <c r="AY36" s="29">
        <f t="shared" si="48"/>
        <v>3.024027777777778</v>
      </c>
      <c r="AZ36" s="29">
        <f t="shared" si="49"/>
        <v>8.5462500000000006</v>
      </c>
      <c r="BA36" s="29">
        <f t="shared" si="50"/>
        <v>16.418263888888887</v>
      </c>
      <c r="BB36" s="29">
        <f t="shared" si="51"/>
        <v>21.94048611111111</v>
      </c>
      <c r="BC36" s="29">
        <f t="shared" si="52"/>
        <v>3.024027777777778</v>
      </c>
      <c r="BD36" s="29">
        <f t="shared" si="53"/>
        <v>8.5462500000000006</v>
      </c>
      <c r="BE36" s="29">
        <f t="shared" si="54"/>
        <v>16.418263888888887</v>
      </c>
      <c r="BF36" s="29">
        <f t="shared" si="55"/>
        <v>21.94048611111111</v>
      </c>
    </row>
    <row r="37" spans="1:58" x14ac:dyDescent="0.25">
      <c r="A37" t="s">
        <v>9</v>
      </c>
      <c r="B37">
        <v>646885315</v>
      </c>
      <c r="C37" t="s">
        <v>10</v>
      </c>
      <c r="D37" t="s">
        <v>29</v>
      </c>
      <c r="F37" s="10" t="str">
        <f t="shared" si="6"/>
        <v>MAC+109</v>
      </c>
      <c r="G37" s="6">
        <f t="shared" si="7"/>
        <v>644923315</v>
      </c>
      <c r="H37" s="6">
        <f t="shared" si="8"/>
        <v>678385315</v>
      </c>
      <c r="I37" s="10">
        <f t="shared" si="9"/>
        <v>6</v>
      </c>
      <c r="J37" s="10">
        <f t="shared" si="10"/>
        <v>1</v>
      </c>
      <c r="L37" t="str">
        <f t="shared" si="11"/>
        <v>360</v>
      </c>
      <c r="M37">
        <f t="shared" si="12"/>
        <v>3</v>
      </c>
      <c r="N37" t="str">
        <f t="shared" si="13"/>
        <v>7200</v>
      </c>
      <c r="O37" t="str">
        <f t="shared" si="14"/>
        <v>1800</v>
      </c>
      <c r="P37" t="str">
        <f t="shared" si="15"/>
        <v/>
      </c>
      <c r="Q37">
        <f t="shared" si="16"/>
        <v>1800</v>
      </c>
      <c r="R37" t="str">
        <f t="shared" si="17"/>
        <v>102</v>
      </c>
      <c r="T37" s="29">
        <f t="shared" si="18"/>
        <v>2.7395833333333335</v>
      </c>
      <c r="U37" s="29">
        <f t="shared" si="19"/>
        <v>10.869791666666666</v>
      </c>
      <c r="V37" s="29">
        <f t="shared" si="20"/>
        <v>0.28444444444444444</v>
      </c>
      <c r="W37" s="29">
        <f t="shared" si="21"/>
        <v>5.5222222222222221</v>
      </c>
      <c r="X37" s="29">
        <f t="shared" si="22"/>
        <v>422</v>
      </c>
      <c r="Y37" s="29">
        <f t="shared" si="23"/>
        <v>17.583333333333332</v>
      </c>
      <c r="Z37" s="29">
        <f t="shared" si="24"/>
        <v>2.5244444444444443</v>
      </c>
      <c r="AB37" s="29">
        <f t="shared" si="25"/>
        <v>5.5222222222222221</v>
      </c>
      <c r="AC37" s="29">
        <f t="shared" si="26"/>
        <v>13.394236111111111</v>
      </c>
      <c r="AD37" s="29">
        <f t="shared" si="27"/>
        <v>18.916458333333331</v>
      </c>
      <c r="AE37" s="29">
        <f t="shared" si="28"/>
        <v>17.583333333333332</v>
      </c>
      <c r="AF37" s="29">
        <f t="shared" si="29"/>
        <v>23.105555555555554</v>
      </c>
      <c r="AG37" s="29">
        <f t="shared" si="30"/>
        <v>30.977569444444441</v>
      </c>
      <c r="AH37" s="29">
        <f t="shared" si="31"/>
        <v>36.499791666666667</v>
      </c>
      <c r="AI37" s="29">
        <f t="shared" si="32"/>
        <v>2.7395833333333335</v>
      </c>
      <c r="AJ37" s="29">
        <f t="shared" si="33"/>
        <v>8.2618055555555561</v>
      </c>
      <c r="AK37" s="29">
        <f t="shared" si="34"/>
        <v>16.133819444444445</v>
      </c>
      <c r="AL37" s="29">
        <f t="shared" si="35"/>
        <v>21.656041666666667</v>
      </c>
      <c r="AM37" s="29">
        <f t="shared" si="36"/>
        <v>20.322916666666664</v>
      </c>
      <c r="AN37" s="29">
        <f t="shared" si="37"/>
        <v>25.845138888888886</v>
      </c>
      <c r="AO37" s="29">
        <f t="shared" si="38"/>
        <v>33.717152777777777</v>
      </c>
      <c r="AP37" s="29">
        <f t="shared" si="39"/>
        <v>39.239374999999995</v>
      </c>
      <c r="AQ37" s="29">
        <f t="shared" si="40"/>
        <v>0.28444444444444444</v>
      </c>
      <c r="AR37" s="29">
        <f t="shared" si="41"/>
        <v>5.8066666666666666</v>
      </c>
      <c r="AS37" s="29">
        <f t="shared" si="42"/>
        <v>13.678680555555555</v>
      </c>
      <c r="AT37" s="29">
        <f t="shared" si="43"/>
        <v>19.200902777777777</v>
      </c>
      <c r="AU37" s="29">
        <f t="shared" si="44"/>
        <v>17.867777777777775</v>
      </c>
      <c r="AV37" s="29">
        <f t="shared" si="45"/>
        <v>23.389999999999997</v>
      </c>
      <c r="AW37" s="29">
        <f t="shared" si="46"/>
        <v>31.262013888888887</v>
      </c>
      <c r="AX37" s="29">
        <f t="shared" si="47"/>
        <v>36.784236111111113</v>
      </c>
      <c r="AY37" s="29">
        <f t="shared" si="48"/>
        <v>3.024027777777778</v>
      </c>
      <c r="AZ37" s="29">
        <f t="shared" si="49"/>
        <v>8.5462500000000006</v>
      </c>
      <c r="BA37" s="29">
        <f t="shared" si="50"/>
        <v>16.418263888888887</v>
      </c>
      <c r="BB37" s="29">
        <f t="shared" si="51"/>
        <v>21.94048611111111</v>
      </c>
      <c r="BC37" s="29">
        <f t="shared" si="52"/>
        <v>20.607361111111111</v>
      </c>
      <c r="BD37" s="29">
        <f t="shared" si="53"/>
        <v>26.129583333333333</v>
      </c>
      <c r="BE37" s="29">
        <f t="shared" si="54"/>
        <v>34.001597222222223</v>
      </c>
      <c r="BF37" s="29">
        <f t="shared" si="55"/>
        <v>39.523819444444442</v>
      </c>
    </row>
  </sheetData>
  <conditionalFormatting sqref="A1:BF2 H3:BF4 A5:BF13 A38:BF1048576 A14:E37 K14:BF37">
    <cfRule type="expression" dxfId="7" priority="10">
      <formula>$C1="OFF"</formula>
    </cfRule>
  </conditionalFormatting>
  <conditionalFormatting sqref="AB1:BF1048576">
    <cfRule type="expression" dxfId="6" priority="8">
      <formula>AB$12&lt;&gt;""</formula>
    </cfRule>
  </conditionalFormatting>
  <conditionalFormatting sqref="AC8:BF8">
    <cfRule type="expression" dxfId="5" priority="5">
      <formula>AC8&lt;&gt;(AB8+1)</formula>
    </cfRule>
  </conditionalFormatting>
  <conditionalFormatting sqref="E3:E4">
    <cfRule type="expression" dxfId="4" priority="3">
      <formula>$C3="OFF"</formula>
    </cfRule>
    <cfRule type="expression" dxfId="3" priority="4">
      <formula>$C3="ON"</formula>
    </cfRule>
  </conditionalFormatting>
  <conditionalFormatting sqref="F14:J37">
    <cfRule type="expression" dxfId="2" priority="1">
      <formula>$C14="OFF"</formula>
    </cfRule>
    <cfRule type="expression" dxfId="1" priority="2">
      <formula>$C14="ON"</formula>
    </cfRule>
  </conditionalFormatting>
  <conditionalFormatting sqref="A1:BF1048576">
    <cfRule type="expression" dxfId="0" priority="11">
      <formula>OR($C1="ON",$F1="MAC+111")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freshQueries">
                <anchor moveWithCells="1" sizeWithCells="1">
                  <from>
                    <xdr:col>0</xdr:col>
                    <xdr:colOff>276225</xdr:colOff>
                    <xdr:row>7</xdr:row>
                    <xdr:rowOff>104775</xdr:rowOff>
                  </from>
                  <to>
                    <xdr:col>1</xdr:col>
                    <xdr:colOff>676275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93F5180-7145-4DEF-8545-54B9EA97F6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PEPSSI Commanding</vt:lpstr>
      <vt:lpstr>c_\temp\nh_sandbox\</vt:lpstr>
      <vt:lpstr>End_Time</vt:lpstr>
      <vt:lpstr>Start_Time</vt:lpstr>
      <vt:lpstr>Statesim_Files_Directory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Dunn, Gregory F.</dc:creator>
  <cp:lastModifiedBy>Brian Carcich</cp:lastModifiedBy>
  <dcterms:created xsi:type="dcterms:W3CDTF">2026-07-13T20:41:57Z</dcterms:created>
  <dcterms:modified xsi:type="dcterms:W3CDTF">2026-07-18T16:00:14Z</dcterms:modified>
</cp:coreProperties>
</file>