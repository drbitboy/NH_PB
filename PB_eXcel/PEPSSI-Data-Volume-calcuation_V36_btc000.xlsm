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B4BC7B91-17C7-4733-9EFD-8AE6D022713D}" xr6:coauthVersionLast="47" xr6:coauthVersionMax="47" xr10:uidLastSave="{00000000-0000-0000-0000-000000000000}"/>
  <bookViews>
    <workbookView xWindow="-15" yWindow="45" windowWidth="28920" windowHeight="15000" tabRatio="500" firstSheet="2"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s>
  <definedNames>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43" i="3" l="1"/>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<sst xmlns="http://schemas.openxmlformats.org/spreadsheetml/2006/main" count="19367" uniqueCount="4387">
  <si>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</si>
  <si>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</si>
  <si>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</si>
  <si>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</si>
  <si>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</si>
  <si>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</si>
  <si>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</si>
  <si>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</si>
  <si>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</si>
  <si>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</si>
  <si>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</si>
  <si>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</si>
  <si>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</si>
  <si>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</si>
  <si>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</si>
  <si>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</si>
  <si>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</si>
  <si>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</si>
  <si>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</si>
  <si>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</si>
  <si>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</si>
  <si>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</si>
  <si>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</si>
  <si>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</si>
  <si>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</si>
  <si>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</si>
  <si>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</si>
  <si>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</si>
  <si>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</si>
  <si>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</si>
  <si>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</si>
  <si>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</si>
  <si>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</si>
  <si>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</si>
  <si>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</si>
  <si>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</si>
  <si>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</si>
  <si>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</si>
  <si>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</si>
  <si>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</si>
  <si>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</si>
  <si>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</si>
  <si>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</si>
  <si>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</si>
  <si>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</si>
  <si>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</si>
  <si>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</si>
  <si>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</si>
  <si>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</si>
  <si>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</si>
  <si>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</si>
  <si>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</si>
  <si>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</si>
  <si>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</si>
  <si>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</si>
  <si>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</si>
  <si>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</si>
  <si>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</si>
  <si>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</si>
  <si>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</si>
  <si>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</si>
  <si>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</si>
  <si>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</si>
  <si>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</si>
  <si>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</si>
  <si>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</si>
  <si>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</si>
  <si>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</si>
  <si>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</si>
  <si>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</si>
  <si>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</si>
  <si>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</si>
  <si>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</si>
  <si>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</si>
  <si>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</si>
  <si>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</si>
  <si>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</si>
  <si>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</si>
  <si>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</si>
  <si>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</si>
  <si>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</si>
  <si>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</si>
  <si>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</si>
  <si>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</si>
  <si>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</si>
  <si>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</si>
  <si>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</si>
  <si>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</si>
  <si>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</si>
  <si>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</si>
  <si>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</si>
  <si>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</si>
  <si>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</si>
  <si>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</si>
  <si>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</si>
  <si>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</si>
  <si>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</si>
  <si>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</si>
  <si>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</si>
  <si>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</si>
  <si>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</si>
  <si>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</si>
  <si>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</si>
  <si>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</si>
  <si>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</si>
  <si>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</si>
  <si>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</si>
  <si>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</si>
  <si>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</si>
  <si>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</si>
  <si>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</si>
  <si>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</si>
  <si>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</si>
  <si>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</si>
  <si>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</si>
  <si>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</si>
  <si>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</si>
  <si>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</si>
  <si>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</si>
  <si>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</si>
  <si>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</si>
  <si>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</si>
  <si>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</si>
  <si>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</si>
  <si>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</si>
  <si>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</si>
  <si>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</si>
  <si>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</si>
  <si>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</si>
  <si>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</si>
  <si>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</si>
  <si>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</si>
  <si>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</si>
  <si>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</si>
  <si>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</si>
  <si>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</si>
  <si>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</si>
  <si>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</si>
  <si>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</si>
  <si>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</si>
  <si>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</si>
  <si>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</si>
  <si>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</si>
  <si>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</si>
  <si>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</si>
  <si>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</si>
  <si>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</si>
  <si>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</si>
  <si>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</si>
  <si>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</si>
  <si>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</si>
  <si>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</si>
  <si>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</si>
  <si>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</si>
  <si>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</si>
  <si>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</si>
  <si>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</si>
  <si>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</si>
  <si>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</si>
  <si>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</si>
  <si>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</si>
  <si>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</si>
  <si>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</si>
  <si>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</si>
  <si>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</si>
  <si>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</si>
  <si>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</si>
  <si>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</si>
  <si>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</si>
  <si>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</si>
  <si>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</si>
  <si>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</si>
  <si>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</si>
  <si>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</si>
  <si>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</si>
  <si>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</si>
  <si>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</si>
  <si>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</si>
  <si>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</si>
  <si>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</si>
  <si>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</si>
  <si>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</si>
  <si>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</si>
  <si>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</si>
  <si>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</si>
  <si>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</si>
  <si>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</si>
  <si>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</si>
  <si>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</si>
  <si>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</si>
  <si>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</si>
  <si>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</si>
  <si>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</si>
  <si>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</si>
  <si>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</si>
  <si>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</si>
  <si>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</si>
  <si>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</si>
  <si>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</si>
  <si>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</si>
  <si>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</si>
  <si>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</si>
  <si>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</si>
  <si>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</si>
  <si>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</si>
  <si>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</si>
  <si>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</si>
  <si>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</si>
  <si>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</si>
  <si>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</si>
  <si>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</si>
  <si>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</si>
  <si>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</si>
  <si>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</si>
  <si>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</si>
  <si>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</si>
  <si>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</si>
  <si>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</si>
  <si>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</si>
  <si>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</si>
  <si>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</si>
  <si>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</si>
  <si>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</si>
  <si>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</si>
  <si>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</si>
  <si>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</si>
  <si>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</si>
  <si>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</si>
  <si>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</si>
  <si>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</si>
  <si>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</si>
  <si>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</si>
  <si>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</si>
  <si>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</si>
  <si>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</si>
  <si>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</si>
  <si>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</si>
  <si>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</si>
  <si>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</si>
  <si>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</si>
  <si>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</si>
  <si>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</si>
  <si>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</si>
  <si>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</si>
  <si>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</si>
  <si>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</si>
  <si>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</si>
  <si>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</si>
  <si>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</si>
  <si>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</si>
  <si>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</si>
  <si>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</si>
  <si>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</si>
  <si>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</si>
  <si>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</si>
  <si>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</si>
  <si>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</si>
  <si>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</si>
  <si>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</si>
  <si>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</si>
  <si>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</si>
  <si>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</si>
  <si>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</si>
  <si>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</si>
  <si>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</si>
  <si>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</si>
  <si>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</si>
  <si>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</si>
  <si>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</si>
  <si>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</si>
  <si>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</si>
  <si>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</si>
  <si>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</si>
  <si>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</si>
  <si>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</si>
  <si>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</si>
  <si>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</si>
  <si>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</si>
  <si>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</si>
  <si>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</si>
  <si>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</si>
  <si>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</si>
  <si>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</si>
  <si>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</si>
  <si>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</si>
  <si>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</si>
  <si>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</si>
  <si>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</si>
  <si>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</si>
  <si>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</si>
  <si>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</si>
  <si>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</si>
  <si>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</si>
  <si>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</si>
  <si>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</si>
  <si>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</si>
  <si>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</si>
  <si>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</si>
  <si>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</si>
  <si>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</si>
  <si>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</si>
  <si>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</si>
  <si>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</si>
  <si>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</si>
  <si>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</si>
  <si>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</si>
  <si>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</si>
  <si>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</si>
  <si>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</si>
  <si>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</si>
  <si>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</si>
  <si>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</si>
  <si>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</si>
  <si>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</si>
  <si>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</si>
  <si>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</si>
  <si>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</si>
  <si>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</si>
  <si>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</si>
  <si>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</si>
  <si>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</si>
  <si>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</si>
  <si>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</si>
  <si>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</si>
  <si>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</si>
  <si>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</si>
  <si>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</si>
  <si>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</si>
  <si>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</si>
  <si>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</si>
  <si>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</si>
  <si>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</si>
  <si>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</si>
  <si>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</si>
  <si>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</si>
  <si>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</si>
  <si>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</si>
  <si>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</si>
  <si>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</si>
  <si>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</si>
  <si>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</si>
  <si>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</si>
  <si>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</si>
  <si>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</si>
  <si>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</si>
  <si>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</si>
  <si>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</si>
  <si>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</si>
  <si>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</si>
  <si>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</si>
  <si>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</si>
  <si>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</si>
  <si>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</si>
  <si>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</si>
  <si>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</si>
  <si>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</si>
  <si>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</si>
  <si>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</si>
  <si>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</si>
  <si>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</si>
  <si>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</si>
  <si>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</si>
  <si>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</si>
  <si>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</si>
  <si>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</si>
  <si>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</si>
  <si>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</si>
  <si>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</si>
  <si>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</si>
  <si>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</si>
  <si>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</si>
  <si>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</si>
  <si>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</si>
  <si>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</si>
  <si>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</si>
  <si>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</si>
  <si>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</si>
  <si>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</si>
  <si>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</si>
  <si>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</si>
  <si>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</si>
  <si>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</si>
  <si>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</si>
  <si>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</si>
  <si>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</si>
  <si>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</si>
  <si>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</si>
  <si>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</si>
  <si>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</si>
  <si>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</si>
  <si>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</si>
  <si>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</si>
  <si>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</si>
  <si>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</si>
  <si>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</si>
  <si>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</si>
  <si>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</si>
  <si>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</si>
  <si>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</si>
  <si>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</si>
  <si>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</si>
  <si>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</si>
  <si>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</si>
  <si>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</si>
  <si>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</si>
  <si>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</si>
  <si>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</si>
  <si>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</si>
  <si>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</si>
  <si>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</si>
  <si>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</si>
  <si>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</si>
  <si>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</si>
  <si>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</si>
  <si>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</si>
  <si>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</si>
  <si>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</si>
  <si>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</si>
  <si>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</si>
  <si>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</si>
  <si>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</si>
  <si>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</si>
  <si>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</si>
  <si>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</si>
  <si>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</si>
  <si>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</si>
  <si>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</si>
  <si>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</si>
  <si>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</si>
  <si>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</si>
  <si>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</si>
  <si>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</si>
  <si>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</si>
  <si>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</si>
  <si>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</si>
  <si>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</si>
  <si>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</si>
  <si>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</si>
  <si>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</si>
  <si>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</si>
  <si>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</si>
  <si>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</si>
  <si>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</si>
  <si>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</si>
  <si>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</si>
  <si>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</si>
  <si>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</si>
  <si>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</si>
  <si>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</si>
  <si>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</si>
  <si>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</si>
  <si>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</si>
  <si>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</si>
  <si>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</si>
  <si>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</si>
  <si>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</si>
  <si>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</si>
  <si>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</si>
  <si>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</si>
  <si>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</si>
  <si>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</si>
  <si>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</si>
  <si>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</si>
  <si>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</si>
  <si>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</si>
  <si>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</si>
  <si>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</si>
  <si>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</si>
  <si>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</si>
  <si>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</si>
  <si>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</si>
  <si>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</si>
  <si>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</si>
  <si>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</si>
  <si>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</si>
  <si>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</si>
  <si>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</si>
  <si>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</si>
  <si>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</si>
  <si>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</si>
  <si>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</si>
  <si>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</si>
  <si>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</si>
  <si>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</si>
  <si>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</si>
  <si>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</si>
  <si>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</si>
  <si>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</si>
  <si>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</si>
  <si>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</si>
  <si>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</si>
  <si>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</si>
  <si>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</si>
  <si>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</si>
  <si>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</si>
  <si>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</si>
  <si>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</si>
  <si>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</si>
  <si>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</si>
  <si>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</si>
  <si>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</si>
  <si>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</si>
  <si>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</si>
  <si>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</si>
  <si>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</si>
  <si>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</si>
  <si>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</si>
  <si>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</si>
  <si>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</si>
  <si>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</si>
  <si>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</si>
  <si>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</si>
  <si>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</si>
  <si>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</si>
  <si>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</si>
  <si>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</si>
  <si>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</si>
  <si>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</si>
  <si>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</si>
  <si>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</si>
  <si>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</si>
  <si>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</si>
  <si>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</si>
  <si>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</si>
  <si>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</si>
  <si>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</si>
  <si>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</si>
  <si>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</si>
  <si>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</si>
  <si>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</si>
  <si>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</si>
  <si>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</si>
  <si>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</si>
  <si>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</si>
  <si>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</si>
  <si>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</si>
  <si>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</si>
  <si>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</si>
  <si>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</si>
  <si>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</si>
  <si>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</si>
  <si>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</si>
  <si>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</si>
  <si>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</si>
  <si>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</si>
  <si>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</si>
  <si>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</si>
  <si>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</si>
  <si>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</si>
  <si>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</si>
  <si>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</si>
  <si>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</si>
  <si>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</si>
  <si>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</si>
  <si>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</si>
  <si>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</si>
  <si>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</si>
  <si>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</si>
  <si>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</si>
  <si>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</si>
  <si>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</si>
  <si>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</si>
  <si>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</si>
  <si>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</si>
  <si>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</si>
  <si>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</si>
  <si>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</si>
  <si>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</si>
  <si>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</si>
  <si>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</si>
  <si>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</si>
  <si>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</si>
  <si>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</si>
  <si>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</si>
  <si>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</si>
  <si>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</si>
  <si>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</si>
  <si>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</si>
  <si>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</si>
  <si>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</si>
  <si>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</si>
  <si>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</si>
  <si>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</si>
  <si>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</si>
  <si>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</si>
  <si>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</si>
  <si>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</si>
  <si>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</si>
  <si>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</si>
  <si>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</si>
  <si>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</si>
  <si>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</si>
  <si>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</si>
  <si>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</si>
  <si>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</si>
  <si>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</si>
  <si>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</si>
  <si>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</si>
  <si>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</si>
  <si>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</si>
  <si>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</si>
  <si>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</si>
  <si>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</si>
  <si>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</si>
  <si>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</si>
  <si>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</si>
  <si>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</si>
  <si>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</si>
  <si>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</si>
  <si>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</si>
  <si>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</si>
  <si>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</si>
  <si>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</si>
  <si>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</si>
  <si>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</si>
  <si>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</si>
  <si>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</si>
  <si>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</si>
  <si>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</si>
  <si>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</si>
  <si>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</si>
  <si>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</si>
  <si>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</si>
  <si>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</si>
  <si>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</si>
  <si>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</si>
  <si>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</si>
  <si>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</si>
  <si>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</si>
  <si>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</si>
  <si>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</si>
  <si>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</si>
  <si>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</si>
  <si>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</si>
  <si>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</si>
  <si>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</si>
  <si>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</si>
  <si>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</si>
  <si>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</si>
  <si>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</si>
  <si>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</si>
  <si>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</si>
  <si>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</si>
  <si>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</si>
  <si>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</si>
  <si>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</si>
  <si>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</si>
  <si>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</si>
  <si>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</si>
  <si>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</si>
  <si>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</si>
  <si>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</si>
  <si>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</si>
  <si>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</si>
  <si>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</si>
  <si>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</si>
  <si>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</si>
  <si>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</si>
  <si>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</si>
  <si>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</si>
  <si>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</si>
  <si>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</si>
  <si>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</si>
  <si>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</si>
  <si>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</si>
  <si>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</si>
  <si>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</si>
  <si>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</si>
  <si>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</si>
  <si>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</si>
  <si>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</si>
  <si>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</si>
  <si>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</si>
  <si>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</si>
  <si>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</si>
  <si>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</si>
  <si>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</si>
  <si>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</si>
  <si>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</si>
  <si>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</si>
  <si>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</si>
  <si>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</si>
  <si>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</si>
  <si>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</si>
  <si>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</si>
  <si>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</si>
  <si>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</si>
  <si>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</si>
  <si>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</si>
  <si>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</si>
  <si>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</si>
  <si>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</si>
  <si>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</si>
  <si>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</si>
  <si>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</si>
  <si>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</si>
  <si>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</si>
  <si>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</si>
  <si>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</si>
  <si>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</si>
  <si>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</si>
  <si>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</si>
  <si>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</si>
  <si>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</si>
  <si>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</si>
  <si>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</si>
  <si>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</si>
  <si>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</si>
  <si>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</si>
  <si>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</si>
  <si>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</si>
  <si>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</si>
  <si>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</si>
  <si>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</si>
  <si>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</si>
  <si>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</si>
  <si>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</si>
  <si>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</si>
  <si>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</si>
  <si>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</si>
  <si>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</si>
  <si>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</si>
  <si>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</si>
  <si>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</si>
  <si>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</si>
  <si>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</si>
  <si>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</si>
  <si>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</si>
  <si>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</si>
  <si>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</si>
  <si>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</si>
  <si>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</si>
  <si>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</si>
  <si>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</si>
  <si>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</si>
  <si>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</si>
  <si>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</si>
  <si>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</si>
  <si>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</si>
  <si>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</si>
  <si>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</si>
  <si>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</si>
  <si>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</si>
  <si>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</si>
  <si>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</si>
  <si>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</si>
  <si>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</si>
  <si>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</si>
  <si>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</si>
  <si>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</si>
  <si>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</si>
  <si>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</si>
  <si>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</si>
  <si>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</si>
  <si>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</si>
  <si>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</si>
  <si>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</si>
  <si>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</si>
  <si>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</si>
  <si>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</si>
  <si>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</si>
  <si>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</si>
  <si>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</si>
  <si>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</si>
  <si>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</si>
  <si>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</si>
  <si>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</si>
  <si>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</si>
  <si>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</si>
  <si>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</si>
  <si>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</si>
  <si>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</si>
  <si>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</si>
  <si>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</si>
  <si>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</si>
  <si>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</si>
  <si>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</si>
  <si>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</si>
  <si>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</si>
  <si>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</si>
  <si>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</si>
  <si>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</si>
  <si>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</si>
  <si>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</si>
  <si>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</si>
  <si>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</si>
  <si>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</si>
  <si>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</si>
  <si>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</si>
  <si>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</si>
  <si>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</si>
  <si>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</si>
  <si>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</si>
  <si>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</si>
  <si>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</si>
  <si>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</si>
  <si>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</si>
  <si>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</si>
  <si>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</si>
  <si>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</si>
  <si>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</si>
  <si>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</si>
  <si>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</si>
  <si>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</si>
  <si>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</si>
  <si>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</si>
  <si>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</si>
  <si>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</si>
  <si>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</si>
  <si>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</si>
  <si>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</si>
  <si>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</si>
  <si>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</si>
  <si>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</si>
  <si>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</si>
  <si>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</si>
  <si>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</si>
  <si>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</si>
  <si>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</si>
  <si>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</si>
  <si>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</si>
  <si>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</si>
  <si>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</si>
  <si>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</si>
  <si>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</si>
  <si>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</si>
  <si>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</si>
  <si>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</si>
  <si>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</si>
  <si>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</si>
  <si>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</si>
  <si>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</si>
  <si>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</si>
  <si>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</si>
  <si>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</si>
  <si>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</si>
  <si>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</si>
  <si>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</si>
  <si>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</si>
  <si>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</si>
  <si>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</si>
  <si>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</si>
  <si>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</si>
  <si>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</si>
  <si>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</si>
  <si>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</si>
  <si>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</si>
  <si>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</si>
  <si>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</si>
  <si>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</si>
  <si>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</si>
  <si>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</si>
  <si>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</si>
  <si>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</si>
  <si>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</si>
  <si>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</si>
  <si>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</si>
  <si>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</si>
  <si>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</si>
  <si>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</si>
  <si>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</si>
  <si>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</si>
  <si>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</si>
  <si>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</si>
  <si>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</si>
  <si>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</si>
  <si>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</si>
  <si>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</si>
  <si>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</si>
  <si>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</si>
  <si>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</si>
  <si>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</si>
  <si>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</si>
  <si>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</si>
  <si>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</si>
  <si>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</si>
  <si>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</si>
  <si>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</si>
  <si>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</si>
  <si>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</si>
  <si>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</si>
  <si>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</si>
  <si>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</si>
  <si>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</si>
  <si>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</si>
  <si>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</si>
  <si>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</si>
  <si>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</si>
  <si>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</si>
  <si>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</si>
  <si>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</si>
  <si>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</si>
  <si>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</si>
  <si>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</si>
  <si>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</si>
  <si>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</si>
  <si>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</si>
  <si>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</si>
  <si>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</si>
  <si>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</si>
  <si>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</si>
  <si>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</si>
  <si>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</si>
  <si>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</si>
  <si>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</si>
  <si>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</si>
  <si>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</si>
  <si>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</si>
  <si>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</si>
  <si>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</si>
  <si>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</si>
  <si>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</si>
  <si>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</si>
  <si>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</si>
  <si>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</si>
  <si>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</si>
  <si>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</si>
  <si>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</si>
  <si>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</si>
  <si>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</si>
  <si>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</si>
  <si>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</si>
  <si>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</si>
  <si>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</si>
  <si>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</si>
  <si>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</si>
  <si>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</si>
  <si>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</si>
  <si>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</si>
  <si>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</si>
  <si>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</si>
  <si>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</si>
  <si>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</si>
  <si>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</si>
  <si>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</si>
  <si>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</si>
  <si>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</si>
  <si>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</si>
  <si>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</si>
  <si>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</si>
  <si>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</si>
  <si>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</si>
  <si>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</si>
  <si>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</si>
  <si>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</si>
  <si>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</si>
  <si>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</si>
  <si>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</si>
  <si>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</si>
  <si>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</si>
  <si>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</si>
  <si>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</si>
  <si>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</si>
  <si>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</si>
  <si>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</si>
  <si>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</si>
  <si>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</si>
  <si>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</si>
  <si>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</si>
  <si>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</si>
  <si>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</si>
  <si>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</si>
  <si>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</si>
  <si>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</si>
  <si>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</si>
  <si>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</si>
  <si>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</si>
  <si>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</si>
  <si>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</si>
  <si>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</si>
  <si>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</si>
  <si>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</si>
  <si>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</si>
  <si>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</si>
  <si>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</si>
  <si>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</si>
  <si>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</si>
  <si>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</si>
  <si>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</si>
  <si>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</si>
  <si>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</si>
  <si>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</si>
  <si>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</si>
  <si>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</si>
  <si>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</si>
  <si>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</si>
  <si>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</si>
  <si>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</si>
  <si>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</si>
  <si>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</si>
  <si>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</si>
  <si>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</si>
  <si>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</si>
  <si>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</si>
  <si>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</si>
  <si>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</si>
  <si>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</si>
  <si>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</si>
  <si>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</si>
  <si>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</si>
  <si>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</si>
  <si>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</si>
  <si>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</si>
  <si>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</si>
  <si>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</si>
  <si>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</si>
  <si>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</si>
  <si>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</si>
  <si>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</si>
  <si>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</si>
  <si>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</si>
  <si>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</si>
  <si>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</si>
  <si>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</si>
  <si>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</si>
  <si>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</si>
  <si>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</si>
  <si>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</si>
  <si>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</si>
  <si>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</si>
  <si>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</si>
  <si>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</si>
  <si>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</si>
  <si>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</si>
  <si>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</si>
  <si>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</si>
  <si>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</si>
  <si>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</si>
  <si>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</si>
  <si>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</si>
  <si>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</si>
  <si>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</si>
  <si>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</si>
  <si>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</si>
  <si>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</si>
  <si>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</si>
  <si>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</si>
  <si>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</si>
  <si>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</si>
  <si>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</si>
  <si>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</si>
  <si>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</si>
  <si>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</si>
  <si>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</si>
  <si>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</si>
  <si>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</si>
  <si>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</si>
  <si>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</si>
  <si>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</si>
  <si>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</si>
  <si>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</si>
  <si>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</si>
  <si>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</si>
  <si>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</si>
  <si>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</si>
  <si>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</si>
  <si>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</si>
  <si>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</si>
  <si>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</si>
  <si>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</si>
  <si>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</si>
  <si>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</si>
  <si>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</si>
  <si>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</si>
  <si>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</si>
  <si>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</si>
  <si>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</si>
  <si>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</si>
  <si>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</si>
  <si>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</si>
  <si>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</si>
  <si>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</si>
  <si>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</si>
  <si>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</si>
  <si>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</si>
  <si>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</si>
  <si>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</si>
  <si>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</si>
  <si>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</si>
  <si>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</si>
  <si>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</si>
  <si>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</si>
  <si>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</si>
  <si>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</si>
  <si>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</si>
  <si>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</si>
  <si>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</si>
  <si>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</si>
  <si>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</si>
  <si>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</si>
  <si>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</si>
  <si>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</si>
  <si>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</si>
  <si>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</si>
  <si>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</si>
  <si>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</si>
  <si>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</si>
  <si>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</si>
  <si>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</si>
  <si>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</si>
  <si>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</si>
  <si>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</si>
  <si>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</si>
  <si>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</si>
  <si>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</si>
  <si>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</si>
  <si>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</si>
  <si>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</si>
  <si>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</si>
  <si>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</si>
  <si>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</si>
  <si>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</si>
  <si>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</si>
  <si>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</si>
  <si>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</si>
  <si>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</si>
  <si>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</si>
  <si>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</si>
  <si>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</si>
  <si>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</si>
  <si>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</si>
  <si>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</si>
  <si>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</si>
  <si>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</si>
  <si>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</si>
  <si>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</si>
  <si>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</si>
  <si>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</si>
  <si>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</si>
  <si>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</si>
  <si>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</si>
  <si>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</si>
  <si>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</si>
  <si>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</si>
  <si>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</si>
  <si>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</si>
  <si>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</si>
  <si>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</si>
  <si>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</si>
  <si>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</si>
  <si>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</si>
  <si>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</si>
  <si>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</si>
  <si>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</si>
  <si>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</si>
  <si>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</si>
  <si>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</si>
  <si>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</si>
  <si>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</si>
  <si>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</si>
  <si>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</si>
  <si>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</si>
  <si>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</si>
  <si>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</si>
  <si>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</si>
  <si>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</si>
  <si>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</si>
  <si>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</si>
  <si>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</si>
  <si>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</si>
  <si>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</si>
  <si>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</si>
  <si>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</si>
  <si>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</si>
  <si>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</si>
  <si>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</si>
  <si>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</si>
  <si>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</si>
  <si>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</si>
  <si>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</si>
  <si>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</si>
  <si>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</si>
  <si>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</si>
  <si>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</si>
  <si>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</si>
  <si>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</si>
  <si>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</si>
  <si>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</si>
  <si>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</si>
  <si>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</si>
  <si>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</si>
  <si>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</si>
  <si>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</si>
  <si>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</si>
  <si>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</si>
  <si>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</si>
  <si>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</si>
  <si>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</si>
  <si>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</si>
  <si>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</si>
  <si>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</si>
  <si>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</si>
  <si>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</si>
  <si>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</si>
  <si>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</si>
  <si>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</si>
  <si>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</si>
  <si>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</si>
  <si>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</si>
  <si>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</si>
  <si>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</si>
  <si>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</si>
  <si>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</si>
  <si>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</si>
  <si>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</si>
  <si>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</si>
  <si>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</si>
  <si>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</si>
  <si>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</si>
  <si>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</si>
  <si>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</si>
  <si>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</si>
  <si>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</si>
  <si>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</si>
  <si>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</si>
  <si>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</si>
  <si>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</si>
  <si>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</si>
  <si>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</si>
  <si>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</si>
  <si>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</si>
  <si>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</si>
  <si>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</si>
  <si>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</si>
  <si>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</si>
  <si>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</si>
  <si>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</si>
  <si>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</si>
  <si>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</si>
  <si>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</si>
  <si>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</si>
  <si>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</si>
  <si>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</si>
  <si>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</si>
  <si>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</si>
  <si>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</si>
  <si>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</si>
  <si>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</si>
  <si>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</si>
  <si>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</si>
  <si>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</si>
  <si>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</si>
  <si>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</si>
  <si>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</si>
  <si>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</si>
  <si>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</si>
  <si>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</si>
  <si>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</si>
  <si>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</si>
  <si>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</si>
  <si>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</si>
  <si>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</si>
  <si>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</si>
  <si>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</si>
  <si>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</si>
  <si>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</si>
  <si>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</si>
  <si>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</si>
  <si>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</si>
  <si>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</si>
  <si>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</si>
  <si>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</si>
  <si>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</si>
  <si>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</si>
  <si>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</si>
  <si>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</si>
  <si>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</si>
  <si>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</si>
  <si>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</si>
  <si>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</si>
  <si>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</si>
  <si>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</si>
  <si>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</si>
  <si>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</si>
  <si>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</si>
  <si>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</si>
  <si>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</si>
  <si>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</si>
  <si>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</si>
  <si>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</si>
  <si>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</si>
  <si>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</si>
  <si>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</si>
  <si>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</si>
  <si>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</si>
  <si>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</si>
  <si>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</si>
  <si>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</si>
  <si>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</si>
  <si>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</si>
  <si>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</si>
  <si>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</si>
  <si>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</si>
  <si>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</si>
  <si>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</si>
  <si>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</si>
  <si>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</si>
  <si>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</si>
  <si>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</si>
  <si>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</si>
  <si>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</si>
  <si>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</si>
  <si>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</si>
  <si>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</si>
  <si>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</si>
  <si>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</si>
  <si>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</si>
  <si>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</si>
  <si>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</si>
  <si>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</si>
  <si>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</si>
  <si>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</si>
  <si>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</si>
  <si>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</si>
  <si>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</si>
  <si>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</si>
  <si>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</si>
  <si>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</si>
  <si>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</si>
  <si>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</si>
  <si>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</si>
  <si>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</si>
  <si>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</si>
  <si>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</si>
  <si>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</si>
  <si>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</si>
  <si>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</si>
  <si>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</si>
  <si>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</si>
  <si>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</si>
  <si>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</si>
  <si>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</si>
  <si>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</si>
  <si>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</si>
  <si>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</si>
  <si>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</si>
  <si>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</si>
  <si>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</si>
  <si>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</si>
  <si>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</si>
  <si>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</si>
  <si>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</si>
  <si>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</si>
  <si>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</si>
  <si>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</si>
  <si>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</si>
  <si>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</si>
  <si>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</si>
  <si>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</si>
  <si>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</si>
  <si>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</si>
  <si>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</si>
  <si>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</si>
  <si>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</si>
  <si>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</si>
  <si>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</si>
  <si>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</si>
  <si>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</si>
  <si>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</si>
  <si>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</si>
  <si>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</si>
  <si>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</si>
  <si>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</si>
  <si>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</si>
  <si>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</si>
  <si>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</si>
  <si>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</si>
  <si>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</si>
  <si>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</si>
  <si>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</si>
  <si>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</si>
  <si>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</si>
  <si>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</si>
  <si>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</si>
  <si>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</si>
  <si>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</si>
  <si>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</si>
  <si>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</si>
  <si>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</si>
  <si>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</si>
  <si>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</si>
  <si>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</si>
  <si>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</si>
  <si>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</si>
  <si>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</si>
  <si>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</si>
  <si>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</si>
  <si>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</si>
  <si>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</si>
  <si>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</si>
  <si>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</si>
  <si>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</si>
  <si>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</si>
  <si>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</si>
  <si>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</si>
  <si>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</si>
  <si>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</si>
  <si>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</si>
  <si>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</si>
  <si>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</si>
  <si>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</si>
  <si>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</si>
  <si>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</si>
  <si>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</si>
  <si>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</si>
  <si>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</si>
  <si>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</si>
  <si>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</si>
  <si>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</si>
  <si>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</si>
  <si>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</si>
  <si>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</si>
  <si>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</si>
  <si>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</si>
  <si>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</si>
  <si>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</si>
  <si>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</si>
  <si>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</si>
  <si>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</si>
  <si>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</si>
  <si>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</si>
  <si>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</si>
  <si>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</si>
  <si>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</si>
  <si>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</si>
  <si>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</si>
  <si>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</si>
  <si>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</si>
  <si>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</si>
  <si>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</si>
  <si>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</si>
  <si>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</si>
  <si>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</si>
  <si>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</si>
  <si>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</si>
  <si>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</si>
  <si>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</si>
  <si>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</si>
  <si>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</si>
  <si>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</si>
  <si>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</si>
  <si>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</si>
  <si>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</si>
  <si>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</si>
  <si>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</si>
  <si>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</si>
  <si>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</si>
  <si>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</si>
  <si>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</si>
  <si>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</si>
  <si>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</si>
  <si>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</si>
  <si>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</si>
  <si>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</si>
  <si>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</si>
  <si>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</si>
  <si>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</si>
  <si>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</si>
  <si>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</si>
  <si>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</si>
  <si>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</si>
  <si>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</si>
  <si>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</si>
  <si>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</si>
  <si>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</si>
  <si>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</si>
  <si>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</si>
  <si>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</si>
  <si>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</si>
  <si>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</si>
  <si>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</si>
  <si>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</si>
  <si>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</si>
  <si>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</si>
  <si>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</si>
  <si>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</si>
  <si>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</si>
  <si>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</si>
  <si>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</si>
  <si>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</si>
  <si>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</si>
  <si>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</si>
  <si>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</si>
  <si>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</si>
  <si>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</si>
  <si>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</si>
  <si>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</si>
  <si>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</si>
  <si>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</si>
  <si>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</si>
  <si>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</si>
  <si>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</si>
  <si>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</si>
  <si>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</si>
  <si>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</si>
  <si>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</si>
  <si>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</si>
  <si>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</si>
  <si>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</si>
  <si>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</si>
  <si>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</si>
  <si>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</si>
  <si>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</si>
  <si>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</si>
  <si>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</si>
  <si>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</si>
  <si>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</si>
  <si>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</si>
  <si>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</si>
  <si>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</si>
  <si>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</si>
  <si>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</si>
  <si>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</si>
  <si>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</si>
  <si>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</si>
  <si>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</si>
  <si>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</si>
  <si>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</si>
  <si>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</si>
  <si>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</si>
  <si>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</si>
  <si>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</si>
  <si>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</si>
  <si>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</si>
  <si>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</si>
  <si>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</si>
  <si>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</si>
  <si>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</si>
  <si>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</si>
  <si>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</si>
  <si>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</si>
  <si>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</si>
  <si>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</si>
  <si>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</si>
  <si>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</si>
  <si>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</si>
  <si>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</si>
  <si>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</si>
  <si>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</si>
  <si>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</si>
  <si>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</si>
  <si>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</si>
  <si>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</si>
  <si>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</si>
  <si>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</si>
  <si>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</si>
  <si>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</si>
  <si>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</si>
  <si>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</si>
  <si>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</si>
  <si>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</si>
  <si>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</si>
  <si>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</si>
  <si>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</si>
  <si>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</si>
  <si>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</si>
  <si>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</si>
  <si>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</si>
  <si>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</si>
  <si>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</si>
  <si>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</si>
  <si>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</si>
  <si>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</si>
  <si>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</si>
  <si>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</si>
  <si>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</si>
  <si>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</si>
  <si>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</si>
  <si>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</si>
  <si>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</si>
  <si>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</si>
  <si>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</si>
  <si>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</si>
  <si>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</si>
  <si>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</si>
  <si>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</si>
  <si>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</si>
  <si>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</si>
  <si>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</si>
  <si>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</si>
  <si>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</si>
  <si>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</si>
  <si>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</si>
  <si>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</si>
  <si>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</si>
  <si>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</si>
  <si>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</si>
  <si>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</si>
  <si>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</si>
  <si>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</si>
  <si>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</si>
  <si>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</si>
  <si>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</si>
  <si>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</si>
  <si>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</si>
  <si>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</si>
  <si>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</si>
  <si>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</si>
  <si>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</si>
  <si>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</si>
  <si>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</si>
  <si>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</si>
  <si>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</si>
  <si>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</si>
  <si>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</si>
  <si>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</si>
  <si>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</si>
  <si>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</si>
  <si>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</si>
  <si>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</si>
  <si>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</si>
  <si>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</si>
  <si>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</si>
  <si>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</si>
  <si>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</si>
  <si>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</si>
  <si>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</si>
  <si>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</si>
  <si>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</si>
  <si>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</si>
  <si>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</si>
  <si>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</si>
  <si>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</si>
  <si>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</si>
  <si>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</si>
  <si>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</si>
  <si>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</si>
  <si>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</si>
  <si>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</si>
  <si>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</si>
  <si>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</si>
  <si>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</si>
  <si>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</si>
  <si>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</si>
  <si>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</si>
  <si>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</si>
  <si>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</si>
  <si>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</si>
  <si>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</si>
  <si>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</si>
  <si>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</si>
  <si>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</si>
  <si>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</si>
  <si>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</si>
  <si>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</si>
  <si>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</si>
  <si>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</si>
  <si>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</si>
  <si>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</si>
  <si>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</si>
  <si>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</si>
  <si>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</si>
  <si>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</si>
  <si>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</si>
  <si>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</si>
  <si>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</si>
  <si>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</si>
  <si>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</si>
  <si>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</si>
  <si>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</si>
  <si>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</si>
  <si>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</si>
  <si>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</si>
  <si>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</si>
  <si>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</si>
  <si>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</si>
  <si>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</si>
  <si>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</si>
  <si>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</si>
  <si>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</si>
  <si>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</si>
  <si>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</si>
  <si>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</si>
  <si>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</si>
  <si>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</si>
  <si>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</si>
  <si>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</si>
  <si>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</si>
  <si>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</si>
  <si>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</si>
  <si>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</si>
  <si>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</si>
  <si>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</si>
  <si>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</si>
  <si>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</si>
  <si>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</si>
  <si>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</si>
  <si>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</si>
  <si>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</si>
  <si>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</si>
  <si>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</si>
  <si>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</si>
  <si>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</si>
  <si>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</si>
  <si>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</si>
  <si>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</si>
  <si>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</si>
  <si>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</si>
  <si>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</si>
  <si>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</si>
  <si>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</si>
  <si>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</si>
  <si>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</si>
  <si>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</si>
  <si>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</si>
  <si>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</si>
  <si>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</si>
  <si>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</si>
  <si>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</si>
  <si>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</si>
  <si>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</si>
  <si>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</si>
  <si>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</si>
  <si>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</si>
  <si>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</si>
  <si>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</si>
  <si>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</si>
  <si>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</si>
  <si>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</si>
  <si>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</si>
  <si>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</si>
  <si>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</si>
  <si>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</si>
  <si>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</si>
  <si>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</si>
  <si>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</si>
  <si>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</si>
  <si>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</si>
  <si>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</si>
  <si>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</si>
  <si>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</si>
  <si>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</si>
  <si>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</si>
  <si>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</si>
  <si>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</si>
  <si>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</si>
  <si>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</si>
  <si>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</si>
  <si>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</si>
  <si>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</si>
  <si>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</si>
  <si>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</si>
  <si>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</si>
  <si>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</si>
  <si>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</si>
  <si>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</si>
  <si>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</si>
  <si>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</si>
  <si>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</si>
  <si>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</si>
  <si>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</si>
  <si>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</si>
  <si>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</si>
  <si>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</si>
  <si>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</si>
  <si>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</si>
  <si>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</si>
  <si>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</si>
  <si>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</si>
  <si>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</si>
  <si>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</si>
  <si>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</si>
  <si>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</si>
  <si>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</si>
  <si>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</si>
  <si>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</si>
  <si>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</si>
  <si>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</si>
  <si>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</si>
  <si>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</si>
  <si>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</si>
  <si>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</si>
  <si>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</si>
  <si>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</si>
  <si>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</si>
  <si>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</si>
  <si>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</si>
  <si>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</si>
  <si>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</si>
  <si>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</si>
  <si>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</si>
  <si>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</si>
  <si>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</si>
  <si>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</si>
  <si>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</si>
  <si>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</si>
  <si>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</si>
  <si>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</si>
  <si>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</si>
  <si>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</si>
  <si>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</si>
  <si>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</si>
  <si>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</si>
  <si>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</si>
  <si>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</si>
  <si>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</si>
  <si>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</si>
  <si>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</si>
  <si>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</si>
  <si>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</si>
  <si>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</si>
  <si>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</si>
  <si>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</si>
  <si>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</si>
  <si>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</si>
  <si>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</si>
  <si>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</si>
  <si>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</si>
  <si>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</si>
  <si>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</si>
  <si>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</si>
  <si>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</si>
  <si>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</si>
  <si>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</si>
  <si>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</si>
  <si>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</si>
  <si>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</si>
  <si>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</si>
  <si>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</si>
  <si>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</si>
  <si>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</si>
  <si>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</si>
  <si>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</si>
  <si>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</si>
  <si>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</si>
  <si>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</si>
  <si>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</si>
  <si>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</si>
  <si>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</si>
  <si>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</si>
  <si>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</si>
  <si>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</si>
  <si>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</si>
  <si>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</si>
  <si>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</si>
  <si>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</si>
  <si>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</si>
  <si>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</si>
  <si>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</si>
  <si>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</si>
  <si>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</si>
  <si>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</si>
  <si>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</si>
  <si>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</si>
  <si>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</si>
  <si>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</si>
  <si>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</si>
  <si>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</si>
  <si>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</si>
  <si>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</si>
  <si>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</si>
  <si>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</si>
  <si>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</si>
  <si>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</si>
  <si>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</si>
  <si>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</si>
  <si>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</si>
  <si>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</si>
  <si>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</si>
  <si>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</si>
  <si>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</si>
  <si>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</si>
  <si>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</si>
  <si>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</si>
  <si>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</si>
  <si>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</si>
  <si>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</si>
  <si>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</si>
  <si>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</si>
  <si>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</si>
  <si>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</si>
  <si>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</si>
  <si>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</si>
  <si>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</si>
  <si>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</si>
  <si>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</si>
  <si>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</si>
  <si>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</si>
  <si>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</si>
  <si>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</si>
  <si>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</si>
  <si>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</si>
  <si>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</si>
  <si>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</si>
  <si>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</si>
  <si>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</si>
  <si>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</si>
  <si>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</si>
  <si>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</si>
  <si>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</si>
  <si>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</si>
  <si>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</si>
  <si>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</si>
  <si>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</si>
  <si>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</si>
  <si>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</si>
  <si>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</si>
  <si>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</si>
  <si>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</si>
  <si>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</si>
  <si>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</si>
  <si>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</si>
  <si>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</si>
  <si>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</si>
  <si>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</si>
  <si>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</si>
  <si>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</si>
  <si>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</si>
  <si>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</si>
  <si>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</si>
  <si>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</si>
  <si>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</si>
  <si>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</si>
  <si>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</si>
  <si>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</si>
  <si>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</si>
  <si>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</si>
  <si>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</si>
  <si>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</si>
  <si>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</si>
  <si>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</si>
  <si>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</si>
  <si>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</si>
  <si>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</si>
  <si>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</si>
  <si>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</si>
  <si>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</si>
  <si>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</si>
  <si>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</si>
  <si>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</si>
  <si>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</si>
  <si>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</si>
  <si>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</si>
  <si>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</si>
  <si>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</si>
  <si>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</si>
  <si>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</si>
  <si>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</si>
  <si>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</si>
  <si>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</si>
  <si>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</si>
  <si>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</si>
  <si>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</si>
  <si>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</si>
  <si>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</si>
  <si>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</si>
  <si>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</si>
  <si>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</si>
  <si>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</si>
  <si>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</si>
  <si>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</si>
  <si>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</si>
  <si>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</si>
  <si>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</si>
  <si>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</si>
  <si>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</si>
  <si>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</si>
  <si>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</si>
  <si>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</si>
  <si>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</si>
  <si>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</si>
  <si>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</si>
  <si>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</si>
  <si>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</si>
  <si>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</si>
  <si>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</si>
  <si>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</si>
  <si>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</si>
  <si>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</si>
  <si>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</si>
  <si>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</si>
  <si>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</si>
  <si>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</si>
  <si>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</si>
  <si>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</si>
  <si>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</si>
  <si>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</si>
  <si>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</si>
  <si>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</si>
  <si>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</si>
  <si>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</si>
  <si>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</si>
  <si>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</si>
  <si>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</si>
  <si>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</si>
  <si>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</si>
  <si>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</si>
  <si>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</si>
  <si>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</si>
  <si>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</si>
  <si>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</si>
  <si>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</si>
  <si>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</si>
  <si>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</si>
  <si>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</si>
  <si>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</si>
  <si>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</si>
  <si>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</si>
  <si>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</si>
  <si>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</si>
  <si>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</si>
  <si>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</si>
  <si>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</si>
  <si>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</si>
  <si>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</si>
  <si>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</si>
  <si>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</si>
  <si>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</si>
  <si>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</si>
  <si>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</si>
  <si>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</si>
  <si>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</si>
  <si>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</si>
  <si>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</si>
  <si>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</si>
  <si>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</si>
  <si>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</si>
  <si>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</si>
  <si>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</si>
  <si>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</si>
  <si>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</si>
  <si>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</si>
  <si>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</si>
  <si>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</si>
  <si>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</si>
  <si>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</si>
  <si>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</si>
  <si>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</si>
  <si>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</si>
  <si>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</si>
  <si>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</si>
  <si>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</si>
  <si>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</si>
  <si>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</si>
  <si>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</si>
  <si>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</si>
  <si>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</si>
  <si>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</si>
  <si>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</si>
  <si>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</si>
  <si>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</si>
  <si>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</si>
  <si>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</si>
  <si>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</si>
  <si>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</si>
  <si>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</si>
  <si>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</si>
  <si>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</si>
  <si>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</si>
  <si>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</si>
  <si>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</si>
  <si>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</si>
  <si>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</si>
  <si>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</si>
  <si>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</si>
  <si>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</si>
  <si>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</si>
  <si>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</si>
  <si>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</si>
  <si>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</si>
  <si>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</si>
  <si>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</si>
  <si>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</si>
  <si>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</si>
  <si>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</si>
  <si>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</si>
  <si>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</si>
  <si>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</si>
  <si>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</si>
  <si>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</si>
  <si>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</si>
  <si>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</si>
  <si>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</si>
  <si>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</si>
  <si>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</si>
  <si>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</si>
  <si>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</si>
  <si>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</si>
  <si>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</si>
  <si>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</si>
  <si>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</si>
  <si>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</si>
  <si>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</si>
  <si>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</si>
  <si>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</si>
  <si>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</si>
  <si>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</si>
  <si>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</si>
  <si>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</si>
  <si>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</si>
  <si>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</si>
  <si>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</si>
  <si>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</si>
  <si>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</si>
  <si>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</si>
  <si>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</si>
  <si>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</si>
  <si>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</si>
  <si>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</si>
  <si>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</si>
  <si>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</si>
  <si>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</si>
  <si>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</si>
  <si>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</si>
  <si>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</si>
  <si>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</si>
  <si>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</si>
  <si>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</si>
  <si>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</si>
  <si>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</si>
  <si>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</si>
  <si>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</si>
  <si>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</si>
  <si>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</si>
  <si>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</si>
  <si>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</si>
  <si>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</si>
  <si>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</si>
  <si>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</si>
  <si>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</si>
  <si>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</si>
  <si>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</si>
  <si>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</si>
  <si>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</si>
  <si>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</si>
  <si>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</si>
  <si>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</si>
  <si>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</si>
  <si>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</si>
  <si>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</si>
  <si>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</si>
  <si>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</si>
  <si>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</si>
  <si>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</si>
  <si>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</si>
  <si>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</si>
  <si>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</si>
  <si>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</si>
  <si>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</si>
  <si>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</si>
  <si>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</si>
  <si>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</si>
  <si>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</si>
  <si>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</si>
  <si>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</si>
  <si>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</si>
  <si>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</si>
  <si>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</si>
  <si>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</si>
  <si>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</si>
  <si>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</si>
  <si>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</si>
  <si>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</si>
  <si>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</si>
  <si>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</si>
  <si>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</si>
  <si>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</si>
  <si>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</si>
  <si>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</si>
  <si>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</si>
  <si>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</si>
  <si>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</si>
  <si>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</si>
  <si>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</si>
  <si>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</si>
  <si>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</si>
  <si>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</si>
  <si>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</si>
  <si>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</si>
  <si>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</si>
  <si>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</si>
  <si>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</si>
  <si>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</si>
  <si>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</si>
  <si>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</si>
  <si>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</si>
  <si>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</si>
  <si>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</si>
  <si>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</si>
  <si>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</si>
  <si>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</si>
  <si>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</si>
  <si>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</si>
  <si>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</si>
  <si>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</si>
  <si>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</si>
  <si>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</si>
  <si>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</si>
  <si>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</si>
  <si>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</si>
  <si>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</si>
  <si>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</si>
  <si>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</si>
  <si>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</si>
  <si>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</si>
  <si>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</si>
  <si>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</si>
  <si>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</si>
  <si>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</si>
  <si>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</si>
  <si>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</si>
  <si>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</si>
  <si>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</si>
  <si>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</si>
  <si>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</si>
  <si>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</si>
  <si>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</si>
  <si>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</si>
  <si>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</si>
  <si>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</si>
  <si>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</si>
  <si>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</si>
  <si>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</si>
  <si>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</si>
  <si>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</si>
  <si>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</si>
  <si>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</si>
  <si>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</si>
  <si>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</si>
  <si>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</si>
  <si>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</si>
  <si>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</si>
  <si>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</si>
  <si>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</si>
  <si>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</si>
  <si>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</si>
  <si>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</si>
  <si>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</si>
  <si>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</si>
  <si>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</si>
  <si>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</si>
  <si>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</si>
  <si>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</si>
  <si>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</si>
  <si>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</si>
  <si>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</si>
  <si>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</si>
  <si>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</si>
  <si>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</si>
  <si>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</si>
  <si>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</si>
  <si>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</si>
  <si>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</si>
  <si>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</si>
  <si>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</si>
  <si>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</si>
  <si>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</si>
  <si>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</si>
  <si>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</si>
  <si>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</si>
  <si>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</si>
  <si>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</si>
  <si>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</si>
  <si>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</si>
  <si>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</si>
  <si>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</si>
  <si>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</si>
  <si>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</si>
  <si>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</si>
  <si>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</si>
  <si>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</si>
  <si>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</si>
  <si>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</si>
  <si>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</si>
  <si>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</si>
  <si>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</si>
  <si>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</si>
  <si>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</si>
  <si>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</si>
  <si>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</si>
  <si>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</si>
  <si>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</si>
  <si>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</si>
  <si>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</si>
  <si>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</si>
  <si>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</si>
  <si>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</si>
  <si>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</si>
  <si>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</si>
  <si>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</si>
  <si>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</si>
  <si>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</si>
  <si>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</si>
  <si>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</si>
  <si>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</si>
  <si>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</si>
  <si>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</si>
  <si>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</si>
  <si>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</si>
  <si>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</si>
  <si>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</si>
  <si>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</si>
  <si>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</si>
  <si>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</si>
  <si>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</si>
  <si>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</si>
  <si>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</si>
  <si>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</si>
  <si>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</si>
  <si>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</si>
  <si>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</si>
  <si>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</si>
  <si>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</si>
  <si>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</si>
  <si>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</si>
  <si>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</si>
  <si>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</si>
  <si>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</si>
  <si>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</si>
  <si>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</si>
  <si>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</si>
  <si>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</si>
  <si>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</si>
  <si>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</si>
  <si>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</si>
  <si>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</si>
  <si>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</si>
  <si>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</si>
  <si>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</si>
  <si>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</si>
  <si>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</si>
  <si>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</si>
  <si>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</si>
  <si>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</si>
  <si>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</si>
  <si>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</si>
  <si>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</si>
  <si>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</si>
  <si>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</si>
  <si>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</si>
  <si>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</si>
  <si>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</si>
  <si>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</si>
  <si>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</si>
  <si>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</si>
  <si>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</si>
  <si>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</si>
  <si>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</si>
  <si>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</si>
  <si>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</si>
  <si>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</si>
  <si>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</si>
  <si>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</si>
  <si>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</si>
  <si>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</si>
  <si>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</si>
  <si>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</si>
  <si>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</si>
  <si>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</si>
  <si>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</si>
  <si>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</si>
  <si>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</si>
  <si>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</si>
  <si>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</si>
  <si>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</si>
  <si>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</si>
  <si>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</si>
  <si>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</si>
  <si>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</si>
  <si>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</si>
  <si>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</si>
  <si>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</si>
  <si>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</si>
  <si>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</si>
  <si>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</si>
  <si>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</si>
  <si>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</si>
  <si>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</si>
  <si>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</si>
  <si>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</si>
  <si>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</si>
  <si>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</si>
  <si>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</si>
  <si>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</si>
  <si>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</si>
  <si>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</si>
  <si>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</si>
  <si>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</si>
  <si>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</si>
  <si>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</si>
  <si>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</si>
  <si>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</si>
  <si>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</si>
  <si>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</si>
  <si>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</si>
  <si>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</si>
  <si>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</si>
  <si>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</si>
  <si>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</si>
  <si>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</si>
  <si>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</si>
  <si>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</si>
  <si>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</si>
  <si>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</si>
  <si>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</si>
  <si>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</si>
  <si>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</si>
  <si>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</si>
  <si>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</si>
  <si>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</si>
  <si>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</si>
  <si>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</si>
  <si>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</si>
  <si>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</si>
  <si>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</si>
  <si>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</si>
  <si>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</si>
  <si>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</si>
  <si>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</si>
  <si>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</si>
  <si>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</si>
  <si>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</si>
  <si>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</si>
  <si>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</si>
  <si>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</si>
  <si>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</si>
  <si>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</si>
  <si>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</si>
  <si>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</si>
  <si>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</si>
  <si>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</si>
  <si>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</si>
  <si>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</si>
  <si>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</si>
  <si>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</si>
  <si>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</si>
  <si>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</si>
  <si>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</si>
  <si>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</si>
  <si>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</si>
  <si>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</si>
  <si>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</si>
  <si>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</si>
  <si>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</si>
  <si>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</si>
  <si>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</si>
  <si>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</si>
  <si>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</si>
  <si>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</si>
  <si>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</si>
  <si>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</si>
  <si>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</si>
  <si>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</si>
  <si>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</si>
  <si>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</si>
  <si>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</si>
  <si>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</si>
  <si>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</si>
  <si>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</si>
  <si>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</si>
  <si>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</si>
  <si>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</si>
  <si>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</si>
  <si>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</si>
  <si>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</si>
  <si>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</si>
  <si>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</si>
  <si>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</si>
  <si>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</si>
  <si>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</si>
  <si>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</si>
  <si>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</si>
  <si>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</si>
  <si>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</si>
  <si>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</si>
  <si>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</si>
  <si>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</si>
  <si>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</si>
  <si>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</si>
  <si>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</si>
  <si>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</si>
  <si>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</si>
  <si>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</si>
  <si>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</si>
  <si>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</si>
  <si>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</si>
  <si>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</si>
  <si>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</si>
  <si>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</si>
  <si>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</si>
  <si>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</si>
  <si>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</si>
  <si>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</si>
  <si>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</si>
  <si>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</si>
  <si>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</si>
  <si>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</si>
  <si>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</si>
  <si>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</si>
  <si>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</si>
  <si>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</si>
  <si>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</si>
  <si>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</si>
  <si>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</si>
  <si>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</si>
  <si>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</si>
  <si>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</si>
  <si>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</si>
  <si>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</si>
  <si>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</si>
  <si>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</si>
  <si>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</si>
  <si>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</si>
  <si>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</si>
  <si>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</si>
  <si>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</si>
  <si>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</si>
  <si>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</si>
  <si>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</si>
  <si>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</si>
  <si>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</si>
  <si>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</si>
  <si>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</si>
  <si>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</si>
  <si>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</si>
  <si>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</si>
  <si>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</si>
  <si>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</si>
  <si>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</si>
  <si>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</si>
  <si>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</si>
  <si>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</si>
  <si>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</si>
  <si>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</si>
  <si>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</si>
  <si>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</si>
  <si>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</si>
  <si>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</si>
  <si>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</si>
  <si>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</si>
  <si>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</si>
  <si>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</si>
  <si>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</si>
  <si>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</si>
  <si>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</si>
  <si>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</si>
  <si>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</si>
  <si>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</si>
  <si>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</si>
  <si>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</si>
  <si>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</si>
  <si>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</si>
  <si>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</si>
  <si>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</si>
  <si>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</si>
  <si>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</si>
  <si>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</si>
  <si>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</si>
  <si>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</si>
  <si>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</si>
  <si>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</si>
  <si>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</si>
  <si>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</si>
  <si>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</si>
  <si>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</si>
  <si>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</si>
  <si>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</si>
  <si>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</si>
  <si>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</si>
  <si>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</si>
  <si>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</si>
  <si>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</si>
  <si>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</si>
  <si>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</si>
  <si>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</si>
  <si>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</si>
  <si>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</si>
  <si>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</si>
  <si>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</si>
  <si>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</si>
  <si>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</si>
  <si>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</si>
  <si>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</si>
  <si>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</si>
  <si>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</si>
  <si>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</si>
  <si>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</si>
  <si>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</si>
  <si>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</si>
  <si>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</si>
  <si>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</si>
  <si>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</si>
  <si>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</si>
  <si>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</si>
  <si>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</si>
  <si>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</si>
  <si>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</si>
  <si>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</si>
  <si>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</si>
  <si>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</si>
  <si>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</si>
  <si>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</si>
  <si>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</si>
  <si>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</si>
  <si>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</si>
  <si>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</si>
  <si>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</si>
  <si>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</si>
  <si>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</si>
  <si>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</si>
  <si>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</si>
  <si>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</si>
  <si>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</si>
  <si>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</si>
  <si>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</si>
  <si>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</si>
  <si>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</si>
  <si>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</si>
  <si>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</si>
  <si>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</si>
  <si>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</si>
  <si>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</si>
  <si>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</si>
  <si>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</si>
  <si>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</si>
  <si>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</si>
  <si>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</si>
  <si>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</si>
  <si>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</si>
  <si>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</si>
  <si>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</si>
  <si>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</si>
  <si>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</si>
  <si>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</si>
  <si>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</si>
  <si>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</si>
  <si>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</si>
  <si>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</si>
  <si>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</si>
  <si>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</si>
  <si>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</si>
  <si>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</si>
  <si>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</si>
  <si>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</si>
  <si>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</si>
  <si>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</si>
  <si>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</si>
  <si>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</si>
  <si>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</si>
  <si>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</si>
  <si>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</si>
  <si>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</si>
  <si>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</si>
  <si>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</si>
  <si>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</si>
  <si>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</si>
  <si>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</si>
  <si>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</si>
  <si>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</si>
  <si>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</si>
  <si>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</si>
  <si>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</si>
  <si>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</si>
  <si>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</si>
  <si>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</si>
  <si>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</si>
  <si>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</si>
  <si>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</si>
  <si>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</si>
  <si>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</si>
  <si>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</si>
  <si>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</si>
  <si>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</si>
  <si>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</si>
  <si>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</si>
  <si>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</si>
  <si>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</si>
  <si>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</si>
  <si>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</si>
  <si>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</si>
  <si>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</si>
  <si>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</si>
  <si>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</si>
  <si>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</si>
  <si>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</si>
  <si>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</si>
  <si>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</si>
  <si>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</si>
  <si>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</si>
  <si>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</si>
  <si>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</si>
  <si>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</si>
  <si>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</si>
  <si>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</si>
  <si>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</si>
  <si>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</si>
  <si>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</si>
  <si>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</si>
  <si>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</si>
  <si>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</si>
  <si>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</si>
  <si>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</si>
  <si>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</si>
  <si>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</si>
  <si>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</si>
  <si>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</si>
  <si>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</si>
  <si>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</si>
  <si>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</si>
  <si>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</si>
  <si>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</si>
  <si>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</si>
  <si>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</si>
  <si>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</si>
  <si>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</si>
  <si>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</si>
  <si>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</si>
  <si>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</si>
  <si>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</si>
  <si>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</si>
  <si>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</si>
  <si>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</si>
  <si>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</si>
  <si>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</si>
  <si>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</si>
  <si>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</si>
  <si>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</si>
  <si>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</si>
  <si>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</si>
  <si>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</si>
  <si>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</si>
  <si>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</si>
  <si>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</si>
  <si>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</si>
  <si>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</si>
  <si>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</si>
  <si>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</si>
  <si>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</si>
  <si>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</si>
  <si>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</si>
  <si>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</si>
  <si>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</si>
  <si>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</si>
  <si>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</si>
  <si>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</si>
  <si>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</si>
  <si>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</si>
  <si>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</si>
  <si>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</si>
  <si>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</si>
  <si>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</si>
  <si>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</si>
  <si>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</si>
  <si>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</si>
  <si>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</si>
  <si>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</si>
  <si>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</si>
  <si>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</si>
  <si>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</si>
  <si>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</si>
  <si>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</si>
  <si>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</si>
  <si>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</si>
  <si>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</si>
  <si>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</si>
  <si>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</si>
  <si>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</si>
  <si>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</si>
  <si>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</si>
  <si>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</si>
  <si>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</si>
  <si>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</si>
  <si>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</si>
  <si>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</si>
  <si>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</si>
  <si>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</si>
  <si>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</si>
  <si>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</si>
  <si>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</si>
  <si>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</si>
  <si>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</si>
  <si>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</si>
  <si>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</si>
  <si>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</si>
  <si>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</si>
  <si>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</si>
  <si>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</si>
  <si>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</si>
  <si>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</si>
  <si>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</si>
  <si>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</si>
  <si>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</si>
  <si>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</si>
  <si>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</si>
  <si>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</si>
  <si>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</si>
  <si>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</si>
  <si>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</si>
  <si>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</si>
  <si>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</si>
  <si>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</si>
  <si>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</si>
  <si>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</si>
  <si>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</si>
  <si>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</si>
  <si>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</si>
  <si>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</si>
  <si>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</si>
  <si>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</si>
  <si>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</si>
  <si>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</si>
  <si>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</si>
  <si>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</si>
  <si>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</si>
  <si>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</si>
  <si>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</si>
  <si>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</si>
  <si>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</si>
  <si>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</si>
  <si>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</si>
  <si>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</si>
  <si>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</si>
  <si>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</si>
  <si>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</si>
  <si>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</si>
  <si>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</si>
  <si>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</si>
  <si>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</si>
  <si>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</si>
  <si>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</si>
  <si>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</si>
  <si>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</si>
  <si>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</si>
  <si>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</si>
  <si>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</si>
  <si>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</si>
  <si>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</si>
  <si>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</si>
  <si>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</si>
  <si>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</si>
  <si>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</si>
  <si>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</si>
  <si>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</si>
  <si>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</si>
  <si>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</si>
  <si>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</si>
  <si>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</si>
  <si>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</si>
  <si>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</si>
  <si>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</si>
  <si>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</si>
  <si>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</si>
  <si>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</si>
  <si>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</si>
  <si>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</si>
  <si>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</si>
  <si>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</si>
  <si>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</si>
  <si>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</si>
  <si>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</si>
  <si>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</si>
  <si>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</si>
  <si>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</si>
  <si>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</si>
  <si>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</si>
  <si>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</si>
  <si>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</si>
  <si>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</si>
  <si>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</si>
  <si>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</si>
  <si>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</si>
  <si>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</si>
  <si>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</si>
  <si>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</si>
  <si>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</si>
  <si>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</si>
  <si>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</si>
  <si>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</si>
  <si>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</si>
  <si>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</si>
  <si>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</si>
  <si>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</si>
  <si>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</si>
  <si>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</si>
  <si>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</si>
  <si>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</si>
  <si>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</si>
  <si>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</si>
  <si>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</si>
  <si>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</si>
  <si>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</si>
  <si>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</si>
  <si>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</si>
  <si>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</si>
  <si>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</si>
  <si>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</si>
  <si>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</si>
  <si>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</si>
  <si>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</si>
  <si>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</si>
  <si>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</si>
  <si>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</si>
  <si>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</si>
  <si>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</si>
  <si>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</si>
  <si>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</si>
  <si>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</si>
  <si>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</si>
  <si>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</si>
  <si>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</si>
  <si>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</si>
  <si>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</si>
  <si>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</si>
  <si>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</si>
  <si>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</si>
  <si>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</si>
  <si>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</si>
  <si>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</si>
  <si>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</si>
  <si>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</si>
  <si>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</si>
  <si>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</si>
  <si>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</si>
  <si>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</si>
  <si>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</si>
  <si>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</si>
  <si>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</si>
  <si>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</si>
  <si>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</si>
  <si>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</si>
  <si>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</si>
  <si>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</si>
  <si>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</si>
  <si>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</si>
  <si>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</si>
  <si>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</si>
  <si>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</si>
  <si>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</si>
  <si>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</si>
  <si>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</si>
  <si>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</si>
  <si>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</si>
  <si>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</si>
  <si>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</si>
  <si>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</si>
  <si>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</si>
  <si>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</si>
  <si>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</si>
  <si>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</si>
  <si>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</si>
  <si>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</si>
  <si>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</si>
  <si>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</si>
  <si>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</si>
  <si>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</si>
  <si>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</si>
  <si>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</si>
  <si>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</si>
  <si>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</si>
  <si>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</si>
  <si>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</si>
  <si>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</si>
  <si>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</si>
  <si>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</si>
  <si>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</si>
  <si>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</si>
  <si>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</si>
  <si>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</si>
  <si>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</si>
  <si>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</si>
  <si>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</si>
  <si>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</si>
  <si>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</si>
  <si>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</si>
  <si>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</si>
  <si>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</si>
  <si>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</si>
  <si>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</si>
  <si>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</si>
  <si>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</si>
  <si>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</si>
  <si>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</si>
  <si>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</si>
  <si>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</si>
  <si>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</si>
  <si>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</si>
  <si>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</si>
  <si>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</si>
  <si>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</si>
  <si>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</si>
  <si>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</si>
  <si>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</si>
  <si>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</si>
  <si>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</si>
  <si>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</si>
  <si>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</si>
  <si>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</si>
  <si>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</si>
  <si>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</si>
  <si>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</si>
  <si>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</si>
  <si>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</si>
  <si>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</si>
  <si>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</si>
  <si>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</si>
  <si>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</si>
  <si>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</si>
  <si>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</si>
  <si>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</si>
  <si>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</si>
  <si>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</si>
  <si>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</si>
  <si>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</si>
  <si>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</si>
  <si>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</si>
  <si>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</si>
  <si>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</si>
  <si>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</si>
  <si>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</si>
  <si>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</si>
  <si>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</si>
  <si>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</si>
  <si>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</si>
  <si>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</si>
  <si>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</si>
  <si>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</si>
  <si>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</si>
  <si>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</si>
  <si>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</si>
  <si>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</si>
  <si>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</si>
  <si>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</si>
  <si>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</si>
  <si>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</si>
  <si>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</si>
  <si>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</si>
  <si>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</si>
  <si>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</si>
  <si>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</si>
  <si>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</si>
  <si>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</si>
  <si>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</si>
  <si>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</si>
  <si>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</si>
  <si>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</si>
  <si>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</si>
  <si>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</si>
  <si>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</si>
  <si>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</si>
  <si>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</si>
  <si>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</si>
  <si>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</si>
  <si>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</si>
  <si>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</si>
  <si>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</si>
  <si>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</si>
  <si>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</si>
  <si>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</si>
  <si>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</si>
  <si>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</si>
  <si>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</si>
  <si>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</si>
  <si>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</si>
  <si>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</si>
  <si>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</si>
  <si>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</si>
  <si>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</si>
  <si>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</si>
  <si>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</si>
  <si>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</si>
  <si>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</si>
  <si>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</si>
  <si>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</si>
  <si>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</si>
  <si>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</si>
  <si>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</si>
  <si>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</si>
  <si>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</si>
  <si>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</si>
  <si>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</si>
  <si>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</si>
  <si>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</si>
  <si>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</si>
  <si>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</si>
  <si>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</si>
  <si>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</si>
  <si>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</si>
  <si>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</si>
  <si>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</si>
  <si>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</si>
  <si>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</si>
  <si>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</si>
  <si>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</si>
  <si>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</si>
  <si>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</si>
  <si>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</si>
  <si>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</si>
  <si>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</si>
  <si>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</si>
  <si>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</si>
  <si>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</si>
  <si>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</si>
  <si>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</si>
  <si>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</si>
  <si>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</si>
  <si>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</si>
  <si>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</si>
  <si>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</si>
  <si>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</si>
  <si>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</si>
  <si>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</si>
  <si>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</si>
  <si>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</si>
  <si>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</si>
  <si>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</si>
  <si>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</si>
  <si>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</si>
  <si>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</si>
  <si>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</si>
  <si>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</si>
  <si>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</si>
  <si>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</si>
  <si>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</si>
  <si>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</si>
  <si>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</si>
  <si>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</si>
  <si>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</si>
  <si>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</si>
  <si>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</si>
  <si>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</si>
  <si>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</si>
  <si>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</si>
  <si>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</si>
  <si>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</si>
  <si>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</si>
  <si>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</si>
  <si>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</si>
  <si>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</si>
  <si>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</si>
  <si>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</si>
  <si>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</si>
  <si>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</si>
  <si>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</si>
  <si>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</si>
  <si>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</si>
  <si>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</si>
  <si>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</si>
  <si>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</si>
  <si>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</si>
  <si>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</si>
  <si>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</si>
  <si>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</si>
  <si>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</si>
  <si>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</si>
  <si>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</si>
  <si>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</si>
  <si>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</si>
  <si>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</si>
  <si>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</si>
  <si>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</si>
  <si>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</si>
  <si>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</si>
  <si>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</si>
  <si>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</si>
  <si>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</si>
  <si>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</si>
  <si>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</si>
  <si>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</si>
  <si>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</si>
  <si>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</si>
  <si>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</si>
  <si>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</si>
  <si>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</si>
  <si>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</si>
  <si>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</si>
  <si>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</si>
  <si>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</si>
  <si>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</si>
  <si>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</si>
  <si>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</si>
  <si>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</si>
  <si>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</si>
  <si>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</si>
  <si>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</si>
  <si>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</si>
  <si>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</si>
  <si>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</si>
  <si>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</si>
  <si>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</si>
  <si>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</si>
  <si>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</si>
  <si>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</si>
  <si>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</si>
  <si>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</si>
  <si>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</si>
  <si>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</si>
  <si>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</si>
  <si>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</si>
  <si>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</si>
  <si>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</si>
  <si>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</si>
  <si>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</si>
  <si>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</si>
  <si>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</si>
  <si>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</si>
  <si>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</si>
  <si>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</si>
  <si>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</si>
  <si>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</si>
  <si>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</si>
  <si>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</si>
  <si>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</si>
  <si>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</si>
  <si>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</si>
  <si>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</si>
  <si>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</si>
  <si>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</si>
  <si>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</si>
  <si>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</si>
  <si>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</si>
  <si>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</si>
  <si>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</si>
  <si>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</si>
  <si>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</si>
  <si>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</si>
  <si>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</si>
  <si>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</si>
  <si>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</si>
  <si>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</si>
  <si>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</si>
  <si>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</si>
  <si>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</si>
  <si>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</si>
  <si>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</si>
  <si>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</si>
  <si>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</si>
  <si>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</si>
  <si>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</si>
  <si>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</si>
  <si>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</si>
  <si>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</si>
  <si>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</si>
  <si>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</si>
  <si>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</si>
  <si>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</si>
  <si>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</si>
  <si>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</si>
  <si>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</si>
  <si>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</si>
  <si>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</si>
  <si>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</si>
  <si>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</si>
  <si>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</si>
  <si>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</si>
  <si>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</si>
  <si>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</si>
  <si>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</si>
  <si>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</si>
  <si>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</si>
  <si>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</si>
  <si>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</si>
  <si>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</si>
  <si>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</si>
  <si>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</si>
  <si>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</si>
  <si>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</si>
  <si>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</si>
  <si>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</si>
  <si>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</si>
  <si>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</si>
  <si>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</si>
  <si>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</si>
  <si>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</si>
  <si>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</si>
  <si>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</si>
  <si>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</si>
  <si>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</si>
  <si>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</si>
  <si>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</si>
  <si>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</si>
  <si>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</si>
  <si>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</si>
  <si>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</si>
  <si>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</si>
  <si>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</si>
  <si>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</si>
  <si>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</si>
  <si>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</si>
  <si>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</si>
  <si>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</si>
  <si>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</si>
  <si>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</si>
  <si>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</si>
  <si>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</si>
  <si>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</si>
  <si>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</si>
  <si>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</si>
  <si>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</si>
  <si>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</si>
  <si>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</si>
  <si>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</si>
  <si>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</si>
  <si>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</si>
  <si>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</si>
  <si>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</si>
  <si>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</si>
  <si>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</si>
  <si>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</si>
  <si>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</si>
  <si>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</si>
  <si>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</si>
  <si>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</si>
  <si>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</si>
  <si>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</si>
  <si>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</si>
  <si>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</si>
  <si>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</si>
  <si>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</si>
  <si>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</si>
  <si>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</si>
  <si>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</si>
  <si>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</si>
  <si>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</si>
  <si>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</si>
  <si>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</si>
  <si>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</si>
  <si>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</si>
  <si>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</si>
  <si>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</si>
  <si>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</si>
  <si>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</si>
  <si>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</si>
  <si>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</si>
  <si>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</si>
  <si>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</si>
  <si>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</si>
  <si>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</si>
  <si>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</si>
  <si>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</si>
  <si>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</si>
  <si>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</si>
  <si>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</si>
  <si>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</si>
  <si>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</si>
  <si>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</si>
  <si>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</si>
  <si>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</si>
  <si>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</si>
  <si>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</si>
  <si>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</si>
  <si>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</si>
  <si>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</si>
  <si>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</si>
  <si>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</si>
  <si>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</si>
  <si>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</si>
  <si>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</si>
  <si>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</si>
  <si>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</si>
  <si>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</si>
  <si>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</si>
  <si>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</si>
  <si>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</si>
  <si>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</si>
  <si>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</si>
  <si>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</si>
  <si>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</si>
  <si>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</si>
  <si>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</si>
  <si>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</si>
  <si>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</si>
  <si>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</si>
  <si>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</si>
  <si>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</si>
  <si>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</si>
  <si>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</si>
  <si>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</si>
  <si>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</si>
  <si>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</si>
  <si>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</si>
  <si>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</si>
  <si>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</si>
  <si>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</si>
  <si>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</si>
  <si>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</si>
  <si>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</si>
  <si>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</si>
  <si>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</si>
  <si>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</si>
  <si>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</si>
  <si>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</si>
  <si>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</si>
  <si>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</si>
  <si>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</si>
  <si>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</si>
  <si>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</si>
  <si>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</si>
  <si>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</si>
  <si>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</si>
  <si>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</si>
  <si>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</si>
  <si>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</si>
  <si>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</si>
  <si>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</si>
  <si>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</si>
  <si>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</si>
  <si>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</si>
  <si>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</si>
  <si>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</si>
  <si>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</si>
  <si>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</si>
  <si>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</si>
  <si>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</si>
  <si>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</si>
  <si>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</si>
  <si>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</si>
  <si>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</si>
  <si>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</si>
  <si>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</si>
  <si>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</si>
  <si>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</si>
  <si>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</si>
  <si>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</si>
  <si>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</si>
  <si>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</si>
  <si>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</si>
  <si>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</si>
  <si>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</si>
  <si>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</si>
  <si>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</si>
  <si>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</si>
  <si>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</si>
  <si>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</si>
  <si>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</si>
  <si>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</si>
  <si>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</si>
  <si>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</si>
  <si>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</si>
  <si>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</si>
  <si>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</si>
  <si>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</si>
  <si>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</si>
  <si>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</si>
  <si>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</si>
  <si>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</si>
  <si>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</si>
  <si>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</si>
  <si>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</si>
  <si>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</si>
  <si>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</si>
  <si>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</si>
  <si>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</si>
  <si>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</si>
  <si>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</si>
  <si>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</si>
  <si>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</si>
  <si>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</si>
  <si>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</si>
  <si>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</si>
  <si>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</si>
  <si>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</si>
  <si>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</si>
  <si>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</si>
  <si>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</si>
  <si>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</si>
  <si>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</si>
  <si>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</si>
  <si>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</si>
  <si>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</si>
  <si>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</si>
  <si>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</si>
  <si>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</si>
  <si>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</si>
  <si>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</si>
  <si>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</si>
  <si>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</si>
  <si>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</si>
  <si>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</si>
  <si>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</si>
  <si>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</si>
  <si>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</si>
  <si>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</si>
  <si>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</si>
  <si>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</si>
  <si>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</si>
  <si>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</si>
  <si>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</si>
  <si>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</si>
  <si>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</si>
  <si>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</si>
  <si>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</si>
  <si>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</si>
  <si>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</si>
  <si>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</si>
  <si>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</si>
  <si>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</si>
  <si>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</si>
  <si>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</si>
  <si>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</si>
  <si>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</si>
  <si>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</si>
  <si>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</si>
  <si>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</si>
  <si>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</si>
  <si>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</si>
  <si>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</si>
  <si>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</si>
  <si>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</si>
  <si>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</si>
  <si>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</si>
  <si>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</si>
  <si>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</si>
  <si>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</si>
  <si>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</si>
  <si>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</si>
  <si>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</si>
  <si>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</si>
  <si>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</si>
  <si>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</si>
  <si>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</si>
  <si>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</si>
  <si>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</si>
  <si>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</si>
  <si>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</si>
  <si>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</si>
  <si>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</si>
  <si>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</si>
  <si>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</si>
  <si>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</si>
  <si>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</si>
  <si>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</si>
  <si>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</si>
  <si>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</si>
  <si>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</si>
  <si>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</si>
  <si>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</si>
  <si>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</si>
  <si>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</si>
  <si>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</si>
  <si>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</si>
  <si>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</si>
  <si>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</si>
  <si>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</si>
  <si>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</si>
  <si>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</si>
  <si>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</si>
  <si>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</si>
  <si>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</si>
  <si>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</si>
  <si>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</si>
  <si>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</si>
  <si>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</si>
  <si>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</si>
  <si>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</si>
  <si>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</si>
  <si>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</si>
  <si>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</si>
  <si>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</si>
  <si>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</si>
  <si>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</si>
  <si>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</si>
  <si>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</si>
  <si>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</si>
  <si>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</si>
  <si>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</si>
  <si>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</si>
  <si>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</si>
  <si>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</si>
  <si>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</si>
  <si>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</si>
  <si>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</si>
  <si>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</si>
  <si>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</si>
  <si>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</si>
  <si>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</si>
  <si>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</si>
  <si>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</si>
  <si>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</si>
  <si>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</si>
  <si>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</si>
  <si>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</si>
  <si>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</si>
  <si>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</si>
  <si>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</si>
  <si>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</si>
  <si>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</si>
  <si>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</si>
  <si>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</si>
  <si>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</si>
  <si>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</si>
  <si>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</si>
  <si>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</si>
  <si>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</si>
  <si>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</si>
  <si>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</si>
  <si>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</si>
  <si>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</si>
  <si>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</si>
  <si>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</si>
  <si>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</si>
  <si>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</si>
  <si>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</si>
  <si>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</si>
  <si>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</si>
  <si>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</si>
  <si>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</si>
  <si>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</si>
  <si>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</si>
  <si>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</si>
  <si>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</si>
  <si>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</si>
  <si>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</si>
  <si>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</si>
  <si>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</si>
  <si>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</si>
  <si>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</si>
  <si>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</si>
  <si>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</si>
  <si>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</si>
  <si>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</si>
  <si>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</si>
  <si>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</si>
  <si>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</si>
  <si>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</si>
  <si>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</si>
  <si>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</si>
  <si>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</si>
  <si>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</si>
  <si>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</si>
  <si>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</si>
  <si>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</si>
  <si>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</si>
  <si>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</si>
  <si>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</si>
  <si>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</si>
  <si>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</si>
  <si>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</si>
  <si>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</si>
  <si>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</si>
  <si>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</si>
  <si>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</si>
  <si>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</si>
  <si>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</si>
  <si>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</si>
  <si>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</si>
  <si>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</si>
  <si>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</si>
  <si>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</si>
  <si>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</si>
  <si>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</si>
  <si>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</si>
  <si>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</si>
  <si>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</si>
  <si>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</si>
  <si>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</si>
  <si>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</si>
  <si>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</si>
  <si>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</si>
  <si>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</si>
  <si>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</si>
  <si>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</si>
  <si>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</si>
  <si>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</si>
  <si>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</si>
  <si>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</si>
  <si>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</si>
  <si>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</si>
  <si>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</si>
  <si>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</si>
  <si>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</si>
  <si>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</si>
  <si>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</si>
  <si>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</si>
  <si>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</si>
  <si>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</si>
  <si>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</si>
  <si>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</si>
  <si>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</si>
  <si>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</si>
  <si>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</si>
  <si>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</si>
  <si>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</si>
  <si>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</si>
  <si>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</si>
  <si>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</si>
  <si>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</si>
  <si>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</si>
  <si>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</si>
  <si>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</si>
  <si>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</si>
  <si>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</si>
  <si>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</si>
  <si>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</si>
  <si>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</si>
  <si>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</si>
  <si>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</si>
  <si>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</si>
  <si>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</si>
  <si>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</si>
  <si>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</si>
  <si>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</si>
  <si>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</si>
  <si>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</si>
  <si>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</si>
  <si>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</si>
  <si>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</si>
  <si>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</si>
  <si>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</si>
  <si>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</si>
  <si>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</si>
  <si>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</si>
  <si>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</si>
  <si>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</si>
  <si>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</si>
  <si>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</si>
  <si>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</si>
  <si>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</si>
  <si>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</si>
  <si>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</si>
  <si>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</si>
  <si>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</si>
  <si>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</si>
  <si>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</si>
  <si>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</si>
  <si>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</si>
  <si>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</si>
  <si>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</si>
  <si>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</si>
  <si>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</si>
  <si>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</si>
  <si>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</si>
  <si>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</si>
  <si>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</si>
  <si>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</si>
  <si>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</si>
  <si>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</si>
  <si>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</si>
  <si>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</si>
  <si>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</si>
  <si>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</si>
  <si>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</si>
  <si>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</si>
  <si>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</si>
  <si>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</si>
  <si>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</si>
  <si>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</si>
  <si>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</si>
  <si>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</si>
  <si>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</si>
  <si>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</si>
  <si>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</si>
  <si>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</si>
  <si>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</si>
  <si>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</si>
  <si>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</si>
  <si>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</si>
  <si>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</si>
  <si>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</si>
  <si>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</si>
  <si>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</si>
  <si>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</si>
  <si>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</si>
  <si>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</si>
  <si>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</si>
  <si>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</si>
  <si>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</si>
  <si>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</si>
  <si>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</si>
  <si>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</si>
  <si>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</si>
  <si>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</si>
  <si>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</si>
  <si>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</si>
  <si>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</si>
  <si>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</si>
  <si>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</si>
  <si>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</si>
  <si>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</si>
  <si>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</si>
  <si>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</si>
  <si>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</si>
  <si>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</si>
  <si>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</si>
  <si>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</si>
  <si>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</si>
  <si>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</si>
  <si>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</si>
  <si>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</si>
  <si>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</si>
  <si>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</si>
  <si>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</si>
  <si>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</si>
  <si>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</si>
  <si>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</si>
  <si>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</si>
  <si>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</si>
  <si>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</si>
  <si>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</si>
  <si>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</si>
  <si>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</si>
  <si>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</si>
  <si>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</si>
  <si>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</si>
  <si>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</si>
  <si>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</si>
  <si>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</si>
  <si>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</si>
  <si>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</si>
  <si>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</si>
  <si>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</si>
  <si>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</si>
  <si>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</si>
  <si>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</si>
  <si>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</si>
  <si>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</si>
  <si>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</si>
  <si>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</si>
  <si>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</si>
  <si>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</si>
  <si>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</si>
  <si>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</si>
  <si>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</si>
  <si>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</si>
  <si>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</si>
  <si>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</si>
  <si>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</si>
  <si>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</si>
  <si>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</si>
  <si>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</si>
  <si>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</si>
  <si>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</si>
  <si>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</si>
  <si>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</si>
  <si>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</si>
  <si>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</si>
  <si>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</si>
  <si>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</si>
  <si>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</si>
  <si>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</si>
  <si>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</si>
  <si>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</si>
  <si>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</si>
  <si>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</si>
  <si>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</si>
  <si>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</si>
  <si>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</si>
  <si>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</si>
  <si>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</si>
  <si>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</si>
  <si>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</si>
  <si>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</si>
  <si>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</si>
  <si>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</si>
  <si>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</si>
  <si>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</si>
  <si>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</si>
  <si>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</si>
  <si>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</si>
  <si>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</si>
  <si>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</si>
  <si>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</si>
  <si>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</si>
  <si>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</si>
  <si>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</si>
  <si>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</si>
  <si>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</si>
  <si>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</si>
  <si>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</si>
  <si>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</si>
  <si>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</si>
  <si>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</si>
  <si>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</si>
  <si>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</si>
  <si>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</si>
  <si>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</si>
  <si>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</si>
  <si>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</si>
  <si>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</si>
  <si>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</si>
  <si>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</si>
  <si>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</si>
  <si>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</si>
  <si>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</si>
  <si>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</si>
  <si>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</si>
  <si>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</si>
  <si>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</si>
  <si>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</si>
  <si>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</si>
  <si>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</si>
  <si>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</si>
  <si>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</si>
  <si>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</si>
  <si>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</si>
  <si>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</si>
  <si>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</si>
  <si>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</si>
  <si>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</si>
  <si>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</si>
  <si>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</si>
  <si>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</si>
  <si>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</si>
  <si>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</si>
  <si>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</si>
  <si>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</si>
  <si>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</si>
  <si>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</si>
  <si>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</si>
  <si>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</si>
  <si>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</si>
  <si>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</si>
  <si>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</si>
  <si>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</si>
  <si>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</si>
  <si>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</si>
  <si>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</si>
  <si>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</si>
  <si>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</si>
  <si>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</si>
  <si>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</si>
  <si>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</si>
  <si>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</si>
  <si>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</si>
  <si>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</si>
  <si>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</si>
  <si>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</si>
  <si>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</si>
  <si>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</si>
  <si>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</si>
  <si>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</si>
  <si>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</si>
  <si>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</si>
  <si>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</si>
  <si>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</si>
  <si>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</si>
  <si>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</si>
  <si>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</si>
  <si>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</si>
  <si>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</si>
  <si>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</si>
  <si>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</si>
  <si>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</si>
  <si>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</si>
  <si>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</si>
  <si>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</si>
  <si>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</si>
  <si>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</si>
  <si>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</si>
  <si>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</si>
  <si>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</si>
  <si>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</si>
  <si>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</si>
  <si>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</si>
  <si>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</si>
  <si>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</si>
  <si>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</si>
  <si>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</si>
  <si>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</si>
  <si>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</si>
  <si>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</si>
  <si>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</si>
  <si>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</si>
  <si>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</si>
  <si>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</si>
  <si>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</si>
  <si>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</si>
  <si>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</si>
  <si>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</si>
  <si>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</si>
  <si>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</si>
  <si>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</si>
  <si>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</si>
  <si>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</si>
  <si>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</si>
  <si>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</si>
  <si>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</si>
  <si>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</si>
  <si>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</si>
  <si>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</si>
  <si>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</si>
  <si>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</si>
  <si>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</si>
  <si>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</si>
  <si>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</si>
  <si>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</si>
  <si>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</si>
  <si>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</si>
  <si>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</si>
  <si>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</si>
  <si>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</si>
  <si>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</si>
  <si>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</si>
  <si>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</si>
  <si>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</si>
  <si>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</si>
  <si>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</si>
  <si>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</si>
  <si>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</si>
  <si>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</si>
  <si>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</si>
  <si>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</si>
  <si>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</si>
  <si>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</si>
  <si>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</si>
  <si>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</si>
  <si>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</si>
  <si>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</si>
  <si>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</si>
  <si>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</si>
  <si>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</si>
  <si>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</si>
  <si>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</si>
  <si>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</si>
  <si>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</si>
  <si>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</si>
  <si>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</si>
  <si>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</si>
  <si>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</si>
  <si>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</si>
  <si>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</si>
  <si>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</si>
  <si>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</si>
  <si>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</si>
  <si>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</si>
  <si>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</si>
  <si>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</si>
  <si>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</si>
  <si>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</si>
  <si>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</si>
  <si>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</si>
  <si>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</si>
  <si>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</si>
  <si>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</si>
  <si>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</si>
  <si>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</si>
  <si>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</si>
  <si>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</si>
  <si>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</si>
  <si>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</si>
  <si>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</si>
  <si>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</si>
  <si>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</si>
  <si>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</si>
  <si>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</si>
  <si>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</si>
  <si>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</si>
  <si>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</si>
  <si>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</si>
  <si>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</si>
  <si>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</si>
  <si>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</si>
  <si>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</si>
  <si>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</si>
  <si>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</si>
  <si>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</si>
  <si>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</si>
  <si>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</si>
  <si>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</si>
  <si>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</si>
  <si>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</si>
  <si>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</si>
  <si>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</si>
  <si>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</si>
  <si>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</si>
  <si>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</si>
  <si>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</si>
  <si>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</si>
  <si>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</si>
  <si>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</si>
  <si>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</si>
  <si>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</si>
  <si>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</si>
  <si>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</si>
  <si>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</si>
  <si>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</si>
  <si>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</si>
  <si>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</si>
  <si>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</si>
  <si>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</si>
  <si>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</si>
  <si>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</si>
  <si>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</si>
  <si>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</si>
  <si>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</si>
  <si>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</si>
  <si>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</si>
  <si>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</si>
  <si>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</si>
  <si>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</si>
  <si>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</si>
  <si>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</si>
  <si>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</si>
  <si>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</si>
  <si>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</si>
  <si>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</si>
  <si>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</si>
  <si>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</si>
  <si>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</si>
  <si>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</si>
  <si>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</si>
  <si>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</si>
  <si>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</si>
  <si>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</si>
  <si>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</si>
  <si>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</si>
  <si>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</si>
  <si>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</si>
  <si>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</si>
  <si>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</si>
  <si>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</si>
  <si>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</si>
  <si>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</si>
  <si>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</si>
  <si>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</si>
  <si>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</si>
  <si>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</si>
  <si>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</si>
  <si>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</si>
  <si>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</si>
  <si>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</si>
  <si>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</si>
  <si>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</si>
  <si>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</si>
  <si>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</si>
  <si>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</si>
  <si>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</si>
  <si>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</si>
  <si>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</si>
  <si>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</si>
  <si>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</si>
  <si>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</si>
  <si>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</si>
  <si>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</si>
  <si>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</si>
  <si>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</si>
  <si>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</si>
  <si>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</si>
  <si>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</si>
  <si>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</si>
  <si>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</si>
  <si>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</si>
  <si>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</si>
  <si>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</si>
  <si>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</si>
  <si>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</si>
  <si>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</si>
  <si>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</si>
  <si>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</si>
  <si>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</si>
  <si>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</si>
  <si>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</si>
  <si>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</si>
  <si>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</si>
  <si>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</si>
  <si>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</si>
  <si>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</si>
  <si>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</si>
  <si>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</si>
  <si>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</si>
  <si>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</si>
  <si>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</si>
  <si>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</si>
  <si>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</si>
  <si>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</si>
  <si>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</si>
  <si>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</si>
  <si>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</si>
  <si>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</si>
  <si>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</si>
  <si>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</si>
  <si>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</si>
  <si>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</si>
  <si>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</si>
  <si>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</si>
  <si>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</si>
  <si>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</si>
  <si>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</si>
  <si>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</si>
  <si>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</si>
  <si>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</si>
  <si>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</si>
  <si>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</si>
  <si>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</si>
  <si>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</si>
  <si>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</si>
  <si>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</si>
  <si>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</si>
  <si>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</si>
  <si>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</si>
  <si>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</si>
  <si>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</si>
  <si>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</si>
  <si>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</si>
  <si>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</si>
  <si>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</si>
  <si>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</si>
  <si>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</si>
  <si>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</si>
  <si>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</si>
  <si>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</si>
  <si>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</si>
  <si>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</si>
  <si>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</si>
  <si>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</si>
  <si>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</si>
  <si>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</si>
  <si>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</si>
  <si>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</si>
  <si>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</si>
  <si>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</si>
  <si>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</si>
  <si>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</si>
  <si>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</si>
  <si>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</si>
  <si>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</si>
  <si>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</si>
  <si>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</si>
  <si>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</si>
  <si>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</si>
  <si>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</si>
  <si>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</si>
  <si>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</si>
  <si>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</si>
  <si>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</si>
  <si>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</si>
  <si>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</si>
  <si>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</si>
  <si>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</si>
  <si>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</si>
  <si>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</si>
  <si>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</si>
  <si>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</si>
  <si>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</si>
  <si>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</si>
  <si>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</si>
  <si>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</si>
  <si>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</si>
  <si>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</si>
  <si>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</si>
  <si>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</si>
  <si>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</si>
  <si>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</si>
  <si>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</si>
  <si>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</si>
  <si>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</si>
  <si>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</si>
  <si>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</si>
  <si>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</si>
  <si>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</si>
  <si>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</si>
  <si>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</si>
  <si>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</si>
  <si>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</si>
  <si>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</si>
  <si>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</si>
  <si>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</si>
  <si>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</si>
  <si>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</si>
  <si>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</si>
  <si>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</si>
  <si>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</si>
  <si>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</si>
  <si>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</si>
  <si>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</si>
  <si>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</si>
  <si>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</si>
  <si>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</si>
  <si>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</si>
  <si>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</si>
  <si>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</si>
  <si>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</si>
  <si>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</si>
  <si>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</si>
  <si>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</si>
  <si>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</si>
  <si>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</si>
  <si>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</si>
  <si>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</si>
  <si>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</si>
  <si>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</si>
  <si>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</si>
  <si>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</si>
  <si>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</si>
  <si>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</si>
  <si>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</si>
  <si>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</si>
  <si>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</si>
  <si>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</si>
  <si>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</si>
  <si>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</si>
  <si>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</si>
  <si>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</si>
  <si>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</si>
  <si>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</si>
  <si>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</si>
  <si>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</si>
  <si>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</si>
  <si>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</si>
  <si>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</si>
  <si>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</si>
  <si>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</si>
  <si>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</si>
  <si>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</si>
  <si>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</si>
  <si>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</si>
  <si>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</si>
  <si>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</si>
  <si>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</si>
  <si>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</si>
  <si>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</si>
  <si>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</si>
  <si>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</si>
  <si>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</si>
  <si>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</si>
  <si>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</si>
  <si>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</si>
  <si>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</si>
  <si>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</si>
  <si>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</si>
  <si>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</si>
  <si>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</si>
  <si>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</si>
  <si>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</si>
  <si>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</si>
  <si>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</si>
  <si>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</si>
  <si>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</si>
  <si>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</si>
  <si>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</si>
  <si>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</si>
  <si>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</si>
  <si>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</si>
  <si>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</si>
  <si>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</si>
  <si>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</si>
  <si>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</si>
  <si>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</si>
  <si>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</si>
  <si>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</si>
  <si>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</si>
  <si>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</si>
  <si>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</si>
  <si>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</si>
  <si>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</si>
  <si>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</si>
  <si>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</si>
  <si>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stop at gain start</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</si>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</sst>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xf numFmtId="0" fontId="0" fillId="0" borderId="0" xfId="0" applyFont="1" applyFill="1" applyBorder="1" applyAlignment="1">
      <alignment horizontal="right"/>
    </xf>
  </cellXfs>
  <cellStyles count="4">
    <cellStyle name="Comma" xfId="1" builtinId="3"/>
    <cellStyle name="Normal" xfId="0" builtinId="0"/>
    <cellStyle name="Normal 2" xfId="2" xr:uid="{00000000-0005-0000-0000-000006000000}"/>
    <cellStyle name="Normal 3" xfId="3" xr:uid="{C260EE9F-154D-418A-8F21-4716B700A363}"/>
  </cellStyles>
  <dxfs count="31">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G565" zoomScale="110" zoomScaleNormal="110" workbookViewId="0">
      <selection activeCell="O583" sqref="O583"/>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6" t="s">
        <v>1</v>
      </c>
      <c r="I3" s="456"/>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6" t="s">
        <v>1</v>
      </c>
      <c r="I33" s="456"/>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8" spans="3:25" ht="15">
      <c r="Y58" t="s">
        <v>28</v>
      </c>
    </row>
    <row r="60" spans="3:25" ht="15">
      <c r="C60" s="6" t="s">
        <v>35</v>
      </c>
      <c r="D60" s="7"/>
      <c r="E60" s="6"/>
      <c r="F60" s="8"/>
      <c r="G60" s="8"/>
      <c r="H60" s="8"/>
      <c r="I60" s="9"/>
      <c r="J60" s="9"/>
      <c r="K60" s="8"/>
      <c r="L60" s="8"/>
      <c r="M60" s="8"/>
      <c r="N60" s="10"/>
      <c r="O60" s="9"/>
      <c r="P60" s="9"/>
    </row>
    <row r="61" spans="3:25" ht="15">
      <c r="H61" s="456" t="s">
        <v>1</v>
      </c>
      <c r="I61" s="456"/>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6" spans="3:25" ht="15">
      <c r="Y86" t="s">
        <v>28</v>
      </c>
    </row>
    <row r="90" spans="3:25" ht="15">
      <c r="C90" s="6" t="s">
        <v>36</v>
      </c>
      <c r="D90" s="7"/>
      <c r="E90" s="6"/>
      <c r="F90" s="8"/>
      <c r="G90" s="8"/>
      <c r="H90" s="8"/>
      <c r="I90" s="9"/>
      <c r="J90" s="9"/>
      <c r="K90" s="8"/>
      <c r="L90" s="8"/>
      <c r="M90" s="8"/>
      <c r="N90" s="10"/>
      <c r="O90" s="9"/>
      <c r="P90" s="9"/>
    </row>
    <row r="91" spans="3:25" ht="15">
      <c r="H91" s="456" t="s">
        <v>1</v>
      </c>
      <c r="I91" s="456"/>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9" spans="3:17" ht="15">
      <c r="C119" s="6" t="s">
        <v>38</v>
      </c>
      <c r="D119" s="7"/>
      <c r="E119" s="6"/>
      <c r="F119" s="8"/>
      <c r="G119" s="8"/>
      <c r="H119" s="8"/>
      <c r="I119" s="9"/>
      <c r="J119" s="9"/>
      <c r="K119" s="8"/>
      <c r="L119" s="8"/>
      <c r="M119" s="8"/>
      <c r="N119" s="10"/>
      <c r="O119" s="9"/>
      <c r="P119" s="9"/>
    </row>
    <row r="120" spans="3:17" ht="15">
      <c r="H120" s="456" t="s">
        <v>1</v>
      </c>
      <c r="I120" s="456"/>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9" spans="3:17" ht="15">
      <c r="C149" s="6" t="s">
        <v>39</v>
      </c>
      <c r="D149" s="7"/>
      <c r="E149" s="6"/>
      <c r="F149" s="8"/>
      <c r="G149" s="8"/>
      <c r="H149" s="8"/>
      <c r="I149" s="9"/>
      <c r="J149" s="9"/>
      <c r="K149" s="8"/>
      <c r="L149" s="8"/>
      <c r="M149" s="8"/>
      <c r="N149" s="10"/>
      <c r="O149" s="9"/>
      <c r="P149" s="9"/>
    </row>
    <row r="150" spans="3:17" ht="15">
      <c r="H150" s="456" t="s">
        <v>1</v>
      </c>
      <c r="I150" s="456"/>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8" spans="3:17" ht="15">
      <c r="C178" s="6" t="s">
        <v>40</v>
      </c>
      <c r="D178" s="7"/>
      <c r="E178" s="6"/>
      <c r="F178" s="8"/>
      <c r="G178" s="8"/>
      <c r="H178" s="8"/>
      <c r="I178" s="9"/>
      <c r="J178" s="9"/>
      <c r="K178" s="8"/>
      <c r="L178" s="8"/>
      <c r="M178" s="8"/>
      <c r="N178" s="10"/>
      <c r="O178" s="9"/>
      <c r="P178" s="9"/>
    </row>
    <row r="179" spans="3:17" ht="15">
      <c r="H179" s="456" t="s">
        <v>1</v>
      </c>
      <c r="I179" s="456"/>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6" t="s">
        <v>1</v>
      </c>
      <c r="I219" s="456"/>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7" t="s">
        <v>22</v>
      </c>
      <c r="G237" s="457"/>
      <c r="H237" s="457"/>
      <c r="I237" s="457"/>
    </row>
    <row r="238" spans="6:19" ht="18">
      <c r="F238" s="458" t="s">
        <v>23</v>
      </c>
      <c r="G238" s="458"/>
      <c r="H238" s="458"/>
      <c r="I238" s="29">
        <v>20</v>
      </c>
      <c r="O238" s="30"/>
      <c r="P238" s="40" t="s">
        <v>47</v>
      </c>
      <c r="Q238" s="41"/>
      <c r="R238" s="42">
        <f>P235</f>
        <v>643.01035679999995</v>
      </c>
      <c r="S238" s="43" t="s">
        <v>42</v>
      </c>
    </row>
    <row r="239" spans="6:19" ht="15">
      <c r="F239" s="455" t="s">
        <v>24</v>
      </c>
      <c r="G239" s="455"/>
      <c r="H239" s="455"/>
      <c r="I239" s="29">
        <f>0.7*I238/10</f>
        <v>1.4</v>
      </c>
    </row>
    <row r="240" spans="6:19" ht="15">
      <c r="F240" s="455" t="s">
        <v>25</v>
      </c>
      <c r="G240" s="455"/>
      <c r="H240" s="455"/>
      <c r="I240" s="29">
        <v>2</v>
      </c>
    </row>
    <row r="241" spans="3:19" ht="15">
      <c r="F241" s="455" t="s">
        <v>26</v>
      </c>
      <c r="G241" s="455"/>
      <c r="H241" s="455"/>
      <c r="I241" s="29">
        <v>20</v>
      </c>
    </row>
    <row r="242" spans="3:19" ht="15">
      <c r="F242" s="455" t="s">
        <v>27</v>
      </c>
      <c r="G242" s="455"/>
      <c r="H242" s="455"/>
      <c r="I242" s="29">
        <v>8</v>
      </c>
    </row>
    <row r="246" spans="3:19" ht="15">
      <c r="C246" s="6" t="s">
        <v>48</v>
      </c>
      <c r="D246" s="7"/>
      <c r="E246" s="6"/>
      <c r="F246" s="8"/>
      <c r="G246" s="8"/>
      <c r="H246" s="8"/>
      <c r="I246" s="9"/>
      <c r="J246" s="9"/>
      <c r="K246" s="8"/>
      <c r="L246" s="8"/>
      <c r="M246" s="8"/>
      <c r="N246" s="10"/>
      <c r="O246" s="9"/>
      <c r="P246" s="9"/>
    </row>
    <row r="247" spans="3:19" ht="15">
      <c r="H247" s="456" t="s">
        <v>1</v>
      </c>
      <c r="I247" s="456"/>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7" t="s">
        <v>22</v>
      </c>
      <c r="G265" s="457"/>
      <c r="H265" s="457"/>
      <c r="I265" s="457"/>
      <c r="K265" s="54" t="s">
        <v>58</v>
      </c>
      <c r="L265" s="55"/>
      <c r="M265" s="55"/>
      <c r="N265" s="56"/>
      <c r="O265" s="57" t="s">
        <v>59</v>
      </c>
      <c r="P265" s="57" t="s">
        <v>60</v>
      </c>
      <c r="Q265" s="58"/>
      <c r="S265" s="59" t="s">
        <v>61</v>
      </c>
      <c r="T265" s="60"/>
      <c r="U265" s="55"/>
      <c r="V265" s="56"/>
      <c r="W265" s="57" t="s">
        <v>59</v>
      </c>
      <c r="X265" s="57" t="s">
        <v>60</v>
      </c>
      <c r="Y265" s="58"/>
    </row>
    <row r="266" spans="6:25" ht="18">
      <c r="F266" s="458" t="s">
        <v>23</v>
      </c>
      <c r="G266" s="458"/>
      <c r="H266" s="458"/>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5" t="s">
        <v>24</v>
      </c>
      <c r="G267" s="455"/>
      <c r="H267" s="455"/>
      <c r="I267" s="29">
        <f>0.7*I266/10</f>
        <v>1.4</v>
      </c>
      <c r="K267" s="61"/>
      <c r="L267" s="46"/>
      <c r="M267" s="46"/>
      <c r="N267" s="46"/>
      <c r="O267" s="66" t="s">
        <v>62</v>
      </c>
      <c r="P267" s="46"/>
      <c r="Q267" s="64"/>
      <c r="S267" s="61"/>
      <c r="T267" s="65"/>
      <c r="U267" s="46"/>
      <c r="V267" s="46"/>
      <c r="W267" s="66" t="s">
        <v>62</v>
      </c>
      <c r="X267" s="62"/>
      <c r="Y267" s="64"/>
    </row>
    <row r="268" spans="6:25" ht="15">
      <c r="F268" s="455" t="s">
        <v>25</v>
      </c>
      <c r="G268" s="455"/>
      <c r="H268" s="455"/>
      <c r="I268" s="29">
        <v>2</v>
      </c>
      <c r="K268" s="61"/>
      <c r="L268" s="67"/>
      <c r="M268" s="46"/>
      <c r="N268" s="46"/>
      <c r="O268" s="68">
        <f>Q238/86400</f>
        <v>0</v>
      </c>
      <c r="P268" s="46"/>
      <c r="Q268" s="64"/>
      <c r="S268" s="61"/>
      <c r="T268" s="69"/>
      <c r="U268" s="46"/>
      <c r="V268" s="46"/>
      <c r="W268" s="68">
        <f>Y238/86400</f>
        <v>0</v>
      </c>
      <c r="X268" s="46"/>
      <c r="Y268" s="64"/>
    </row>
    <row r="269" spans="6:25" ht="15">
      <c r="F269" s="455" t="s">
        <v>63</v>
      </c>
      <c r="G269" s="455"/>
      <c r="H269" s="455"/>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5" t="s">
        <v>71</v>
      </c>
      <c r="G270" s="455"/>
      <c r="H270" s="455"/>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J6" zoomScale="90" zoomScaleNormal="90" workbookViewId="0">
      <pane ySplit="765" topLeftCell="A19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4380</v>
      </c>
    </row>
    <row r="12" spans="5:7">
      <c r="E12" t="s">
        <v>4376</v>
      </c>
      <c r="F12" t="s">
        <v>4377</v>
      </c>
    </row>
    <row r="13" spans="5:7">
      <c r="E13" t="s">
        <v>4377</v>
      </c>
      <c r="F13" t="s">
        <v>4378</v>
      </c>
    </row>
    <row r="14" spans="5:7">
      <c r="E14" t="s">
        <v>4379</v>
      </c>
      <c r="F14" t="s">
        <v>4379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abSelected="1" zoomScale="85" zoomScaleNormal="85" workbookViewId="0">
      <pane ySplit="1980" topLeftCell="A212" activePane="bottomLeft"/>
      <selection activeCell="E1" sqref="E1:K1"/>
      <selection pane="bottomLeft" activeCell="A242" sqref="A24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5:33" ht="13.5" customHeight="1">
      <c r="E1" t="s">
        <v>766</v>
      </c>
      <c r="F1" t="s">
        <v>764</v>
      </c>
      <c r="G1" t="s">
        <v>765</v>
      </c>
      <c r="H1" t="s">
        <v>768</v>
      </c>
      <c r="I1" t="s">
        <v>769</v>
      </c>
      <c r="J1" t="s">
        <v>943</v>
      </c>
      <c r="K1" t="s">
        <v>1540</v>
      </c>
    </row>
    <row r="2" spans="5:33" ht="15">
      <c r="M2" t="s">
        <v>758</v>
      </c>
      <c r="N2">
        <v>126</v>
      </c>
      <c r="O2">
        <v>159</v>
      </c>
      <c r="P2">
        <f>O2-N2</f>
        <v>33</v>
      </c>
      <c r="Q2">
        <f>P2*S6</f>
        <v>31.728378000000003</v>
      </c>
      <c r="R2" s="17" t="s">
        <v>4277</v>
      </c>
      <c r="S2" s="388">
        <f>'SWAP Data Volumns'!K108</f>
        <v>0.5056665308181959</v>
      </c>
    </row>
    <row r="3" spans="5:33" ht="15">
      <c r="N3">
        <v>159</v>
      </c>
      <c r="O3">
        <v>181</v>
      </c>
      <c r="P3">
        <f>O3-N3</f>
        <v>22</v>
      </c>
      <c r="Q3">
        <f>P3*X6</f>
        <v>56.201820631579039</v>
      </c>
      <c r="R3" s="17" t="s">
        <v>4307</v>
      </c>
      <c r="S3" s="388">
        <f>'SWAP Data Volumns'!K99</f>
        <v>0.80996710526315774</v>
      </c>
      <c r="V3">
        <f>4.513307/V10</f>
        <v>0.92947580888228509</v>
      </c>
      <c r="X3">
        <f>25/X6</f>
        <v>9.7861598400063663</v>
      </c>
    </row>
    <row r="4" spans="5:33" ht="15">
      <c r="N4">
        <v>181</v>
      </c>
      <c r="O4">
        <v>218</v>
      </c>
      <c r="P4">
        <f>O4-N4</f>
        <v>37</v>
      </c>
      <c r="Q4">
        <f>P4*S6</f>
        <v>35.574241999999998</v>
      </c>
      <c r="R4" s="17" t="s">
        <v>4171</v>
      </c>
      <c r="S4" s="388">
        <f>'SWAP Data Volumns'!K90</f>
        <v>1.4028285692679976</v>
      </c>
      <c r="W4" t="s">
        <v>4116</v>
      </c>
      <c r="X4" s="401">
        <f>'SWAP Data Volumns'!K108</f>
        <v>0.5056665308181959</v>
      </c>
    </row>
    <row r="5" spans="5:33" ht="15">
      <c r="L5">
        <f>66+90+23+164+28+5</f>
        <v>376</v>
      </c>
      <c r="M5">
        <f>16+18+66+90+23+164+33</f>
        <v>410</v>
      </c>
      <c r="Q5">
        <f>Q4+Q3+Q2</f>
        <v>123.50444063157904</v>
      </c>
      <c r="R5" s="17" t="s">
        <v>4276</v>
      </c>
      <c r="S5" s="388">
        <f>'SWAP Data Volumns'!K72</f>
        <v>3.6959320175438592</v>
      </c>
    </row>
    <row r="6" spans="5:33" ht="15">
      <c r="L6">
        <f>(51-44)*X6</f>
        <v>17.882397473684239</v>
      </c>
      <c r="M6">
        <f>82+49+54+105+82+39</f>
        <v>411</v>
      </c>
      <c r="R6" t="s">
        <v>759</v>
      </c>
      <c r="S6" s="3">
        <v>0.96146600000000004</v>
      </c>
      <c r="U6" t="s">
        <v>759</v>
      </c>
      <c r="V6" s="3">
        <f>V9*8*86400/1000000</f>
        <v>2.6403840000000001</v>
      </c>
      <c r="W6" s="3">
        <v>2.546459</v>
      </c>
      <c r="X6">
        <v>2.5546282105263201</v>
      </c>
    </row>
    <row r="7" spans="5: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5: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5: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5: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5: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5: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5: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5: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5: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5: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4365</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15">
      <c r="L55" s="93" t="s">
        <v>899</v>
      </c>
      <c r="M55" s="3"/>
      <c r="N55" s="3"/>
      <c r="O55" s="3"/>
      <c r="AC55" s="3"/>
      <c r="AD55" s="3"/>
      <c r="AG55" s="219"/>
      <c r="AH55" s="219"/>
      <c r="AK55" s="244" t="s">
        <v>900</v>
      </c>
      <c r="AL55" s="244" t="s">
        <v>901</v>
      </c>
      <c r="AM55" s="244">
        <v>3.7</v>
      </c>
      <c r="AN55" s="244">
        <v>3.7</v>
      </c>
      <c r="AO55" s="244">
        <v>-1.73</v>
      </c>
      <c r="AR55" s="3">
        <v>4.07</v>
      </c>
    </row>
    <row r="56" spans="12: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15">
      <c r="O57" s="3"/>
      <c r="AC57" s="3"/>
      <c r="AD57" s="3"/>
      <c r="AG57" s="219"/>
      <c r="AH57" s="219"/>
      <c r="AK57" s="244" t="s">
        <v>905</v>
      </c>
      <c r="AL57" s="244" t="s">
        <v>906</v>
      </c>
      <c r="AM57" s="244">
        <v>4.42</v>
      </c>
      <c r="AN57" s="244">
        <v>1.46</v>
      </c>
      <c r="AO57" s="244">
        <v>-2.68</v>
      </c>
      <c r="AR57" s="3">
        <v>4.87</v>
      </c>
    </row>
    <row r="58" spans="12: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1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15">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4374</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4373</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4371</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470" t="s">
        <v>4386</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4386</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4386</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4375</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4372</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4363</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4370</v>
      </c>
      <c r="AR306" t="s">
        <v>4381</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4345</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4362</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4346</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4357</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4358</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4359</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4347</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4360</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t="s">
        <v>4336</v>
      </c>
      <c r="H342" s="397"/>
      <c r="I342" s="397"/>
      <c r="J342" s="3" t="s">
        <v>943</v>
      </c>
      <c r="K342" s="3" t="s">
        <v>1540</v>
      </c>
      <c r="L342" s="226" t="str">
        <f>M341</f>
        <v>25-187/23:06</v>
      </c>
      <c r="M342" s="226" t="s">
        <v>4361</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4337</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4343</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4364</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4348</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4344</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4341</v>
      </c>
      <c r="N356" t="s">
        <v>4335</v>
      </c>
      <c r="O356" s="192" t="s">
        <v>4349</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4339</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4338</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4340</v>
      </c>
      <c r="M361" s="226" t="s">
        <v>4350</v>
      </c>
      <c r="N361" t="s">
        <v>4342</v>
      </c>
      <c r="O361" s="192" t="s">
        <v>4338</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4351</v>
      </c>
      <c r="N362" t="s">
        <v>4342</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4352</v>
      </c>
      <c r="N363" t="s">
        <v>4342</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4353</v>
      </c>
      <c r="N364" t="s">
        <v>4342</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4354</v>
      </c>
      <c r="N365" t="s">
        <v>4342</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4383</v>
      </c>
      <c r="M372" s="3"/>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4382</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4355</v>
      </c>
      <c r="N376" t="s">
        <v>4342</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4356</v>
      </c>
      <c r="N377" t="s">
        <v>4342</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4367</v>
      </c>
      <c r="N380" t="s">
        <v>4342</v>
      </c>
      <c r="O380" s="263" t="s">
        <v>4369</v>
      </c>
      <c r="P380" s="179" t="s">
        <v>4366</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4368</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4384</v>
      </c>
      <c r="D10" s="3" t="s">
        <v>4385</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63" t="s">
        <v>1781</v>
      </c>
      <c r="C25" s="463"/>
      <c r="D25" s="463"/>
      <c r="E25" s="463"/>
      <c r="F25" s="463"/>
      <c r="G25" s="463"/>
      <c r="H25" s="463"/>
      <c r="I25" s="463"/>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68" t="s">
        <v>1791</v>
      </c>
      <c r="K30" s="468"/>
      <c r="L30" s="468"/>
      <c r="M30" s="468"/>
      <c r="N30" s="468"/>
    </row>
    <row r="31" spans="2:22">
      <c r="B31" s="339" t="s">
        <v>1765</v>
      </c>
      <c r="C31" s="339" t="s">
        <v>1766</v>
      </c>
      <c r="D31" s="339">
        <f>$E$8</f>
        <v>1632</v>
      </c>
      <c r="E31" s="339" t="s">
        <v>1790</v>
      </c>
      <c r="F31" s="339">
        <v>0</v>
      </c>
      <c r="G31" s="339">
        <f>D31*F31</f>
        <v>0</v>
      </c>
      <c r="H31" s="339">
        <v>0</v>
      </c>
      <c r="I31" s="339">
        <f>G31*H31/1000000</f>
        <v>0</v>
      </c>
      <c r="J31" s="468"/>
      <c r="K31" s="468"/>
      <c r="L31" s="468"/>
      <c r="M31" s="468"/>
      <c r="N31" s="468"/>
    </row>
    <row r="32" spans="2:22" ht="15.75">
      <c r="B32" s="467"/>
      <c r="C32" s="467"/>
      <c r="D32" s="467"/>
      <c r="E32" s="467"/>
      <c r="F32" s="467"/>
      <c r="G32" s="467"/>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63" t="s">
        <v>1793</v>
      </c>
      <c r="C38" s="463"/>
      <c r="D38" s="463"/>
      <c r="E38" s="463"/>
      <c r="F38" s="463"/>
      <c r="G38" s="463"/>
      <c r="H38" s="463"/>
      <c r="I38" s="463"/>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69" t="s">
        <v>1794</v>
      </c>
      <c r="K43" s="469"/>
      <c r="L43" s="469"/>
      <c r="M43" s="469"/>
      <c r="N43" s="469"/>
      <c r="O43" s="276"/>
    </row>
    <row r="44" spans="2:16">
      <c r="B44" s="339" t="s">
        <v>1765</v>
      </c>
      <c r="C44" s="339" t="s">
        <v>1766</v>
      </c>
      <c r="D44" s="339">
        <f>$E$8</f>
        <v>1632</v>
      </c>
      <c r="E44" s="339" t="s">
        <v>1755</v>
      </c>
      <c r="F44" s="339">
        <f>$M$4*$F$8</f>
        <v>7.2916666666666659E-4</v>
      </c>
      <c r="G44" s="339">
        <f>D44*F44</f>
        <v>1.19</v>
      </c>
      <c r="H44" s="339">
        <v>86400</v>
      </c>
      <c r="I44" s="339">
        <f>G44*H44/1000000</f>
        <v>0.102816</v>
      </c>
      <c r="J44" s="469"/>
      <c r="K44" s="469"/>
      <c r="L44" s="469"/>
      <c r="M44" s="469"/>
      <c r="N44" s="469"/>
      <c r="O44" s="276"/>
    </row>
    <row r="45" spans="2:16">
      <c r="B45" s="467"/>
      <c r="C45" s="467"/>
      <c r="D45" s="467"/>
      <c r="E45" s="467"/>
      <c r="F45" s="467"/>
      <c r="G45" s="467"/>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63" t="s">
        <v>1795</v>
      </c>
      <c r="C47" s="463"/>
      <c r="D47" s="463"/>
      <c r="E47" s="463"/>
      <c r="F47" s="463"/>
      <c r="G47" s="463"/>
      <c r="H47" s="463"/>
      <c r="I47" s="463"/>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67"/>
      <c r="C54" s="467"/>
      <c r="D54" s="467"/>
      <c r="E54" s="467"/>
      <c r="F54" s="467"/>
      <c r="G54" s="467"/>
      <c r="H54" s="343" t="s">
        <v>1792</v>
      </c>
      <c r="I54" s="343">
        <f>SUM(I49:I53)</f>
        <v>12.231428210526317</v>
      </c>
      <c r="J54" s="91">
        <f>I54*1000000/86400</f>
        <v>141.56745614035088</v>
      </c>
      <c r="K54">
        <f>J54/8</f>
        <v>17.695932017543861</v>
      </c>
    </row>
    <row r="55" spans="2:11">
      <c r="I55" s="91"/>
      <c r="J55" s="3" t="s">
        <v>6</v>
      </c>
      <c r="K55" s="3" t="s">
        <v>4119</v>
      </c>
    </row>
    <row r="56" spans="2:11" ht="18.75">
      <c r="B56" s="463" t="s">
        <v>1796</v>
      </c>
      <c r="C56" s="463"/>
      <c r="D56" s="463"/>
      <c r="E56" s="463"/>
      <c r="F56" s="463"/>
      <c r="G56" s="463"/>
      <c r="H56" s="463"/>
      <c r="I56" s="463"/>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67"/>
      <c r="C63" s="467"/>
      <c r="D63" s="467"/>
      <c r="E63" s="467"/>
      <c r="F63" s="467"/>
      <c r="G63" s="467"/>
      <c r="H63" s="343" t="s">
        <v>1792</v>
      </c>
      <c r="I63" s="343">
        <f>SUM(I58:I62)</f>
        <v>4.9738282105263156</v>
      </c>
      <c r="J63" s="91">
        <f>I63*1000000/86400</f>
        <v>57.56745614035087</v>
      </c>
      <c r="K63">
        <f>J63/8</f>
        <v>7.1959320175438588</v>
      </c>
    </row>
    <row r="64" spans="2:11">
      <c r="I64" s="91"/>
      <c r="J64" s="3" t="s">
        <v>6</v>
      </c>
      <c r="K64" s="3" t="s">
        <v>4119</v>
      </c>
    </row>
    <row r="65" spans="2:11" ht="18.75">
      <c r="B65" s="463" t="s">
        <v>1797</v>
      </c>
      <c r="C65" s="463"/>
      <c r="D65" s="463"/>
      <c r="E65" s="463"/>
      <c r="F65" s="463"/>
      <c r="G65" s="463"/>
      <c r="H65" s="463"/>
      <c r="I65" s="463"/>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67"/>
      <c r="C72" s="467"/>
      <c r="D72" s="467"/>
      <c r="E72" s="467"/>
      <c r="F72" s="467"/>
      <c r="G72" s="467"/>
      <c r="H72" s="343" t="s">
        <v>1792</v>
      </c>
      <c r="I72" s="343">
        <f>SUM(I67:I71)</f>
        <v>2.5546282105263156</v>
      </c>
      <c r="J72" s="91">
        <f>I72*1000000/86400</f>
        <v>29.567456140350874</v>
      </c>
      <c r="K72" s="397">
        <f>J72/8</f>
        <v>3.6959320175438592</v>
      </c>
    </row>
    <row r="73" spans="2:11">
      <c r="J73" s="3" t="s">
        <v>6</v>
      </c>
      <c r="K73" s="3" t="s">
        <v>4119</v>
      </c>
    </row>
    <row r="74" spans="2:11" ht="18.75">
      <c r="B74" s="463" t="s">
        <v>1798</v>
      </c>
      <c r="C74" s="463"/>
      <c r="D74" s="463"/>
      <c r="E74" s="463"/>
      <c r="F74" s="463"/>
      <c r="G74" s="463"/>
      <c r="H74" s="463"/>
      <c r="I74" s="463"/>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67"/>
      <c r="C81" s="467"/>
      <c r="D81" s="467"/>
      <c r="E81" s="467"/>
      <c r="F81" s="467"/>
      <c r="G81" s="467"/>
      <c r="H81" s="343" t="s">
        <v>1792</v>
      </c>
      <c r="I81" s="343">
        <f>SUM(I76:I80)</f>
        <v>1.3450282105263158</v>
      </c>
      <c r="J81" s="91">
        <f>I81*1000000/86400</f>
        <v>15.567456140350876</v>
      </c>
      <c r="K81">
        <f>J81/8</f>
        <v>1.9459320175438595</v>
      </c>
    </row>
    <row r="82" spans="2:11">
      <c r="I82" s="91"/>
      <c r="J82" s="3" t="s">
        <v>6</v>
      </c>
      <c r="K82" s="3" t="s">
        <v>4119</v>
      </c>
    </row>
    <row r="83" spans="2:11" ht="18.75">
      <c r="B83" s="463" t="s">
        <v>1799</v>
      </c>
      <c r="C83" s="463"/>
      <c r="D83" s="463"/>
      <c r="E83" s="463"/>
      <c r="F83" s="463"/>
      <c r="G83" s="463"/>
      <c r="H83" s="463"/>
      <c r="I83" s="463"/>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63" t="s">
        <v>1800</v>
      </c>
      <c r="C92" s="463"/>
      <c r="D92" s="463"/>
      <c r="E92" s="463"/>
      <c r="F92" s="463"/>
      <c r="G92" s="463"/>
      <c r="H92" s="463"/>
      <c r="I92" s="463"/>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67"/>
      <c r="C99" s="467"/>
      <c r="D99" s="467"/>
      <c r="E99" s="467"/>
      <c r="F99" s="467"/>
      <c r="G99" s="467"/>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63" t="s">
        <v>1801</v>
      </c>
      <c r="C101" s="463"/>
      <c r="D101" s="463"/>
      <c r="E101" s="463"/>
      <c r="F101" s="463"/>
      <c r="G101" s="463"/>
      <c r="H101" s="463"/>
      <c r="I101" s="463"/>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67"/>
      <c r="C108" s="467"/>
      <c r="D108" s="467"/>
      <c r="E108" s="467"/>
      <c r="F108" s="467"/>
      <c r="G108" s="467"/>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63" t="s">
        <v>1802</v>
      </c>
      <c r="C110" s="463"/>
      <c r="D110" s="463"/>
      <c r="E110" s="463"/>
      <c r="F110" s="463"/>
      <c r="G110" s="463"/>
      <c r="H110" s="463"/>
      <c r="I110" s="463"/>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67"/>
      <c r="C117" s="467"/>
      <c r="D117" s="467"/>
      <c r="E117" s="467"/>
      <c r="F117" s="467"/>
      <c r="G117" s="467"/>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63" t="s">
        <v>1803</v>
      </c>
      <c r="C119" s="463"/>
      <c r="D119" s="463"/>
      <c r="E119" s="463"/>
      <c r="F119" s="463"/>
      <c r="G119" s="463"/>
      <c r="H119" s="463"/>
      <c r="I119" s="463"/>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67"/>
      <c r="C126" s="467"/>
      <c r="D126" s="467"/>
      <c r="E126" s="467"/>
      <c r="F126" s="467"/>
      <c r="G126" s="467"/>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63" t="s">
        <v>1804</v>
      </c>
      <c r="C128" s="463"/>
      <c r="D128" s="463"/>
      <c r="E128" s="463"/>
      <c r="F128" s="463"/>
      <c r="G128" s="463"/>
      <c r="H128" s="463"/>
      <c r="I128" s="463"/>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67"/>
      <c r="C135" s="467"/>
      <c r="D135" s="467"/>
      <c r="E135" s="467"/>
      <c r="F135" s="467"/>
      <c r="G135" s="467"/>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63" t="s">
        <v>1805</v>
      </c>
      <c r="C137" s="463"/>
      <c r="D137" s="463"/>
      <c r="E137" s="463"/>
      <c r="F137" s="463"/>
      <c r="G137" s="463"/>
      <c r="H137" s="463"/>
      <c r="I137" s="463"/>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64"/>
      <c r="C144" s="464"/>
      <c r="D144" s="464"/>
      <c r="E144" s="464"/>
      <c r="F144" s="464"/>
      <c r="G144" s="464"/>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5" t="s">
        <v>1806</v>
      </c>
      <c r="C149" s="465"/>
      <c r="D149" s="465"/>
      <c r="E149" s="465"/>
      <c r="F149" s="465"/>
      <c r="G149" s="465"/>
      <c r="H149" s="465"/>
      <c r="I149" s="465"/>
      <c r="J149" s="466" t="s">
        <v>1807</v>
      </c>
      <c r="K149" s="466"/>
      <c r="L149" s="466"/>
      <c r="M149" s="466"/>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67"/>
      <c r="C156" s="467"/>
      <c r="D156" s="467"/>
      <c r="E156" s="467"/>
      <c r="F156" s="467"/>
      <c r="G156" s="467"/>
      <c r="H156" s="343" t="s">
        <v>1792</v>
      </c>
      <c r="I156" s="343">
        <f>SUM(I151:I155)+(15000/1000000)</f>
        <v>6.351</v>
      </c>
      <c r="J156" s="91"/>
    </row>
    <row r="162" spans="2:7" ht="72" customHeight="1">
      <c r="B162" s="460" t="s">
        <v>1808</v>
      </c>
      <c r="C162" s="349" t="s">
        <v>1809</v>
      </c>
      <c r="D162" s="350" t="s">
        <v>1810</v>
      </c>
      <c r="E162" s="461" t="s">
        <v>1811</v>
      </c>
      <c r="F162" s="461"/>
      <c r="G162" s="461"/>
    </row>
    <row r="163" spans="2:7" ht="78.75" customHeight="1">
      <c r="B163" s="460"/>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60" t="s">
        <v>1808</v>
      </c>
      <c r="C179" s="349" t="s">
        <v>1809</v>
      </c>
      <c r="D179" s="350" t="s">
        <v>1810</v>
      </c>
    </row>
    <row r="180" spans="2:11" ht="36">
      <c r="B180" s="460"/>
      <c r="C180" s="1" t="s">
        <v>1814</v>
      </c>
      <c r="D180" s="350" t="s">
        <v>1815</v>
      </c>
    </row>
    <row r="181" spans="2:11" ht="36">
      <c r="B181" s="351" t="s">
        <v>1816</v>
      </c>
      <c r="C181" s="356">
        <f>$I$32</f>
        <v>24.222884210526313</v>
      </c>
      <c r="D181" s="356">
        <f>C181*365.25/1000</f>
        <v>8.847408457894737</v>
      </c>
    </row>
    <row r="189" spans="2:11" ht="21" customHeight="1">
      <c r="B189" s="462" t="s">
        <v>1817</v>
      </c>
      <c r="C189" s="462"/>
      <c r="D189" s="462"/>
      <c r="E189" s="462"/>
      <c r="F189" s="462"/>
      <c r="G189" s="462"/>
      <c r="H189" s="462"/>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59" t="s">
        <v>1819</v>
      </c>
      <c r="C197" s="459"/>
      <c r="D197" s="459"/>
      <c r="F197" s="459" t="s">
        <v>1819</v>
      </c>
      <c r="G197" s="459"/>
      <c r="H197" s="459"/>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59" t="s">
        <v>1826</v>
      </c>
      <c r="C204" s="459"/>
      <c r="D204" s="459"/>
      <c r="F204" s="459" t="s">
        <v>1826</v>
      </c>
      <c r="G204" s="459"/>
      <c r="H204" s="459"/>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6" t="s">
        <v>1</v>
      </c>
      <c r="I3" s="456"/>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7" t="s">
        <v>22</v>
      </c>
      <c r="G21" s="457"/>
      <c r="H21" s="457"/>
      <c r="I21" s="457"/>
    </row>
    <row r="22" spans="3:25" ht="18">
      <c r="F22" s="458" t="s">
        <v>23</v>
      </c>
      <c r="G22" s="458"/>
      <c r="H22" s="458"/>
      <c r="I22" s="29">
        <v>20</v>
      </c>
      <c r="O22" s="30"/>
    </row>
    <row r="23" spans="3:25" ht="15">
      <c r="F23" s="455" t="s">
        <v>24</v>
      </c>
      <c r="G23" s="455"/>
      <c r="H23" s="455"/>
      <c r="I23" s="29">
        <f>0.7*I22/10</f>
        <v>1.4</v>
      </c>
    </row>
    <row r="24" spans="3:25" ht="15">
      <c r="F24" s="455" t="s">
        <v>25</v>
      </c>
      <c r="G24" s="455"/>
      <c r="H24" s="455"/>
      <c r="I24" s="29">
        <v>2</v>
      </c>
    </row>
    <row r="25" spans="3:25" ht="15">
      <c r="F25" s="455" t="s">
        <v>26</v>
      </c>
      <c r="G25" s="455"/>
      <c r="H25" s="455"/>
      <c r="I25" s="29">
        <v>0</v>
      </c>
    </row>
    <row r="26" spans="3:25" ht="15">
      <c r="F26" s="455" t="s">
        <v>27</v>
      </c>
      <c r="G26" s="455"/>
      <c r="H26" s="455"/>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6" t="s">
        <v>1</v>
      </c>
      <c r="I33" s="456"/>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7" t="s">
        <v>22</v>
      </c>
      <c r="G51" s="457"/>
      <c r="H51" s="457"/>
      <c r="I51" s="457"/>
      <c r="K51" t="s">
        <v>33</v>
      </c>
      <c r="L51" t="s">
        <v>34</v>
      </c>
    </row>
    <row r="52" spans="3:25" ht="18">
      <c r="F52" s="458" t="s">
        <v>23</v>
      </c>
      <c r="G52" s="458"/>
      <c r="H52" s="458"/>
      <c r="I52" s="29">
        <v>20</v>
      </c>
      <c r="K52">
        <v>1</v>
      </c>
      <c r="L52">
        <v>2</v>
      </c>
      <c r="O52" s="30"/>
    </row>
    <row r="53" spans="3:25" ht="15">
      <c r="F53" s="455" t="s">
        <v>24</v>
      </c>
      <c r="G53" s="455"/>
      <c r="H53" s="455"/>
      <c r="I53" s="29">
        <f>0.7*I52/10</f>
        <v>1.4</v>
      </c>
      <c r="K53">
        <v>3</v>
      </c>
      <c r="L53">
        <v>6</v>
      </c>
      <c r="M53" t="str">
        <f>IF((K53/L53)=INT(K53/L53), "good", "bad")</f>
        <v>bad</v>
      </c>
    </row>
    <row r="54" spans="3:25" ht="15">
      <c r="F54" s="455" t="s">
        <v>25</v>
      </c>
      <c r="G54" s="455"/>
      <c r="H54" s="455"/>
      <c r="I54" s="29">
        <v>2</v>
      </c>
      <c r="K54">
        <v>1</v>
      </c>
      <c r="L54">
        <v>2</v>
      </c>
      <c r="M54" t="str">
        <f>IF((K54/L54)=INT(K54/L54), "good", "bad")</f>
        <v>bad</v>
      </c>
    </row>
    <row r="55" spans="3:25" ht="15">
      <c r="F55" s="455" t="s">
        <v>26</v>
      </c>
      <c r="G55" s="455"/>
      <c r="H55" s="455"/>
      <c r="I55" s="29">
        <v>0</v>
      </c>
      <c r="K55">
        <v>1</v>
      </c>
      <c r="L55">
        <v>2</v>
      </c>
      <c r="M55" t="str">
        <f>IF((K55/L55)=INT(K55/L55), "good", "bad")</f>
        <v>bad</v>
      </c>
    </row>
    <row r="56" spans="3:25" ht="15">
      <c r="F56" s="455" t="s">
        <v>27</v>
      </c>
      <c r="G56" s="455"/>
      <c r="H56" s="455"/>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6" t="s">
        <v>1</v>
      </c>
      <c r="I61" s="456"/>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7" t="s">
        <v>22</v>
      </c>
      <c r="G79" s="457"/>
      <c r="H79" s="457"/>
      <c r="I79" s="457"/>
    </row>
    <row r="80" spans="6:18" ht="18">
      <c r="F80" s="458" t="s">
        <v>23</v>
      </c>
      <c r="G80" s="458"/>
      <c r="H80" s="458"/>
      <c r="I80" s="29">
        <v>20</v>
      </c>
      <c r="O80" s="30"/>
    </row>
    <row r="81" spans="3:25" ht="15">
      <c r="F81" s="455" t="s">
        <v>24</v>
      </c>
      <c r="G81" s="455"/>
      <c r="H81" s="455"/>
      <c r="I81" s="29">
        <f>0.7*I80/10</f>
        <v>1.4</v>
      </c>
    </row>
    <row r="82" spans="3:25" ht="15">
      <c r="F82" s="455" t="s">
        <v>25</v>
      </c>
      <c r="G82" s="455"/>
      <c r="H82" s="455"/>
      <c r="I82" s="29">
        <v>2</v>
      </c>
    </row>
    <row r="83" spans="3:25" ht="15">
      <c r="F83" s="455" t="s">
        <v>26</v>
      </c>
      <c r="G83" s="455"/>
      <c r="H83" s="455"/>
      <c r="I83" s="29">
        <v>0</v>
      </c>
    </row>
    <row r="84" spans="3:25" ht="15">
      <c r="F84" s="455" t="s">
        <v>27</v>
      </c>
      <c r="G84" s="455"/>
      <c r="H84" s="455"/>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6" t="s">
        <v>1</v>
      </c>
      <c r="I91" s="456"/>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7" t="s">
        <v>22</v>
      </c>
      <c r="G109" s="457"/>
      <c r="H109" s="457"/>
      <c r="I109" s="457"/>
    </row>
    <row r="110" spans="6:18" ht="18">
      <c r="F110" s="458" t="s">
        <v>23</v>
      </c>
      <c r="G110" s="458"/>
      <c r="H110" s="458"/>
      <c r="I110" s="29">
        <v>20</v>
      </c>
      <c r="O110" s="30"/>
    </row>
    <row r="111" spans="6:18" ht="15">
      <c r="F111" s="455" t="s">
        <v>24</v>
      </c>
      <c r="G111" s="455"/>
      <c r="H111" s="455"/>
      <c r="I111" s="29">
        <f>0.7*I110/10</f>
        <v>1.4</v>
      </c>
    </row>
    <row r="112" spans="6:18" ht="15">
      <c r="F112" s="455" t="s">
        <v>25</v>
      </c>
      <c r="G112" s="455"/>
      <c r="H112" s="455"/>
      <c r="I112" s="29">
        <v>2</v>
      </c>
    </row>
    <row r="113" spans="3:17" ht="15">
      <c r="F113" s="455" t="s">
        <v>26</v>
      </c>
      <c r="G113" s="455"/>
      <c r="H113" s="455"/>
      <c r="I113" s="29">
        <v>2</v>
      </c>
    </row>
    <row r="114" spans="3:17" ht="15">
      <c r="F114" s="455" t="s">
        <v>27</v>
      </c>
      <c r="G114" s="455"/>
      <c r="H114" s="455"/>
      <c r="I114" s="29">
        <v>2</v>
      </c>
    </row>
    <row r="115" spans="3:17" ht="15"/>
    <row r="119" spans="3:17" ht="15">
      <c r="C119" s="6" t="s">
        <v>38</v>
      </c>
      <c r="D119" s="6"/>
      <c r="E119" s="6"/>
      <c r="F119" s="8"/>
      <c r="G119" s="8"/>
      <c r="H119" s="8"/>
      <c r="I119" s="8"/>
      <c r="J119" s="9"/>
      <c r="K119" s="8"/>
      <c r="L119" s="8"/>
      <c r="M119" s="8"/>
      <c r="N119" s="9"/>
      <c r="O119" s="9"/>
      <c r="P119" s="8"/>
    </row>
    <row r="120" spans="3:17" ht="15">
      <c r="H120" s="456" t="s">
        <v>1</v>
      </c>
      <c r="I120" s="456"/>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7" t="s">
        <v>22</v>
      </c>
      <c r="G138" s="457"/>
      <c r="H138" s="457"/>
      <c r="I138" s="457"/>
    </row>
    <row r="139" spans="6:18" ht="18">
      <c r="F139" s="458" t="s">
        <v>23</v>
      </c>
      <c r="G139" s="458"/>
      <c r="H139" s="458"/>
      <c r="I139" s="29">
        <v>20</v>
      </c>
      <c r="O139" s="30"/>
    </row>
    <row r="140" spans="6:18" ht="15">
      <c r="F140" s="455" t="s">
        <v>24</v>
      </c>
      <c r="G140" s="455"/>
      <c r="H140" s="455"/>
      <c r="I140" s="29">
        <f>0.7*I139/10</f>
        <v>1.4</v>
      </c>
    </row>
    <row r="141" spans="6:18" ht="15">
      <c r="F141" s="455" t="s">
        <v>25</v>
      </c>
      <c r="G141" s="455"/>
      <c r="H141" s="455"/>
      <c r="I141" s="29">
        <v>2</v>
      </c>
    </row>
    <row r="142" spans="6:18" ht="15">
      <c r="F142" s="455" t="s">
        <v>26</v>
      </c>
      <c r="G142" s="455"/>
      <c r="H142" s="455"/>
      <c r="I142" s="29">
        <v>1</v>
      </c>
    </row>
    <row r="143" spans="6:18" ht="15">
      <c r="F143" s="455" t="s">
        <v>27</v>
      </c>
      <c r="G143" s="455"/>
      <c r="H143" s="455"/>
      <c r="I143" s="29">
        <v>1</v>
      </c>
    </row>
    <row r="144" spans="6:18" ht="15"/>
    <row r="149" spans="3:17" ht="15">
      <c r="C149" s="6" t="s">
        <v>39</v>
      </c>
      <c r="D149" s="6"/>
      <c r="E149" s="6"/>
      <c r="F149" s="8"/>
      <c r="G149" s="8"/>
      <c r="H149" s="8"/>
      <c r="I149" s="8"/>
      <c r="J149" s="9"/>
      <c r="K149" s="8"/>
      <c r="L149" s="8"/>
      <c r="M149" s="8"/>
      <c r="N149" s="9"/>
      <c r="O149" s="9"/>
      <c r="P149" s="8"/>
    </row>
    <row r="150" spans="3:17" ht="15">
      <c r="H150" s="456" t="s">
        <v>1</v>
      </c>
      <c r="I150" s="456"/>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7" t="s">
        <v>22</v>
      </c>
      <c r="G168" s="457"/>
      <c r="H168" s="457"/>
      <c r="I168" s="457"/>
    </row>
    <row r="169" spans="6:18" ht="18">
      <c r="F169" s="458" t="s">
        <v>23</v>
      </c>
      <c r="G169" s="458"/>
      <c r="H169" s="458"/>
      <c r="I169" s="29">
        <v>20</v>
      </c>
      <c r="O169" s="30"/>
    </row>
    <row r="170" spans="6:18" ht="15">
      <c r="F170" s="455" t="s">
        <v>24</v>
      </c>
      <c r="G170" s="455"/>
      <c r="H170" s="455"/>
      <c r="I170" s="29">
        <f>0.7*I169/10</f>
        <v>1.4</v>
      </c>
    </row>
    <row r="171" spans="6:18" ht="15">
      <c r="F171" s="455" t="s">
        <v>25</v>
      </c>
      <c r="G171" s="455"/>
      <c r="H171" s="455"/>
      <c r="I171" s="29">
        <v>2</v>
      </c>
    </row>
    <row r="172" spans="6:18" ht="15">
      <c r="F172" s="455" t="s">
        <v>26</v>
      </c>
      <c r="G172" s="455"/>
      <c r="H172" s="455"/>
      <c r="I172" s="29">
        <v>1</v>
      </c>
    </row>
    <row r="173" spans="6:18" ht="15">
      <c r="F173" s="455" t="s">
        <v>27</v>
      </c>
      <c r="G173" s="455"/>
      <c r="H173" s="455"/>
      <c r="I173" s="29">
        <v>1</v>
      </c>
    </row>
    <row r="174" spans="6:18" ht="15"/>
    <row r="178" spans="3:17" ht="15">
      <c r="C178" s="6" t="s">
        <v>40</v>
      </c>
      <c r="D178" s="6"/>
      <c r="E178" s="6"/>
      <c r="F178" s="8"/>
      <c r="G178" s="8"/>
      <c r="H178" s="8"/>
      <c r="I178" s="8"/>
      <c r="J178" s="9"/>
      <c r="K178" s="8"/>
      <c r="L178" s="8"/>
      <c r="M178" s="8"/>
      <c r="N178" s="9"/>
      <c r="O178" s="9"/>
      <c r="P178" s="8"/>
    </row>
    <row r="179" spans="3:17" ht="15">
      <c r="H179" s="456" t="s">
        <v>1</v>
      </c>
      <c r="I179" s="456"/>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7" t="s">
        <v>22</v>
      </c>
      <c r="G197" s="457"/>
      <c r="H197" s="457"/>
      <c r="I197" s="457"/>
    </row>
    <row r="198" spans="6:19" ht="18">
      <c r="F198" s="458" t="s">
        <v>23</v>
      </c>
      <c r="G198" s="458"/>
      <c r="H198" s="458"/>
      <c r="I198" s="29">
        <v>20</v>
      </c>
      <c r="O198" s="30"/>
    </row>
    <row r="199" spans="6:19" ht="15">
      <c r="F199" s="455" t="s">
        <v>24</v>
      </c>
      <c r="G199" s="455"/>
      <c r="H199" s="455"/>
      <c r="I199" s="29">
        <f>0.7*I198/10</f>
        <v>1.4</v>
      </c>
    </row>
    <row r="200" spans="6:19" ht="15">
      <c r="F200" s="455" t="s">
        <v>25</v>
      </c>
      <c r="G200" s="455"/>
      <c r="H200" s="455"/>
      <c r="I200" s="29">
        <v>2</v>
      </c>
    </row>
    <row r="201" spans="6:19" ht="15">
      <c r="F201" s="455" t="s">
        <v>26</v>
      </c>
      <c r="G201" s="455"/>
      <c r="H201" s="455"/>
      <c r="I201" s="29">
        <v>1</v>
      </c>
    </row>
    <row r="202" spans="6:19" ht="15">
      <c r="F202" s="455" t="s">
        <v>27</v>
      </c>
      <c r="G202" s="455"/>
      <c r="H202" s="455"/>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6" t="s">
        <v>1</v>
      </c>
      <c r="I219" s="456"/>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7" t="s">
        <v>22</v>
      </c>
      <c r="G237" s="457"/>
      <c r="H237" s="457"/>
      <c r="I237" s="457"/>
    </row>
    <row r="238" spans="6:19" ht="18">
      <c r="F238" s="458" t="s">
        <v>23</v>
      </c>
      <c r="G238" s="458"/>
      <c r="H238" s="458"/>
      <c r="I238" s="29">
        <v>20</v>
      </c>
      <c r="O238" s="30"/>
      <c r="P238" s="41" t="s">
        <v>47</v>
      </c>
      <c r="Q238" s="41"/>
      <c r="R238" s="42">
        <f>P235</f>
        <v>643.01035679999995</v>
      </c>
      <c r="S238" s="383" t="s">
        <v>42</v>
      </c>
    </row>
    <row r="239" spans="6:19" ht="15">
      <c r="F239" s="455" t="s">
        <v>24</v>
      </c>
      <c r="G239" s="455"/>
      <c r="H239" s="455"/>
      <c r="I239" s="29">
        <f>0.7*I238/10</f>
        <v>1.4</v>
      </c>
    </row>
    <row r="240" spans="6:19" ht="15">
      <c r="F240" s="455" t="s">
        <v>25</v>
      </c>
      <c r="G240" s="455"/>
      <c r="H240" s="455"/>
      <c r="I240" s="29">
        <v>2</v>
      </c>
    </row>
    <row r="241" spans="3:20" ht="15">
      <c r="F241" s="455" t="s">
        <v>26</v>
      </c>
      <c r="G241" s="455"/>
      <c r="H241" s="455"/>
      <c r="I241" s="29">
        <v>20</v>
      </c>
    </row>
    <row r="242" spans="3:20" ht="15">
      <c r="F242" s="455" t="s">
        <v>27</v>
      </c>
      <c r="G242" s="455"/>
      <c r="H242" s="455"/>
      <c r="I242" s="29">
        <v>8</v>
      </c>
    </row>
    <row r="243" spans="3:20" ht="15"/>
    <row r="246" spans="3:20" ht="15">
      <c r="C246" s="6" t="s">
        <v>48</v>
      </c>
      <c r="D246" s="6"/>
      <c r="E246" s="6"/>
      <c r="F246" s="8"/>
      <c r="G246" s="8"/>
      <c r="H246" s="8"/>
      <c r="I246" s="8"/>
      <c r="J246" s="9"/>
      <c r="K246" s="8"/>
      <c r="L246" s="8"/>
      <c r="M246" s="8"/>
      <c r="N246" s="9"/>
      <c r="O246" s="9"/>
      <c r="P246" s="8"/>
    </row>
    <row r="247" spans="3:20" ht="15">
      <c r="H247" s="456" t="s">
        <v>1</v>
      </c>
      <c r="I247" s="456"/>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7" t="s">
        <v>22</v>
      </c>
      <c r="G265" s="457"/>
      <c r="H265" s="457"/>
      <c r="I265" s="457"/>
    </row>
    <row r="266" spans="6:19" ht="18">
      <c r="F266" s="458" t="s">
        <v>23</v>
      </c>
      <c r="G266" s="458"/>
      <c r="H266" s="458"/>
      <c r="I266" s="29">
        <v>20</v>
      </c>
      <c r="O266" s="30"/>
    </row>
    <row r="267" spans="6:19" ht="15">
      <c r="F267" s="455" t="s">
        <v>24</v>
      </c>
      <c r="G267" s="455"/>
      <c r="H267" s="455"/>
      <c r="I267" s="29">
        <f>0.7*I266/10</f>
        <v>1.4</v>
      </c>
    </row>
    <row r="268" spans="6:19" ht="15">
      <c r="F268" s="455" t="s">
        <v>25</v>
      </c>
      <c r="G268" s="455"/>
      <c r="H268" s="455"/>
      <c r="I268" s="29">
        <v>2</v>
      </c>
    </row>
    <row r="269" spans="6:19" ht="15">
      <c r="F269" s="455" t="s">
        <v>63</v>
      </c>
      <c r="G269" s="455"/>
      <c r="H269" s="455"/>
      <c r="I269" s="70">
        <v>6</v>
      </c>
    </row>
    <row r="270" spans="6:19" ht="15">
      <c r="F270" s="455" t="s">
        <v>71</v>
      </c>
      <c r="G270" s="455"/>
      <c r="H270" s="455"/>
      <c r="I270" s="70">
        <v>4</v>
      </c>
    </row>
    <row r="275" spans="3:20" ht="15">
      <c r="C275" s="6">
        <v>23149</v>
      </c>
      <c r="D275" s="6"/>
      <c r="E275" s="6"/>
      <c r="F275" s="8"/>
      <c r="G275" s="8"/>
      <c r="H275" s="8"/>
      <c r="I275" s="8"/>
      <c r="J275" s="9"/>
      <c r="K275" s="8"/>
      <c r="L275" s="8"/>
      <c r="M275" s="8"/>
      <c r="N275" s="9"/>
      <c r="O275" s="9"/>
      <c r="P275" s="8"/>
    </row>
    <row r="276" spans="3:20" ht="15">
      <c r="H276" s="456" t="s">
        <v>1</v>
      </c>
      <c r="I276" s="456"/>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7" t="s">
        <v>22</v>
      </c>
      <c r="G294" s="457"/>
      <c r="H294" s="457"/>
      <c r="I294" s="457"/>
    </row>
    <row r="295" spans="3:21" ht="18">
      <c r="F295" s="458" t="s">
        <v>23</v>
      </c>
      <c r="G295" s="458"/>
      <c r="H295" s="458"/>
      <c r="I295" s="29">
        <v>20</v>
      </c>
      <c r="O295" s="30"/>
      <c r="P295">
        <f>1030/60</f>
        <v>17.166666666666668</v>
      </c>
      <c r="Q295">
        <f>12+619/60</f>
        <v>22.316666666666666</v>
      </c>
      <c r="R295">
        <f>17.5+22.32-24</f>
        <v>15.82</v>
      </c>
    </row>
    <row r="296" spans="3:21" ht="15">
      <c r="F296" s="455" t="s">
        <v>24</v>
      </c>
      <c r="G296" s="455"/>
      <c r="H296" s="455"/>
      <c r="I296" s="29">
        <f>0.7*I295/10</f>
        <v>1.4</v>
      </c>
      <c r="N296" s="3">
        <f>1.6*3+23.4+143</f>
        <v>171.2</v>
      </c>
    </row>
    <row r="297" spans="3:21" ht="15">
      <c r="F297" s="455" t="s">
        <v>25</v>
      </c>
      <c r="G297" s="455"/>
      <c r="H297" s="455"/>
      <c r="I297" s="29">
        <v>2</v>
      </c>
      <c r="N297" s="3">
        <f>1.6*3+23.4</f>
        <v>28.2</v>
      </c>
      <c r="P297">
        <f>12*13</f>
        <v>156</v>
      </c>
      <c r="Q297">
        <f>15.2+1.6+156</f>
        <v>172.8</v>
      </c>
    </row>
    <row r="298" spans="3:21" ht="15">
      <c r="F298" s="455" t="s">
        <v>63</v>
      </c>
      <c r="G298" s="455"/>
      <c r="H298" s="455"/>
      <c r="I298" s="70">
        <v>6</v>
      </c>
      <c r="P298">
        <f>12-(2+19.5/24)</f>
        <v>9.1875</v>
      </c>
    </row>
    <row r="299" spans="3:21" ht="15">
      <c r="F299" s="455" t="s">
        <v>71</v>
      </c>
      <c r="G299" s="455"/>
      <c r="H299" s="455"/>
      <c r="I299" s="70">
        <v>4</v>
      </c>
    </row>
    <row r="301" spans="3:21" ht="15">
      <c r="C301" s="6">
        <v>23212</v>
      </c>
      <c r="D301" s="6"/>
      <c r="E301" s="6"/>
      <c r="F301" s="8"/>
      <c r="G301" s="8"/>
      <c r="H301" s="8"/>
      <c r="I301" s="8"/>
      <c r="J301" s="9"/>
      <c r="K301" s="8"/>
      <c r="L301" s="8"/>
      <c r="M301" s="8"/>
      <c r="N301" s="9"/>
      <c r="O301" s="9"/>
      <c r="P301" s="8"/>
      <c r="Q301">
        <f>11*13</f>
        <v>143</v>
      </c>
    </row>
    <row r="302" spans="3:21" ht="15">
      <c r="H302" s="456" t="s">
        <v>1</v>
      </c>
      <c r="I302" s="456"/>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7" t="s">
        <v>22</v>
      </c>
      <c r="G320" s="457"/>
      <c r="H320" s="457"/>
      <c r="I320" s="457"/>
    </row>
    <row r="321" spans="3:21" ht="18">
      <c r="F321" s="458" t="s">
        <v>23</v>
      </c>
      <c r="G321" s="458"/>
      <c r="H321" s="458"/>
      <c r="I321" s="29">
        <v>20</v>
      </c>
      <c r="O321" s="30"/>
    </row>
    <row r="322" spans="3:21" ht="15">
      <c r="F322" s="455" t="s">
        <v>24</v>
      </c>
      <c r="G322" s="455"/>
      <c r="H322" s="455"/>
      <c r="I322" s="29">
        <f>0.7*I321/10</f>
        <v>1.4</v>
      </c>
    </row>
    <row r="323" spans="3:21" ht="15">
      <c r="F323" s="455" t="s">
        <v>25</v>
      </c>
      <c r="G323" s="455"/>
      <c r="H323" s="455"/>
      <c r="I323" s="29">
        <v>2</v>
      </c>
    </row>
    <row r="324" spans="3:21" ht="15">
      <c r="F324" s="455" t="s">
        <v>63</v>
      </c>
      <c r="G324" s="455"/>
      <c r="H324" s="455"/>
      <c r="I324" s="70">
        <v>6</v>
      </c>
    </row>
    <row r="325" spans="3:21" ht="15">
      <c r="F325" s="455" t="s">
        <v>71</v>
      </c>
      <c r="G325" s="455"/>
      <c r="H325" s="455"/>
      <c r="I325" s="70">
        <v>4</v>
      </c>
    </row>
    <row r="327" spans="3:21" ht="15">
      <c r="C327" s="6">
        <v>23233</v>
      </c>
      <c r="D327" s="6"/>
      <c r="E327" s="6"/>
      <c r="F327" s="8"/>
      <c r="G327" s="8"/>
      <c r="H327" s="8"/>
      <c r="I327" s="8"/>
      <c r="J327" s="9"/>
      <c r="K327" s="8"/>
      <c r="L327" s="8"/>
      <c r="M327" s="8"/>
      <c r="N327" s="9"/>
      <c r="O327" s="9"/>
      <c r="P327" s="8"/>
      <c r="Q327">
        <f>11*13</f>
        <v>143</v>
      </c>
    </row>
    <row r="328" spans="3:21" ht="15">
      <c r="H328" s="456" t="s">
        <v>1</v>
      </c>
      <c r="I328" s="456"/>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7" t="s">
        <v>22</v>
      </c>
      <c r="G346" s="457"/>
      <c r="H346" s="457"/>
      <c r="I346" s="457"/>
    </row>
    <row r="347" spans="6:19" ht="18">
      <c r="F347" s="458" t="s">
        <v>23</v>
      </c>
      <c r="G347" s="458"/>
      <c r="H347" s="458"/>
      <c r="I347" s="29">
        <v>20</v>
      </c>
      <c r="N347" s="3">
        <f>13*5</f>
        <v>65</v>
      </c>
      <c r="O347" s="30"/>
      <c r="P347">
        <f>26+1.6+78</f>
        <v>105.6</v>
      </c>
    </row>
    <row r="348" spans="6:19" ht="15">
      <c r="F348" s="455" t="s">
        <v>24</v>
      </c>
      <c r="G348" s="455"/>
      <c r="H348" s="455"/>
      <c r="I348" s="29">
        <f>0.7*I347/10</f>
        <v>1.4</v>
      </c>
      <c r="N348" s="3">
        <f>13*6</f>
        <v>78</v>
      </c>
      <c r="P348">
        <f>13*5</f>
        <v>65</v>
      </c>
    </row>
    <row r="349" spans="6:19" ht="15">
      <c r="F349" s="455" t="s">
        <v>25</v>
      </c>
      <c r="G349" s="455"/>
      <c r="H349" s="455"/>
      <c r="I349" s="29">
        <v>2</v>
      </c>
    </row>
    <row r="350" spans="6:19" ht="15">
      <c r="F350" s="455" t="s">
        <v>63</v>
      </c>
      <c r="G350" s="455"/>
      <c r="H350" s="455"/>
      <c r="I350" s="70">
        <v>6</v>
      </c>
    </row>
    <row r="351" spans="6:19" ht="15">
      <c r="F351" s="455" t="s">
        <v>71</v>
      </c>
      <c r="G351" s="455"/>
      <c r="H351" s="455"/>
      <c r="I351" s="70">
        <v>4</v>
      </c>
    </row>
    <row r="354" spans="3:21" ht="15">
      <c r="C354" s="6">
        <v>23245</v>
      </c>
      <c r="D354" s="6"/>
      <c r="E354" s="6"/>
      <c r="F354" s="8"/>
      <c r="G354" s="8"/>
      <c r="H354" s="8"/>
      <c r="I354" s="8"/>
      <c r="J354" s="9"/>
      <c r="K354" s="8"/>
      <c r="L354" s="8"/>
      <c r="M354" s="8"/>
      <c r="N354" s="9"/>
      <c r="O354" s="9"/>
      <c r="P354" s="8"/>
      <c r="Q354">
        <f>11*13</f>
        <v>143</v>
      </c>
    </row>
    <row r="355" spans="3:21" ht="15">
      <c r="H355" s="456" t="s">
        <v>1</v>
      </c>
      <c r="I355" s="456"/>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7" t="s">
        <v>22</v>
      </c>
      <c r="G373" s="457"/>
      <c r="H373" s="457"/>
      <c r="I373" s="457"/>
    </row>
    <row r="374" spans="3:21" ht="18">
      <c r="F374" s="458" t="s">
        <v>23</v>
      </c>
      <c r="G374" s="458"/>
      <c r="H374" s="458"/>
      <c r="I374" s="29">
        <v>20</v>
      </c>
      <c r="N374" s="3">
        <f>13*5</f>
        <v>65</v>
      </c>
      <c r="O374" s="30"/>
      <c r="P374">
        <f>26+1.6+78</f>
        <v>105.6</v>
      </c>
    </row>
    <row r="375" spans="3:21" ht="15">
      <c r="F375" s="455" t="s">
        <v>24</v>
      </c>
      <c r="G375" s="455"/>
      <c r="H375" s="455"/>
      <c r="I375" s="29">
        <f>0.7*I374/10</f>
        <v>1.4</v>
      </c>
      <c r="N375" s="3">
        <f>13*6</f>
        <v>78</v>
      </c>
      <c r="P375">
        <f>13*5</f>
        <v>65</v>
      </c>
    </row>
    <row r="376" spans="3:21" ht="15">
      <c r="F376" s="455" t="s">
        <v>25</v>
      </c>
      <c r="G376" s="455"/>
      <c r="H376" s="455"/>
      <c r="I376" s="29">
        <v>2</v>
      </c>
    </row>
    <row r="377" spans="3:21" ht="15">
      <c r="F377" s="455" t="s">
        <v>63</v>
      </c>
      <c r="G377" s="455"/>
      <c r="H377" s="455"/>
      <c r="I377" s="70">
        <v>6</v>
      </c>
    </row>
    <row r="378" spans="3:21" ht="15">
      <c r="F378" s="455" t="s">
        <v>71</v>
      </c>
      <c r="G378" s="455"/>
      <c r="H378" s="455"/>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6" t="s">
        <v>1</v>
      </c>
      <c r="I383" s="456"/>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7" t="s">
        <v>22</v>
      </c>
      <c r="G401" s="457"/>
      <c r="H401" s="457"/>
      <c r="I401" s="457"/>
    </row>
    <row r="402" spans="3:19" ht="18">
      <c r="F402" s="458" t="s">
        <v>23</v>
      </c>
      <c r="G402" s="458"/>
      <c r="H402" s="458"/>
      <c r="I402" s="29">
        <v>20</v>
      </c>
      <c r="O402" s="30"/>
    </row>
    <row r="403" spans="3:19" ht="15">
      <c r="F403" s="455" t="s">
        <v>24</v>
      </c>
      <c r="G403" s="455"/>
      <c r="H403" s="455"/>
      <c r="I403" s="29">
        <f>0.7*I402/10</f>
        <v>1.4</v>
      </c>
    </row>
    <row r="404" spans="3:19" ht="15">
      <c r="F404" s="455" t="s">
        <v>25</v>
      </c>
      <c r="G404" s="455"/>
      <c r="H404" s="455"/>
      <c r="I404" s="29">
        <v>2</v>
      </c>
    </row>
    <row r="405" spans="3:19" ht="15">
      <c r="F405" s="455" t="s">
        <v>63</v>
      </c>
      <c r="G405" s="455"/>
      <c r="H405" s="455"/>
      <c r="I405" s="70">
        <v>6</v>
      </c>
    </row>
    <row r="406" spans="3:19" ht="15">
      <c r="F406" s="455" t="s">
        <v>71</v>
      </c>
      <c r="G406" s="455"/>
      <c r="H406" s="455"/>
      <c r="I406" s="70">
        <v>4</v>
      </c>
    </row>
    <row r="413" spans="3:19" ht="15">
      <c r="C413" s="6">
        <v>23275</v>
      </c>
      <c r="D413" s="6"/>
      <c r="E413" s="6"/>
      <c r="F413" s="8"/>
      <c r="G413" s="8"/>
      <c r="H413" s="8"/>
      <c r="I413" s="8"/>
      <c r="J413" s="9"/>
      <c r="K413" s="8"/>
      <c r="L413" s="8"/>
      <c r="M413" s="8"/>
      <c r="N413" s="9"/>
      <c r="O413" s="9"/>
      <c r="P413" s="8"/>
      <c r="Q413">
        <f>11*13</f>
        <v>143</v>
      </c>
    </row>
    <row r="414" spans="3:19" ht="15">
      <c r="H414" s="456" t="s">
        <v>1</v>
      </c>
      <c r="I414" s="456"/>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7" t="s">
        <v>22</v>
      </c>
      <c r="G432" s="457"/>
      <c r="H432" s="457"/>
      <c r="I432" s="457"/>
    </row>
    <row r="433" spans="3:21" ht="18">
      <c r="F433" s="458" t="s">
        <v>23</v>
      </c>
      <c r="G433" s="458"/>
      <c r="H433" s="458"/>
      <c r="I433" s="29">
        <v>20</v>
      </c>
      <c r="O433" s="30"/>
    </row>
    <row r="434" spans="3:21" ht="15">
      <c r="F434" s="455" t="s">
        <v>24</v>
      </c>
      <c r="G434" s="455"/>
      <c r="H434" s="455"/>
      <c r="I434" s="29">
        <f>0.7*I433/10</f>
        <v>1.4</v>
      </c>
    </row>
    <row r="435" spans="3:21" ht="15">
      <c r="F435" s="455" t="s">
        <v>25</v>
      </c>
      <c r="G435" s="455"/>
      <c r="H435" s="455"/>
      <c r="I435" s="29">
        <v>2</v>
      </c>
    </row>
    <row r="436" spans="3:21" ht="15">
      <c r="F436" s="455" t="s">
        <v>63</v>
      </c>
      <c r="G436" s="455"/>
      <c r="H436" s="455"/>
      <c r="I436" s="70">
        <v>6</v>
      </c>
    </row>
    <row r="437" spans="3:21" ht="15">
      <c r="F437" s="455" t="s">
        <v>71</v>
      </c>
      <c r="G437" s="455"/>
      <c r="H437" s="455"/>
      <c r="I437" s="70">
        <v>4</v>
      </c>
    </row>
    <row r="442" spans="3:21" ht="15">
      <c r="C442" s="6">
        <v>23296</v>
      </c>
      <c r="D442" s="6"/>
      <c r="E442" s="6"/>
      <c r="F442" s="8"/>
      <c r="G442" s="8"/>
      <c r="H442" s="8"/>
      <c r="I442" s="8"/>
      <c r="J442" s="9"/>
      <c r="K442" s="8"/>
      <c r="L442" s="8"/>
      <c r="M442" s="8"/>
      <c r="N442" s="9"/>
      <c r="O442" s="9"/>
      <c r="P442" s="8"/>
      <c r="Q442">
        <f>11*13</f>
        <v>143</v>
      </c>
    </row>
    <row r="443" spans="3:21" ht="15">
      <c r="H443" s="456" t="s">
        <v>1</v>
      </c>
      <c r="I443" s="456"/>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7" t="s">
        <v>22</v>
      </c>
      <c r="G461" s="457"/>
      <c r="H461" s="457"/>
      <c r="I461" s="457"/>
    </row>
    <row r="462" spans="6:20" ht="18">
      <c r="F462" s="458" t="s">
        <v>23</v>
      </c>
      <c r="G462" s="458"/>
      <c r="H462" s="458"/>
      <c r="I462" s="29">
        <v>20</v>
      </c>
      <c r="O462" s="30"/>
    </row>
    <row r="463" spans="6:20" ht="15">
      <c r="F463" s="455" t="s">
        <v>24</v>
      </c>
      <c r="G463" s="455"/>
      <c r="H463" s="455"/>
      <c r="I463" s="29">
        <f>0.7*I462/10</f>
        <v>1.4</v>
      </c>
    </row>
    <row r="464" spans="6:20" ht="15">
      <c r="F464" s="455" t="s">
        <v>25</v>
      </c>
      <c r="G464" s="455"/>
      <c r="H464" s="455"/>
      <c r="I464" s="29">
        <v>2</v>
      </c>
    </row>
    <row r="465" spans="3:21" ht="15">
      <c r="F465" s="455" t="s">
        <v>63</v>
      </c>
      <c r="G465" s="455"/>
      <c r="H465" s="455"/>
      <c r="I465" s="70">
        <v>6</v>
      </c>
    </row>
    <row r="466" spans="3:21" ht="15">
      <c r="F466" s="455" t="s">
        <v>71</v>
      </c>
      <c r="G466" s="455"/>
      <c r="H466" s="455"/>
      <c r="I466" s="70">
        <v>4</v>
      </c>
    </row>
    <row r="470" spans="3:21" ht="15">
      <c r="C470" s="6">
        <v>23317</v>
      </c>
      <c r="D470" s="6"/>
      <c r="E470" s="6"/>
      <c r="F470" s="8"/>
      <c r="G470" s="8"/>
      <c r="H470" s="8"/>
      <c r="I470" s="8"/>
      <c r="J470" s="9"/>
      <c r="K470" s="8"/>
      <c r="L470" s="8"/>
      <c r="M470" s="8"/>
      <c r="N470" s="9"/>
      <c r="O470" s="9"/>
      <c r="P470" s="8"/>
      <c r="Q470">
        <f>11*13</f>
        <v>143</v>
      </c>
    </row>
    <row r="471" spans="3:21" ht="15">
      <c r="H471" s="456" t="s">
        <v>1</v>
      </c>
      <c r="I471" s="456"/>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7" t="s">
        <v>22</v>
      </c>
      <c r="G489" s="457"/>
      <c r="H489" s="457"/>
      <c r="I489" s="457"/>
    </row>
    <row r="490" spans="6:19" ht="18">
      <c r="F490" s="458" t="s">
        <v>23</v>
      </c>
      <c r="G490" s="458"/>
      <c r="H490" s="458"/>
      <c r="I490" s="29">
        <v>20</v>
      </c>
      <c r="O490" s="30"/>
    </row>
    <row r="491" spans="6:19" ht="15">
      <c r="F491" s="455" t="s">
        <v>24</v>
      </c>
      <c r="G491" s="455"/>
      <c r="H491" s="455"/>
      <c r="I491" s="29">
        <f>0.7*I490/10</f>
        <v>1.4</v>
      </c>
    </row>
    <row r="492" spans="6:19" ht="15">
      <c r="F492" s="455" t="s">
        <v>25</v>
      </c>
      <c r="G492" s="455"/>
      <c r="H492" s="455"/>
      <c r="I492" s="29">
        <v>2</v>
      </c>
    </row>
    <row r="493" spans="6:19" ht="15">
      <c r="F493" s="455" t="s">
        <v>63</v>
      </c>
      <c r="G493" s="455"/>
      <c r="H493" s="455"/>
      <c r="I493" s="70">
        <v>6</v>
      </c>
    </row>
    <row r="494" spans="6:19" ht="15">
      <c r="F494" s="455" t="s">
        <v>71</v>
      </c>
      <c r="G494" s="455"/>
      <c r="H494" s="455"/>
      <c r="I494" s="70">
        <v>4</v>
      </c>
    </row>
    <row r="498" spans="3:21" ht="15">
      <c r="C498" s="6">
        <v>23338</v>
      </c>
      <c r="D498" s="6"/>
      <c r="E498" s="6"/>
      <c r="F498" s="8"/>
      <c r="G498" s="8"/>
      <c r="H498" s="8"/>
      <c r="I498" s="8"/>
      <c r="J498" s="9"/>
      <c r="K498" s="8"/>
      <c r="L498" s="8"/>
      <c r="M498" s="8"/>
      <c r="N498" s="9"/>
      <c r="O498" s="9"/>
      <c r="P498" s="8"/>
      <c r="Q498">
        <f>11*13</f>
        <v>143</v>
      </c>
    </row>
    <row r="499" spans="3:21" ht="15">
      <c r="H499" s="456" t="s">
        <v>1</v>
      </c>
      <c r="I499" s="456"/>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7" t="s">
        <v>22</v>
      </c>
      <c r="G517" s="457"/>
      <c r="H517" s="457"/>
      <c r="I517" s="457"/>
    </row>
    <row r="518" spans="3:19" ht="18">
      <c r="F518" s="458" t="s">
        <v>23</v>
      </c>
      <c r="G518" s="458"/>
      <c r="H518" s="458"/>
      <c r="I518" s="29">
        <v>20</v>
      </c>
      <c r="O518" s="30"/>
    </row>
    <row r="519" spans="3:19" ht="15">
      <c r="F519" s="455" t="s">
        <v>24</v>
      </c>
      <c r="G519" s="455"/>
      <c r="H519" s="455"/>
      <c r="I519" s="29">
        <f>0.7*I518/10</f>
        <v>1.4</v>
      </c>
    </row>
    <row r="520" spans="3:19" ht="15">
      <c r="F520" s="455" t="s">
        <v>25</v>
      </c>
      <c r="G520" s="455"/>
      <c r="H520" s="455"/>
      <c r="I520" s="29">
        <v>2</v>
      </c>
    </row>
    <row r="521" spans="3:19" ht="15">
      <c r="F521" s="455" t="s">
        <v>63</v>
      </c>
      <c r="G521" s="455"/>
      <c r="H521" s="455"/>
      <c r="I521" s="70">
        <v>6</v>
      </c>
    </row>
    <row r="522" spans="3:19" ht="15">
      <c r="F522" s="455" t="s">
        <v>71</v>
      </c>
      <c r="G522" s="455"/>
      <c r="H522" s="455"/>
      <c r="I522" s="70">
        <v>4</v>
      </c>
    </row>
    <row r="527" spans="3:19" ht="15">
      <c r="C527" s="6">
        <v>24015</v>
      </c>
      <c r="D527" s="6"/>
      <c r="E527" s="6"/>
      <c r="F527" s="8"/>
      <c r="G527" s="8"/>
      <c r="H527" s="8"/>
      <c r="I527" s="8"/>
      <c r="J527" s="9"/>
      <c r="K527" s="8"/>
      <c r="L527" s="8"/>
      <c r="M527" s="8"/>
      <c r="N527" s="9"/>
      <c r="O527" s="9"/>
      <c r="P527" s="8"/>
      <c r="Q527">
        <f>11*13</f>
        <v>143</v>
      </c>
    </row>
    <row r="528" spans="3:19" ht="15">
      <c r="H528" s="456" t="s">
        <v>1</v>
      </c>
      <c r="I528" s="456"/>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7" t="s">
        <v>22</v>
      </c>
      <c r="G546" s="457"/>
      <c r="H546" s="457"/>
      <c r="I546" s="457"/>
    </row>
    <row r="547" spans="3:19" ht="18">
      <c r="F547" s="458" t="s">
        <v>23</v>
      </c>
      <c r="G547" s="458"/>
      <c r="H547" s="458"/>
      <c r="I547" s="29">
        <v>20</v>
      </c>
      <c r="O547" s="30"/>
    </row>
    <row r="548" spans="3:19" ht="15">
      <c r="F548" s="455" t="s">
        <v>24</v>
      </c>
      <c r="G548" s="455"/>
      <c r="H548" s="455"/>
      <c r="I548" s="29">
        <f>0.7*I547/10</f>
        <v>1.4</v>
      </c>
    </row>
    <row r="549" spans="3:19" ht="15">
      <c r="F549" s="455" t="s">
        <v>25</v>
      </c>
      <c r="G549" s="455"/>
      <c r="H549" s="455"/>
      <c r="I549" s="29">
        <v>2</v>
      </c>
    </row>
    <row r="550" spans="3:19" ht="15">
      <c r="F550" s="455" t="s">
        <v>63</v>
      </c>
      <c r="G550" s="455"/>
      <c r="H550" s="455"/>
      <c r="I550" s="70">
        <v>6</v>
      </c>
    </row>
    <row r="551" spans="3:19" ht="15">
      <c r="F551" s="455" t="s">
        <v>71</v>
      </c>
      <c r="G551" s="455"/>
      <c r="H551" s="455"/>
      <c r="I551" s="70">
        <v>4</v>
      </c>
    </row>
    <row r="557" spans="3:19" ht="15">
      <c r="C557" s="6">
        <v>24036</v>
      </c>
      <c r="D557" s="6"/>
      <c r="E557" s="6"/>
      <c r="F557" s="8"/>
      <c r="G557" s="8"/>
      <c r="H557" s="8"/>
      <c r="I557" s="8"/>
      <c r="J557" s="9"/>
      <c r="K557" s="8"/>
      <c r="L557" s="8"/>
      <c r="M557" s="8"/>
      <c r="N557" s="9"/>
      <c r="O557" s="9"/>
      <c r="P557" s="8"/>
      <c r="Q557">
        <f>11*13</f>
        <v>143</v>
      </c>
    </row>
    <row r="558" spans="3:19" ht="15">
      <c r="H558" s="456" t="s">
        <v>1</v>
      </c>
      <c r="I558" s="456"/>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7" t="s">
        <v>22</v>
      </c>
      <c r="G576" s="457"/>
      <c r="H576" s="457"/>
      <c r="I576" s="457"/>
    </row>
    <row r="577" spans="3:20" ht="18">
      <c r="F577" s="458" t="s">
        <v>23</v>
      </c>
      <c r="G577" s="458"/>
      <c r="H577" s="458"/>
      <c r="I577" s="29">
        <v>20</v>
      </c>
      <c r="O577" s="30"/>
    </row>
    <row r="578" spans="3:20" ht="15">
      <c r="F578" s="455" t="s">
        <v>24</v>
      </c>
      <c r="G578" s="455"/>
      <c r="H578" s="455"/>
      <c r="I578" s="29">
        <f>0.7*I577/10</f>
        <v>1.4</v>
      </c>
    </row>
    <row r="579" spans="3:20" ht="15">
      <c r="F579" s="455" t="s">
        <v>25</v>
      </c>
      <c r="G579" s="455"/>
      <c r="H579" s="455"/>
      <c r="I579" s="29">
        <v>2</v>
      </c>
    </row>
    <row r="580" spans="3:20" ht="15">
      <c r="F580" s="455" t="s">
        <v>63</v>
      </c>
      <c r="G580" s="455"/>
      <c r="H580" s="455"/>
      <c r="I580" s="70">
        <v>6</v>
      </c>
    </row>
    <row r="581" spans="3:20" ht="15">
      <c r="F581" s="455" t="s">
        <v>71</v>
      </c>
      <c r="G581" s="455"/>
      <c r="H581" s="455"/>
      <c r="I581" s="70">
        <v>4</v>
      </c>
    </row>
    <row r="587" spans="3:20" ht="15">
      <c r="C587" s="6">
        <v>24057</v>
      </c>
      <c r="D587" s="6"/>
      <c r="E587" s="6"/>
      <c r="F587" s="8"/>
      <c r="G587" s="8"/>
      <c r="H587" s="8"/>
      <c r="I587" s="8"/>
      <c r="J587" s="9"/>
      <c r="K587" s="8"/>
      <c r="L587" s="8"/>
      <c r="M587" s="8"/>
      <c r="N587" s="9"/>
      <c r="O587" s="9"/>
      <c r="P587" s="8"/>
      <c r="Q587">
        <f>11*13</f>
        <v>143</v>
      </c>
    </row>
    <row r="588" spans="3:20" ht="15">
      <c r="H588" s="456" t="s">
        <v>1</v>
      </c>
      <c r="I588" s="456"/>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7" t="s">
        <v>22</v>
      </c>
      <c r="G606" s="457"/>
      <c r="H606" s="457"/>
      <c r="I606" s="457"/>
    </row>
    <row r="607" spans="6:21" ht="18">
      <c r="F607" s="458" t="s">
        <v>23</v>
      </c>
      <c r="G607" s="458"/>
      <c r="H607" s="458"/>
      <c r="I607" s="29">
        <v>20</v>
      </c>
      <c r="O607" s="30"/>
    </row>
    <row r="608" spans="6:21" ht="15">
      <c r="F608" s="455" t="s">
        <v>24</v>
      </c>
      <c r="G608" s="455"/>
      <c r="H608" s="455"/>
      <c r="I608" s="29">
        <f>0.7*I607/10</f>
        <v>1.4</v>
      </c>
      <c r="R608">
        <v>78</v>
      </c>
    </row>
    <row r="609" spans="3:23" ht="15">
      <c r="F609" s="455" t="s">
        <v>25</v>
      </c>
      <c r="G609" s="455"/>
      <c r="H609" s="455"/>
      <c r="I609" s="29">
        <v>2</v>
      </c>
      <c r="P609" t="s">
        <v>1940</v>
      </c>
      <c r="R609">
        <f>10*2.3</f>
        <v>23</v>
      </c>
      <c r="S609">
        <f>R609+R608</f>
        <v>101</v>
      </c>
    </row>
    <row r="610" spans="3:23" ht="15">
      <c r="F610" s="455" t="s">
        <v>63</v>
      </c>
      <c r="G610" s="455"/>
      <c r="H610" s="455"/>
      <c r="I610" s="70">
        <v>6</v>
      </c>
      <c r="P610">
        <f>366-277.25+83</f>
        <v>171.75</v>
      </c>
      <c r="R610">
        <f>366-276.8</f>
        <v>89.199999999999989</v>
      </c>
    </row>
    <row r="611" spans="3:23" ht="15">
      <c r="F611" s="455" t="s">
        <v>71</v>
      </c>
      <c r="G611" s="455"/>
      <c r="H611" s="455"/>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6" t="s">
        <v>1</v>
      </c>
      <c r="I615" s="456"/>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7" t="s">
        <v>22</v>
      </c>
      <c r="G633" s="457"/>
      <c r="H633" s="457"/>
      <c r="I633" s="457"/>
    </row>
    <row r="634" spans="6:21" ht="18">
      <c r="F634" s="458" t="s">
        <v>23</v>
      </c>
      <c r="G634" s="458"/>
      <c r="H634" s="458"/>
      <c r="I634" s="29">
        <v>20</v>
      </c>
      <c r="O634" s="30"/>
    </row>
    <row r="635" spans="6:21" ht="15">
      <c r="F635" s="455" t="s">
        <v>24</v>
      </c>
      <c r="G635" s="455"/>
      <c r="H635" s="455"/>
      <c r="I635" s="29">
        <f>0.7*I634/10</f>
        <v>1.4</v>
      </c>
    </row>
    <row r="636" spans="6:21" ht="15">
      <c r="F636" s="455" t="s">
        <v>25</v>
      </c>
      <c r="G636" s="455"/>
      <c r="H636" s="455"/>
      <c r="I636" s="29">
        <v>2</v>
      </c>
    </row>
    <row r="637" spans="6:21" ht="15">
      <c r="F637" s="455" t="s">
        <v>63</v>
      </c>
      <c r="G637" s="455"/>
      <c r="H637" s="455"/>
      <c r="I637" s="70">
        <v>6</v>
      </c>
    </row>
    <row r="638" spans="6:21" ht="15">
      <c r="F638" s="455" t="s">
        <v>71</v>
      </c>
      <c r="G638" s="455"/>
      <c r="H638" s="455"/>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2026-07-01T22:47:10Z</dcterms:modified>
  <dc:language>en-US</dc:language>
</cp:coreProperties>
</file>