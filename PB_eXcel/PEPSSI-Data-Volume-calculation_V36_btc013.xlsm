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4D717283-C9AD-4F12-9916-22162DC5894D}" xr6:coauthVersionLast="47" xr6:coauthVersionMax="47" xr10:uidLastSave="{00000000-0000-0000-0000-000000000000}"/>
  <bookViews>
    <workbookView xWindow="75" yWindow="780" windowWidth="28725" windowHeight="13695" tabRatio="500" activeTab="7" xr2:uid="{00000000-000D-0000-FFFF-FFFF00000000}"/>
  </bookViews>
  <sheets>
    <sheet name="btc_mods" sheetId="16" r:id="rId1"/>
    <sheet name="pep_ssf" sheetId="19" r:id="rId2"/>
    <sheet name="pep_ssf_obsolete" sheetId="18" r:id="rId3"/>
    <sheet name="sclk_data" sheetId="17" r:id="rId4"/>
    <sheet name="pb_calc_pre_2025" sheetId="1" r:id="rId5"/>
    <sheet name="2025_pb" sheetId="2" r:id="rId6"/>
    <sheet name="Sheet2" sheetId="15" r:id="rId7"/>
    <sheet name="2025_pb_2" sheetId="3" r:id="rId8"/>
    <sheet name="calculations" sheetId="14" r:id="rId9"/>
    <sheet name="SWAP Data Volumns" sheetId="6" r:id="rId10"/>
    <sheet name="Overview 2025" sheetId="4" r:id="rId11"/>
    <sheet name="Sheet37" sheetId="5" r:id="rId12"/>
    <sheet name="swap_rates" sheetId="7" r:id="rId13"/>
    <sheet name="swap_rates_2" sheetId="8" r:id="rId14"/>
    <sheet name="Sheet1" sheetId="9" r:id="rId15"/>
    <sheet name="status tracker" sheetId="10" r:id="rId16"/>
    <sheet name="totals" sheetId="11" r:id="rId17"/>
    <sheet name="22144-hibernation 2022 +" sheetId="12" r:id="rId18"/>
    <sheet name="24267_pepssi" sheetId="13" r:id="rId19"/>
  </sheets>
  <functionGroups builtInGroupCount="19"/>
  <definedNames>
    <definedName name="_xleta.CONCATENATE" hidden="1" xlm="1">#NAME?</definedName>
    <definedName name="_xleta.IF"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pep_ssf!$A$13:$D$97</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88" i="3" l="1"/>
  <c r="Q411" i="3"/>
  <c r="Q410" i="3"/>
  <c r="Q409" i="3"/>
  <c r="Q408" i="3"/>
  <c r="Q407" i="3"/>
  <c r="Q406" i="3"/>
  <c r="Q405" i="3"/>
  <c r="Q404" i="3"/>
  <c r="Q403" i="3"/>
  <c r="Q402" i="3"/>
  <c r="Q401" i="3"/>
  <c r="Q400" i="3"/>
  <c r="Q399" i="3"/>
  <c r="Q389" i="3"/>
  <c r="Q398" i="3"/>
  <c r="Q397" i="3"/>
  <c r="Q396" i="3"/>
  <c r="Q395" i="3"/>
  <c r="Q394" i="3"/>
  <c r="Q393" i="3"/>
  <c r="Q392" i="3"/>
  <c r="Q391" i="3"/>
  <c r="Q390" i="3"/>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H58" i="19" s="1"/>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F95" i="19"/>
  <c r="F96" i="19"/>
  <c r="F97" i="19"/>
  <c r="G14" i="19"/>
  <c r="G15" i="19"/>
  <c r="G16" i="19" s="1"/>
  <c r="G17" i="19" s="1"/>
  <c r="G18" i="19" s="1"/>
  <c r="G19" i="19" s="1"/>
  <c r="G20" i="19" s="1"/>
  <c r="G21" i="19" s="1"/>
  <c r="G22" i="19" s="1"/>
  <c r="G23" i="19"/>
  <c r="G24" i="19" s="1"/>
  <c r="G25" i="19" s="1"/>
  <c r="G26" i="19" s="1"/>
  <c r="G27" i="19" s="1"/>
  <c r="G28" i="19" s="1"/>
  <c r="G29" i="19" s="1"/>
  <c r="G30" i="19"/>
  <c r="G31" i="19"/>
  <c r="G32" i="19" s="1"/>
  <c r="G33" i="19"/>
  <c r="G34" i="19" s="1"/>
  <c r="G35" i="19" s="1"/>
  <c r="G36" i="19" s="1"/>
  <c r="G37" i="19" s="1"/>
  <c r="G38" i="19" s="1"/>
  <c r="G39" i="19" s="1"/>
  <c r="G40" i="19" s="1"/>
  <c r="G41" i="19" s="1"/>
  <c r="G42" i="19" s="1"/>
  <c r="G43" i="19" s="1"/>
  <c r="G44" i="19" s="1"/>
  <c r="G45" i="19"/>
  <c r="G46" i="19" s="1"/>
  <c r="G47" i="19" s="1"/>
  <c r="G48" i="19" s="1"/>
  <c r="G49" i="19"/>
  <c r="G50" i="19" s="1"/>
  <c r="G51" i="19" s="1"/>
  <c r="G52" i="19" s="1"/>
  <c r="G53" i="19" s="1"/>
  <c r="G54" i="19" s="1"/>
  <c r="G55" i="19" s="1"/>
  <c r="G56" i="19" s="1"/>
  <c r="G57" i="19" s="1"/>
  <c r="G58" i="19" s="1"/>
  <c r="G59" i="19" s="1"/>
  <c r="G60" i="19"/>
  <c r="G61" i="19"/>
  <c r="G62" i="19" s="1"/>
  <c r="G63" i="19"/>
  <c r="G64" i="19" s="1"/>
  <c r="G65" i="19" s="1"/>
  <c r="G66" i="19" s="1"/>
  <c r="G67" i="19"/>
  <c r="G68" i="19" s="1"/>
  <c r="G69" i="19" s="1"/>
  <c r="G70" i="19" s="1"/>
  <c r="G71" i="19" s="1"/>
  <c r="G72" i="19" s="1"/>
  <c r="G73" i="19" s="1"/>
  <c r="G74" i="19"/>
  <c r="G75" i="19"/>
  <c r="G76" i="19" s="1"/>
  <c r="G77" i="19"/>
  <c r="G78" i="19" s="1"/>
  <c r="G79" i="19" s="1"/>
  <c r="G80" i="19" s="1"/>
  <c r="G81" i="19" s="1"/>
  <c r="G82" i="19" s="1"/>
  <c r="G83" i="19" s="1"/>
  <c r="G84" i="19" s="1"/>
  <c r="G85" i="19"/>
  <c r="G86" i="19" s="1"/>
  <c r="G87" i="19" s="1"/>
  <c r="G88" i="19" s="1"/>
  <c r="G89" i="19" s="1"/>
  <c r="G90" i="19" s="1"/>
  <c r="G91" i="19" s="1"/>
  <c r="G92" i="19" s="1"/>
  <c r="G93" i="19" s="1"/>
  <c r="G94" i="19" s="1"/>
  <c r="G95" i="19" s="1"/>
  <c r="G96" i="19" s="1"/>
  <c r="G97" i="19" s="1"/>
  <c r="H14" i="19"/>
  <c r="H29" i="19"/>
  <c r="H43" i="19"/>
  <c r="H44" i="19"/>
  <c r="H57" i="19"/>
  <c r="H59" i="19"/>
  <c r="H97" i="19"/>
  <c r="I14" i="19"/>
  <c r="I15" i="19"/>
  <c r="I16" i="19" s="1"/>
  <c r="I30" i="19"/>
  <c r="I31" i="19"/>
  <c r="I45" i="19"/>
  <c r="I46" i="19" s="1"/>
  <c r="I60" i="19"/>
  <c r="I74" i="19"/>
  <c r="I75" i="19"/>
  <c r="I91" i="19"/>
  <c r="J14" i="19"/>
  <c r="J29" i="19"/>
  <c r="J44" i="19"/>
  <c r="J59" i="19"/>
  <c r="J73" i="19"/>
  <c r="J97" i="19"/>
  <c r="L14" i="19"/>
  <c r="L15" i="19"/>
  <c r="L16" i="19" s="1"/>
  <c r="L19" i="19"/>
  <c r="L20" i="19" s="1"/>
  <c r="L21" i="19"/>
  <c r="L22" i="19" s="1"/>
  <c r="L23" i="19"/>
  <c r="L24" i="19" s="1"/>
  <c r="L26" i="19"/>
  <c r="L27" i="19" s="1"/>
  <c r="L28" i="19" s="1"/>
  <c r="L29" i="19" s="1"/>
  <c r="L30" i="19"/>
  <c r="L31" i="19"/>
  <c r="L32" i="19" s="1"/>
  <c r="L34" i="19"/>
  <c r="L35" i="19" s="1"/>
  <c r="L36" i="19" s="1"/>
  <c r="L38" i="19"/>
  <c r="L39" i="19" s="1"/>
  <c r="L40" i="19"/>
  <c r="W40" i="19" s="1"/>
  <c r="L41" i="19"/>
  <c r="L42" i="19"/>
  <c r="L43" i="19" s="1"/>
  <c r="L44" i="19" s="1"/>
  <c r="W44" i="19" s="1"/>
  <c r="L45" i="19"/>
  <c r="L46" i="19"/>
  <c r="L47" i="19" s="1"/>
  <c r="L48" i="19" s="1"/>
  <c r="W48" i="19" s="1"/>
  <c r="L49" i="19"/>
  <c r="L50" i="19"/>
  <c r="L51" i="19" s="1"/>
  <c r="L52" i="19" s="1"/>
  <c r="W52" i="19" s="1"/>
  <c r="L53" i="19"/>
  <c r="L54" i="19"/>
  <c r="L55" i="19" s="1"/>
  <c r="L56" i="19"/>
  <c r="L57" i="19" s="1"/>
  <c r="L58" i="19" s="1"/>
  <c r="L59" i="19" s="1"/>
  <c r="L60" i="19"/>
  <c r="L61" i="19" s="1"/>
  <c r="L62" i="19" s="1"/>
  <c r="L63" i="19" s="1"/>
  <c r="L64" i="19"/>
  <c r="L65" i="19" s="1"/>
  <c r="L66" i="19" s="1"/>
  <c r="L67" i="19" s="1"/>
  <c r="L68" i="19"/>
  <c r="L69" i="19" s="1"/>
  <c r="L70" i="19" s="1"/>
  <c r="L71" i="19"/>
  <c r="L72" i="19"/>
  <c r="L73" i="19" s="1"/>
  <c r="L74" i="19"/>
  <c r="L75" i="19" s="1"/>
  <c r="L76" i="19" s="1"/>
  <c r="L77" i="19" s="1"/>
  <c r="L78" i="19"/>
  <c r="L79" i="19" s="1"/>
  <c r="L80" i="19" s="1"/>
  <c r="L81" i="19" s="1"/>
  <c r="L82" i="19"/>
  <c r="L83" i="19" s="1"/>
  <c r="L84" i="19" s="1"/>
  <c r="L85" i="19"/>
  <c r="L86" i="19"/>
  <c r="L87" i="19" s="1"/>
  <c r="L88" i="19" s="1"/>
  <c r="L89" i="19" s="1"/>
  <c r="L90" i="19" s="1"/>
  <c r="L91" i="19" s="1"/>
  <c r="L92" i="19"/>
  <c r="L93" i="19"/>
  <c r="L94" i="19"/>
  <c r="L95" i="19" s="1"/>
  <c r="L96" i="19" s="1"/>
  <c r="L97" i="19" s="1"/>
  <c r="M14" i="19"/>
  <c r="M15" i="19"/>
  <c r="M16" i="19"/>
  <c r="M17" i="19"/>
  <c r="M18" i="19"/>
  <c r="M19" i="19" s="1"/>
  <c r="M20" i="19" s="1"/>
  <c r="M21" i="19"/>
  <c r="M22" i="19"/>
  <c r="M23" i="19" s="1"/>
  <c r="M24" i="19"/>
  <c r="M25" i="19"/>
  <c r="M26" i="19"/>
  <c r="M27" i="19" s="1"/>
  <c r="M28" i="19" s="1"/>
  <c r="M30" i="19"/>
  <c r="M31" i="19" s="1"/>
  <c r="M32" i="19"/>
  <c r="M36" i="19"/>
  <c r="M40" i="19"/>
  <c r="M45" i="19"/>
  <c r="M46" i="19"/>
  <c r="M47" i="19"/>
  <c r="M48" i="19"/>
  <c r="M51" i="19"/>
  <c r="M52" i="19"/>
  <c r="M55" i="19"/>
  <c r="M56" i="19"/>
  <c r="M60" i="19"/>
  <c r="M62" i="19"/>
  <c r="M63" i="19" s="1"/>
  <c r="M64" i="19" s="1"/>
  <c r="M66" i="19"/>
  <c r="M67" i="19" s="1"/>
  <c r="M68" i="19" s="1"/>
  <c r="M70" i="19"/>
  <c r="M71" i="19" s="1"/>
  <c r="M72" i="19" s="1"/>
  <c r="M74" i="19"/>
  <c r="M75" i="19" s="1"/>
  <c r="M76" i="19"/>
  <c r="M80" i="19"/>
  <c r="M84" i="19"/>
  <c r="M85" i="19"/>
  <c r="M86" i="19" s="1"/>
  <c r="M87" i="19" s="1"/>
  <c r="M88" i="19" s="1"/>
  <c r="M92" i="19"/>
  <c r="M96" i="19"/>
  <c r="N14" i="19"/>
  <c r="N15" i="19"/>
  <c r="N16" i="19"/>
  <c r="N17" i="19" s="1"/>
  <c r="N18" i="19"/>
  <c r="N19" i="19" s="1"/>
  <c r="N20" i="19" s="1"/>
  <c r="N21" i="19"/>
  <c r="N22" i="19"/>
  <c r="N23" i="19"/>
  <c r="N24" i="19" s="1"/>
  <c r="N25" i="19" s="1"/>
  <c r="N26" i="19" s="1"/>
  <c r="N27" i="19"/>
  <c r="N28" i="19" s="1"/>
  <c r="N29" i="19"/>
  <c r="N30" i="19"/>
  <c r="N31" i="19"/>
  <c r="N32" i="19" s="1"/>
  <c r="N33" i="19"/>
  <c r="N34" i="19" s="1"/>
  <c r="N35" i="19" s="1"/>
  <c r="N36" i="19" s="1"/>
  <c r="N37" i="19"/>
  <c r="N38" i="19" s="1"/>
  <c r="N39" i="19" s="1"/>
  <c r="N40" i="19" s="1"/>
  <c r="N41" i="19"/>
  <c r="N42" i="19"/>
  <c r="N43" i="19"/>
  <c r="N44" i="19" s="1"/>
  <c r="N45" i="19"/>
  <c r="N46" i="19" s="1"/>
  <c r="N47" i="19" s="1"/>
  <c r="N48" i="19"/>
  <c r="N49" i="19"/>
  <c r="N50" i="19" s="1"/>
  <c r="N51" i="19" s="1"/>
  <c r="N52" i="19"/>
  <c r="N53" i="19"/>
  <c r="N54" i="19" s="1"/>
  <c r="N55" i="19" s="1"/>
  <c r="N56" i="19" s="1"/>
  <c r="N57" i="19"/>
  <c r="N58" i="19" s="1"/>
  <c r="N59" i="19" s="1"/>
  <c r="N60" i="19"/>
  <c r="N61" i="19"/>
  <c r="N62" i="19" s="1"/>
  <c r="N63" i="19"/>
  <c r="N64" i="19" s="1"/>
  <c r="N65" i="19"/>
  <c r="N66" i="19" s="1"/>
  <c r="N67" i="19"/>
  <c r="N68" i="19" s="1"/>
  <c r="N69" i="19"/>
  <c r="N70" i="19" s="1"/>
  <c r="N71" i="19" s="1"/>
  <c r="N72" i="19"/>
  <c r="N73" i="19"/>
  <c r="N74" i="19"/>
  <c r="N75" i="19"/>
  <c r="N76" i="19" s="1"/>
  <c r="N77" i="19"/>
  <c r="N78" i="19" s="1"/>
  <c r="N79" i="19" s="1"/>
  <c r="N80" i="19" s="1"/>
  <c r="N81" i="19"/>
  <c r="N82" i="19" s="1"/>
  <c r="N83" i="19" s="1"/>
  <c r="N84" i="19" s="1"/>
  <c r="N85" i="19" s="1"/>
  <c r="N86" i="19"/>
  <c r="N87" i="19"/>
  <c r="N88" i="19" s="1"/>
  <c r="N89" i="19"/>
  <c r="N90" i="19" s="1"/>
  <c r="N91" i="19" s="1"/>
  <c r="N92" i="19" s="1"/>
  <c r="N93" i="19" s="1"/>
  <c r="N94" i="19"/>
  <c r="N95" i="19"/>
  <c r="N96" i="19" s="1"/>
  <c r="N97" i="19"/>
  <c r="O14" i="19"/>
  <c r="O15" i="19"/>
  <c r="O16" i="19" s="1"/>
  <c r="V16" i="19" s="1"/>
  <c r="O17" i="19"/>
  <c r="O18" i="19" s="1"/>
  <c r="O19" i="19" s="1"/>
  <c r="O20" i="19"/>
  <c r="O21" i="19"/>
  <c r="O22" i="19" s="1"/>
  <c r="O23" i="19" s="1"/>
  <c r="O24" i="19"/>
  <c r="O25" i="19"/>
  <c r="O26" i="19" s="1"/>
  <c r="O27" i="19" s="1"/>
  <c r="O28" i="19"/>
  <c r="O29" i="19"/>
  <c r="O30" i="19"/>
  <c r="O31" i="19"/>
  <c r="O32" i="19" s="1"/>
  <c r="V32" i="19" s="1"/>
  <c r="O33" i="19"/>
  <c r="O34" i="19" s="1"/>
  <c r="O35" i="19"/>
  <c r="O36" i="19" s="1"/>
  <c r="V36" i="19" s="1"/>
  <c r="O37" i="19"/>
  <c r="O38" i="19" s="1"/>
  <c r="O39" i="19"/>
  <c r="O40" i="19" s="1"/>
  <c r="V40" i="19" s="1"/>
  <c r="O41" i="19"/>
  <c r="O43" i="19"/>
  <c r="O44" i="19" s="1"/>
  <c r="V44" i="19" s="1"/>
  <c r="O45" i="19"/>
  <c r="O46" i="19" s="1"/>
  <c r="O47" i="19" s="1"/>
  <c r="O48" i="19" s="1"/>
  <c r="V48" i="19" s="1"/>
  <c r="O49" i="19"/>
  <c r="O50" i="19"/>
  <c r="O51" i="19"/>
  <c r="O52" i="19" s="1"/>
  <c r="V52" i="19" s="1"/>
  <c r="O53" i="19"/>
  <c r="O54" i="19"/>
  <c r="O55" i="19"/>
  <c r="O56" i="19" s="1"/>
  <c r="O58" i="19"/>
  <c r="O59" i="19"/>
  <c r="O60" i="19"/>
  <c r="O61" i="19"/>
  <c r="O62" i="19" s="1"/>
  <c r="O63" i="19" s="1"/>
  <c r="O64" i="19" s="1"/>
  <c r="V64" i="19" s="1"/>
  <c r="O65" i="19"/>
  <c r="O66" i="19" s="1"/>
  <c r="O67" i="19" s="1"/>
  <c r="O68" i="19" s="1"/>
  <c r="V68" i="19" s="1"/>
  <c r="O69" i="19"/>
  <c r="O70" i="19" s="1"/>
  <c r="O71" i="19" s="1"/>
  <c r="O73" i="19"/>
  <c r="O74" i="19"/>
  <c r="O75" i="19"/>
  <c r="O76" i="19" s="1"/>
  <c r="V76" i="19" s="1"/>
  <c r="O77" i="19"/>
  <c r="O79" i="19"/>
  <c r="O80" i="19" s="1"/>
  <c r="O83" i="19"/>
  <c r="O84" i="19" s="1"/>
  <c r="V84" i="19" s="1"/>
  <c r="O85" i="19"/>
  <c r="O86" i="19" s="1"/>
  <c r="O87" i="19"/>
  <c r="O88" i="19" s="1"/>
  <c r="O95" i="19"/>
  <c r="O96" i="19" s="1"/>
  <c r="V96" i="19" s="1"/>
  <c r="P14" i="19"/>
  <c r="P15" i="19"/>
  <c r="P16" i="19" s="1"/>
  <c r="P17" i="19"/>
  <c r="P18" i="19" s="1"/>
  <c r="P30" i="19"/>
  <c r="P31" i="19"/>
  <c r="P32" i="19" s="1"/>
  <c r="P33" i="19" s="1"/>
  <c r="P34" i="19" s="1"/>
  <c r="P35" i="19" s="1"/>
  <c r="P36" i="19" s="1"/>
  <c r="P37" i="19" s="1"/>
  <c r="P38" i="19" s="1"/>
  <c r="P39" i="19" s="1"/>
  <c r="P40" i="19" s="1"/>
  <c r="P41" i="19"/>
  <c r="P42" i="19" s="1"/>
  <c r="P43" i="19" s="1"/>
  <c r="P44" i="19" s="1"/>
  <c r="P45" i="19"/>
  <c r="P46" i="19" s="1"/>
  <c r="P60" i="19"/>
  <c r="P61" i="19"/>
  <c r="P62" i="19" s="1"/>
  <c r="P63" i="19" s="1"/>
  <c r="P64" i="19" s="1"/>
  <c r="P65" i="19"/>
  <c r="P66" i="19" s="1"/>
  <c r="P67" i="19" s="1"/>
  <c r="P68" i="19" s="1"/>
  <c r="P69" i="19"/>
  <c r="P70" i="19" s="1"/>
  <c r="P74" i="19"/>
  <c r="P75" i="19"/>
  <c r="P76" i="19" s="1"/>
  <c r="P77" i="19" s="1"/>
  <c r="P78" i="19" s="1"/>
  <c r="P79" i="19" s="1"/>
  <c r="P80" i="19" s="1"/>
  <c r="P89" i="19"/>
  <c r="P90" i="19"/>
  <c r="P91" i="19"/>
  <c r="P92" i="19" s="1"/>
  <c r="P93" i="19" s="1"/>
  <c r="P94" i="19" s="1"/>
  <c r="P95" i="19" s="1"/>
  <c r="P96" i="19"/>
  <c r="P97" i="19"/>
  <c r="Q14" i="19"/>
  <c r="Q15" i="19"/>
  <c r="Q16" i="19" s="1"/>
  <c r="Q17" i="19" s="1"/>
  <c r="Q18" i="19"/>
  <c r="Q19" i="19"/>
  <c r="Q20" i="19" s="1"/>
  <c r="Q21" i="19" s="1"/>
  <c r="Q30" i="19"/>
  <c r="Q31" i="19"/>
  <c r="Q32" i="19" s="1"/>
  <c r="Q33" i="19" s="1"/>
  <c r="Q34" i="19"/>
  <c r="Q35" i="19" s="1"/>
  <c r="Q36" i="19" s="1"/>
  <c r="Q45" i="19"/>
  <c r="Q46" i="19"/>
  <c r="Q47" i="19"/>
  <c r="Q48" i="19" s="1"/>
  <c r="Q49" i="19" s="1"/>
  <c r="Q50" i="19" s="1"/>
  <c r="Q51" i="19" s="1"/>
  <c r="Q60" i="19"/>
  <c r="Q61" i="19"/>
  <c r="Q62" i="19" s="1"/>
  <c r="Q74" i="19"/>
  <c r="Q75" i="19"/>
  <c r="Q76" i="19" s="1"/>
  <c r="Q77" i="19" s="1"/>
  <c r="Q78" i="19" s="1"/>
  <c r="Q79" i="19" s="1"/>
  <c r="Q80" i="19" s="1"/>
  <c r="Q90" i="19"/>
  <c r="Q91" i="19"/>
  <c r="Q92" i="19" s="1"/>
  <c r="Q93" i="19"/>
  <c r="Q94" i="19" s="1"/>
  <c r="Q95" i="19" s="1"/>
  <c r="Q96" i="19" s="1"/>
  <c r="Y96" i="19" s="1"/>
  <c r="Q97" i="19"/>
  <c r="R14" i="19"/>
  <c r="R15" i="19"/>
  <c r="R16" i="19" s="1"/>
  <c r="R17" i="19" s="1"/>
  <c r="R18" i="19" s="1"/>
  <c r="R30" i="19"/>
  <c r="R31" i="19" s="1"/>
  <c r="R32" i="19" s="1"/>
  <c r="R33" i="19" s="1"/>
  <c r="R45" i="19"/>
  <c r="R46" i="19" s="1"/>
  <c r="R60" i="19"/>
  <c r="R61" i="19"/>
  <c r="R62" i="19"/>
  <c r="R63" i="19" s="1"/>
  <c r="R64" i="19" s="1"/>
  <c r="R65" i="19"/>
  <c r="R66" i="19" s="1"/>
  <c r="R74" i="19"/>
  <c r="R75" i="19"/>
  <c r="R76" i="19" s="1"/>
  <c r="R77" i="19"/>
  <c r="R78" i="19" s="1"/>
  <c r="R88" i="19"/>
  <c r="R89" i="19"/>
  <c r="R90" i="19"/>
  <c r="R91" i="19" s="1"/>
  <c r="R92" i="19" s="1"/>
  <c r="R93" i="19" s="1"/>
  <c r="T14" i="19"/>
  <c r="T15" i="19"/>
  <c r="T16" i="19"/>
  <c r="T17" i="19"/>
  <c r="T18" i="19"/>
  <c r="T19" i="19"/>
  <c r="T21" i="19"/>
  <c r="T22" i="19"/>
  <c r="T23" i="19"/>
  <c r="T25" i="19"/>
  <c r="T26" i="19"/>
  <c r="T27" i="19"/>
  <c r="T30" i="19"/>
  <c r="T31" i="19"/>
  <c r="T32" i="19"/>
  <c r="T36" i="19"/>
  <c r="T40" i="19"/>
  <c r="T45" i="19"/>
  <c r="T46" i="19"/>
  <c r="T47" i="19"/>
  <c r="T48" i="19"/>
  <c r="T51" i="19"/>
  <c r="T52" i="19"/>
  <c r="T55" i="19"/>
  <c r="T56" i="19"/>
  <c r="T60" i="19"/>
  <c r="T62" i="19"/>
  <c r="T63" i="19"/>
  <c r="T66" i="19"/>
  <c r="T67" i="19"/>
  <c r="T70" i="19"/>
  <c r="T71" i="19"/>
  <c r="T74" i="19"/>
  <c r="T75" i="19"/>
  <c r="T76" i="19"/>
  <c r="T80" i="19"/>
  <c r="T84" i="19"/>
  <c r="T85" i="19"/>
  <c r="T86" i="19"/>
  <c r="T87" i="19"/>
  <c r="T92" i="19"/>
  <c r="U14" i="19"/>
  <c r="U15" i="19"/>
  <c r="U16" i="19"/>
  <c r="U17" i="19"/>
  <c r="U18" i="19"/>
  <c r="U19" i="19"/>
  <c r="U21" i="19"/>
  <c r="U22" i="19"/>
  <c r="U23" i="19"/>
  <c r="U25" i="19"/>
  <c r="U26" i="19"/>
  <c r="U27" i="19"/>
  <c r="U30" i="19"/>
  <c r="U31" i="19"/>
  <c r="U32" i="19"/>
  <c r="U36" i="19"/>
  <c r="U40" i="19"/>
  <c r="U45" i="19"/>
  <c r="U46" i="19"/>
  <c r="U47" i="19"/>
  <c r="U48" i="19"/>
  <c r="U51" i="19"/>
  <c r="U52" i="19"/>
  <c r="U55" i="19"/>
  <c r="U56" i="19"/>
  <c r="U60" i="19"/>
  <c r="U62" i="19"/>
  <c r="U63" i="19"/>
  <c r="U66" i="19"/>
  <c r="U67" i="19"/>
  <c r="U71" i="19"/>
  <c r="U74" i="19"/>
  <c r="U75" i="19"/>
  <c r="U76" i="19"/>
  <c r="U80" i="19"/>
  <c r="U84" i="19"/>
  <c r="U85" i="19"/>
  <c r="U86" i="19"/>
  <c r="U87" i="19"/>
  <c r="U92" i="19"/>
  <c r="V14" i="19"/>
  <c r="V15" i="19"/>
  <c r="V17" i="19"/>
  <c r="V19" i="19"/>
  <c r="V20" i="19"/>
  <c r="V21" i="19"/>
  <c r="V22" i="19"/>
  <c r="V23" i="19"/>
  <c r="V24" i="19"/>
  <c r="V25" i="19"/>
  <c r="V27" i="19"/>
  <c r="V28" i="19"/>
  <c r="V29" i="19"/>
  <c r="V30" i="19"/>
  <c r="V31" i="19"/>
  <c r="V33" i="19"/>
  <c r="V34" i="19"/>
  <c r="V35" i="19"/>
  <c r="V37" i="19"/>
  <c r="V38" i="19"/>
  <c r="V39" i="19"/>
  <c r="V43" i="19"/>
  <c r="V45" i="19"/>
  <c r="V46" i="19"/>
  <c r="V47" i="19"/>
  <c r="V49" i="19"/>
  <c r="V50" i="19"/>
  <c r="V51" i="19"/>
  <c r="V53" i="19"/>
  <c r="V54" i="19"/>
  <c r="V55" i="19"/>
  <c r="V58" i="19"/>
  <c r="V59" i="19"/>
  <c r="V60" i="19"/>
  <c r="V61" i="19"/>
  <c r="V62" i="19"/>
  <c r="V63" i="19"/>
  <c r="V65" i="19"/>
  <c r="V66" i="19"/>
  <c r="V67" i="19"/>
  <c r="V69" i="19"/>
  <c r="V70" i="19"/>
  <c r="V73" i="19"/>
  <c r="V74" i="19"/>
  <c r="V75" i="19"/>
  <c r="V79" i="19"/>
  <c r="V83" i="19"/>
  <c r="V85" i="19"/>
  <c r="V86" i="19"/>
  <c r="V87" i="19"/>
  <c r="V95" i="19"/>
  <c r="W14" i="19"/>
  <c r="W15" i="19"/>
  <c r="W19" i="19"/>
  <c r="W20" i="19"/>
  <c r="W21" i="19"/>
  <c r="AB21" i="19" s="1"/>
  <c r="W22" i="19"/>
  <c r="AB22" i="19" s="1"/>
  <c r="W23" i="19"/>
  <c r="W26" i="19"/>
  <c r="AB26" i="19" s="1"/>
  <c r="W27" i="19"/>
  <c r="W28" i="19"/>
  <c r="W29" i="19"/>
  <c r="W30" i="19"/>
  <c r="AB30" i="19" s="1"/>
  <c r="W31" i="19"/>
  <c r="W34" i="19"/>
  <c r="W35" i="19"/>
  <c r="W38" i="19"/>
  <c r="W39" i="19"/>
  <c r="W41" i="19"/>
  <c r="W42" i="19"/>
  <c r="AB42" i="19" s="1"/>
  <c r="W43" i="19"/>
  <c r="W45" i="19"/>
  <c r="W46" i="19"/>
  <c r="W47" i="19"/>
  <c r="W49" i="19"/>
  <c r="W50" i="19"/>
  <c r="W51" i="19"/>
  <c r="W53" i="19"/>
  <c r="AB53" i="19" s="1"/>
  <c r="W54" i="19"/>
  <c r="W55" i="19"/>
  <c r="W56" i="19"/>
  <c r="W57" i="19"/>
  <c r="AB57" i="19" s="1"/>
  <c r="W58" i="19"/>
  <c r="W59" i="19"/>
  <c r="W60" i="19"/>
  <c r="W61" i="19"/>
  <c r="AB61" i="19" s="1"/>
  <c r="W63" i="19"/>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5" i="19"/>
  <c r="W96" i="19"/>
  <c r="W97" i="19"/>
  <c r="X14" i="19"/>
  <c r="X15" i="19"/>
  <c r="X16" i="19"/>
  <c r="X17" i="19"/>
  <c r="Y17" i="19" s="1"/>
  <c r="X30" i="19"/>
  <c r="X31" i="19"/>
  <c r="X32" i="19"/>
  <c r="X36" i="19"/>
  <c r="X40" i="19"/>
  <c r="X45" i="19"/>
  <c r="X60" i="19"/>
  <c r="X62" i="19"/>
  <c r="X63" i="19"/>
  <c r="X64" i="19"/>
  <c r="X66" i="19"/>
  <c r="X67" i="19"/>
  <c r="X68" i="19"/>
  <c r="X74" i="19"/>
  <c r="X75" i="19"/>
  <c r="X76" i="19"/>
  <c r="X92" i="19"/>
  <c r="X96" i="19"/>
  <c r="Y14" i="19"/>
  <c r="Y15" i="19"/>
  <c r="Y16" i="19"/>
  <c r="Y30" i="19"/>
  <c r="Y31" i="19"/>
  <c r="Y32" i="19"/>
  <c r="Y45" i="19"/>
  <c r="Y46" i="19"/>
  <c r="Y60" i="19"/>
  <c r="Y74" i="19"/>
  <c r="Y75" i="19"/>
  <c r="Y76" i="19"/>
  <c r="Y92" i="19"/>
  <c r="Z14" i="19"/>
  <c r="Z15" i="19"/>
  <c r="Z16" i="19"/>
  <c r="Z17" i="19"/>
  <c r="Z18" i="19"/>
  <c r="Z19" i="19"/>
  <c r="Z20" i="19"/>
  <c r="Z21" i="19"/>
  <c r="Z22" i="19"/>
  <c r="Z23" i="19"/>
  <c r="Z24" i="19"/>
  <c r="Z25" i="19"/>
  <c r="Z26" i="19"/>
  <c r="Z27" i="19"/>
  <c r="Z28" i="19"/>
  <c r="Z29" i="19"/>
  <c r="Z30" i="19"/>
  <c r="Z31" i="19"/>
  <c r="Z32" i="19"/>
  <c r="Z33" i="19"/>
  <c r="Z34" i="19"/>
  <c r="Z35" i="19"/>
  <c r="Z36" i="19"/>
  <c r="Z37" i="19"/>
  <c r="Z38" i="19"/>
  <c r="Z39" i="19"/>
  <c r="Z40" i="19"/>
  <c r="Z41" i="19"/>
  <c r="Z42" i="19"/>
  <c r="Z43" i="19"/>
  <c r="Z44" i="19"/>
  <c r="Z45" i="19"/>
  <c r="Z46" i="19"/>
  <c r="Z47" i="19"/>
  <c r="Z48" i="19"/>
  <c r="Z49" i="19"/>
  <c r="Z50" i="19"/>
  <c r="Z51" i="19"/>
  <c r="Z52" i="19"/>
  <c r="Z53" i="19"/>
  <c r="Z54" i="19"/>
  <c r="Z55" i="19"/>
  <c r="Z56" i="19"/>
  <c r="Z57" i="19"/>
  <c r="Z58" i="19"/>
  <c r="Z59" i="19"/>
  <c r="Z60" i="19"/>
  <c r="Z61" i="19"/>
  <c r="Z62" i="19"/>
  <c r="Z63" i="19"/>
  <c r="Z64" i="19"/>
  <c r="Z65" i="19"/>
  <c r="Z66" i="19"/>
  <c r="Z67" i="19"/>
  <c r="Z68" i="19"/>
  <c r="Z69" i="19"/>
  <c r="Z70" i="19"/>
  <c r="Z71" i="19"/>
  <c r="Z72" i="19"/>
  <c r="Z73" i="19"/>
  <c r="Z74" i="19"/>
  <c r="Z75" i="19"/>
  <c r="Z76" i="19"/>
  <c r="Z77" i="19"/>
  <c r="Z78" i="19"/>
  <c r="Z79" i="19"/>
  <c r="Z80" i="19"/>
  <c r="Z81" i="19"/>
  <c r="Z82" i="19"/>
  <c r="Z83" i="19"/>
  <c r="Z84" i="19"/>
  <c r="Z85" i="19"/>
  <c r="Z86" i="19"/>
  <c r="Z87" i="19"/>
  <c r="Z88" i="19"/>
  <c r="Z89" i="19"/>
  <c r="Z90" i="19"/>
  <c r="Z91" i="19"/>
  <c r="Z92" i="19"/>
  <c r="Z93" i="19"/>
  <c r="Z94" i="19"/>
  <c r="Z95" i="19"/>
  <c r="Z96" i="19"/>
  <c r="Z97" i="19"/>
  <c r="AB14" i="19"/>
  <c r="AB15" i="19"/>
  <c r="AB19" i="19"/>
  <c r="AB20" i="19"/>
  <c r="AB23" i="19"/>
  <c r="AB27" i="19"/>
  <c r="AB28" i="19"/>
  <c r="AB29" i="19"/>
  <c r="AB31" i="19"/>
  <c r="AB34" i="19"/>
  <c r="AB35" i="19"/>
  <c r="AB38" i="19"/>
  <c r="AB39" i="19"/>
  <c r="AB40" i="19"/>
  <c r="AB41" i="19"/>
  <c r="AB43" i="19"/>
  <c r="AB44" i="19"/>
  <c r="AB45" i="19"/>
  <c r="AB46" i="19"/>
  <c r="AB47" i="19"/>
  <c r="AB48" i="19"/>
  <c r="AB49" i="19"/>
  <c r="AB50" i="19"/>
  <c r="AB51" i="19"/>
  <c r="AB52" i="19"/>
  <c r="AB54" i="19"/>
  <c r="AB55" i="19"/>
  <c r="AB56" i="19"/>
  <c r="AB58" i="19"/>
  <c r="AB59" i="19"/>
  <c r="AB60" i="19"/>
  <c r="AB63" i="19"/>
  <c r="AB64" i="19"/>
  <c r="AB65" i="19"/>
  <c r="AB66" i="19"/>
  <c r="AB67" i="19"/>
  <c r="AB68" i="19"/>
  <c r="AB69" i="19"/>
  <c r="AB70" i="19"/>
  <c r="AB71" i="19"/>
  <c r="AB72" i="19"/>
  <c r="AB73" i="19"/>
  <c r="AB74" i="19"/>
  <c r="AB75" i="19"/>
  <c r="AB76" i="19"/>
  <c r="AB77" i="19"/>
  <c r="AB78" i="19"/>
  <c r="AB79" i="19"/>
  <c r="AB80" i="19"/>
  <c r="AB81" i="19"/>
  <c r="AB82" i="19"/>
  <c r="AB83" i="19"/>
  <c r="AB84" i="19"/>
  <c r="AB85" i="19"/>
  <c r="AB86" i="19"/>
  <c r="AB87" i="19"/>
  <c r="AB88" i="19"/>
  <c r="AB89" i="19"/>
  <c r="AB90" i="19"/>
  <c r="AB91" i="19"/>
  <c r="AB92" i="19"/>
  <c r="AB93" i="19"/>
  <c r="AB94" i="19"/>
  <c r="AB95" i="19"/>
  <c r="AB96" i="19"/>
  <c r="AB97" i="19"/>
  <c r="AC14" i="19"/>
  <c r="AC15" i="19"/>
  <c r="AC16" i="19"/>
  <c r="AC17" i="19"/>
  <c r="AC30" i="19"/>
  <c r="AC31" i="19"/>
  <c r="AC32" i="19"/>
  <c r="AC45" i="19"/>
  <c r="AC60" i="19"/>
  <c r="AC61" i="19"/>
  <c r="AC62" i="19"/>
  <c r="AC63" i="19"/>
  <c r="AC64" i="19"/>
  <c r="AC65" i="19"/>
  <c r="AC74" i="19"/>
  <c r="AC75" i="19"/>
  <c r="AC76" i="19"/>
  <c r="AC77" i="19"/>
  <c r="AC92" i="19"/>
  <c r="AD14" i="19"/>
  <c r="AD15" i="19"/>
  <c r="AD30" i="19"/>
  <c r="AD31" i="19"/>
  <c r="AD45" i="19"/>
  <c r="AD60" i="19"/>
  <c r="AD63" i="19"/>
  <c r="AD64" i="19"/>
  <c r="AD65" i="19"/>
  <c r="AD74" i="19"/>
  <c r="AD75" i="19"/>
  <c r="AD76" i="19"/>
  <c r="AD77" i="19"/>
  <c r="AD92" i="19"/>
  <c r="AE14" i="19"/>
  <c r="AE15" i="19"/>
  <c r="AE16" i="19"/>
  <c r="AE30" i="19"/>
  <c r="AE31" i="19"/>
  <c r="AE32" i="19"/>
  <c r="AE45" i="19"/>
  <c r="AE60" i="19"/>
  <c r="AE74" i="19"/>
  <c r="AE75" i="19"/>
  <c r="AE76" i="19"/>
  <c r="AE92" i="19"/>
  <c r="AF14" i="19"/>
  <c r="AF15" i="19"/>
  <c r="AF30" i="19"/>
  <c r="AF31" i="19"/>
  <c r="AF45" i="19"/>
  <c r="AF60" i="19"/>
  <c r="AF74" i="19"/>
  <c r="AF75" i="19"/>
  <c r="AF76" i="19"/>
  <c r="AF92" i="19"/>
  <c r="AG14" i="19"/>
  <c r="AG15" i="19"/>
  <c r="AG16" i="19"/>
  <c r="AG30" i="19"/>
  <c r="AG31" i="19"/>
  <c r="AG32" i="19"/>
  <c r="AG45" i="19"/>
  <c r="AG60" i="19"/>
  <c r="AG74" i="19"/>
  <c r="AG75" i="19"/>
  <c r="AG76" i="19"/>
  <c r="AG92" i="19"/>
  <c r="AH14" i="19"/>
  <c r="AH15" i="19"/>
  <c r="AH30" i="19"/>
  <c r="AH31" i="19"/>
  <c r="AH45" i="19"/>
  <c r="AH46" i="19"/>
  <c r="AH60" i="19"/>
  <c r="AH74" i="19"/>
  <c r="AH75" i="19"/>
  <c r="AH76" i="19"/>
  <c r="AH92" i="19"/>
  <c r="AI14" i="19"/>
  <c r="AI15" i="19"/>
  <c r="AI16" i="19"/>
  <c r="AI17" i="19"/>
  <c r="AI18" i="19"/>
  <c r="AI19" i="19"/>
  <c r="AI21" i="19"/>
  <c r="AI22" i="19"/>
  <c r="AI23" i="19"/>
  <c r="AI25" i="19"/>
  <c r="AI26" i="19"/>
  <c r="AI27" i="19"/>
  <c r="AI30" i="19"/>
  <c r="AI31" i="19"/>
  <c r="AI32" i="19"/>
  <c r="AI36" i="19"/>
  <c r="AI40" i="19"/>
  <c r="AI45" i="19"/>
  <c r="AI46" i="19"/>
  <c r="AI47" i="19"/>
  <c r="AI48" i="19"/>
  <c r="AI51" i="19"/>
  <c r="AI52" i="19"/>
  <c r="AI55" i="19"/>
  <c r="AI56" i="19"/>
  <c r="AI60" i="19"/>
  <c r="AI62" i="19"/>
  <c r="AI63" i="19"/>
  <c r="AI66" i="19"/>
  <c r="AI67" i="19"/>
  <c r="AI70" i="19"/>
  <c r="AI71" i="19"/>
  <c r="AI74" i="19"/>
  <c r="AI75" i="19"/>
  <c r="AI76" i="19"/>
  <c r="AI80" i="19"/>
  <c r="AI84" i="19"/>
  <c r="AI85" i="19"/>
  <c r="AI86" i="19"/>
  <c r="AI87" i="19"/>
  <c r="AI92" i="19"/>
  <c r="AJ14" i="19"/>
  <c r="AJ15" i="19"/>
  <c r="AJ19" i="19"/>
  <c r="AJ21" i="19"/>
  <c r="AJ22" i="19"/>
  <c r="AJ23" i="19"/>
  <c r="AJ26" i="19"/>
  <c r="AJ27" i="19"/>
  <c r="AJ30" i="19"/>
  <c r="AJ31" i="19"/>
  <c r="AJ40" i="19"/>
  <c r="AJ45" i="19"/>
  <c r="AJ46" i="19"/>
  <c r="AJ47" i="19"/>
  <c r="AJ48" i="19"/>
  <c r="AJ51" i="19"/>
  <c r="AJ52" i="19"/>
  <c r="AJ55" i="19"/>
  <c r="AJ56" i="19"/>
  <c r="AJ60" i="19"/>
  <c r="AJ63" i="19"/>
  <c r="AJ66" i="19"/>
  <c r="AJ67" i="19"/>
  <c r="AJ70" i="19"/>
  <c r="AJ71" i="19"/>
  <c r="AJ74" i="19"/>
  <c r="AJ75" i="19"/>
  <c r="AJ76" i="19"/>
  <c r="AJ80" i="19"/>
  <c r="AJ84" i="19"/>
  <c r="AJ85" i="19"/>
  <c r="AJ86" i="19"/>
  <c r="AJ87" i="19"/>
  <c r="AJ92" i="19"/>
  <c r="AK14" i="19"/>
  <c r="AK15" i="19"/>
  <c r="AK16" i="19"/>
  <c r="AK17" i="19"/>
  <c r="AK18" i="19"/>
  <c r="AK30" i="19"/>
  <c r="AK31" i="19"/>
  <c r="AK32" i="19"/>
  <c r="AK45" i="19"/>
  <c r="AK46" i="19"/>
  <c r="AK60" i="19"/>
  <c r="AK62" i="19"/>
  <c r="AK63" i="19"/>
  <c r="AK66" i="19"/>
  <c r="AK74" i="19"/>
  <c r="AK75" i="19"/>
  <c r="AK76" i="19"/>
  <c r="AK92" i="19"/>
  <c r="AL14" i="19"/>
  <c r="AL15" i="19"/>
  <c r="AL30" i="19"/>
  <c r="AL31" i="19"/>
  <c r="AL45" i="19"/>
  <c r="AL46" i="19"/>
  <c r="AL60" i="19"/>
  <c r="AL63" i="19"/>
  <c r="AL66" i="19"/>
  <c r="AL74" i="19"/>
  <c r="AL75" i="19"/>
  <c r="AL76" i="19"/>
  <c r="AL92" i="19"/>
  <c r="AM14" i="19"/>
  <c r="AM15" i="19"/>
  <c r="AM16" i="19"/>
  <c r="AM17" i="19"/>
  <c r="AM30" i="19"/>
  <c r="AM31" i="19"/>
  <c r="AM32" i="19"/>
  <c r="AM45" i="19"/>
  <c r="AM46" i="19"/>
  <c r="AM60" i="19"/>
  <c r="AM74" i="19"/>
  <c r="AM75" i="19"/>
  <c r="AM76" i="19"/>
  <c r="AM92" i="19"/>
  <c r="AN14" i="19"/>
  <c r="AN15" i="19"/>
  <c r="AN30" i="19"/>
  <c r="AN31" i="19"/>
  <c r="AN45" i="19"/>
  <c r="AN46" i="19"/>
  <c r="AN60" i="19"/>
  <c r="AN74" i="19"/>
  <c r="AN75" i="19"/>
  <c r="AN76" i="19"/>
  <c r="AN92" i="19"/>
  <c r="AO14" i="19"/>
  <c r="AO15" i="19"/>
  <c r="AO16" i="19"/>
  <c r="AO17" i="19"/>
  <c r="AO30" i="19"/>
  <c r="AO31" i="19"/>
  <c r="AO32" i="19"/>
  <c r="AO45" i="19"/>
  <c r="AO46" i="19"/>
  <c r="AO60" i="19"/>
  <c r="AO74" i="19"/>
  <c r="AO75" i="19"/>
  <c r="AO76" i="19"/>
  <c r="AO92" i="19"/>
  <c r="AP14" i="19"/>
  <c r="AP15" i="19"/>
  <c r="AP30" i="19"/>
  <c r="AP31" i="19"/>
  <c r="AP45" i="19"/>
  <c r="AP46" i="19"/>
  <c r="AP60" i="19"/>
  <c r="AP74" i="19"/>
  <c r="AP75" i="19"/>
  <c r="AP76" i="19"/>
  <c r="AP92" i="19"/>
  <c r="AQ14" i="19"/>
  <c r="AQ15" i="19"/>
  <c r="AQ16" i="19"/>
  <c r="AQ17" i="19"/>
  <c r="AQ19" i="19"/>
  <c r="AQ20" i="19"/>
  <c r="AQ21" i="19"/>
  <c r="AQ22" i="19"/>
  <c r="AQ23" i="19"/>
  <c r="AQ24" i="19"/>
  <c r="AQ25" i="19"/>
  <c r="AQ27" i="19"/>
  <c r="AQ28" i="19"/>
  <c r="AQ29" i="19"/>
  <c r="AQ30" i="19"/>
  <c r="AQ31" i="19"/>
  <c r="AQ32" i="19"/>
  <c r="AQ33" i="19"/>
  <c r="AQ34" i="19"/>
  <c r="AQ35" i="19"/>
  <c r="AQ36" i="19"/>
  <c r="AQ37" i="19"/>
  <c r="AQ38" i="19"/>
  <c r="AQ39" i="19"/>
  <c r="AQ40" i="19"/>
  <c r="AQ43" i="19"/>
  <c r="AQ44" i="19"/>
  <c r="AQ45" i="19"/>
  <c r="AQ46" i="19"/>
  <c r="AQ47" i="19"/>
  <c r="AQ48" i="19"/>
  <c r="AQ49" i="19"/>
  <c r="AQ50" i="19"/>
  <c r="AQ51" i="19"/>
  <c r="AQ52" i="19"/>
  <c r="AQ53" i="19"/>
  <c r="AQ54" i="19"/>
  <c r="AQ55" i="19"/>
  <c r="AQ58" i="19"/>
  <c r="AQ59" i="19"/>
  <c r="AQ60" i="19"/>
  <c r="AQ61" i="19"/>
  <c r="AQ62" i="19"/>
  <c r="AQ63" i="19"/>
  <c r="AQ64" i="19"/>
  <c r="AQ65" i="19"/>
  <c r="AQ66" i="19"/>
  <c r="AQ67" i="19"/>
  <c r="AQ68" i="19"/>
  <c r="AQ69" i="19"/>
  <c r="AQ70" i="19"/>
  <c r="AQ73" i="19"/>
  <c r="AQ74" i="19"/>
  <c r="AQ75" i="19"/>
  <c r="AQ76" i="19"/>
  <c r="AQ79" i="19"/>
  <c r="AQ83" i="19"/>
  <c r="AQ84" i="19"/>
  <c r="AQ85" i="19"/>
  <c r="AQ86" i="19"/>
  <c r="AQ87" i="19"/>
  <c r="AQ95" i="19"/>
  <c r="AQ96" i="19"/>
  <c r="AR14" i="19"/>
  <c r="AR15" i="19"/>
  <c r="AR19" i="19"/>
  <c r="AR20" i="19"/>
  <c r="AR21" i="19"/>
  <c r="AR22" i="19"/>
  <c r="AR23" i="19"/>
  <c r="AR27" i="19"/>
  <c r="AR28" i="19"/>
  <c r="AR29" i="19"/>
  <c r="AR30" i="19"/>
  <c r="AR31" i="19"/>
  <c r="AR34" i="19"/>
  <c r="AR35" i="19"/>
  <c r="AR38" i="19"/>
  <c r="AR39" i="19"/>
  <c r="AR40" i="19"/>
  <c r="AR43" i="19"/>
  <c r="AR44" i="19"/>
  <c r="AR45" i="19"/>
  <c r="AR46" i="19"/>
  <c r="AR47" i="19"/>
  <c r="AR48" i="19"/>
  <c r="AR49" i="19"/>
  <c r="AR50" i="19"/>
  <c r="AR51" i="19"/>
  <c r="AR52" i="19"/>
  <c r="AR53" i="19"/>
  <c r="AR54" i="19"/>
  <c r="AR55" i="19"/>
  <c r="AR58" i="19"/>
  <c r="AR59" i="19"/>
  <c r="AR60" i="19"/>
  <c r="AR61" i="19"/>
  <c r="AR63" i="19"/>
  <c r="AR64" i="19"/>
  <c r="AR65" i="19"/>
  <c r="AR66" i="19"/>
  <c r="AR67" i="19"/>
  <c r="AR68" i="19"/>
  <c r="AR69" i="19"/>
  <c r="AR70" i="19"/>
  <c r="AR73" i="19"/>
  <c r="AR74" i="19"/>
  <c r="AR75" i="19"/>
  <c r="AR76" i="19"/>
  <c r="AR79" i="19"/>
  <c r="AR83" i="19"/>
  <c r="AR84" i="19"/>
  <c r="AR85" i="19"/>
  <c r="AR86" i="19"/>
  <c r="AR87" i="19"/>
  <c r="AR95" i="19"/>
  <c r="AR96" i="19"/>
  <c r="AS14" i="19"/>
  <c r="AS15" i="19"/>
  <c r="AS16" i="19"/>
  <c r="AS17" i="19"/>
  <c r="AS30" i="19"/>
  <c r="AS31" i="19"/>
  <c r="AS32" i="19"/>
  <c r="AS33" i="19"/>
  <c r="AS45" i="19"/>
  <c r="AS46" i="19"/>
  <c r="AS60" i="19"/>
  <c r="AS61" i="19"/>
  <c r="AS62" i="19"/>
  <c r="AS63" i="19"/>
  <c r="AS64" i="19"/>
  <c r="AS65" i="19"/>
  <c r="AS66" i="19"/>
  <c r="AS74" i="19"/>
  <c r="AS75" i="19"/>
  <c r="AS76" i="19"/>
  <c r="AT14" i="19"/>
  <c r="AT15" i="19"/>
  <c r="AT30" i="19"/>
  <c r="AT31" i="19"/>
  <c r="AT45" i="19"/>
  <c r="AT46" i="19"/>
  <c r="AT60" i="19"/>
  <c r="AT61" i="19"/>
  <c r="AT63" i="19"/>
  <c r="AT64" i="19"/>
  <c r="AT65" i="19"/>
  <c r="AT66" i="19"/>
  <c r="AT74" i="19"/>
  <c r="AT75" i="19"/>
  <c r="AT76" i="19"/>
  <c r="AU14" i="19"/>
  <c r="AU15" i="19"/>
  <c r="AU16" i="19"/>
  <c r="AU17" i="19"/>
  <c r="AU30" i="19"/>
  <c r="AU31" i="19"/>
  <c r="AU32" i="19"/>
  <c r="AU45" i="19"/>
  <c r="AU46" i="19"/>
  <c r="AU60" i="19"/>
  <c r="AU74" i="19"/>
  <c r="AU75" i="19"/>
  <c r="AU76" i="19"/>
  <c r="AV14" i="19"/>
  <c r="AV15" i="19"/>
  <c r="AV30" i="19"/>
  <c r="AV31" i="19"/>
  <c r="AV45" i="19"/>
  <c r="AV46" i="19"/>
  <c r="AV60" i="19"/>
  <c r="AV74" i="19"/>
  <c r="AV75" i="19"/>
  <c r="AV76" i="19"/>
  <c r="AW14" i="19"/>
  <c r="AW15" i="19"/>
  <c r="AW16" i="19"/>
  <c r="AW17" i="19"/>
  <c r="AW30" i="19"/>
  <c r="AW31" i="19"/>
  <c r="AW32" i="19"/>
  <c r="AW45" i="19"/>
  <c r="AW46" i="19"/>
  <c r="AW60" i="19"/>
  <c r="AW74" i="19"/>
  <c r="AW75" i="19"/>
  <c r="AW76" i="19"/>
  <c r="AX14" i="19"/>
  <c r="AX15" i="19"/>
  <c r="AX30" i="19"/>
  <c r="AX31" i="19"/>
  <c r="AX45" i="19"/>
  <c r="AX46" i="19"/>
  <c r="AX60" i="19"/>
  <c r="AX74" i="19"/>
  <c r="AX75" i="19"/>
  <c r="AX76" i="19"/>
  <c r="AY14" i="19"/>
  <c r="AY15" i="19"/>
  <c r="AY16" i="19"/>
  <c r="AY17" i="19"/>
  <c r="AY19" i="19"/>
  <c r="AY21" i="19"/>
  <c r="AY22" i="19"/>
  <c r="AY23" i="19"/>
  <c r="AY25" i="19"/>
  <c r="AY27" i="19"/>
  <c r="AY30" i="19"/>
  <c r="AY31" i="19"/>
  <c r="AY32" i="19"/>
  <c r="AY36" i="19"/>
  <c r="AY40" i="19"/>
  <c r="AY45" i="19"/>
  <c r="AY46" i="19"/>
  <c r="AY47" i="19"/>
  <c r="AY48" i="19"/>
  <c r="AY51" i="19"/>
  <c r="AY52" i="19"/>
  <c r="AY55" i="19"/>
  <c r="AY60" i="19"/>
  <c r="AY62" i="19"/>
  <c r="AY63" i="19"/>
  <c r="AY66" i="19"/>
  <c r="AY67" i="19"/>
  <c r="AY70" i="19"/>
  <c r="AY74" i="19"/>
  <c r="AY75" i="19"/>
  <c r="AY76" i="19"/>
  <c r="AY84" i="19"/>
  <c r="AY85" i="19"/>
  <c r="AY86" i="19"/>
  <c r="AY87" i="19"/>
  <c r="AZ14" i="19"/>
  <c r="AZ15" i="19"/>
  <c r="AZ19" i="19"/>
  <c r="AZ21" i="19"/>
  <c r="AZ22" i="19"/>
  <c r="AZ23" i="19"/>
  <c r="AZ27" i="19"/>
  <c r="AZ30" i="19"/>
  <c r="AZ31" i="19"/>
  <c r="AZ40" i="19"/>
  <c r="AZ45" i="19"/>
  <c r="AZ46" i="19"/>
  <c r="AZ47" i="19"/>
  <c r="AZ48" i="19"/>
  <c r="AZ51" i="19"/>
  <c r="AZ52" i="19"/>
  <c r="AZ55" i="19"/>
  <c r="AZ60" i="19"/>
  <c r="AZ63" i="19"/>
  <c r="AZ66" i="19"/>
  <c r="AZ67" i="19"/>
  <c r="AZ70" i="19"/>
  <c r="AZ74" i="19"/>
  <c r="AZ75" i="19"/>
  <c r="AZ76" i="19"/>
  <c r="AZ84" i="19"/>
  <c r="AZ85" i="19"/>
  <c r="AZ86" i="19"/>
  <c r="AZ87" i="19"/>
  <c r="BA14" i="19"/>
  <c r="BA15" i="19"/>
  <c r="BA16" i="19"/>
  <c r="BA17" i="19"/>
  <c r="BA30" i="19"/>
  <c r="BA31" i="19"/>
  <c r="BA32" i="19"/>
  <c r="BA45" i="19"/>
  <c r="BA46" i="19"/>
  <c r="BA60" i="19"/>
  <c r="BA62" i="19"/>
  <c r="BA63" i="19"/>
  <c r="BA66" i="19"/>
  <c r="BA74" i="19"/>
  <c r="BA75" i="19"/>
  <c r="BA76" i="19"/>
  <c r="BB14" i="19"/>
  <c r="BB15" i="19"/>
  <c r="BB30" i="19"/>
  <c r="BB31" i="19"/>
  <c r="BB45" i="19"/>
  <c r="BB46" i="19"/>
  <c r="BB60" i="19"/>
  <c r="BB63" i="19"/>
  <c r="BB66" i="19"/>
  <c r="BB74" i="19"/>
  <c r="BB75" i="19"/>
  <c r="BB76" i="19"/>
  <c r="BC14" i="19"/>
  <c r="BC15" i="19"/>
  <c r="BC16" i="19"/>
  <c r="BC17" i="19"/>
  <c r="BC30" i="19"/>
  <c r="BC31" i="19"/>
  <c r="BC32" i="19"/>
  <c r="BC45" i="19"/>
  <c r="BC46" i="19"/>
  <c r="BC60" i="19"/>
  <c r="BC74" i="19"/>
  <c r="BC75" i="19"/>
  <c r="BC76" i="19"/>
  <c r="BD14" i="19"/>
  <c r="BD15" i="19"/>
  <c r="BD30" i="19"/>
  <c r="BD31" i="19"/>
  <c r="BD45" i="19"/>
  <c r="BD46" i="19"/>
  <c r="BD60" i="19"/>
  <c r="BD74" i="19"/>
  <c r="BD75" i="19"/>
  <c r="BD76" i="19"/>
  <c r="BE14" i="19"/>
  <c r="BE15" i="19"/>
  <c r="BE16" i="19"/>
  <c r="BE17" i="19"/>
  <c r="BE30" i="19"/>
  <c r="BE31" i="19"/>
  <c r="BE32" i="19"/>
  <c r="BE45" i="19"/>
  <c r="BE46" i="19"/>
  <c r="BE60" i="19"/>
  <c r="BE74" i="19"/>
  <c r="BE75" i="19"/>
  <c r="BE76" i="19"/>
  <c r="BF14" i="19"/>
  <c r="BF15" i="19"/>
  <c r="BF30" i="19"/>
  <c r="BF31" i="19"/>
  <c r="BF45" i="19"/>
  <c r="BF46" i="19"/>
  <c r="BF60" i="19"/>
  <c r="BF74" i="19"/>
  <c r="BF75" i="19"/>
  <c r="BF76" i="19"/>
  <c r="R388" i="3" a="1"/>
  <c r="R388" i="3" l="1"/>
  <c r="Q37" i="19"/>
  <c r="Q38" i="19" s="1"/>
  <c r="Q39" i="19" s="1"/>
  <c r="Q40" i="19" s="1"/>
  <c r="Y36" i="19"/>
  <c r="X80" i="19"/>
  <c r="P81" i="19"/>
  <c r="P82" i="19" s="1"/>
  <c r="P83" i="19" s="1"/>
  <c r="P84" i="19" s="1"/>
  <c r="AE17" i="19"/>
  <c r="AG17" i="19"/>
  <c r="R67" i="19"/>
  <c r="AC66" i="19"/>
  <c r="AD66" i="19"/>
  <c r="R47" i="19"/>
  <c r="AC46" i="19"/>
  <c r="AD46" i="19"/>
  <c r="AE46" i="19"/>
  <c r="AF46" i="19"/>
  <c r="AG46" i="19"/>
  <c r="Q81" i="19"/>
  <c r="Q82" i="19" s="1"/>
  <c r="Q83" i="19" s="1"/>
  <c r="Q84" i="19" s="1"/>
  <c r="Y80" i="19"/>
  <c r="Q52" i="19"/>
  <c r="R79" i="19"/>
  <c r="AC78" i="19"/>
  <c r="AD78" i="19"/>
  <c r="R34" i="19"/>
  <c r="AC33" i="19"/>
  <c r="R94" i="19"/>
  <c r="R19" i="19"/>
  <c r="AC18" i="19"/>
  <c r="Q63" i="19"/>
  <c r="Y62" i="19"/>
  <c r="Q22" i="19"/>
  <c r="P47" i="19"/>
  <c r="X46" i="19"/>
  <c r="O97" i="19"/>
  <c r="V97" i="19" s="1"/>
  <c r="V56" i="19"/>
  <c r="O57" i="19"/>
  <c r="V57" i="19" s="1"/>
  <c r="O42" i="19"/>
  <c r="V42" i="19" s="1"/>
  <c r="V41" i="19"/>
  <c r="P19" i="19"/>
  <c r="X18" i="19"/>
  <c r="Y18" i="19" s="1"/>
  <c r="V80" i="19"/>
  <c r="O81" i="19"/>
  <c r="V88" i="19"/>
  <c r="O89" i="19"/>
  <c r="O78" i="19"/>
  <c r="V78" i="19" s="1"/>
  <c r="V77" i="19"/>
  <c r="O72" i="19"/>
  <c r="V72" i="19" s="1"/>
  <c r="V71" i="19"/>
  <c r="AD61" i="19"/>
  <c r="P71" i="19"/>
  <c r="X70" i="19"/>
  <c r="T68" i="19"/>
  <c r="U68" i="19"/>
  <c r="L33" i="19"/>
  <c r="W33" i="19" s="1"/>
  <c r="W32" i="19"/>
  <c r="I47" i="19"/>
  <c r="H96" i="19"/>
  <c r="H95" i="19" s="1"/>
  <c r="H94" i="19" s="1"/>
  <c r="H93" i="19" s="1"/>
  <c r="H92" i="19" s="1"/>
  <c r="H91" i="19" s="1"/>
  <c r="M97" i="19"/>
  <c r="M93" i="19"/>
  <c r="M89" i="19"/>
  <c r="M81" i="19"/>
  <c r="M77" i="19"/>
  <c r="M73" i="19"/>
  <c r="M69" i="19"/>
  <c r="M65" i="19"/>
  <c r="I61" i="19"/>
  <c r="M61" i="19"/>
  <c r="H56" i="19"/>
  <c r="H55" i="19" s="1"/>
  <c r="M57" i="19"/>
  <c r="M53" i="19"/>
  <c r="M49" i="19"/>
  <c r="M41" i="19"/>
  <c r="M37" i="19"/>
  <c r="M33" i="19"/>
  <c r="H28" i="19"/>
  <c r="H27" i="19" s="1"/>
  <c r="H26" i="19" s="1"/>
  <c r="H25" i="19" s="1"/>
  <c r="H24" i="19" s="1"/>
  <c r="H23" i="19" s="1"/>
  <c r="H22" i="19" s="1"/>
  <c r="H21" i="19" s="1"/>
  <c r="H20" i="19" s="1"/>
  <c r="H19" i="19" s="1"/>
  <c r="H18" i="19" s="1"/>
  <c r="H17" i="19" s="1"/>
  <c r="H16" i="19" s="1"/>
  <c r="H15" i="19" s="1"/>
  <c r="M29" i="19"/>
  <c r="I17" i="19"/>
  <c r="T88" i="19"/>
  <c r="U88" i="19"/>
  <c r="T64" i="19"/>
  <c r="U64" i="19"/>
  <c r="T28" i="19"/>
  <c r="U28" i="19"/>
  <c r="W62" i="19"/>
  <c r="V26" i="19"/>
  <c r="V18" i="19"/>
  <c r="U70" i="19"/>
  <c r="T96" i="19"/>
  <c r="U96" i="19"/>
  <c r="T20" i="19"/>
  <c r="U20" i="19"/>
  <c r="L17" i="19"/>
  <c r="W16" i="19"/>
  <c r="T72" i="19"/>
  <c r="U72" i="19"/>
  <c r="T24" i="19"/>
  <c r="U24" i="19"/>
  <c r="L37" i="19"/>
  <c r="W37" i="19" s="1"/>
  <c r="W36" i="19"/>
  <c r="L25" i="19"/>
  <c r="W25" i="19" s="1"/>
  <c r="W24" i="19"/>
  <c r="I92" i="19"/>
  <c r="J90" i="19"/>
  <c r="I32" i="19"/>
  <c r="I33" i="19" s="1"/>
  <c r="I76" i="19"/>
  <c r="I77" i="19" s="1"/>
  <c r="H90" i="19"/>
  <c r="H89" i="19" s="1"/>
  <c r="H88" i="19" s="1"/>
  <c r="H87" i="19" s="1"/>
  <c r="H86" i="19" s="1"/>
  <c r="H85" i="19" s="1"/>
  <c r="H84" i="19" s="1"/>
  <c r="H83" i="19" s="1"/>
  <c r="H82" i="19" s="1"/>
  <c r="H81" i="19" s="1"/>
  <c r="H80" i="19" s="1"/>
  <c r="H79" i="19" s="1"/>
  <c r="H78" i="19" s="1"/>
  <c r="H77" i="19" s="1"/>
  <c r="H76" i="19" s="1"/>
  <c r="H75" i="19" s="1"/>
  <c r="H74" i="19" s="1"/>
  <c r="H73" i="19" s="1"/>
  <c r="H72" i="19" s="1"/>
  <c r="H71" i="19" s="1"/>
  <c r="H70" i="19" s="1"/>
  <c r="H69" i="19" s="1"/>
  <c r="H68" i="19" s="1"/>
  <c r="H67" i="19" s="1"/>
  <c r="H66" i="19" s="1"/>
  <c r="H65" i="19" s="1"/>
  <c r="H64" i="19" s="1"/>
  <c r="H63" i="19" s="1"/>
  <c r="H62" i="19" s="1"/>
  <c r="H61" i="19" s="1"/>
  <c r="H60" i="19" s="1"/>
  <c r="H54" i="19"/>
  <c r="H53" i="19" s="1"/>
  <c r="H52" i="19" s="1"/>
  <c r="H51" i="19" s="1"/>
  <c r="H50" i="19" s="1"/>
  <c r="H49" i="19" s="1"/>
  <c r="H48" i="19" s="1"/>
  <c r="H47" i="19" s="1"/>
  <c r="H46" i="19" s="1"/>
  <c r="H45" i="19" s="1"/>
  <c r="H42" i="19"/>
  <c r="H41" i="19" s="1"/>
  <c r="H40" i="19" s="1"/>
  <c r="H39" i="19" s="1"/>
  <c r="H38" i="19" s="1"/>
  <c r="H37" i="19" s="1"/>
  <c r="H36" i="19" s="1"/>
  <c r="H35" i="19" s="1"/>
  <c r="H34" i="19" s="1"/>
  <c r="H33" i="19" s="1"/>
  <c r="H32" i="19" s="1"/>
  <c r="H31" i="19" s="1"/>
  <c r="H30" i="19" s="1"/>
  <c r="AQ3" i="19"/>
  <c r="AR3" i="19"/>
  <c r="AS3" i="19"/>
  <c r="AT3" i="19"/>
  <c r="AU3" i="19"/>
  <c r="AV3" i="19"/>
  <c r="AW3" i="19"/>
  <c r="AX3" i="19"/>
  <c r="AY3" i="19"/>
  <c r="AZ3" i="19"/>
  <c r="BA3" i="19"/>
  <c r="BB3" i="19"/>
  <c r="BC3" i="19"/>
  <c r="BD3" i="19"/>
  <c r="BE3" i="19"/>
  <c r="BF3" i="19"/>
  <c r="AI4" i="19"/>
  <c r="AJ4" i="19"/>
  <c r="AK4" i="19"/>
  <c r="AL4" i="19"/>
  <c r="AM4" i="19"/>
  <c r="AN4" i="19"/>
  <c r="AO4" i="19"/>
  <c r="AP4" i="19"/>
  <c r="AY4" i="19"/>
  <c r="AZ4" i="19"/>
  <c r="BA4" i="19"/>
  <c r="BB4" i="19"/>
  <c r="BB8" i="19" s="1"/>
  <c r="BB12" i="19" s="1"/>
  <c r="BC4" i="19"/>
  <c r="BD4" i="19"/>
  <c r="BE4" i="19"/>
  <c r="BF4" i="19"/>
  <c r="AE5" i="19"/>
  <c r="AF5" i="19"/>
  <c r="AG5" i="19"/>
  <c r="AH5" i="19"/>
  <c r="AM5" i="19"/>
  <c r="AN5" i="19"/>
  <c r="AO5" i="19"/>
  <c r="AP5" i="19"/>
  <c r="AU5" i="19"/>
  <c r="AV5" i="19"/>
  <c r="AW5" i="19"/>
  <c r="AX5" i="19"/>
  <c r="BC5" i="19"/>
  <c r="BD5" i="19"/>
  <c r="BE5" i="19"/>
  <c r="BF5" i="19"/>
  <c r="AC6" i="19"/>
  <c r="AD6" i="19"/>
  <c r="AG6" i="19"/>
  <c r="AH6" i="19"/>
  <c r="AK6" i="19"/>
  <c r="AL6" i="19"/>
  <c r="AO6" i="19"/>
  <c r="AP6" i="19"/>
  <c r="AS6" i="19"/>
  <c r="AT6" i="19"/>
  <c r="AW6" i="19"/>
  <c r="AX6" i="19"/>
  <c r="BA6" i="19"/>
  <c r="BB6" i="19"/>
  <c r="BE6" i="19"/>
  <c r="BF6" i="19"/>
  <c r="AB7" i="19"/>
  <c r="AD7" i="19"/>
  <c r="AD8" i="19" s="1"/>
  <c r="AD12" i="19" s="1"/>
  <c r="AF7" i="19"/>
  <c r="AH7" i="19"/>
  <c r="AH8" i="19" s="1"/>
  <c r="AH12" i="19" s="1"/>
  <c r="AJ7" i="19"/>
  <c r="AL7" i="19"/>
  <c r="AN7" i="19"/>
  <c r="AP7" i="19"/>
  <c r="AP8" i="19" s="1"/>
  <c r="AP12" i="19" s="1"/>
  <c r="AR7" i="19"/>
  <c r="AT7" i="19"/>
  <c r="AV7" i="19"/>
  <c r="AX7" i="19"/>
  <c r="AX8" i="19" s="1"/>
  <c r="AX12" i="19" s="1"/>
  <c r="AZ7" i="19"/>
  <c r="BB7" i="19"/>
  <c r="BD7" i="19"/>
  <c r="BF7" i="19"/>
  <c r="BF8" i="19" s="1"/>
  <c r="BF12" i="19" s="1"/>
  <c r="AB8" i="19"/>
  <c r="AC8" i="19"/>
  <c r="AE8" i="19"/>
  <c r="AE12" i="19" s="1"/>
  <c r="AF8" i="19"/>
  <c r="AG8" i="19"/>
  <c r="AI8" i="19"/>
  <c r="AI12" i="19" s="1"/>
  <c r="AJ8" i="19"/>
  <c r="AJ12" i="19" s="1"/>
  <c r="AK8" i="19"/>
  <c r="AM8" i="19"/>
  <c r="AM12" i="19" s="1"/>
  <c r="AN8" i="19"/>
  <c r="AO8" i="19"/>
  <c r="AO12" i="19" s="1"/>
  <c r="AQ8" i="19"/>
  <c r="AQ12" i="19" s="1"/>
  <c r="AR8" i="19"/>
  <c r="AS8" i="19"/>
  <c r="AU8" i="19"/>
  <c r="AU12" i="19" s="1"/>
  <c r="AV8" i="19"/>
  <c r="AW8" i="19"/>
  <c r="AY8" i="19"/>
  <c r="AY12" i="19" s="1"/>
  <c r="AZ8" i="19"/>
  <c r="AZ12" i="19" s="1"/>
  <c r="BA8" i="19"/>
  <c r="BC8" i="19"/>
  <c r="BC12" i="19" s="1"/>
  <c r="BD8" i="19"/>
  <c r="BE8" i="19"/>
  <c r="BE12" i="19" s="1"/>
  <c r="AB12" i="19"/>
  <c r="AC12" i="19"/>
  <c r="AF12" i="19"/>
  <c r="AG12" i="19"/>
  <c r="AK12" i="19"/>
  <c r="AN12" i="19"/>
  <c r="AR12" i="19"/>
  <c r="AS12" i="19"/>
  <c r="AV12" i="19"/>
  <c r="AW12" i="19"/>
  <c r="BA12" i="19"/>
  <c r="BD12" i="19"/>
  <c r="I389" i="3"/>
  <c r="I390" i="3" s="1"/>
  <c r="I391" i="3" s="1"/>
  <c r="I392" i="3" s="1"/>
  <c r="I393" i="3" s="1"/>
  <c r="I394" i="3" s="1"/>
  <c r="I395" i="3" s="1"/>
  <c r="I396" i="3" s="1"/>
  <c r="I397" i="3" s="1"/>
  <c r="I398" i="3" s="1"/>
  <c r="I399" i="3" s="1"/>
  <c r="I400" i="3" s="1"/>
  <c r="I401" i="3" s="1"/>
  <c r="I402" i="3" s="1"/>
  <c r="I403" i="3" s="1"/>
  <c r="I404" i="3" s="1"/>
  <c r="I405" i="3" s="1"/>
  <c r="I406" i="3" s="1"/>
  <c r="I407" i="3" s="1"/>
  <c r="I408" i="3" s="1"/>
  <c r="I409" i="3" s="1"/>
  <c r="I410" i="3" s="1"/>
  <c r="I411" i="3" s="1"/>
  <c r="H389" i="3"/>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G389" i="3"/>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F389" i="3"/>
  <c r="F390" i="3" s="1"/>
  <c r="F391" i="3" s="1"/>
  <c r="F392" i="3" s="1"/>
  <c r="F393" i="3" s="1"/>
  <c r="F394" i="3" s="1"/>
  <c r="F395" i="3" s="1"/>
  <c r="F396" i="3" s="1"/>
  <c r="F397" i="3" s="1"/>
  <c r="F398" i="3" s="1"/>
  <c r="F399" i="3" s="1"/>
  <c r="F400" i="3" s="1"/>
  <c r="F401" i="3" s="1"/>
  <c r="F402" i="3" s="1"/>
  <c r="F403" i="3" s="1"/>
  <c r="F404" i="3" s="1"/>
  <c r="F405" i="3" s="1"/>
  <c r="F406" i="3" s="1"/>
  <c r="F407" i="3" s="1"/>
  <c r="F408" i="3" s="1"/>
  <c r="F409" i="3" s="1"/>
  <c r="F410" i="3" s="1"/>
  <c r="F411" i="3" s="1"/>
  <c r="E389" i="3"/>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I78" i="19" l="1"/>
  <c r="I34" i="19"/>
  <c r="AB37" i="19"/>
  <c r="AR37" i="19"/>
  <c r="AI72" i="19"/>
  <c r="AJ72" i="19"/>
  <c r="AI20" i="19"/>
  <c r="AJ20" i="19"/>
  <c r="AY20" i="19"/>
  <c r="AZ20" i="19"/>
  <c r="AQ18" i="19"/>
  <c r="AS18" i="19"/>
  <c r="AU18" i="19"/>
  <c r="AW18" i="19"/>
  <c r="AY18" i="19"/>
  <c r="BA18" i="19"/>
  <c r="BC18" i="19"/>
  <c r="BE18" i="19"/>
  <c r="AC88" i="19"/>
  <c r="AD88" i="19"/>
  <c r="M50" i="19"/>
  <c r="T49" i="19"/>
  <c r="U49" i="19"/>
  <c r="M54" i="19"/>
  <c r="T53" i="19"/>
  <c r="U53" i="19"/>
  <c r="U65" i="19"/>
  <c r="T65" i="19"/>
  <c r="X65" i="19"/>
  <c r="M78" i="19"/>
  <c r="U77" i="19"/>
  <c r="X77" i="19"/>
  <c r="Y77" i="19" s="1"/>
  <c r="T77" i="19"/>
  <c r="M82" i="19"/>
  <c r="U81" i="19"/>
  <c r="Y81" i="19"/>
  <c r="X81" i="19"/>
  <c r="T81" i="19"/>
  <c r="M90" i="19"/>
  <c r="T89" i="19"/>
  <c r="X89" i="19"/>
  <c r="U89" i="19"/>
  <c r="I93" i="19"/>
  <c r="AB33" i="19"/>
  <c r="AR33" i="19"/>
  <c r="AT33" i="19"/>
  <c r="P72" i="19"/>
  <c r="X71" i="19"/>
  <c r="AQ77" i="19"/>
  <c r="AR77" i="19"/>
  <c r="AS77" i="19"/>
  <c r="AT77" i="19"/>
  <c r="AY77" i="19"/>
  <c r="BB77" i="19"/>
  <c r="O82" i="19"/>
  <c r="V82" i="19" s="1"/>
  <c r="V81" i="19"/>
  <c r="AQ41" i="19"/>
  <c r="AR41" i="19"/>
  <c r="AY41" i="19"/>
  <c r="AZ41" i="19"/>
  <c r="AQ97" i="19"/>
  <c r="AR97" i="19"/>
  <c r="Q23" i="19"/>
  <c r="R95" i="19"/>
  <c r="Q53" i="19"/>
  <c r="Q54" i="19" s="1"/>
  <c r="Q55" i="19" s="1"/>
  <c r="R48" i="19"/>
  <c r="AC47" i="19"/>
  <c r="AD47" i="19"/>
  <c r="AK47" i="19"/>
  <c r="AL47" i="19"/>
  <c r="AS47" i="19"/>
  <c r="BA47" i="19"/>
  <c r="BB47" i="19"/>
  <c r="AT47" i="19"/>
  <c r="AB24" i="19"/>
  <c r="AR24" i="19"/>
  <c r="AB16" i="19"/>
  <c r="AD16" i="19"/>
  <c r="AF16" i="19"/>
  <c r="AH16" i="19"/>
  <c r="AJ16" i="19"/>
  <c r="AL16" i="19"/>
  <c r="AN16" i="19"/>
  <c r="AP16" i="19"/>
  <c r="AT16" i="19"/>
  <c r="BD16" i="19"/>
  <c r="BF16" i="19"/>
  <c r="AR16" i="19"/>
  <c r="AV16" i="19"/>
  <c r="AX16" i="19"/>
  <c r="AZ16" i="19"/>
  <c r="BB16" i="19"/>
  <c r="AQ26" i="19"/>
  <c r="AR26" i="19"/>
  <c r="AY26" i="19"/>
  <c r="AZ26" i="19"/>
  <c r="AI28" i="19"/>
  <c r="AJ28" i="19"/>
  <c r="AY28" i="19"/>
  <c r="AZ28" i="19"/>
  <c r="AI88" i="19"/>
  <c r="AJ88" i="19"/>
  <c r="AK88" i="19"/>
  <c r="AL88" i="19"/>
  <c r="T29" i="19"/>
  <c r="U29" i="19"/>
  <c r="M42" i="19"/>
  <c r="U41" i="19"/>
  <c r="X41" i="19"/>
  <c r="T41" i="19"/>
  <c r="Y61" i="19"/>
  <c r="U61" i="19"/>
  <c r="T61" i="19"/>
  <c r="X61" i="19"/>
  <c r="I48" i="19"/>
  <c r="AQ78" i="19"/>
  <c r="AR78" i="19"/>
  <c r="AS78" i="19"/>
  <c r="AT78" i="19"/>
  <c r="AQ80" i="19"/>
  <c r="AR80" i="19"/>
  <c r="AY80" i="19"/>
  <c r="AZ80" i="19"/>
  <c r="AQ42" i="19"/>
  <c r="AR42" i="19"/>
  <c r="AE62" i="19"/>
  <c r="AF62" i="19"/>
  <c r="AH62" i="19"/>
  <c r="AM62" i="19"/>
  <c r="AN62" i="19"/>
  <c r="AG62" i="19"/>
  <c r="AO62" i="19"/>
  <c r="AP62" i="19"/>
  <c r="AU62" i="19"/>
  <c r="AV62" i="19"/>
  <c r="AW62" i="19"/>
  <c r="AX62" i="19"/>
  <c r="BC62" i="19"/>
  <c r="BD62" i="19"/>
  <c r="BE62" i="19"/>
  <c r="BF62" i="19"/>
  <c r="R20" i="19"/>
  <c r="AC19" i="19"/>
  <c r="AD19" i="19"/>
  <c r="AL19" i="19"/>
  <c r="AK19" i="19"/>
  <c r="BA19" i="19"/>
  <c r="AS19" i="19"/>
  <c r="AT19" i="19"/>
  <c r="BB19" i="19"/>
  <c r="AD33" i="19"/>
  <c r="AB25" i="19"/>
  <c r="AJ25" i="19"/>
  <c r="AR25" i="19"/>
  <c r="AZ25" i="19"/>
  <c r="AI24" i="19"/>
  <c r="AJ24" i="19"/>
  <c r="AY24" i="19"/>
  <c r="AZ24" i="19"/>
  <c r="L18" i="19"/>
  <c r="W18" i="19" s="1"/>
  <c r="W17" i="19"/>
  <c r="AI96" i="19"/>
  <c r="AJ96" i="19"/>
  <c r="AY96" i="19"/>
  <c r="AZ96" i="19"/>
  <c r="AB62" i="19"/>
  <c r="AD62" i="19"/>
  <c r="AJ62" i="19"/>
  <c r="AL62" i="19"/>
  <c r="AR62" i="19"/>
  <c r="AT62" i="19"/>
  <c r="AZ62" i="19"/>
  <c r="BB62" i="19"/>
  <c r="I18" i="19"/>
  <c r="M58" i="19"/>
  <c r="T57" i="19"/>
  <c r="U57" i="19"/>
  <c r="I62" i="19"/>
  <c r="T69" i="19"/>
  <c r="U69" i="19"/>
  <c r="X69" i="19"/>
  <c r="U73" i="19"/>
  <c r="T73" i="19"/>
  <c r="U97" i="19"/>
  <c r="X97" i="19"/>
  <c r="Y97" i="19"/>
  <c r="T97" i="19"/>
  <c r="AI68" i="19"/>
  <c r="AJ68" i="19"/>
  <c r="AY68" i="19"/>
  <c r="AZ68" i="19"/>
  <c r="AR71" i="19"/>
  <c r="AQ71" i="19"/>
  <c r="AY71" i="19"/>
  <c r="AZ71" i="19"/>
  <c r="O90" i="19"/>
  <c r="V89" i="19"/>
  <c r="AE18" i="19"/>
  <c r="AG18" i="19"/>
  <c r="AH18" i="19"/>
  <c r="AM18" i="19"/>
  <c r="AO18" i="19"/>
  <c r="AP18" i="19"/>
  <c r="AQ57" i="19"/>
  <c r="AR57" i="19"/>
  <c r="AZ57" i="19"/>
  <c r="P48" i="19"/>
  <c r="X47" i="19"/>
  <c r="Y47" i="19" s="1"/>
  <c r="Q64" i="19"/>
  <c r="Y63" i="19"/>
  <c r="R80" i="19"/>
  <c r="AS80" i="19" s="1"/>
  <c r="AC79" i="19"/>
  <c r="AD79" i="19"/>
  <c r="AS79" i="19"/>
  <c r="AT79" i="19"/>
  <c r="Q85" i="19"/>
  <c r="Q41" i="19"/>
  <c r="Q42" i="19" s="1"/>
  <c r="Q43" i="19" s="1"/>
  <c r="Q44" i="19" s="1"/>
  <c r="Y40" i="19"/>
  <c r="AB36" i="19"/>
  <c r="AJ36" i="19"/>
  <c r="AR36" i="19"/>
  <c r="AZ36" i="19"/>
  <c r="AI64" i="19"/>
  <c r="AJ64" i="19"/>
  <c r="AK64" i="19"/>
  <c r="AL64" i="19"/>
  <c r="AY64" i="19"/>
  <c r="AZ64" i="19"/>
  <c r="BA64" i="19"/>
  <c r="BB64" i="19"/>
  <c r="M34" i="19"/>
  <c r="T33" i="19"/>
  <c r="Y33" i="19"/>
  <c r="U33" i="19"/>
  <c r="X33" i="19"/>
  <c r="M38" i="19"/>
  <c r="Y37" i="19"/>
  <c r="U37" i="19"/>
  <c r="X37" i="19"/>
  <c r="T37" i="19"/>
  <c r="M94" i="19"/>
  <c r="X93" i="19"/>
  <c r="Y93" i="19" s="1"/>
  <c r="U93" i="19"/>
  <c r="T93" i="19"/>
  <c r="AB32" i="19"/>
  <c r="AF32" i="19"/>
  <c r="AD32" i="19"/>
  <c r="AH32" i="19"/>
  <c r="AJ32" i="19"/>
  <c r="AL32" i="19"/>
  <c r="AN32" i="19"/>
  <c r="AP32" i="19"/>
  <c r="AV32" i="19"/>
  <c r="AX32" i="19"/>
  <c r="BD32" i="19"/>
  <c r="AT32" i="19"/>
  <c r="AR32" i="19"/>
  <c r="AZ32" i="19"/>
  <c r="BB32" i="19"/>
  <c r="BF32" i="19"/>
  <c r="AQ72" i="19"/>
  <c r="AR72" i="19"/>
  <c r="AY72" i="19"/>
  <c r="AZ72" i="19"/>
  <c r="AQ88" i="19"/>
  <c r="AT88" i="19"/>
  <c r="AR88" i="19"/>
  <c r="AS88" i="19"/>
  <c r="AY88" i="19"/>
  <c r="AZ88" i="19"/>
  <c r="BA88" i="19"/>
  <c r="BB88" i="19"/>
  <c r="P20" i="19"/>
  <c r="X19" i="19"/>
  <c r="Y19" i="19" s="1"/>
  <c r="AQ56" i="19"/>
  <c r="AR56" i="19"/>
  <c r="AY56" i="19"/>
  <c r="AZ56" i="19"/>
  <c r="R35" i="19"/>
  <c r="AC34" i="19"/>
  <c r="AD34" i="19"/>
  <c r="AS34" i="19"/>
  <c r="AT34" i="19"/>
  <c r="R68" i="19"/>
  <c r="AC67" i="19"/>
  <c r="AD67" i="19"/>
  <c r="AK67" i="19"/>
  <c r="AL67" i="19"/>
  <c r="AT67" i="19"/>
  <c r="BA67" i="19"/>
  <c r="BB67" i="19"/>
  <c r="AS67" i="19"/>
  <c r="P85" i="19"/>
  <c r="X84" i="19"/>
  <c r="Y84" i="19" s="1"/>
  <c r="AL8" i="19"/>
  <c r="AL12" i="19" s="1"/>
  <c r="AT8" i="19"/>
  <c r="AT12" i="19" s="1"/>
  <c r="R407" i="3" a="1"/>
  <c r="R401" i="3" a="1"/>
  <c r="R400" i="3" a="1"/>
  <c r="R394" i="3" a="1"/>
  <c r="R411" i="3" a="1"/>
  <c r="R405" i="3" a="1"/>
  <c r="R399" i="3" a="1"/>
  <c r="R391" i="3" a="1"/>
  <c r="R402" i="3" a="1"/>
  <c r="R390" i="3" a="1"/>
  <c r="R396" i="3" a="1"/>
  <c r="R395" i="3" a="1"/>
  <c r="R406" i="3" a="1"/>
  <c r="R398" i="3" a="1"/>
  <c r="R393" i="3" a="1"/>
  <c r="R392" i="3" a="1"/>
  <c r="R404" i="3" a="1"/>
  <c r="R403" i="3" a="1"/>
  <c r="R397" i="3" a="1"/>
  <c r="R409" i="3" a="1"/>
  <c r="R408" i="3" a="1"/>
  <c r="R389" i="3" a="1"/>
  <c r="R410" i="3" a="1"/>
  <c r="AE77" i="19" l="1"/>
  <c r="AF77" i="19"/>
  <c r="AG77" i="19"/>
  <c r="AH77" i="19"/>
  <c r="AU77" i="19"/>
  <c r="AV77" i="19"/>
  <c r="AX77" i="19"/>
  <c r="BF77" i="19"/>
  <c r="BC77" i="19"/>
  <c r="AW77" i="19"/>
  <c r="AE93" i="19"/>
  <c r="AF93" i="19"/>
  <c r="AG93" i="19"/>
  <c r="AH93" i="19"/>
  <c r="AE33" i="19"/>
  <c r="AF33" i="19"/>
  <c r="AG33" i="19"/>
  <c r="AH33" i="19"/>
  <c r="AU33" i="19"/>
  <c r="AV33" i="19"/>
  <c r="AW33" i="19"/>
  <c r="AX33" i="19"/>
  <c r="AI57" i="19"/>
  <c r="AJ57" i="19"/>
  <c r="AB17" i="19"/>
  <c r="AD17" i="19"/>
  <c r="AH17" i="19"/>
  <c r="AJ17" i="19"/>
  <c r="AL17" i="19"/>
  <c r="AN17" i="19"/>
  <c r="AP17" i="19"/>
  <c r="AR17" i="19"/>
  <c r="AT17" i="19"/>
  <c r="AV17" i="19"/>
  <c r="AX17" i="19"/>
  <c r="AZ17" i="19"/>
  <c r="BB17" i="19"/>
  <c r="BD17" i="19"/>
  <c r="BF17" i="19"/>
  <c r="AF17" i="19"/>
  <c r="AO80" i="19"/>
  <c r="AF80" i="19"/>
  <c r="R21" i="19"/>
  <c r="AC20" i="19"/>
  <c r="AD20" i="19"/>
  <c r="AS20" i="19"/>
  <c r="AT20" i="19"/>
  <c r="AV80" i="19"/>
  <c r="BD80" i="19"/>
  <c r="AI61" i="19"/>
  <c r="AJ61" i="19"/>
  <c r="AK61" i="19"/>
  <c r="AL61" i="19"/>
  <c r="AM61" i="19"/>
  <c r="AN61" i="19"/>
  <c r="AO61" i="19"/>
  <c r="AP61" i="19"/>
  <c r="AY61" i="19"/>
  <c r="AZ61" i="19"/>
  <c r="BA61" i="19"/>
  <c r="BB61" i="19"/>
  <c r="BC61" i="19"/>
  <c r="BD61" i="19"/>
  <c r="BE61" i="19"/>
  <c r="BF61" i="19"/>
  <c r="Y41" i="19"/>
  <c r="Q56" i="19"/>
  <c r="AZ97" i="19"/>
  <c r="AI77" i="19"/>
  <c r="AJ77" i="19"/>
  <c r="AK77" i="19"/>
  <c r="AL77" i="19"/>
  <c r="AM77" i="19"/>
  <c r="AN77" i="19"/>
  <c r="AO77" i="19"/>
  <c r="AP77" i="19"/>
  <c r="M79" i="19"/>
  <c r="T78" i="19"/>
  <c r="X78" i="19"/>
  <c r="Y78" i="19"/>
  <c r="U78" i="19"/>
  <c r="AI53" i="19"/>
  <c r="AJ53" i="19"/>
  <c r="AY53" i="19"/>
  <c r="AZ53" i="19"/>
  <c r="BB20" i="19"/>
  <c r="I35" i="19"/>
  <c r="R69" i="19"/>
  <c r="AC68" i="19"/>
  <c r="AD68" i="19"/>
  <c r="AT68" i="19"/>
  <c r="AS68" i="19"/>
  <c r="T94" i="19"/>
  <c r="X94" i="19"/>
  <c r="Y94" i="19"/>
  <c r="U94" i="19"/>
  <c r="M95" i="19"/>
  <c r="AB18" i="19"/>
  <c r="AJ18" i="19"/>
  <c r="AL18" i="19"/>
  <c r="AD18" i="19"/>
  <c r="AG80" i="19"/>
  <c r="BC80" i="19"/>
  <c r="R96" i="19"/>
  <c r="Q24" i="19"/>
  <c r="AY97" i="19"/>
  <c r="P73" i="19"/>
  <c r="X73" i="19" s="1"/>
  <c r="X72" i="19"/>
  <c r="I94" i="19"/>
  <c r="AI89" i="19"/>
  <c r="AJ89" i="19"/>
  <c r="AK89" i="19"/>
  <c r="AL89" i="19"/>
  <c r="T54" i="19"/>
  <c r="U54" i="19"/>
  <c r="AI49" i="19"/>
  <c r="AJ49" i="19"/>
  <c r="AK49" i="19"/>
  <c r="AY49" i="19"/>
  <c r="AZ49" i="19"/>
  <c r="BA49" i="19"/>
  <c r="BF18" i="19"/>
  <c r="BB18" i="19"/>
  <c r="AX18" i="19"/>
  <c r="AT18" i="19"/>
  <c r="BA20" i="19"/>
  <c r="AL20" i="19"/>
  <c r="AI93" i="19"/>
  <c r="AJ93" i="19"/>
  <c r="AK93" i="19"/>
  <c r="AL93" i="19"/>
  <c r="AM93" i="19"/>
  <c r="AN93" i="19"/>
  <c r="AO93" i="19"/>
  <c r="AP93" i="19"/>
  <c r="R81" i="19"/>
  <c r="AC80" i="19"/>
  <c r="AD80" i="19"/>
  <c r="AK80" i="19"/>
  <c r="AL80" i="19"/>
  <c r="R36" i="19"/>
  <c r="AC35" i="19"/>
  <c r="AD35" i="19"/>
  <c r="AS35" i="19"/>
  <c r="AT35" i="19"/>
  <c r="AF63" i="19"/>
  <c r="AE63" i="19"/>
  <c r="AH63" i="19"/>
  <c r="AG63" i="19"/>
  <c r="AN63" i="19"/>
  <c r="AM63" i="19"/>
  <c r="AO63" i="19"/>
  <c r="AP63" i="19"/>
  <c r="BD63" i="19"/>
  <c r="AV63" i="19"/>
  <c r="AW63" i="19"/>
  <c r="BC63" i="19"/>
  <c r="BE63" i="19"/>
  <c r="BF63" i="19"/>
  <c r="AU63" i="19"/>
  <c r="AX63" i="19"/>
  <c r="AY57" i="19"/>
  <c r="AQ89" i="19"/>
  <c r="AR89" i="19"/>
  <c r="AS89" i="19"/>
  <c r="AT89" i="19"/>
  <c r="AY89" i="19"/>
  <c r="AZ89" i="19"/>
  <c r="BA89" i="19"/>
  <c r="BB89" i="19"/>
  <c r="M59" i="19"/>
  <c r="T58" i="19"/>
  <c r="U58" i="19"/>
  <c r="AN80" i="19"/>
  <c r="AF19" i="19"/>
  <c r="AE19" i="19"/>
  <c r="AG19" i="19"/>
  <c r="AH19" i="19"/>
  <c r="AN19" i="19"/>
  <c r="AM19" i="19"/>
  <c r="AO19" i="19"/>
  <c r="AP19" i="19"/>
  <c r="AV19" i="19"/>
  <c r="AW19" i="19"/>
  <c r="AU19" i="19"/>
  <c r="AX19" i="19"/>
  <c r="BC19" i="19"/>
  <c r="BE19" i="19"/>
  <c r="BF19" i="19"/>
  <c r="BD19" i="19"/>
  <c r="M35" i="19"/>
  <c r="T34" i="19"/>
  <c r="X34" i="19"/>
  <c r="Y34" i="19" s="1"/>
  <c r="U34" i="19"/>
  <c r="Q65" i="19"/>
  <c r="Y64" i="19"/>
  <c r="O91" i="19"/>
  <c r="V90" i="19"/>
  <c r="BA68" i="19"/>
  <c r="AL68" i="19"/>
  <c r="AI69" i="19"/>
  <c r="AJ69" i="19"/>
  <c r="AK69" i="19"/>
  <c r="AL69" i="19"/>
  <c r="AY69" i="19"/>
  <c r="AZ69" i="19"/>
  <c r="BA69" i="19"/>
  <c r="BB69" i="19"/>
  <c r="I19" i="19"/>
  <c r="AM80" i="19"/>
  <c r="AE80" i="19"/>
  <c r="BB80" i="19"/>
  <c r="AX80" i="19"/>
  <c r="BF80" i="19"/>
  <c r="AU80" i="19"/>
  <c r="I49" i="19"/>
  <c r="AE61" i="19"/>
  <c r="AF61" i="19"/>
  <c r="AG61" i="19"/>
  <c r="AH61" i="19"/>
  <c r="AU61" i="19"/>
  <c r="AV61" i="19"/>
  <c r="AW61" i="19"/>
  <c r="AX61" i="19"/>
  <c r="R49" i="19"/>
  <c r="AC48" i="19"/>
  <c r="AD48" i="19"/>
  <c r="AK48" i="19"/>
  <c r="AL48" i="19"/>
  <c r="AT48" i="19"/>
  <c r="AS48" i="19"/>
  <c r="BA48" i="19"/>
  <c r="BB48" i="19"/>
  <c r="AQ81" i="19"/>
  <c r="AR81" i="19"/>
  <c r="AS81" i="19"/>
  <c r="AT81" i="19"/>
  <c r="AW81" i="19"/>
  <c r="AX81" i="19"/>
  <c r="AY81" i="19"/>
  <c r="AZ81" i="19"/>
  <c r="BA81" i="19"/>
  <c r="BB81" i="19"/>
  <c r="BE81" i="19"/>
  <c r="BF81" i="19"/>
  <c r="BE77" i="19"/>
  <c r="BA77" i="19"/>
  <c r="AC89" i="19"/>
  <c r="AD89" i="19"/>
  <c r="T90" i="19"/>
  <c r="X90" i="19"/>
  <c r="Y90" i="19"/>
  <c r="U90" i="19"/>
  <c r="M91" i="19"/>
  <c r="AI65" i="19"/>
  <c r="AJ65" i="19"/>
  <c r="AK65" i="19"/>
  <c r="AL65" i="19"/>
  <c r="AY65" i="19"/>
  <c r="AZ65" i="19"/>
  <c r="BA65" i="19"/>
  <c r="BB65" i="19"/>
  <c r="T50" i="19"/>
  <c r="U50" i="19"/>
  <c r="AK20" i="19"/>
  <c r="I79" i="19"/>
  <c r="P49" i="19"/>
  <c r="X48" i="19"/>
  <c r="Y48" i="19" s="1"/>
  <c r="AC93" i="19"/>
  <c r="AD93" i="19"/>
  <c r="AI37" i="19"/>
  <c r="AJ37" i="19"/>
  <c r="AY37" i="19"/>
  <c r="AZ37" i="19"/>
  <c r="M39" i="19"/>
  <c r="T38" i="19"/>
  <c r="X38" i="19"/>
  <c r="Y38" i="19"/>
  <c r="U38" i="19"/>
  <c r="AI33" i="19"/>
  <c r="AJ33" i="19"/>
  <c r="AK33" i="19"/>
  <c r="AL33" i="19"/>
  <c r="AM33" i="19"/>
  <c r="AN33" i="19"/>
  <c r="AO33" i="19"/>
  <c r="AP33" i="19"/>
  <c r="AY33" i="19"/>
  <c r="AZ33" i="19"/>
  <c r="BA33" i="19"/>
  <c r="BB33" i="19"/>
  <c r="BC33" i="19"/>
  <c r="BD33" i="19"/>
  <c r="BE33" i="19"/>
  <c r="BF33" i="19"/>
  <c r="BB68" i="19"/>
  <c r="P86" i="19"/>
  <c r="X85" i="19"/>
  <c r="Y85" i="19" s="1"/>
  <c r="P21" i="19"/>
  <c r="X20" i="19"/>
  <c r="Y20" i="19" s="1"/>
  <c r="Q86" i="19"/>
  <c r="AF47" i="19"/>
  <c r="AE47" i="19"/>
  <c r="AG47" i="19"/>
  <c r="AH47" i="19"/>
  <c r="AN47" i="19"/>
  <c r="AM47" i="19"/>
  <c r="AO47" i="19"/>
  <c r="AP47" i="19"/>
  <c r="BD47" i="19"/>
  <c r="AV47" i="19"/>
  <c r="AW47" i="19"/>
  <c r="BC47" i="19"/>
  <c r="BE47" i="19"/>
  <c r="BF47" i="19"/>
  <c r="AU47" i="19"/>
  <c r="AX47" i="19"/>
  <c r="AN18" i="19"/>
  <c r="AF18" i="19"/>
  <c r="AK68" i="19"/>
  <c r="AI97" i="19"/>
  <c r="AJ97" i="19"/>
  <c r="AI73" i="19"/>
  <c r="AJ73" i="19"/>
  <c r="AY73" i="19"/>
  <c r="AZ73" i="19"/>
  <c r="I63" i="19"/>
  <c r="AP80" i="19"/>
  <c r="AH80" i="19"/>
  <c r="BA80" i="19"/>
  <c r="AW80" i="19"/>
  <c r="BE80" i="19"/>
  <c r="AT80" i="19"/>
  <c r="AI41" i="19"/>
  <c r="AJ41" i="19"/>
  <c r="M43" i="19"/>
  <c r="T42" i="19"/>
  <c r="X42" i="19"/>
  <c r="Y42" i="19" s="1"/>
  <c r="U42" i="19"/>
  <c r="AI29" i="19"/>
  <c r="AJ29" i="19"/>
  <c r="AY29" i="19"/>
  <c r="AZ29" i="19"/>
  <c r="AQ82" i="19"/>
  <c r="AR82" i="19"/>
  <c r="AY82" i="19"/>
  <c r="BD77" i="19"/>
  <c r="AZ77" i="19"/>
  <c r="AI81" i="19"/>
  <c r="AJ81" i="19"/>
  <c r="AK81" i="19"/>
  <c r="AL81" i="19"/>
  <c r="AM81" i="19"/>
  <c r="AN81" i="19"/>
  <c r="AO81" i="19"/>
  <c r="AP81" i="19"/>
  <c r="M83" i="19"/>
  <c r="T82" i="19"/>
  <c r="X82" i="19"/>
  <c r="Y82" i="19" s="1"/>
  <c r="U82" i="19"/>
  <c r="BD18" i="19"/>
  <c r="AZ18" i="19"/>
  <c r="AV18" i="19"/>
  <c r="AR18" i="19"/>
  <c r="R402" i="3"/>
  <c r="R406" i="3"/>
  <c r="R389" i="3"/>
  <c r="R393" i="3"/>
  <c r="R397" i="3"/>
  <c r="R401" i="3"/>
  <c r="R405" i="3"/>
  <c r="R409" i="3"/>
  <c r="R390" i="3"/>
  <c r="R398" i="3"/>
  <c r="R392" i="3"/>
  <c r="R396" i="3"/>
  <c r="R400" i="3"/>
  <c r="R404" i="3"/>
  <c r="R408" i="3"/>
  <c r="R394" i="3"/>
  <c r="R410" i="3"/>
  <c r="R391" i="3"/>
  <c r="R395" i="3"/>
  <c r="R399" i="3"/>
  <c r="R403" i="3"/>
  <c r="R407" i="3"/>
  <c r="R411" i="3"/>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AE34" i="19" l="1"/>
  <c r="AF34" i="19"/>
  <c r="AG34" i="19"/>
  <c r="AH34" i="19"/>
  <c r="AU34" i="19"/>
  <c r="AV34" i="19"/>
  <c r="AW34" i="19"/>
  <c r="AX34" i="19"/>
  <c r="AC90" i="19"/>
  <c r="AD90" i="19"/>
  <c r="I50" i="19"/>
  <c r="I20" i="19"/>
  <c r="AQ90" i="19"/>
  <c r="AR90" i="19"/>
  <c r="AS90" i="19"/>
  <c r="AT90" i="19"/>
  <c r="AU90" i="19"/>
  <c r="AV90" i="19"/>
  <c r="AW90" i="19"/>
  <c r="AX90" i="19"/>
  <c r="AY90" i="19"/>
  <c r="AZ90" i="19"/>
  <c r="BA90" i="19"/>
  <c r="BB90" i="19"/>
  <c r="BC90" i="19"/>
  <c r="BD90" i="19"/>
  <c r="BE90" i="19"/>
  <c r="BF90" i="19"/>
  <c r="AG64" i="19"/>
  <c r="AF64" i="19"/>
  <c r="AE64" i="19"/>
  <c r="AH64" i="19"/>
  <c r="AV64" i="19"/>
  <c r="AW64" i="19"/>
  <c r="AU64" i="19"/>
  <c r="AX64" i="19"/>
  <c r="AP64" i="19"/>
  <c r="BE64" i="19"/>
  <c r="AM64" i="19"/>
  <c r="BF64" i="19"/>
  <c r="BC64" i="19"/>
  <c r="AN64" i="19"/>
  <c r="BD64" i="19"/>
  <c r="AO64" i="19"/>
  <c r="T59" i="19"/>
  <c r="U59" i="19"/>
  <c r="AC81" i="19"/>
  <c r="AD81" i="19"/>
  <c r="R82" i="19"/>
  <c r="AG82" i="19" s="1"/>
  <c r="AG81" i="19"/>
  <c r="AE94" i="19"/>
  <c r="AF94" i="19"/>
  <c r="AH94" i="19"/>
  <c r="AG94" i="19"/>
  <c r="I36" i="19"/>
  <c r="AE78" i="19"/>
  <c r="AF78" i="19"/>
  <c r="AH78" i="19"/>
  <c r="AG78" i="19"/>
  <c r="AV78" i="19"/>
  <c r="AW78" i="19"/>
  <c r="AX78" i="19"/>
  <c r="AU78" i="19"/>
  <c r="Q57" i="19"/>
  <c r="R22" i="19"/>
  <c r="AC21" i="19"/>
  <c r="AD21" i="19"/>
  <c r="AK21" i="19"/>
  <c r="AL21" i="19"/>
  <c r="AS21" i="19"/>
  <c r="AT21" i="19"/>
  <c r="BA21" i="19"/>
  <c r="BB21" i="19"/>
  <c r="I80" i="19"/>
  <c r="I64" i="19"/>
  <c r="AI50" i="19"/>
  <c r="AJ50" i="19"/>
  <c r="AY50" i="19"/>
  <c r="AZ50" i="19"/>
  <c r="Q66" i="19"/>
  <c r="Y65" i="19"/>
  <c r="AI34" i="19"/>
  <c r="AJ34" i="19"/>
  <c r="AK34" i="19"/>
  <c r="AL34" i="19"/>
  <c r="AM34" i="19"/>
  <c r="AN34" i="19"/>
  <c r="AO34" i="19"/>
  <c r="AP34" i="19"/>
  <c r="AY34" i="19"/>
  <c r="AZ34" i="19"/>
  <c r="BA34" i="19"/>
  <c r="BB34" i="19"/>
  <c r="BC34" i="19"/>
  <c r="BD34" i="19"/>
  <c r="BE34" i="19"/>
  <c r="BF34" i="19"/>
  <c r="AI54" i="19"/>
  <c r="AJ54" i="19"/>
  <c r="AY54" i="19"/>
  <c r="AZ54" i="19"/>
  <c r="AF81" i="19"/>
  <c r="AI82" i="19"/>
  <c r="AJ82" i="19"/>
  <c r="AL82" i="19"/>
  <c r="AM82" i="19"/>
  <c r="AP82" i="19"/>
  <c r="X86" i="19"/>
  <c r="P87" i="19"/>
  <c r="O92" i="19"/>
  <c r="V91" i="19"/>
  <c r="U83" i="19"/>
  <c r="X83" i="19"/>
  <c r="Y83" i="19" s="1"/>
  <c r="T83" i="19"/>
  <c r="BE82" i="19"/>
  <c r="BA82" i="19"/>
  <c r="M44" i="19"/>
  <c r="U43" i="19"/>
  <c r="X43" i="19"/>
  <c r="Y43" i="19" s="1"/>
  <c r="T43" i="19"/>
  <c r="AF20" i="19"/>
  <c r="AE20" i="19"/>
  <c r="AG20" i="19"/>
  <c r="AH20" i="19"/>
  <c r="AV20" i="19"/>
  <c r="AW20" i="19"/>
  <c r="AU20" i="19"/>
  <c r="AX20" i="19"/>
  <c r="AM20" i="19"/>
  <c r="BC20" i="19"/>
  <c r="AO20" i="19"/>
  <c r="BE20" i="19"/>
  <c r="AP20" i="19"/>
  <c r="BF20" i="19"/>
  <c r="AN20" i="19"/>
  <c r="BD20" i="19"/>
  <c r="AI38" i="19"/>
  <c r="AJ38" i="19"/>
  <c r="AY38" i="19"/>
  <c r="AZ38" i="19"/>
  <c r="AF48" i="19"/>
  <c r="AE48" i="19"/>
  <c r="AG48" i="19"/>
  <c r="AH48" i="19"/>
  <c r="AN48" i="19"/>
  <c r="AM48" i="19"/>
  <c r="AO48" i="19"/>
  <c r="AP48" i="19"/>
  <c r="BD48" i="19"/>
  <c r="BE48" i="19"/>
  <c r="AV48" i="19"/>
  <c r="AW48" i="19"/>
  <c r="BF48" i="19"/>
  <c r="AU48" i="19"/>
  <c r="AX48" i="19"/>
  <c r="BC48" i="19"/>
  <c r="BD81" i="19"/>
  <c r="AV81" i="19"/>
  <c r="U35" i="19"/>
  <c r="T35" i="19"/>
  <c r="Y35" i="19"/>
  <c r="X35" i="19"/>
  <c r="AI58" i="19"/>
  <c r="AJ58" i="19"/>
  <c r="AY58" i="19"/>
  <c r="AZ58" i="19"/>
  <c r="AE81" i="19"/>
  <c r="Q25" i="19"/>
  <c r="T95" i="19"/>
  <c r="U95" i="19"/>
  <c r="X95" i="19"/>
  <c r="Y95" i="19"/>
  <c r="AI94" i="19"/>
  <c r="AJ94" i="19"/>
  <c r="AK94" i="19"/>
  <c r="AL94" i="19"/>
  <c r="AM94" i="19"/>
  <c r="AO94" i="19"/>
  <c r="AP94" i="19"/>
  <c r="AN94" i="19"/>
  <c r="AI78" i="19"/>
  <c r="AJ78" i="19"/>
  <c r="AK78" i="19"/>
  <c r="AL78" i="19"/>
  <c r="AM78" i="19"/>
  <c r="AO78" i="19"/>
  <c r="AP78" i="19"/>
  <c r="AN78" i="19"/>
  <c r="AZ78" i="19"/>
  <c r="BD78" i="19"/>
  <c r="BA78" i="19"/>
  <c r="BE78" i="19"/>
  <c r="BB78" i="19"/>
  <c r="BF78" i="19"/>
  <c r="AY78" i="19"/>
  <c r="BC78" i="19"/>
  <c r="Y86" i="19"/>
  <c r="Q87" i="19"/>
  <c r="BB82" i="19"/>
  <c r="AI42" i="19"/>
  <c r="AJ42" i="19"/>
  <c r="AZ42" i="19"/>
  <c r="AY42" i="19"/>
  <c r="AE90" i="19"/>
  <c r="AF90" i="19"/>
  <c r="AH90" i="19"/>
  <c r="AG90" i="19"/>
  <c r="BD82" i="19"/>
  <c r="AZ82" i="19"/>
  <c r="P22" i="19"/>
  <c r="X21" i="19"/>
  <c r="Y21" i="19" s="1"/>
  <c r="U39" i="19"/>
  <c r="T39" i="19"/>
  <c r="X39" i="19"/>
  <c r="Y39" i="19" s="1"/>
  <c r="P50" i="19"/>
  <c r="X49" i="19"/>
  <c r="Y49" i="19" s="1"/>
  <c r="T91" i="19"/>
  <c r="U91" i="19"/>
  <c r="X91" i="19"/>
  <c r="Y91" i="19"/>
  <c r="AI90" i="19"/>
  <c r="AJ90" i="19"/>
  <c r="AK90" i="19"/>
  <c r="AL90" i="19"/>
  <c r="AM90" i="19"/>
  <c r="AO90" i="19"/>
  <c r="AP90" i="19"/>
  <c r="AN90" i="19"/>
  <c r="BC81" i="19"/>
  <c r="AU81" i="19"/>
  <c r="AC49" i="19"/>
  <c r="AD49" i="19"/>
  <c r="R50" i="19"/>
  <c r="AS49" i="19"/>
  <c r="AT49" i="19"/>
  <c r="R37" i="19"/>
  <c r="AD36" i="19"/>
  <c r="AC36" i="19"/>
  <c r="AK36" i="19"/>
  <c r="AL36" i="19"/>
  <c r="AT36" i="19"/>
  <c r="AS36" i="19"/>
  <c r="BA36" i="19"/>
  <c r="BB36" i="19"/>
  <c r="AH36" i="19"/>
  <c r="AP36" i="19"/>
  <c r="AV36" i="19"/>
  <c r="BC36" i="19"/>
  <c r="AE36" i="19"/>
  <c r="AN36" i="19"/>
  <c r="BD36" i="19"/>
  <c r="AW36" i="19"/>
  <c r="AG36" i="19"/>
  <c r="AM36" i="19"/>
  <c r="AU36" i="19"/>
  <c r="BE36" i="19"/>
  <c r="AF36" i="19"/>
  <c r="AO36" i="19"/>
  <c r="BF36" i="19"/>
  <c r="AX36" i="19"/>
  <c r="BB49" i="19"/>
  <c r="AL49" i="19"/>
  <c r="AH81" i="19"/>
  <c r="I95" i="19"/>
  <c r="R97" i="19"/>
  <c r="AE96" i="19"/>
  <c r="AG96" i="19"/>
  <c r="AC96" i="19"/>
  <c r="AD96" i="19"/>
  <c r="AF96" i="19"/>
  <c r="AH96" i="19"/>
  <c r="AT96" i="19"/>
  <c r="AU96" i="19"/>
  <c r="AS96" i="19"/>
  <c r="AV96" i="19"/>
  <c r="AW96" i="19"/>
  <c r="AX96" i="19"/>
  <c r="AM96" i="19"/>
  <c r="BD96" i="19"/>
  <c r="AN96" i="19"/>
  <c r="BE96" i="19"/>
  <c r="BA96" i="19"/>
  <c r="AK96" i="19"/>
  <c r="AO96" i="19"/>
  <c r="BF96" i="19"/>
  <c r="BB96" i="19"/>
  <c r="AL96" i="19"/>
  <c r="AP96" i="19"/>
  <c r="BC96" i="19"/>
  <c r="AC94" i="19"/>
  <c r="AD94" i="19"/>
  <c r="AC69" i="19"/>
  <c r="AD69" i="19"/>
  <c r="R70" i="19"/>
  <c r="AS69" i="19"/>
  <c r="AT69" i="19"/>
  <c r="U79" i="19"/>
  <c r="T79" i="19"/>
  <c r="Y79" i="19"/>
  <c r="X79"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F79" i="19" l="1"/>
  <c r="AH79" i="19"/>
  <c r="AE79" i="19"/>
  <c r="AG79" i="19"/>
  <c r="AV79" i="19"/>
  <c r="AW79" i="19"/>
  <c r="AX79" i="19"/>
  <c r="AU79" i="19"/>
  <c r="R38" i="19"/>
  <c r="AC37" i="19"/>
  <c r="AD37" i="19"/>
  <c r="AS37" i="19"/>
  <c r="AT37" i="19"/>
  <c r="AF37" i="19"/>
  <c r="AV37" i="19"/>
  <c r="AM37" i="19"/>
  <c r="BC37" i="19"/>
  <c r="BA37" i="19"/>
  <c r="AP37" i="19"/>
  <c r="AG37" i="19"/>
  <c r="AW37" i="19"/>
  <c r="AN37" i="19"/>
  <c r="BD37" i="19"/>
  <c r="AK37" i="19"/>
  <c r="BE37" i="19"/>
  <c r="AL37" i="19"/>
  <c r="BF37" i="19"/>
  <c r="AH37" i="19"/>
  <c r="AX37" i="19"/>
  <c r="AO37" i="19"/>
  <c r="AE37" i="19"/>
  <c r="AU37" i="19"/>
  <c r="BB37" i="19"/>
  <c r="AI79" i="19"/>
  <c r="AJ79" i="19"/>
  <c r="AO79" i="19"/>
  <c r="AP79" i="19"/>
  <c r="AK79" i="19"/>
  <c r="AL79" i="19"/>
  <c r="AM79" i="19"/>
  <c r="AN79" i="19"/>
  <c r="BB79" i="19"/>
  <c r="BC79" i="19"/>
  <c r="BE79" i="19"/>
  <c r="BF79" i="19"/>
  <c r="AY79" i="19"/>
  <c r="AZ79" i="19"/>
  <c r="BA79" i="19"/>
  <c r="BD79" i="19"/>
  <c r="AF35" i="19"/>
  <c r="AH35" i="19"/>
  <c r="AE35" i="19"/>
  <c r="AG35" i="19"/>
  <c r="AV35" i="19"/>
  <c r="AW35" i="19"/>
  <c r="AU35" i="19"/>
  <c r="AX35" i="19"/>
  <c r="I96" i="19"/>
  <c r="AC50" i="19"/>
  <c r="AD50" i="19"/>
  <c r="R51" i="19"/>
  <c r="AS50" i="19"/>
  <c r="AT50" i="19"/>
  <c r="AI91" i="19"/>
  <c r="AN91" i="19"/>
  <c r="AK91" i="19"/>
  <c r="AL91" i="19"/>
  <c r="AM91" i="19"/>
  <c r="AO91" i="19"/>
  <c r="AP91" i="19"/>
  <c r="AJ91" i="19"/>
  <c r="P23" i="19"/>
  <c r="X22" i="19"/>
  <c r="Y22" i="19" s="1"/>
  <c r="Q88" i="19"/>
  <c r="Y87" i="19"/>
  <c r="AT95" i="19"/>
  <c r="AC95" i="19"/>
  <c r="AD95" i="19"/>
  <c r="AS95" i="19"/>
  <c r="P88" i="19"/>
  <c r="X88" i="19" s="1"/>
  <c r="X87" i="19"/>
  <c r="AN82" i="19"/>
  <c r="BA50" i="19"/>
  <c r="AK50" i="19"/>
  <c r="I65" i="19"/>
  <c r="AX82" i="19"/>
  <c r="AG91" i="19"/>
  <c r="AE91" i="19"/>
  <c r="AH91" i="19"/>
  <c r="AF91" i="19"/>
  <c r="AE49" i="19"/>
  <c r="AF49" i="19"/>
  <c r="AG49" i="19"/>
  <c r="AH49" i="19"/>
  <c r="AU49" i="19"/>
  <c r="AV49" i="19"/>
  <c r="AX49" i="19"/>
  <c r="AW49" i="19"/>
  <c r="AP49" i="19"/>
  <c r="BF49" i="19"/>
  <c r="AM49" i="19"/>
  <c r="BC49" i="19"/>
  <c r="AN49" i="19"/>
  <c r="BD49" i="19"/>
  <c r="AO49" i="19"/>
  <c r="BE49" i="19"/>
  <c r="AI39" i="19"/>
  <c r="AJ39" i="19"/>
  <c r="AY39" i="19"/>
  <c r="AZ39" i="19"/>
  <c r="AI95" i="19"/>
  <c r="AJ95" i="19"/>
  <c r="AO95" i="19"/>
  <c r="AP95" i="19"/>
  <c r="AK95" i="19"/>
  <c r="AL95" i="19"/>
  <c r="AM95" i="19"/>
  <c r="AN95" i="19"/>
  <c r="BC95" i="19"/>
  <c r="BA95" i="19"/>
  <c r="BB95" i="19"/>
  <c r="BE95" i="19"/>
  <c r="BF95" i="19"/>
  <c r="AY95" i="19"/>
  <c r="AZ95" i="19"/>
  <c r="BD95" i="19"/>
  <c r="AE65" i="19"/>
  <c r="AF65" i="19"/>
  <c r="AG65" i="19"/>
  <c r="AH65" i="19"/>
  <c r="AU65" i="19"/>
  <c r="AV65" i="19"/>
  <c r="AX65" i="19"/>
  <c r="AW65" i="19"/>
  <c r="AP65" i="19"/>
  <c r="BF65" i="19"/>
  <c r="AN65" i="19"/>
  <c r="BD65" i="19"/>
  <c r="BE65" i="19"/>
  <c r="AM65" i="19"/>
  <c r="BC65" i="19"/>
  <c r="AO65" i="19"/>
  <c r="Q58" i="19"/>
  <c r="AC82" i="19"/>
  <c r="AD82" i="19"/>
  <c r="R83" i="19"/>
  <c r="AG83" i="19" s="1"/>
  <c r="AT82" i="19"/>
  <c r="AS82" i="19"/>
  <c r="I21" i="19"/>
  <c r="AW82" i="19"/>
  <c r="AF82" i="19"/>
  <c r="AC70" i="19"/>
  <c r="AD70" i="19"/>
  <c r="R71" i="19"/>
  <c r="AK70" i="19"/>
  <c r="AL70" i="19"/>
  <c r="AS70" i="19"/>
  <c r="AT70" i="19"/>
  <c r="BA70" i="19"/>
  <c r="BB70" i="19"/>
  <c r="AI83" i="19"/>
  <c r="AK83" i="19"/>
  <c r="AL83" i="19"/>
  <c r="AM83" i="19"/>
  <c r="AJ83" i="19"/>
  <c r="AN83" i="19"/>
  <c r="AO83" i="19"/>
  <c r="AP83" i="19"/>
  <c r="BC83" i="19"/>
  <c r="BA83" i="19"/>
  <c r="BD83" i="19"/>
  <c r="BE83" i="19"/>
  <c r="AY83" i="19"/>
  <c r="AZ83" i="19"/>
  <c r="BB83" i="19"/>
  <c r="BF83" i="19"/>
  <c r="AV91" i="19"/>
  <c r="BB91" i="19"/>
  <c r="AQ91" i="19"/>
  <c r="AT91" i="19"/>
  <c r="AU91" i="19"/>
  <c r="BC91" i="19"/>
  <c r="BD91" i="19"/>
  <c r="BE91" i="19"/>
  <c r="BF91" i="19"/>
  <c r="AR91" i="19"/>
  <c r="AX91" i="19"/>
  <c r="AY91" i="19"/>
  <c r="AZ91" i="19"/>
  <c r="BA91" i="19"/>
  <c r="AS91" i="19"/>
  <c r="AW91" i="19"/>
  <c r="Y66" i="19"/>
  <c r="Q67" i="19"/>
  <c r="I81" i="19"/>
  <c r="I51" i="19"/>
  <c r="BC82" i="19"/>
  <c r="AV82" i="19"/>
  <c r="AE82" i="19"/>
  <c r="P51" i="19"/>
  <c r="X50" i="19"/>
  <c r="Y50" i="19" s="1"/>
  <c r="AF95" i="19"/>
  <c r="AH95" i="19"/>
  <c r="AE95" i="19"/>
  <c r="AG95" i="19"/>
  <c r="AV95" i="19"/>
  <c r="AW95" i="19"/>
  <c r="AX95" i="19"/>
  <c r="AU95" i="19"/>
  <c r="AC97" i="19"/>
  <c r="AD97" i="19"/>
  <c r="AS97" i="19"/>
  <c r="AT97" i="19"/>
  <c r="AU97" i="19"/>
  <c r="AE97" i="19"/>
  <c r="AL97" i="19"/>
  <c r="AP97" i="19"/>
  <c r="AW97" i="19"/>
  <c r="AX97" i="19"/>
  <c r="BE97" i="19"/>
  <c r="BD97" i="19"/>
  <c r="AF97" i="19"/>
  <c r="BF97" i="19"/>
  <c r="AM97" i="19"/>
  <c r="AK97" i="19"/>
  <c r="AO97" i="19"/>
  <c r="BA97" i="19"/>
  <c r="BB97" i="19"/>
  <c r="AG97" i="19"/>
  <c r="AN97" i="19"/>
  <c r="AV97" i="19"/>
  <c r="BC97" i="19"/>
  <c r="AH97" i="19"/>
  <c r="AD91" i="19"/>
  <c r="AC91" i="19"/>
  <c r="AE21" i="19"/>
  <c r="AF21" i="19"/>
  <c r="AG21" i="19"/>
  <c r="AH21" i="19"/>
  <c r="AM21" i="19"/>
  <c r="AN21" i="19"/>
  <c r="AO21" i="19"/>
  <c r="AP21" i="19"/>
  <c r="AU21" i="19"/>
  <c r="AV21" i="19"/>
  <c r="AW21" i="19"/>
  <c r="BC21" i="19"/>
  <c r="BD21" i="19"/>
  <c r="BE21" i="19"/>
  <c r="BF21" i="19"/>
  <c r="AX21" i="19"/>
  <c r="Q26" i="19"/>
  <c r="AI35" i="19"/>
  <c r="AJ35" i="19"/>
  <c r="AK35" i="19"/>
  <c r="AL35" i="19"/>
  <c r="AN35" i="19"/>
  <c r="AM35" i="19"/>
  <c r="AO35" i="19"/>
  <c r="AP35" i="19"/>
  <c r="BE35" i="19"/>
  <c r="BA35" i="19"/>
  <c r="BB35" i="19"/>
  <c r="BC35" i="19"/>
  <c r="BD35" i="19"/>
  <c r="BF35" i="19"/>
  <c r="AY35" i="19"/>
  <c r="AZ35" i="19"/>
  <c r="AI43" i="19"/>
  <c r="AJ43" i="19"/>
  <c r="AY43" i="19"/>
  <c r="AZ43" i="19"/>
  <c r="T44" i="19"/>
  <c r="U44" i="19"/>
  <c r="X44" i="19"/>
  <c r="Y44" i="19"/>
  <c r="V92" i="19"/>
  <c r="O93" i="19"/>
  <c r="AO82" i="19"/>
  <c r="AK82" i="19"/>
  <c r="BB50" i="19"/>
  <c r="AL50" i="19"/>
  <c r="AC22" i="19"/>
  <c r="AD22" i="19"/>
  <c r="R23" i="19"/>
  <c r="AK22" i="19"/>
  <c r="AL22" i="19"/>
  <c r="AS22" i="19"/>
  <c r="AT22" i="19"/>
  <c r="BA22" i="19"/>
  <c r="BB22" i="19"/>
  <c r="I37" i="19"/>
  <c r="AI59" i="19"/>
  <c r="AJ59" i="19"/>
  <c r="AY59" i="19"/>
  <c r="AZ59" i="19"/>
  <c r="AU82" i="19"/>
  <c r="AH82" i="19"/>
  <c r="BF82"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I82" i="19" l="1"/>
  <c r="AX83" i="19"/>
  <c r="AF83" i="19"/>
  <c r="Q27" i="19"/>
  <c r="I66" i="19"/>
  <c r="Q89" i="19"/>
  <c r="Y89" i="19" s="1"/>
  <c r="Y88" i="19"/>
  <c r="AW83" i="19"/>
  <c r="AH83" i="19"/>
  <c r="I38" i="19"/>
  <c r="AS92" i="19"/>
  <c r="AW92" i="19"/>
  <c r="BD92" i="19"/>
  <c r="BE92" i="19"/>
  <c r="AV92" i="19"/>
  <c r="BF92" i="19"/>
  <c r="AQ92" i="19"/>
  <c r="AT92" i="19"/>
  <c r="AU92" i="19"/>
  <c r="BC92" i="19"/>
  <c r="AR92" i="19"/>
  <c r="AX92" i="19"/>
  <c r="AY92" i="19"/>
  <c r="AZ92" i="19"/>
  <c r="BA92" i="19"/>
  <c r="BB92" i="19"/>
  <c r="P52" i="19"/>
  <c r="X51" i="19"/>
  <c r="Y51" i="19" s="1"/>
  <c r="I52" i="19"/>
  <c r="Q68" i="19"/>
  <c r="Y67" i="19"/>
  <c r="R72" i="19"/>
  <c r="AC71" i="19"/>
  <c r="AD71" i="19"/>
  <c r="AK71" i="19"/>
  <c r="AL71" i="19"/>
  <c r="BA71" i="19"/>
  <c r="AS71" i="19"/>
  <c r="AT71" i="19"/>
  <c r="BB71" i="19"/>
  <c r="AE22" i="19"/>
  <c r="AF22" i="19"/>
  <c r="AG22" i="19"/>
  <c r="AH22" i="19"/>
  <c r="AM22" i="19"/>
  <c r="AN22" i="19"/>
  <c r="AO22" i="19"/>
  <c r="AP22" i="19"/>
  <c r="AU22" i="19"/>
  <c r="AV22" i="19"/>
  <c r="AW22" i="19"/>
  <c r="AX22" i="19"/>
  <c r="BC22" i="19"/>
  <c r="BD22" i="19"/>
  <c r="BE22" i="19"/>
  <c r="BF22" i="19"/>
  <c r="R52" i="19"/>
  <c r="AD51" i="19"/>
  <c r="AC51" i="19"/>
  <c r="AK51" i="19"/>
  <c r="AL51" i="19"/>
  <c r="AT51" i="19"/>
  <c r="BB51" i="19"/>
  <c r="AS51" i="19"/>
  <c r="BA51" i="19"/>
  <c r="J95" i="19"/>
  <c r="J94" i="19" s="1"/>
  <c r="J93" i="19" s="1"/>
  <c r="J92" i="19" s="1"/>
  <c r="J91" i="19" s="1"/>
  <c r="I97" i="19"/>
  <c r="J96" i="19" s="1"/>
  <c r="AU83" i="19"/>
  <c r="R24" i="19"/>
  <c r="AD23" i="19"/>
  <c r="AC23" i="19"/>
  <c r="AK23" i="19"/>
  <c r="AL23" i="19"/>
  <c r="AS23" i="19"/>
  <c r="AT23" i="19"/>
  <c r="BB23" i="19"/>
  <c r="BA23" i="19"/>
  <c r="AI44" i="19"/>
  <c r="AJ44" i="19"/>
  <c r="AY44" i="19"/>
  <c r="AZ44" i="19"/>
  <c r="AE50" i="19"/>
  <c r="AF50" i="19"/>
  <c r="AG50" i="19"/>
  <c r="AH50" i="19"/>
  <c r="AU50" i="19"/>
  <c r="AV50" i="19"/>
  <c r="AW50" i="19"/>
  <c r="AX50" i="19"/>
  <c r="AP50" i="19"/>
  <c r="BF50" i="19"/>
  <c r="AM50" i="19"/>
  <c r="BC50" i="19"/>
  <c r="AN50" i="19"/>
  <c r="BD50" i="19"/>
  <c r="AO50" i="19"/>
  <c r="BE50" i="19"/>
  <c r="O94" i="19"/>
  <c r="V94" i="19" s="1"/>
  <c r="V93" i="19"/>
  <c r="AE66" i="19"/>
  <c r="AF66" i="19"/>
  <c r="AG66" i="19"/>
  <c r="AH66" i="19"/>
  <c r="AM66" i="19"/>
  <c r="AN66" i="19"/>
  <c r="AO66" i="19"/>
  <c r="AP66" i="19"/>
  <c r="AU66" i="19"/>
  <c r="AV66" i="19"/>
  <c r="AW66" i="19"/>
  <c r="AX66" i="19"/>
  <c r="BC66" i="19"/>
  <c r="BD66" i="19"/>
  <c r="BE66" i="19"/>
  <c r="BF66" i="19"/>
  <c r="I22" i="19"/>
  <c r="R84" i="19"/>
  <c r="AC83" i="19"/>
  <c r="AD83" i="19"/>
  <c r="AT83" i="19"/>
  <c r="AS83" i="19"/>
  <c r="Q59" i="19"/>
  <c r="P24" i="19"/>
  <c r="X23" i="19"/>
  <c r="Y23" i="19" s="1"/>
  <c r="AC38" i="19"/>
  <c r="AD38" i="19"/>
  <c r="R39" i="19"/>
  <c r="AS38" i="19"/>
  <c r="AT38" i="19"/>
  <c r="AL38" i="19"/>
  <c r="AP38" i="19"/>
  <c r="BB38" i="19"/>
  <c r="BF38" i="19"/>
  <c r="AE38" i="19"/>
  <c r="AU38" i="19"/>
  <c r="AV38" i="19"/>
  <c r="AF38" i="19"/>
  <c r="AN38" i="19"/>
  <c r="BD38" i="19"/>
  <c r="AG38" i="19"/>
  <c r="AW38" i="19"/>
  <c r="AK38" i="19"/>
  <c r="AO38" i="19"/>
  <c r="BA38" i="19"/>
  <c r="BE38" i="19"/>
  <c r="AH38" i="19"/>
  <c r="AX38" i="19"/>
  <c r="AM38" i="19"/>
  <c r="BC38" i="19"/>
  <c r="AV83" i="19"/>
  <c r="AE83"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M65" i="3" a="1"/>
  <c r="M378" i="3" a="1"/>
  <c r="M63" i="3" a="1"/>
  <c r="L63" i="3" a="1"/>
  <c r="L355" i="3" a="1"/>
  <c r="L65" i="3" a="1"/>
  <c r="L67" i="3" a="1"/>
  <c r="L85" i="3" a="1"/>
  <c r="M322" i="3" a="1"/>
  <c r="F3" i="17"/>
  <c r="M366" i="3" a="1"/>
  <c r="F4" i="17" a="1"/>
  <c r="M67" i="3" a="1"/>
  <c r="L360" i="3" a="1"/>
  <c r="L92" i="3" a="1"/>
  <c r="M92" i="3" a="1"/>
  <c r="M357" i="3" a="1"/>
  <c r="M381" i="3" a="1"/>
  <c r="M372" i="3" a="1"/>
  <c r="M85" i="3" a="1"/>
  <c r="AQ93" i="19" l="1"/>
  <c r="AR93" i="19"/>
  <c r="AS93" i="19"/>
  <c r="AT93" i="19"/>
  <c r="AU93" i="19"/>
  <c r="AV93" i="19"/>
  <c r="AX93" i="19"/>
  <c r="AY93" i="19"/>
  <c r="AZ93" i="19"/>
  <c r="BA93" i="19"/>
  <c r="BB93" i="19"/>
  <c r="BC93" i="19"/>
  <c r="BD93" i="19"/>
  <c r="BE93" i="19"/>
  <c r="BF93" i="19"/>
  <c r="AW93" i="19"/>
  <c r="AE67" i="19"/>
  <c r="AF67" i="19"/>
  <c r="AG67" i="19"/>
  <c r="AH67" i="19"/>
  <c r="AM67" i="19"/>
  <c r="AO67" i="19"/>
  <c r="AP67" i="19"/>
  <c r="AN67" i="19"/>
  <c r="AU67" i="19"/>
  <c r="AW67" i="19"/>
  <c r="BC67" i="19"/>
  <c r="BE67" i="19"/>
  <c r="BD67" i="19"/>
  <c r="AX67" i="19"/>
  <c r="BF67" i="19"/>
  <c r="AV67" i="19"/>
  <c r="AE51" i="19"/>
  <c r="AG51" i="19"/>
  <c r="AF51" i="19"/>
  <c r="AH51" i="19"/>
  <c r="AM51" i="19"/>
  <c r="AO51" i="19"/>
  <c r="AP51" i="19"/>
  <c r="AN51" i="19"/>
  <c r="AU51" i="19"/>
  <c r="AW51" i="19"/>
  <c r="BC51" i="19"/>
  <c r="BD51" i="19"/>
  <c r="AX51" i="19"/>
  <c r="BE51" i="19"/>
  <c r="BF51" i="19"/>
  <c r="AV51" i="19"/>
  <c r="I67" i="19"/>
  <c r="Q69" i="19"/>
  <c r="Y68" i="19"/>
  <c r="P53" i="19"/>
  <c r="X52" i="19"/>
  <c r="Y52" i="19" s="1"/>
  <c r="AE23" i="19"/>
  <c r="AG23" i="19"/>
  <c r="AF23" i="19"/>
  <c r="AH23" i="19"/>
  <c r="AN23" i="19"/>
  <c r="AO23" i="19"/>
  <c r="AP23" i="19"/>
  <c r="AM23" i="19"/>
  <c r="AX23" i="19"/>
  <c r="BD23" i="19"/>
  <c r="BC23" i="19"/>
  <c r="BF23" i="19"/>
  <c r="AV23" i="19"/>
  <c r="AW23" i="19"/>
  <c r="BE23" i="19"/>
  <c r="AU23" i="19"/>
  <c r="R85" i="19"/>
  <c r="AC84" i="19"/>
  <c r="AD84" i="19"/>
  <c r="AK84" i="19"/>
  <c r="AL84" i="19"/>
  <c r="AS84" i="19"/>
  <c r="AT84" i="19"/>
  <c r="BA84" i="19"/>
  <c r="BB84" i="19"/>
  <c r="AF84" i="19"/>
  <c r="AM84" i="19"/>
  <c r="BF84" i="19"/>
  <c r="AX84" i="19"/>
  <c r="AE84" i="19"/>
  <c r="AN84" i="19"/>
  <c r="AV84" i="19"/>
  <c r="BC84" i="19"/>
  <c r="AG84" i="19"/>
  <c r="AO84" i="19"/>
  <c r="AU84" i="19"/>
  <c r="BD84" i="19"/>
  <c r="AH84" i="19"/>
  <c r="AP84" i="19"/>
  <c r="AW84" i="19"/>
  <c r="BE84" i="19"/>
  <c r="P25" i="19"/>
  <c r="X24" i="19"/>
  <c r="Y24" i="19" s="1"/>
  <c r="I23" i="19"/>
  <c r="R25" i="19"/>
  <c r="AD24" i="19"/>
  <c r="AC24" i="19"/>
  <c r="AS24" i="19"/>
  <c r="AT24" i="19"/>
  <c r="AK24" i="19"/>
  <c r="BA24" i="19"/>
  <c r="AL24" i="19"/>
  <c r="BB24" i="19"/>
  <c r="R53" i="19"/>
  <c r="AD52" i="19"/>
  <c r="AC52" i="19"/>
  <c r="AL52" i="19"/>
  <c r="AK52" i="19"/>
  <c r="AT52" i="19"/>
  <c r="AS52" i="19"/>
  <c r="BA52" i="19"/>
  <c r="BB52" i="19"/>
  <c r="I39" i="19"/>
  <c r="AE88" i="19"/>
  <c r="AF88" i="19"/>
  <c r="AG88" i="19"/>
  <c r="AH88" i="19"/>
  <c r="AM88" i="19"/>
  <c r="AW88" i="19"/>
  <c r="AU88" i="19"/>
  <c r="AX88" i="19"/>
  <c r="BE88" i="19"/>
  <c r="AN88" i="19"/>
  <c r="BC88" i="19"/>
  <c r="AV88" i="19"/>
  <c r="BD88" i="19"/>
  <c r="AO88" i="19"/>
  <c r="BF88" i="19"/>
  <c r="AP88" i="19"/>
  <c r="I83" i="19"/>
  <c r="AQ94" i="19"/>
  <c r="AR94" i="19"/>
  <c r="AS94" i="19"/>
  <c r="AT94" i="19"/>
  <c r="AU94" i="19"/>
  <c r="AV94" i="19"/>
  <c r="AW94" i="19"/>
  <c r="AX94" i="19"/>
  <c r="AY94" i="19"/>
  <c r="AZ94" i="19"/>
  <c r="BA94" i="19"/>
  <c r="BB94" i="19"/>
  <c r="BC94" i="19"/>
  <c r="BD94" i="19"/>
  <c r="BE94" i="19"/>
  <c r="BF94" i="19"/>
  <c r="R40" i="19"/>
  <c r="AD39" i="19"/>
  <c r="AC39" i="19"/>
  <c r="AT39" i="19"/>
  <c r="AS39" i="19"/>
  <c r="AE39" i="19"/>
  <c r="AU39" i="19"/>
  <c r="AO39" i="19"/>
  <c r="BC39" i="19"/>
  <c r="AG39" i="19"/>
  <c r="AX39" i="19"/>
  <c r="AP39" i="19"/>
  <c r="BD39" i="19"/>
  <c r="AH39" i="19"/>
  <c r="AV39" i="19"/>
  <c r="AM39" i="19"/>
  <c r="AL39" i="19"/>
  <c r="BB39" i="19"/>
  <c r="BA39" i="19"/>
  <c r="AF39" i="19"/>
  <c r="AW39" i="19"/>
  <c r="AK39" i="19"/>
  <c r="AN39" i="19"/>
  <c r="BF39" i="19"/>
  <c r="BE39" i="19"/>
  <c r="R73" i="19"/>
  <c r="AC72" i="19"/>
  <c r="AD72" i="19"/>
  <c r="AS72" i="19"/>
  <c r="AT72" i="19"/>
  <c r="BA72" i="19"/>
  <c r="BB72" i="19"/>
  <c r="AK72" i="19"/>
  <c r="AL72" i="19"/>
  <c r="I53" i="19"/>
  <c r="AE89" i="19"/>
  <c r="AF89" i="19"/>
  <c r="AG89" i="19"/>
  <c r="AH89" i="19"/>
  <c r="AP89" i="19"/>
  <c r="AV89" i="19"/>
  <c r="BE89" i="19"/>
  <c r="AM89" i="19"/>
  <c r="AX89" i="19"/>
  <c r="BF89" i="19"/>
  <c r="AN89" i="19"/>
  <c r="BC89" i="19"/>
  <c r="AW89" i="19"/>
  <c r="AO89" i="19"/>
  <c r="AU89" i="19"/>
  <c r="BD89" i="19"/>
  <c r="Q28"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AC73" i="19" l="1"/>
  <c r="AD73" i="19"/>
  <c r="AS73" i="19"/>
  <c r="AT73" i="19"/>
  <c r="AL73" i="19"/>
  <c r="BB73" i="19"/>
  <c r="AK73" i="19"/>
  <c r="BA73" i="19"/>
  <c r="AC85" i="19"/>
  <c r="AD85" i="19"/>
  <c r="R86" i="19"/>
  <c r="AK85" i="19"/>
  <c r="AL85" i="19"/>
  <c r="AS85" i="19"/>
  <c r="AT85" i="19"/>
  <c r="BA85" i="19"/>
  <c r="BB85" i="19"/>
  <c r="AG85" i="19"/>
  <c r="AO85" i="19"/>
  <c r="AX85" i="19"/>
  <c r="BF85" i="19"/>
  <c r="AH85" i="19"/>
  <c r="AP85" i="19"/>
  <c r="BC85" i="19"/>
  <c r="AW85" i="19"/>
  <c r="AE85" i="19"/>
  <c r="AM85" i="19"/>
  <c r="AU85" i="19"/>
  <c r="BD85" i="19"/>
  <c r="AF85" i="19"/>
  <c r="AN85" i="19"/>
  <c r="AV85" i="19"/>
  <c r="BE85" i="19"/>
  <c r="Q70" i="19"/>
  <c r="Y69" i="19"/>
  <c r="Q29" i="19"/>
  <c r="R41" i="19"/>
  <c r="AC40" i="19"/>
  <c r="AD40" i="19"/>
  <c r="AL40" i="19"/>
  <c r="AK40" i="19"/>
  <c r="AT40" i="19"/>
  <c r="AS40" i="19"/>
  <c r="BA40" i="19"/>
  <c r="BB40" i="19"/>
  <c r="AG40" i="19"/>
  <c r="AO40" i="19"/>
  <c r="BF40" i="19"/>
  <c r="AX40" i="19"/>
  <c r="AH40" i="19"/>
  <c r="AP40" i="19"/>
  <c r="AU40" i="19"/>
  <c r="BC40" i="19"/>
  <c r="AF40" i="19"/>
  <c r="AN40" i="19"/>
  <c r="AV40" i="19"/>
  <c r="BD40" i="19"/>
  <c r="AE40" i="19"/>
  <c r="AM40" i="19"/>
  <c r="AW40" i="19"/>
  <c r="BE40" i="19"/>
  <c r="I40" i="19"/>
  <c r="AE52" i="19"/>
  <c r="AG52" i="19"/>
  <c r="AF52" i="19"/>
  <c r="AH52" i="19"/>
  <c r="AN52" i="19"/>
  <c r="AM52" i="19"/>
  <c r="AO52" i="19"/>
  <c r="AP52" i="19"/>
  <c r="AV52" i="19"/>
  <c r="AU52" i="19"/>
  <c r="AW52" i="19"/>
  <c r="BD52" i="19"/>
  <c r="BF52" i="19"/>
  <c r="BE52" i="19"/>
  <c r="AX52" i="19"/>
  <c r="BC52" i="19"/>
  <c r="I24" i="19"/>
  <c r="I54" i="19"/>
  <c r="R54" i="19"/>
  <c r="AC53" i="19"/>
  <c r="AD53" i="19"/>
  <c r="AS53" i="19"/>
  <c r="AT53" i="19"/>
  <c r="AL53" i="19"/>
  <c r="BB53" i="19"/>
  <c r="AK53" i="19"/>
  <c r="BA53" i="19"/>
  <c r="AE24" i="19"/>
  <c r="AG24" i="19"/>
  <c r="AF24" i="19"/>
  <c r="AH24" i="19"/>
  <c r="AU24" i="19"/>
  <c r="AX24" i="19"/>
  <c r="AV24" i="19"/>
  <c r="AW24" i="19"/>
  <c r="AM24" i="19"/>
  <c r="AO24" i="19"/>
  <c r="BC24" i="19"/>
  <c r="AP24" i="19"/>
  <c r="BD24" i="19"/>
  <c r="BE24" i="19"/>
  <c r="AN24" i="19"/>
  <c r="BF24" i="19"/>
  <c r="P54" i="19"/>
  <c r="X53" i="19"/>
  <c r="Y53" i="19" s="1"/>
  <c r="I68" i="19"/>
  <c r="I84" i="19"/>
  <c r="R26" i="19"/>
  <c r="AC25" i="19"/>
  <c r="AD25" i="19"/>
  <c r="AK25" i="19"/>
  <c r="AL25" i="19"/>
  <c r="AS25" i="19"/>
  <c r="AT25" i="19"/>
  <c r="BA25" i="19"/>
  <c r="BB25" i="19"/>
  <c r="P26" i="19"/>
  <c r="X25" i="19"/>
  <c r="Y25" i="19" s="1"/>
  <c r="AE68" i="19"/>
  <c r="AF68" i="19"/>
  <c r="AG68" i="19"/>
  <c r="AH68" i="19"/>
  <c r="AV68" i="19"/>
  <c r="AU68" i="19"/>
  <c r="AW68" i="19"/>
  <c r="AX68" i="19"/>
  <c r="AP68" i="19"/>
  <c r="BF68" i="19"/>
  <c r="BC68" i="19"/>
  <c r="AM68" i="19"/>
  <c r="BE68" i="19"/>
  <c r="BD68" i="19"/>
  <c r="AN68" i="19"/>
  <c r="AO68"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I69" i="19" l="1"/>
  <c r="AE53" i="19"/>
  <c r="AF53" i="19"/>
  <c r="AG53" i="19"/>
  <c r="AH53" i="19"/>
  <c r="AU53" i="19"/>
  <c r="AV53" i="19"/>
  <c r="AX53" i="19"/>
  <c r="AW53" i="19"/>
  <c r="AP53" i="19"/>
  <c r="BF53" i="19"/>
  <c r="AM53" i="19"/>
  <c r="BC53" i="19"/>
  <c r="AN53" i="19"/>
  <c r="BD53" i="19"/>
  <c r="AO53" i="19"/>
  <c r="BE53" i="19"/>
  <c r="I41" i="19"/>
  <c r="AE69" i="19"/>
  <c r="AF69" i="19"/>
  <c r="AG69" i="19"/>
  <c r="AH69" i="19"/>
  <c r="AU69" i="19"/>
  <c r="AV69" i="19"/>
  <c r="AX69" i="19"/>
  <c r="AW69" i="19"/>
  <c r="AO69" i="19"/>
  <c r="BE69" i="19"/>
  <c r="AP69" i="19"/>
  <c r="BF69" i="19"/>
  <c r="AM69" i="19"/>
  <c r="BC69" i="19"/>
  <c r="AN69" i="19"/>
  <c r="BD69" i="19"/>
  <c r="R87" i="19"/>
  <c r="AC86" i="19"/>
  <c r="AD86" i="19"/>
  <c r="AK86" i="19"/>
  <c r="AL86" i="19"/>
  <c r="AS86" i="19"/>
  <c r="AT86" i="19"/>
  <c r="BA86" i="19"/>
  <c r="BB86" i="19"/>
  <c r="AE86" i="19"/>
  <c r="AM86" i="19"/>
  <c r="AU86" i="19"/>
  <c r="BC86" i="19"/>
  <c r="AF86" i="19"/>
  <c r="AN86" i="19"/>
  <c r="AV86" i="19"/>
  <c r="BD86" i="19"/>
  <c r="AG86" i="19"/>
  <c r="AO86" i="19"/>
  <c r="AW86" i="19"/>
  <c r="BE86" i="19"/>
  <c r="AH86" i="19"/>
  <c r="AP86" i="19"/>
  <c r="AX86" i="19"/>
  <c r="BF86" i="19"/>
  <c r="AE25" i="19"/>
  <c r="AF25" i="19"/>
  <c r="AG25" i="19"/>
  <c r="AH25" i="19"/>
  <c r="AM25" i="19"/>
  <c r="AN25" i="19"/>
  <c r="AO25" i="19"/>
  <c r="AP25" i="19"/>
  <c r="AU25" i="19"/>
  <c r="AV25" i="19"/>
  <c r="AW25" i="19"/>
  <c r="BC25" i="19"/>
  <c r="BD25" i="19"/>
  <c r="BE25" i="19"/>
  <c r="BF25" i="19"/>
  <c r="AX25" i="19"/>
  <c r="I85" i="19"/>
  <c r="AC41" i="19"/>
  <c r="AD41" i="19"/>
  <c r="R42" i="19"/>
  <c r="AS41" i="19"/>
  <c r="AT41" i="19"/>
  <c r="AL41" i="19"/>
  <c r="AP41" i="19"/>
  <c r="AM41" i="19"/>
  <c r="BE41" i="19"/>
  <c r="AN41" i="19"/>
  <c r="BA41" i="19"/>
  <c r="AK41" i="19"/>
  <c r="BB41" i="19"/>
  <c r="BF41" i="19"/>
  <c r="AO41" i="19"/>
  <c r="AE41" i="19"/>
  <c r="AW41" i="19"/>
  <c r="AV41" i="19"/>
  <c r="AF41" i="19"/>
  <c r="AX41" i="19"/>
  <c r="BD41" i="19"/>
  <c r="AG41" i="19"/>
  <c r="AU41" i="19"/>
  <c r="AH41" i="19"/>
  <c r="BC41" i="19"/>
  <c r="Q71" i="19"/>
  <c r="Y70" i="19"/>
  <c r="R27" i="19"/>
  <c r="AC26" i="19"/>
  <c r="AD26" i="19"/>
  <c r="AK26" i="19"/>
  <c r="AL26" i="19"/>
  <c r="AS26" i="19"/>
  <c r="BA26" i="19"/>
  <c r="AT26" i="19"/>
  <c r="BB26" i="19"/>
  <c r="I55" i="19"/>
  <c r="P55" i="19"/>
  <c r="X54" i="19"/>
  <c r="Y54" i="19" s="1"/>
  <c r="P27" i="19"/>
  <c r="X26" i="19"/>
  <c r="Y26" i="19" s="1"/>
  <c r="R55" i="19"/>
  <c r="AC54" i="19"/>
  <c r="AD54" i="19"/>
  <c r="AS54" i="19"/>
  <c r="AT54" i="19"/>
  <c r="AK54" i="19"/>
  <c r="BA54" i="19"/>
  <c r="AL54" i="19"/>
  <c r="BB54" i="19"/>
  <c r="I25"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AE26" i="19" l="1"/>
  <c r="AF26" i="19"/>
  <c r="AG26" i="19"/>
  <c r="AH26" i="19"/>
  <c r="AM26" i="19"/>
  <c r="AN26" i="19"/>
  <c r="AO26" i="19"/>
  <c r="AP26" i="19"/>
  <c r="AU26" i="19"/>
  <c r="BC26" i="19"/>
  <c r="AV26" i="19"/>
  <c r="BD26" i="19"/>
  <c r="AW26" i="19"/>
  <c r="BE26" i="19"/>
  <c r="AX26" i="19"/>
  <c r="BF26" i="19"/>
  <c r="I56" i="19"/>
  <c r="I26" i="19"/>
  <c r="P28" i="19"/>
  <c r="X27" i="19"/>
  <c r="Y27" i="19" s="1"/>
  <c r="AE54" i="19"/>
  <c r="AF54" i="19"/>
  <c r="AG54" i="19"/>
  <c r="AH54" i="19"/>
  <c r="AU54" i="19"/>
  <c r="AV54" i="19"/>
  <c r="AW54" i="19"/>
  <c r="AX54" i="19"/>
  <c r="AN54" i="19"/>
  <c r="BD54" i="19"/>
  <c r="AO54" i="19"/>
  <c r="BE54" i="19"/>
  <c r="AP54" i="19"/>
  <c r="BF54" i="19"/>
  <c r="AM54" i="19"/>
  <c r="BC54" i="19"/>
  <c r="R28" i="19"/>
  <c r="AC27" i="19"/>
  <c r="AD27" i="19"/>
  <c r="AL27" i="19"/>
  <c r="AK27" i="19"/>
  <c r="BB27" i="19"/>
  <c r="AS27" i="19"/>
  <c r="AT27" i="19"/>
  <c r="BA27" i="19"/>
  <c r="I86" i="19"/>
  <c r="R56" i="19"/>
  <c r="AC55" i="19"/>
  <c r="AD55" i="19"/>
  <c r="AK55" i="19"/>
  <c r="AL55" i="19"/>
  <c r="AS55" i="19"/>
  <c r="BA55" i="19"/>
  <c r="BB55" i="19"/>
  <c r="AT55" i="19"/>
  <c r="P56" i="19"/>
  <c r="X55" i="19"/>
  <c r="Y55" i="19" s="1"/>
  <c r="AE70" i="19"/>
  <c r="AF70" i="19"/>
  <c r="AG70" i="19"/>
  <c r="AH70" i="19"/>
  <c r="AM70" i="19"/>
  <c r="AN70" i="19"/>
  <c r="AO70" i="19"/>
  <c r="AP70" i="19"/>
  <c r="AU70" i="19"/>
  <c r="AV70" i="19"/>
  <c r="AW70" i="19"/>
  <c r="AX70" i="19"/>
  <c r="BC70" i="19"/>
  <c r="BD70" i="19"/>
  <c r="BE70" i="19"/>
  <c r="BF70" i="19"/>
  <c r="R43" i="19"/>
  <c r="AC42" i="19"/>
  <c r="AD42" i="19"/>
  <c r="AS42" i="19"/>
  <c r="AT42" i="19"/>
  <c r="AG42" i="19"/>
  <c r="AX42" i="19"/>
  <c r="AL42" i="19"/>
  <c r="AP42" i="19"/>
  <c r="BE42" i="19"/>
  <c r="BC42" i="19"/>
  <c r="AM42" i="19"/>
  <c r="BB42" i="19"/>
  <c r="AH42" i="19"/>
  <c r="AU42" i="19"/>
  <c r="AE42" i="19"/>
  <c r="AV42" i="19"/>
  <c r="AN42" i="19"/>
  <c r="BD42" i="19"/>
  <c r="BF42" i="19"/>
  <c r="AF42" i="19"/>
  <c r="AW42" i="19"/>
  <c r="AK42" i="19"/>
  <c r="AO42" i="19"/>
  <c r="BA42" i="19"/>
  <c r="Q72" i="19"/>
  <c r="Y71" i="19"/>
  <c r="AC87" i="19"/>
  <c r="AD87" i="19"/>
  <c r="AK87" i="19"/>
  <c r="AL87" i="19"/>
  <c r="AS87" i="19"/>
  <c r="BA87" i="19"/>
  <c r="BB87" i="19"/>
  <c r="AT87" i="19"/>
  <c r="AH87" i="19"/>
  <c r="AP87" i="19"/>
  <c r="BC87" i="19"/>
  <c r="AX87" i="19"/>
  <c r="AE87" i="19"/>
  <c r="AM87" i="19"/>
  <c r="BD87" i="19"/>
  <c r="AU87" i="19"/>
  <c r="AF87" i="19"/>
  <c r="AN87" i="19"/>
  <c r="AW87" i="19"/>
  <c r="BE87" i="19"/>
  <c r="AG87" i="19"/>
  <c r="AO87" i="19"/>
  <c r="BF87" i="19"/>
  <c r="AV87" i="19"/>
  <c r="I70" i="19"/>
  <c r="I42"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I27" i="19" l="1"/>
  <c r="I43" i="19"/>
  <c r="AF71" i="19"/>
  <c r="AG71" i="19"/>
  <c r="AE71" i="19"/>
  <c r="AH71" i="19"/>
  <c r="AN71" i="19"/>
  <c r="AM71" i="19"/>
  <c r="AO71" i="19"/>
  <c r="AP71" i="19"/>
  <c r="AV71" i="19"/>
  <c r="BE71" i="19"/>
  <c r="AX71" i="19"/>
  <c r="AW71" i="19"/>
  <c r="AU71" i="19"/>
  <c r="BF71" i="19"/>
  <c r="BC71" i="19"/>
  <c r="BD71" i="19"/>
  <c r="P57" i="19"/>
  <c r="X56" i="19"/>
  <c r="Y56" i="19" s="1"/>
  <c r="R29" i="19"/>
  <c r="AC28" i="19"/>
  <c r="AD28" i="19"/>
  <c r="AS28" i="19"/>
  <c r="AT28" i="19"/>
  <c r="BA28" i="19"/>
  <c r="AK28" i="19"/>
  <c r="BB28" i="19"/>
  <c r="AL28" i="19"/>
  <c r="R57" i="19"/>
  <c r="AC56" i="19"/>
  <c r="AD56" i="19"/>
  <c r="AK56" i="19"/>
  <c r="AL56" i="19"/>
  <c r="AS56" i="19"/>
  <c r="BB56" i="19"/>
  <c r="AT56" i="19"/>
  <c r="BA56" i="19"/>
  <c r="AF27" i="19"/>
  <c r="AE27" i="19"/>
  <c r="AG27" i="19"/>
  <c r="AH27" i="19"/>
  <c r="AN27" i="19"/>
  <c r="AM27" i="19"/>
  <c r="AO27" i="19"/>
  <c r="AP27" i="19"/>
  <c r="AV27" i="19"/>
  <c r="AW27" i="19"/>
  <c r="AU27" i="19"/>
  <c r="BC27" i="19"/>
  <c r="BD27" i="19"/>
  <c r="BE27" i="19"/>
  <c r="BF27" i="19"/>
  <c r="AX27" i="19"/>
  <c r="AF55" i="19"/>
  <c r="AE55" i="19"/>
  <c r="AG55" i="19"/>
  <c r="AH55" i="19"/>
  <c r="AN55" i="19"/>
  <c r="AM55" i="19"/>
  <c r="AO55" i="19"/>
  <c r="AP55" i="19"/>
  <c r="BE55" i="19"/>
  <c r="AV55" i="19"/>
  <c r="BD55" i="19"/>
  <c r="BF55" i="19"/>
  <c r="AU55" i="19"/>
  <c r="AX55" i="19"/>
  <c r="BC55" i="19"/>
  <c r="AW55" i="19"/>
  <c r="Q73" i="19"/>
  <c r="Y73" i="19" s="1"/>
  <c r="Y72" i="19"/>
  <c r="I71" i="19"/>
  <c r="R44" i="19"/>
  <c r="AC43" i="19"/>
  <c r="AD43" i="19"/>
  <c r="AS43" i="19"/>
  <c r="AT43" i="19"/>
  <c r="AF43" i="19"/>
  <c r="AV43" i="19"/>
  <c r="AM43" i="19"/>
  <c r="BB43" i="19"/>
  <c r="BF43" i="19"/>
  <c r="AP43" i="19"/>
  <c r="AH43" i="19"/>
  <c r="AW43" i="19"/>
  <c r="AK43" i="19"/>
  <c r="AO43" i="19"/>
  <c r="BC43" i="19"/>
  <c r="AL43" i="19"/>
  <c r="BD43" i="19"/>
  <c r="BE43" i="19"/>
  <c r="AE43" i="19"/>
  <c r="AU43" i="19"/>
  <c r="AN43" i="19"/>
  <c r="AG43" i="19"/>
  <c r="AX43" i="19"/>
  <c r="BA43" i="19"/>
  <c r="I87" i="19"/>
  <c r="P29" i="19"/>
  <c r="X29" i="19" s="1"/>
  <c r="Y29" i="19" s="1"/>
  <c r="X28" i="19"/>
  <c r="Y28" i="19" s="1"/>
  <c r="I57"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C57" i="19" l="1"/>
  <c r="AD57" i="19"/>
  <c r="R58" i="19"/>
  <c r="AS57" i="19"/>
  <c r="AT57" i="19"/>
  <c r="AL57" i="19"/>
  <c r="BB57" i="19"/>
  <c r="BA57" i="19"/>
  <c r="AK57" i="19"/>
  <c r="I44" i="19"/>
  <c r="J43" i="19" s="1"/>
  <c r="J42" i="19"/>
  <c r="J41" i="19" s="1"/>
  <c r="J40" i="19" s="1"/>
  <c r="J39" i="19" s="1"/>
  <c r="J38" i="19" s="1"/>
  <c r="J37" i="19" s="1"/>
  <c r="J36" i="19" s="1"/>
  <c r="J35" i="19" s="1"/>
  <c r="J34" i="19" s="1"/>
  <c r="J33" i="19" s="1"/>
  <c r="J32" i="19" s="1"/>
  <c r="J31" i="19" s="1"/>
  <c r="J30" i="19" s="1"/>
  <c r="AE29" i="19"/>
  <c r="AF29" i="19"/>
  <c r="AG29" i="19"/>
  <c r="AH29" i="19"/>
  <c r="AU29" i="19"/>
  <c r="AV29" i="19"/>
  <c r="AW29" i="19"/>
  <c r="AX29" i="19"/>
  <c r="AO29" i="19"/>
  <c r="BE29" i="19"/>
  <c r="AM29" i="19"/>
  <c r="AP29" i="19"/>
  <c r="BF29" i="19"/>
  <c r="BC29" i="19"/>
  <c r="AN29" i="19"/>
  <c r="BD29" i="19"/>
  <c r="AC29" i="19"/>
  <c r="AD29" i="19"/>
  <c r="AS29" i="19"/>
  <c r="AT29" i="19"/>
  <c r="AK29" i="19"/>
  <c r="BA29" i="19"/>
  <c r="AL29" i="19"/>
  <c r="BB29" i="19"/>
  <c r="I58" i="19"/>
  <c r="AF72" i="19"/>
  <c r="AG72" i="19"/>
  <c r="AE72" i="19"/>
  <c r="AH72" i="19"/>
  <c r="AM72" i="19"/>
  <c r="AV72" i="19"/>
  <c r="AU72" i="19"/>
  <c r="BF72" i="19"/>
  <c r="AX72" i="19"/>
  <c r="AN72" i="19"/>
  <c r="AO72" i="19"/>
  <c r="AW72" i="19"/>
  <c r="BD72" i="19"/>
  <c r="BE72" i="19"/>
  <c r="AP72" i="19"/>
  <c r="BC72" i="19"/>
  <c r="AF56" i="19"/>
  <c r="AE56" i="19"/>
  <c r="AG56" i="19"/>
  <c r="AH56" i="19"/>
  <c r="AN56" i="19"/>
  <c r="AM56" i="19"/>
  <c r="AO56" i="19"/>
  <c r="AP56" i="19"/>
  <c r="AW56" i="19"/>
  <c r="BD56" i="19"/>
  <c r="BC56" i="19"/>
  <c r="BF56" i="19"/>
  <c r="AU56" i="19"/>
  <c r="BE56" i="19"/>
  <c r="AX56" i="19"/>
  <c r="AV56" i="19"/>
  <c r="I28" i="19"/>
  <c r="I72" i="19"/>
  <c r="I88" i="19"/>
  <c r="AF28" i="19"/>
  <c r="AE28" i="19"/>
  <c r="AG28" i="19"/>
  <c r="AH28" i="19"/>
  <c r="AX28" i="19"/>
  <c r="AV28" i="19"/>
  <c r="AW28" i="19"/>
  <c r="AU28" i="19"/>
  <c r="AN28" i="19"/>
  <c r="BD28" i="19"/>
  <c r="AM28" i="19"/>
  <c r="BE28" i="19"/>
  <c r="AO28" i="19"/>
  <c r="BF28" i="19"/>
  <c r="AP28" i="19"/>
  <c r="BC28" i="19"/>
  <c r="AD44" i="19"/>
  <c r="AC44" i="19"/>
  <c r="AT44" i="19"/>
  <c r="AS44" i="19"/>
  <c r="AE44" i="19"/>
  <c r="AV44" i="19"/>
  <c r="AK44" i="19"/>
  <c r="AO44" i="19"/>
  <c r="BC44" i="19"/>
  <c r="AG44" i="19"/>
  <c r="AW44" i="19"/>
  <c r="AL44" i="19"/>
  <c r="AP44" i="19"/>
  <c r="BD44" i="19"/>
  <c r="AF44" i="19"/>
  <c r="AU44" i="19"/>
  <c r="AN44" i="19"/>
  <c r="BE44" i="19"/>
  <c r="BA44" i="19"/>
  <c r="AH44" i="19"/>
  <c r="AX44" i="19"/>
  <c r="AM44" i="19"/>
  <c r="BF44" i="19"/>
  <c r="BB44" i="19"/>
  <c r="AE73" i="19"/>
  <c r="AF73" i="19"/>
  <c r="AG73" i="19"/>
  <c r="AH73" i="19"/>
  <c r="AU73" i="19"/>
  <c r="AV73" i="19"/>
  <c r="AX73" i="19"/>
  <c r="AW73" i="19"/>
  <c r="AP73" i="19"/>
  <c r="BF73" i="19"/>
  <c r="AN73" i="19"/>
  <c r="BD73" i="19"/>
  <c r="AM73" i="19"/>
  <c r="BC73" i="19"/>
  <c r="AO73" i="19"/>
  <c r="BE73" i="19"/>
  <c r="P58" i="19"/>
  <c r="X57" i="19"/>
  <c r="Y57" i="19" s="1"/>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E57" i="19" l="1"/>
  <c r="AF57" i="19"/>
  <c r="AG57" i="19"/>
  <c r="AH57" i="19"/>
  <c r="AV57" i="19"/>
  <c r="AW57" i="19"/>
  <c r="AU57" i="19"/>
  <c r="AX57" i="19"/>
  <c r="BD57" i="19"/>
  <c r="AP57" i="19"/>
  <c r="BF57" i="19"/>
  <c r="BE57" i="19"/>
  <c r="AM57" i="19"/>
  <c r="BC57" i="19"/>
  <c r="AN57" i="19"/>
  <c r="AO57" i="19"/>
  <c r="P59" i="19"/>
  <c r="X59" i="19" s="1"/>
  <c r="Y59" i="19" s="1"/>
  <c r="X58" i="19"/>
  <c r="Y58" i="19" s="1"/>
  <c r="J71" i="19"/>
  <c r="J70" i="19" s="1"/>
  <c r="J69" i="19" s="1"/>
  <c r="J68" i="19" s="1"/>
  <c r="J67" i="19" s="1"/>
  <c r="J66" i="19" s="1"/>
  <c r="J65" i="19" s="1"/>
  <c r="J64" i="19" s="1"/>
  <c r="J63" i="19" s="1"/>
  <c r="J62" i="19" s="1"/>
  <c r="J61" i="19" s="1"/>
  <c r="J60" i="19" s="1"/>
  <c r="I73" i="19"/>
  <c r="J72" i="19" s="1"/>
  <c r="R59" i="19"/>
  <c r="AC58" i="19"/>
  <c r="AD58" i="19"/>
  <c r="AS58" i="19"/>
  <c r="AT58" i="19"/>
  <c r="AL58" i="19"/>
  <c r="BB58" i="19"/>
  <c r="AK58" i="19"/>
  <c r="BA58" i="19"/>
  <c r="I89" i="19"/>
  <c r="J27" i="19"/>
  <c r="J26" i="19" s="1"/>
  <c r="J25" i="19" s="1"/>
  <c r="J24" i="19" s="1"/>
  <c r="J23" i="19" s="1"/>
  <c r="J22" i="19" s="1"/>
  <c r="J21" i="19" s="1"/>
  <c r="J20" i="19" s="1"/>
  <c r="J19" i="19" s="1"/>
  <c r="J18" i="19" s="1"/>
  <c r="J17" i="19" s="1"/>
  <c r="J16" i="19" s="1"/>
  <c r="J15" i="19" s="1"/>
  <c r="I29" i="19"/>
  <c r="J28" i="19" s="1"/>
  <c r="I59" i="19"/>
  <c r="J58" i="19" s="1"/>
  <c r="J57" i="19" s="1"/>
  <c r="J56" i="19" s="1"/>
  <c r="J55" i="19" s="1"/>
  <c r="J54" i="19" s="1"/>
  <c r="J53" i="19" s="1"/>
  <c r="J52" i="19" s="1"/>
  <c r="J51" i="19" s="1"/>
  <c r="J50" i="19" s="1"/>
  <c r="J49" i="19" s="1"/>
  <c r="J48" i="19" s="1"/>
  <c r="J47" i="19" s="1"/>
  <c r="J46" i="19" s="1"/>
  <c r="J45" i="19" s="1"/>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I90" i="19" l="1"/>
  <c r="J89" i="19" s="1"/>
  <c r="J88" i="19" s="1"/>
  <c r="J87" i="19" s="1"/>
  <c r="J86" i="19" s="1"/>
  <c r="J85" i="19" s="1"/>
  <c r="J84" i="19" s="1"/>
  <c r="J83" i="19" s="1"/>
  <c r="J82" i="19" s="1"/>
  <c r="J81" i="19" s="1"/>
  <c r="J80" i="19" s="1"/>
  <c r="J79" i="19" s="1"/>
  <c r="J78" i="19" s="1"/>
  <c r="J77" i="19" s="1"/>
  <c r="J76" i="19" s="1"/>
  <c r="J75" i="19" s="1"/>
  <c r="J74" i="19" s="1"/>
  <c r="AE58" i="19"/>
  <c r="AF58" i="19"/>
  <c r="AG58" i="19"/>
  <c r="AH58" i="19"/>
  <c r="AU58" i="19"/>
  <c r="AV58" i="19"/>
  <c r="AW58" i="19"/>
  <c r="AX58" i="19"/>
  <c r="AN58" i="19"/>
  <c r="BD58" i="19"/>
  <c r="AO58" i="19"/>
  <c r="AP58" i="19"/>
  <c r="BF58" i="19"/>
  <c r="AM58" i="19"/>
  <c r="BC58" i="19"/>
  <c r="BE58" i="19"/>
  <c r="AD59" i="19"/>
  <c r="AC59" i="19"/>
  <c r="AT59" i="19"/>
  <c r="AS59" i="19"/>
  <c r="AL59" i="19"/>
  <c r="BB59" i="19"/>
  <c r="AK59" i="19"/>
  <c r="BA59" i="19"/>
  <c r="AE59" i="19"/>
  <c r="AG59" i="19"/>
  <c r="AF59" i="19"/>
  <c r="AH59" i="19"/>
  <c r="AU59" i="19"/>
  <c r="AW59" i="19"/>
  <c r="AX59" i="19"/>
  <c r="AV59" i="19"/>
  <c r="AO59" i="19"/>
  <c r="BF59" i="19"/>
  <c r="AP59" i="19"/>
  <c r="AM59" i="19"/>
  <c r="BC59" i="19"/>
  <c r="AN59" i="19"/>
  <c r="BE59" i="19"/>
  <c r="BD59"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G24" i="18" l="1"/>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E25" i="18" l="1"/>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AG26" i="18" l="1"/>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AG27" i="18" l="1"/>
  <c r="AF27" i="18"/>
  <c r="AE27" i="18"/>
  <c r="AH27" i="18"/>
  <c r="AW27" i="18"/>
  <c r="AX27" i="18"/>
  <c r="AV27" i="18"/>
  <c r="AU27" i="18"/>
  <c r="AP27" i="18"/>
  <c r="BE27" i="18"/>
  <c r="BD27" i="18"/>
  <c r="AO27" i="18"/>
  <c r="AM27" i="18"/>
  <c r="AN27" i="18"/>
  <c r="BC27" i="18"/>
  <c r="BF27" i="18"/>
  <c r="Q29" i="18"/>
  <c r="Y29" i="18" s="1"/>
  <c r="W323" i="3"/>
  <c r="AJ311" i="3"/>
  <c r="O29" i="3"/>
  <c r="N29" i="3" s="1"/>
  <c r="V29" i="3"/>
  <c r="AE28" i="18" l="1"/>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BE81DA2D-1B84-4C69-A5D2-8D97B651191A}">
      <text>
        <r>
          <rPr>
            <b/>
            <sz val="9"/>
            <color indexed="81"/>
            <rFont val="Tahoma"/>
            <family val="2"/>
          </rPr>
          <t>0.189393939393939:Rate (byte/s)_x000D_
1.51515151515152:Rate (bit/s)</t>
        </r>
      </text>
    </comment>
    <comment ref="Q390" authorId="0" shapeId="0" xr:uid="{F3B38CA1-7086-46E1-9A6A-1BBE0FD48E18}">
      <text>
        <r>
          <rPr>
            <b/>
            <sz val="9"/>
            <color indexed="81"/>
            <rFont val="Tahoma"/>
            <family val="2"/>
          </rPr>
          <t>0.378787878787879:Rate (byte/s)_x000D_
3.03030303030303:Rate (bit/s)</t>
        </r>
      </text>
    </comment>
    <comment ref="Q391" authorId="0" shapeId="0" xr:uid="{FAD7C214-FECF-4A1A-BCB2-45AEBAAAEA17}">
      <text>
        <r>
          <rPr>
            <b/>
            <sz val="9"/>
            <color indexed="81"/>
            <rFont val="Tahoma"/>
            <family val="2"/>
          </rPr>
          <t>0.378787878787879:Rate (byte/s)_x000D_
3.03030303030303:Rate (bit/s)</t>
        </r>
      </text>
    </comment>
    <comment ref="Q392" authorId="0" shapeId="0" xr:uid="{9AC4BAD9-A318-4D70-8EDF-ACDC1F2331C5}">
      <text>
        <r>
          <rPr>
            <b/>
            <sz val="9"/>
            <color indexed="81"/>
            <rFont val="Tahoma"/>
            <family val="2"/>
          </rPr>
          <t>0.378787878787879:Rate (byte/s)_x000D_
3.03030303030303:Rate (bit/s)</t>
        </r>
      </text>
    </comment>
    <comment ref="Q393" authorId="0" shapeId="0" xr:uid="{FA0659ED-76E4-4780-86DA-480EBF29D8C1}">
      <text>
        <r>
          <rPr>
            <b/>
            <sz val="9"/>
            <color indexed="81"/>
            <rFont val="Tahoma"/>
            <family val="2"/>
          </rPr>
          <t>0.378787878787879:Rate (byte/s)_x000D_
3.03030303030303:Rate (bit/s)</t>
        </r>
      </text>
    </comment>
    <comment ref="Q394" authorId="0" shapeId="0" xr:uid="{441D3849-33E5-484F-B7C0-6C23AA696C73}">
      <text>
        <r>
          <rPr>
            <b/>
            <sz val="9"/>
            <color indexed="81"/>
            <rFont val="Tahoma"/>
            <family val="2"/>
          </rPr>
          <t>0.378787878787879:Rate (byte/s)_x000D_
3.03030303030303:Rate (bit/s)</t>
        </r>
      </text>
    </comment>
    <comment ref="Q395" authorId="0" shapeId="0" xr:uid="{7A170B45-4188-499A-A9D9-E29B8521F5DF}">
      <text>
        <r>
          <rPr>
            <b/>
            <sz val="9"/>
            <color indexed="81"/>
            <rFont val="Tahoma"/>
            <family val="2"/>
          </rPr>
          <t>1.32575757575758:Rate (byte/s)_x000D_
10.6060606060606:Rate (bit/s)</t>
        </r>
      </text>
    </comment>
    <comment ref="Q396" authorId="0" shapeId="0" xr:uid="{71E8AB45-F8F0-48D7-9AD5-C4EA512A607A}">
      <text>
        <r>
          <rPr>
            <b/>
            <sz val="9"/>
            <color indexed="81"/>
            <rFont val="Tahoma"/>
            <family val="2"/>
          </rPr>
          <t>1.32575757575758:Rate (byte/s)_x000D_
10.6060606060606:Rate (bit/s)</t>
        </r>
      </text>
    </comment>
    <comment ref="Q397" authorId="0" shapeId="0" xr:uid="{32E0E4E6-B1B1-4595-B764-A5E4BA406848}">
      <text>
        <r>
          <rPr>
            <b/>
            <sz val="9"/>
            <color indexed="81"/>
            <rFont val="Tahoma"/>
            <family val="2"/>
          </rPr>
          <t>1.32575757575758:Rate (byte/s)_x000D_
10.6060606060606:Rate (bit/s)</t>
        </r>
      </text>
    </comment>
    <comment ref="Q398" authorId="0" shapeId="0" xr:uid="{1579512D-0A36-4CC7-B3E2-335DDAE72C0A}">
      <text>
        <r>
          <rPr>
            <b/>
            <sz val="9"/>
            <color indexed="81"/>
            <rFont val="Tahoma"/>
            <family val="2"/>
          </rPr>
          <t>1.32575757575758:Rate (byte/s)_x000D_
10.6060606060606:Rate (bit/s)</t>
        </r>
      </text>
    </comment>
    <comment ref="Q399" authorId="0" shapeId="0" xr:uid="{B1E9B8C0-7246-4F2C-8740-143873398429}">
      <text>
        <r>
          <rPr>
            <b/>
            <sz val="9"/>
            <color indexed="81"/>
            <rFont val="Tahoma"/>
            <family val="2"/>
          </rPr>
          <t>2.08333333333333:Rate (byte/s)_x000D_
16.6666666666667:Rate (bit/s)</t>
        </r>
      </text>
    </comment>
    <comment ref="Q400" authorId="0" shapeId="0" xr:uid="{0474AD2D-0F83-4E2B-AB27-AB30A117957C}">
      <text>
        <r>
          <rPr>
            <b/>
            <sz val="9"/>
            <color indexed="81"/>
            <rFont val="Tahoma"/>
            <family val="2"/>
          </rPr>
          <t>2.08333333333333:Rate (byte/s)_x000D_
16.6666666666667:Rate (bit/s)</t>
        </r>
      </text>
    </comment>
    <comment ref="Q401" authorId="0" shapeId="0" xr:uid="{8182F348-7186-4AA2-98A0-FE5A3FF5E0F4}">
      <text>
        <r>
          <rPr>
            <b/>
            <sz val="9"/>
            <color indexed="81"/>
            <rFont val="Tahoma"/>
            <family val="2"/>
          </rPr>
          <t>2.08333333333333:Rate (byte/s)_x000D_
16.6666666666667:Rate (bit/s)</t>
        </r>
      </text>
    </comment>
    <comment ref="Q402" authorId="0" shapeId="0" xr:uid="{EF75D0B8-B5FB-4E7E-9BC8-C05D645F5A50}">
      <text>
        <r>
          <rPr>
            <b/>
            <sz val="9"/>
            <color indexed="81"/>
            <rFont val="Tahoma"/>
            <family val="2"/>
          </rPr>
          <t>2.08333333333333:Rate (byte/s)_x000D_
16.6666666666667:Rate (bit/s)</t>
        </r>
      </text>
    </comment>
    <comment ref="Q403" authorId="0" shapeId="0" xr:uid="{875F87B0-B292-4633-8FDD-D6EA0A5E2CF2}">
      <text>
        <r>
          <rPr>
            <b/>
            <sz val="9"/>
            <color indexed="81"/>
            <rFont val="Tahoma"/>
            <family val="2"/>
          </rPr>
          <t>2.84090909090909:Rate (byte/s)_x000D_
22.7272727272727:Rate (bit/s)</t>
        </r>
      </text>
    </comment>
    <comment ref="Q404" authorId="0" shapeId="0" xr:uid="{8D737C9E-4E0C-4E91-AB1A-D3899D3FFA0C}">
      <text>
        <r>
          <rPr>
            <b/>
            <sz val="9"/>
            <color indexed="81"/>
            <rFont val="Tahoma"/>
            <family val="2"/>
          </rPr>
          <t>3.03030303030303:Rate (byte/s)_x000D_
24.2424242424242:Rate (bit/s)</t>
        </r>
      </text>
    </comment>
    <comment ref="Q405" authorId="0" shapeId="0" xr:uid="{EED5F21E-0CE0-4E0A-BF81-32F5DB248079}">
      <text>
        <r>
          <rPr>
            <b/>
            <sz val="9"/>
            <color indexed="81"/>
            <rFont val="Tahoma"/>
            <family val="2"/>
          </rPr>
          <t>3.21969696969697:Rate (byte/s)_x000D_
25.7575757575758:Rate (bit/s)</t>
        </r>
      </text>
    </comment>
    <comment ref="Q406" authorId="0" shapeId="0" xr:uid="{059554FA-3C0E-4804-8A1B-18F9CA069CF6}">
      <text>
        <r>
          <rPr>
            <b/>
            <sz val="9"/>
            <color indexed="81"/>
            <rFont val="Tahoma"/>
            <family val="2"/>
          </rPr>
          <t>3.21969696969697:Rate (byte/s)_x000D_
25.7575757575758:Rate (bit/s)</t>
        </r>
      </text>
    </comment>
    <comment ref="Q407" authorId="0" shapeId="0" xr:uid="{56773EAB-3528-4FB5-A06A-2225A944BC12}">
      <text>
        <r>
          <rPr>
            <b/>
            <sz val="9"/>
            <color indexed="81"/>
            <rFont val="Tahoma"/>
            <family val="2"/>
          </rPr>
          <t>3.21969696969697:Rate (byte/s)_x000D_
25.7575757575758:Rate (bit/s)</t>
        </r>
      </text>
    </comment>
    <comment ref="Q408" authorId="0" shapeId="0" xr:uid="{A91BA58E-7525-407B-B2FB-46F26122A36F}">
      <text>
        <r>
          <rPr>
            <b/>
            <sz val="9"/>
            <color indexed="81"/>
            <rFont val="Tahoma"/>
            <family val="2"/>
          </rPr>
          <t>3.21969696969697:Rate (byte/s)_x000D_
25.7575757575758:Rate (bit/s)</t>
        </r>
      </text>
    </comment>
    <comment ref="Q409" authorId="0" shapeId="0" xr:uid="{357BD75C-8155-4A05-801C-87294EF5821F}">
      <text>
        <r>
          <rPr>
            <b/>
            <sz val="9"/>
            <color indexed="81"/>
            <rFont val="Tahoma"/>
            <family val="2"/>
          </rPr>
          <t>3.21969696969697:Rate (byte/s)_x000D_
25.7575757575758:Rate (bit/s)</t>
        </r>
      </text>
    </comment>
    <comment ref="Q410" authorId="0" shapeId="0" xr:uid="{8907D50B-42D8-47E8-B7CF-2D4D6D6C34E7}">
      <text>
        <r>
          <rPr>
            <b/>
            <sz val="9"/>
            <color indexed="81"/>
            <rFont val="Tahoma"/>
            <family val="2"/>
          </rPr>
          <t>4.16666666666667:Rate (byte/s)_x000D_
33.3333333333333:Rate (bit/s)</t>
        </r>
      </text>
    </comment>
    <comment ref="Q411" authorId="0" shapeId="0" xr:uid="{0ED59708-D4CF-4479-B3F7-CC970991610B}">
      <text>
        <r>
          <rPr>
            <b/>
            <sz val="9"/>
            <color indexed="81"/>
            <rFont val="Tahoma"/>
            <family val="2"/>
          </rPr>
          <t>4.16666666666667:Rate (byte/s)_x000D_
33.3333333333333:Rate (bit/s)</t>
        </r>
      </text>
    </comment>
    <comment ref="Q412" authorId="0" shapeId="0" xr:uid="{66303D1E-3B34-4E9D-8107-34B91F659E9E}">
      <text>
        <r>
          <rPr>
            <b/>
            <sz val="9"/>
            <color indexed="81"/>
            <rFont val="Tahoma"/>
            <family val="2"/>
          </rPr>
          <t>0.189393939393939:Rate (byte/s)_x000D_
1.51515151515152:Rate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<sst xmlns="http://schemas.openxmlformats.org/spreadsheetml/2006/main" count="23820" uniqueCount="8505">
  <si>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</si>
  <si>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</si>
  <si>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</si>
  <si>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</si>
  <si>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</si>
  <si>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</si>
  <si>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</si>
  <si>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</si>
  <si>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</si>
  <si>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</si>
  <si>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</si>
  <si>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</si>
  <si>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</si>
  <si>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</si>
  <si>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</si>
  <si>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</si>
  <si>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</si>
  <si>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</si>
  <si>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</si>
  <si>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</si>
  <si>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</si>
  <si>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</si>
  <si>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</si>
  <si>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</si>
  <si>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</si>
  <si>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</si>
  <si>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</si>
  <si>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</si>
  <si>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</si>
  <si>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</si>
  <si>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</si>
  <si>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</si>
  <si>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</si>
  <si>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</si>
  <si>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</si>
  <si>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</si>
  <si>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</si>
  <si>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</si>
  <si>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</si>
  <si>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</si>
  <si>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</si>
  <si>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</si>
  <si>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</si>
  <si>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</si>
  <si>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</si>
  <si>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</si>
  <si>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</si>
  <si>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</si>
  <si>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</si>
  <si>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</si>
  <si>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</si>
  <si>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</si>
  <si>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</si>
  <si>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</si>
  <si>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</si>
  <si>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</si>
  <si>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</si>
  <si>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</si>
  <si>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</si>
  <si>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</si>
  <si>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</si>
  <si>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</si>
  <si>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</si>
  <si>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</si>
  <si>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</si>
  <si>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</si>
  <si>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</si>
  <si>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</si>
  <si>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</si>
  <si>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</si>
  <si>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</si>
  <si>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</si>
  <si>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</si>
  <si>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</si>
  <si>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</si>
  <si>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</si>
  <si>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</si>
  <si>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</si>
  <si>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</si>
  <si>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</si>
  <si>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</si>
  <si>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</si>
  <si>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</si>
  <si>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</si>
  <si>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</si>
  <si>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</si>
  <si>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</si>
  <si>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</si>
  <si>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</si>
  <si>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</si>
  <si>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</si>
  <si>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</si>
  <si>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</si>
  <si>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</si>
  <si>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</si>
  <si>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</si>
  <si>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</si>
  <si>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</si>
  <si>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</si>
  <si>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</si>
  <si>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</si>
  <si>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</si>
  <si>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</si>
  <si>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</si>
  <si>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</si>
  <si>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</si>
  <si>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</si>
  <si>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</si>
  <si>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</si>
  <si>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</si>
  <si>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</si>
  <si>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</si>
  <si>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</si>
  <si>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</si>
  <si>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</si>
  <si>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</si>
  <si>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</si>
  <si>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</si>
  <si>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</si>
  <si>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</si>
  <si>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</si>
  <si>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</si>
  <si>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</si>
  <si>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</si>
  <si>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</si>
  <si>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</si>
  <si>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</si>
  <si>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</si>
  <si>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</si>
  <si>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</si>
  <si>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</si>
  <si>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</si>
  <si>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</si>
  <si>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</si>
  <si>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</si>
  <si>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</si>
  <si>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</si>
  <si>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</si>
  <si>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</si>
  <si>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</si>
  <si>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</si>
  <si>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</si>
  <si>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</si>
  <si>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</si>
  <si>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</si>
  <si>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</si>
  <si>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</si>
  <si>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</si>
  <si>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</si>
  <si>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</si>
  <si>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</si>
  <si>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</si>
  <si>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</si>
  <si>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</si>
  <si>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</si>
  <si>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</si>
  <si>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</si>
  <si>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</si>
  <si>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</si>
  <si>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</si>
  <si>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</si>
  <si>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</si>
  <si>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</si>
  <si>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</si>
  <si>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</si>
  <si>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</si>
  <si>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</si>
  <si>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</si>
  <si>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</si>
  <si>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</si>
  <si>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</si>
  <si>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</si>
  <si>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</si>
  <si>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</si>
  <si>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</si>
  <si>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</si>
  <si>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</si>
  <si>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</si>
  <si>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</si>
  <si>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</si>
  <si>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</si>
  <si>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</si>
  <si>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</si>
  <si>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</si>
  <si>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</si>
  <si>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</si>
  <si>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</si>
  <si>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</si>
  <si>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</si>
  <si>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</si>
  <si>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</si>
  <si>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</si>
  <si>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</si>
  <si>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</si>
  <si>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</si>
  <si>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</si>
  <si>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</si>
  <si>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</si>
  <si>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</si>
  <si>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</si>
  <si>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</si>
  <si>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</si>
  <si>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</si>
  <si>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</si>
  <si>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</si>
  <si>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</si>
  <si>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</si>
  <si>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</si>
  <si>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</si>
  <si>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</si>
  <si>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</si>
  <si>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</si>
  <si>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</si>
  <si>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</si>
  <si>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</si>
  <si>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</si>
  <si>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</si>
  <si>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</si>
  <si>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</si>
  <si>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</si>
  <si>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</si>
  <si>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</si>
  <si>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</si>
  <si>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</si>
  <si>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</si>
  <si>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</si>
  <si>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</si>
  <si>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</si>
  <si>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</si>
  <si>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</si>
  <si>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</si>
  <si>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</si>
  <si>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</si>
  <si>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</si>
  <si>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</si>
  <si>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</si>
  <si>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</si>
  <si>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</si>
  <si>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</si>
  <si>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</si>
  <si>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</si>
  <si>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</si>
  <si>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</si>
  <si>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</si>
  <si>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</si>
  <si>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</si>
  <si>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</si>
  <si>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</si>
  <si>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</si>
  <si>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</si>
  <si>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</si>
  <si>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</si>
  <si>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</si>
  <si>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</si>
  <si>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</si>
  <si>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</si>
  <si>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</si>
  <si>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</si>
  <si>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</si>
  <si>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</si>
  <si>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</si>
  <si>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</si>
  <si>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</si>
  <si>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</si>
  <si>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</si>
  <si>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</si>
  <si>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</si>
  <si>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</si>
  <si>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</si>
  <si>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</si>
  <si>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</si>
  <si>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</si>
  <si>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</si>
  <si>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</si>
  <si>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</si>
  <si>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</si>
  <si>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</si>
  <si>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</si>
  <si>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</si>
  <si>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</si>
  <si>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</si>
  <si>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</si>
  <si>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</si>
  <si>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</si>
  <si>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</si>
  <si>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</si>
  <si>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</si>
  <si>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</si>
  <si>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</si>
  <si>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</si>
  <si>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</si>
  <si>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</si>
  <si>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</si>
  <si>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</si>
  <si>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</si>
  <si>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</si>
  <si>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</si>
  <si>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</si>
  <si>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</si>
  <si>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</si>
  <si>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</si>
  <si>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</si>
  <si>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</si>
  <si>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</si>
  <si>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</si>
  <si>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</si>
  <si>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</si>
  <si>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</si>
  <si>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</si>
  <si>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</si>
  <si>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</si>
  <si>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</si>
  <si>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</si>
  <si>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</si>
  <si>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</si>
  <si>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</si>
  <si>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</si>
  <si>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</si>
  <si>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</si>
  <si>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</si>
  <si>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</si>
  <si>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</si>
  <si>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</si>
  <si>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</si>
  <si>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</si>
  <si>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</si>
  <si>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</si>
  <si>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</si>
  <si>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</si>
  <si>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</si>
  <si>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</si>
  <si>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</si>
  <si>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</si>
  <si>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</si>
  <si>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</si>
  <si>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</si>
  <si>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</si>
  <si>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</si>
  <si>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</si>
  <si>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</si>
  <si>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</si>
  <si>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</si>
  <si>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</si>
  <si>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</si>
  <si>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</si>
  <si>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</si>
  <si>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</si>
  <si>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</si>
  <si>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</si>
  <si>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</si>
  <si>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</si>
  <si>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</si>
  <si>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</si>
  <si>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</si>
  <si>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</si>
  <si>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</si>
  <si>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</si>
  <si>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</si>
  <si>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</si>
  <si>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</si>
  <si>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</si>
  <si>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</si>
  <si>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</si>
  <si>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</si>
  <si>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</si>
  <si>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</si>
  <si>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</si>
  <si>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</si>
  <si>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</si>
  <si>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</si>
  <si>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</si>
  <si>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</si>
  <si>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</si>
  <si>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</si>
  <si>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</si>
  <si>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</si>
  <si>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</si>
  <si>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</si>
  <si>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</si>
  <si>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</si>
  <si>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</si>
  <si>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</si>
  <si>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</si>
  <si>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</si>
  <si>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</si>
  <si>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</si>
  <si>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</si>
  <si>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</si>
  <si>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</si>
  <si>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</si>
  <si>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</si>
  <si>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</si>
  <si>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</si>
  <si>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</si>
  <si>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</si>
  <si>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</si>
  <si>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</si>
  <si>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</si>
  <si>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</si>
  <si>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</si>
  <si>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</si>
  <si>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</si>
  <si>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</si>
  <si>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</si>
  <si>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</si>
  <si>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</si>
  <si>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</si>
  <si>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</si>
  <si>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</si>
  <si>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</si>
  <si>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</si>
  <si>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</si>
  <si>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</si>
  <si>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</si>
  <si>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</si>
  <si>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</si>
  <si>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</si>
  <si>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</si>
  <si>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</si>
  <si>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</si>
  <si>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</si>
  <si>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</si>
  <si>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</si>
  <si>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</si>
  <si>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</si>
  <si>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</si>
  <si>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</si>
  <si>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</si>
  <si>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</si>
  <si>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</si>
  <si>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</si>
  <si>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</si>
  <si>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</si>
  <si>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</si>
  <si>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</si>
  <si>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</si>
  <si>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</si>
  <si>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</si>
  <si>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</si>
  <si>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</si>
  <si>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</si>
  <si>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</si>
  <si>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</si>
  <si>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</si>
  <si>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</si>
  <si>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</si>
  <si>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</si>
  <si>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</si>
  <si>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</si>
  <si>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</si>
  <si>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</si>
  <si>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</si>
  <si>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</si>
  <si>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</si>
  <si>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</si>
  <si>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</si>
  <si>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</si>
  <si>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</si>
  <si>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</si>
  <si>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</si>
  <si>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</si>
  <si>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</si>
  <si>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</si>
  <si>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</si>
  <si>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</si>
  <si>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</si>
  <si>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</si>
  <si>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</si>
  <si>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</si>
  <si>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</si>
  <si>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</si>
  <si>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</si>
  <si>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</si>
  <si>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</si>
  <si>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</si>
  <si>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</si>
  <si>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</si>
  <si>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</si>
  <si>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</si>
  <si>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</si>
  <si>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</si>
  <si>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</si>
  <si>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</si>
  <si>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</si>
  <si>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</si>
  <si>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</si>
  <si>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</si>
  <si>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</si>
  <si>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</si>
  <si>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</si>
  <si>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</si>
  <si>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</si>
  <si>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</si>
  <si>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</si>
  <si>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</si>
  <si>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</si>
  <si>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</si>
  <si>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</si>
  <si>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</si>
  <si>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</si>
  <si>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</si>
  <si>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</si>
  <si>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</si>
  <si>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</si>
  <si>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</si>
  <si>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</si>
  <si>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</si>
  <si>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</si>
  <si>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</si>
  <si>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</si>
  <si>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</si>
  <si>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</si>
  <si>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</si>
  <si>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</si>
  <si>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</si>
  <si>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</si>
  <si>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</si>
  <si>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</si>
  <si>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</si>
  <si>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</si>
  <si>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</si>
  <si>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</si>
  <si>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</si>
  <si>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</si>
  <si>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</si>
  <si>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</si>
  <si>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</si>
  <si>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</si>
  <si>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</si>
  <si>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</si>
  <si>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</si>
  <si>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</si>
  <si>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</si>
  <si>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</si>
  <si>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</si>
  <si>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</si>
  <si>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</si>
  <si>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</si>
  <si>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</si>
  <si>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</si>
  <si>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</si>
  <si>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</si>
  <si>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</si>
  <si>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</si>
  <si>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</si>
  <si>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</si>
  <si>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</si>
  <si>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</si>
  <si>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</si>
  <si>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</si>
  <si>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</si>
  <si>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</si>
  <si>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</si>
  <si>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</si>
  <si>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</si>
  <si>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</si>
  <si>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</si>
  <si>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</si>
  <si>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</si>
  <si>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</si>
  <si>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</si>
  <si>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</si>
  <si>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</si>
  <si>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</si>
  <si>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</si>
  <si>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</si>
  <si>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</si>
  <si>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</si>
  <si>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</si>
  <si>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</si>
  <si>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</si>
  <si>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</si>
  <si>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</si>
  <si>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</si>
  <si>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</si>
  <si>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</si>
  <si>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</si>
  <si>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</si>
  <si>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</si>
  <si>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</si>
  <si>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</si>
  <si>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</si>
  <si>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</si>
  <si>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</si>
  <si>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</si>
  <si>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</si>
  <si>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</si>
  <si>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</si>
  <si>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</si>
  <si>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</si>
  <si>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</si>
  <si>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</si>
  <si>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</si>
  <si>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</si>
  <si>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</si>
  <si>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</si>
  <si>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</si>
  <si>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</si>
  <si>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</si>
  <si>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</si>
  <si>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</si>
  <si>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</si>
  <si>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</si>
  <si>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</si>
  <si>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</si>
  <si>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</si>
  <si>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</si>
  <si>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</si>
  <si>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</si>
  <si>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</si>
  <si>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</si>
  <si>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</si>
  <si>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</si>
  <si>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</si>
  <si>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</si>
  <si>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</si>
  <si>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</si>
  <si>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</si>
  <si>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</si>
  <si>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</si>
  <si>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</si>
  <si>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</si>
  <si>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</si>
  <si>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</si>
  <si>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</si>
  <si>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</si>
  <si>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</si>
  <si>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</si>
  <si>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</si>
  <si>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</si>
  <si>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</si>
  <si>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</si>
  <si>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</si>
  <si>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</si>
  <si>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</si>
  <si>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</si>
  <si>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</si>
  <si>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</si>
  <si>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</si>
  <si>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</si>
  <si>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</si>
  <si>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</si>
  <si>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</si>
  <si>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</si>
  <si>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</si>
  <si>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</si>
  <si>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</si>
  <si>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</si>
  <si>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</si>
  <si>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</si>
  <si>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</si>
  <si>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</si>
  <si>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</si>
  <si>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</si>
  <si>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</si>
  <si>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</si>
  <si>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</si>
  <si>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</si>
  <si>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</si>
  <si>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</si>
  <si>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</si>
  <si>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</si>
  <si>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</si>
  <si>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</si>
  <si>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</si>
  <si>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</si>
  <si>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</si>
  <si>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</si>
  <si>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</si>
  <si>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</si>
  <si>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</si>
  <si>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</si>
  <si>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</si>
  <si>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</si>
  <si>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</si>
  <si>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</si>
  <si>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</si>
  <si>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</si>
  <si>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</si>
  <si>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</si>
  <si>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</si>
  <si>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</si>
  <si>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</si>
  <si>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</si>
  <si>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</si>
  <si>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</si>
  <si>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</si>
  <si>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</si>
  <si>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</si>
  <si>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</si>
  <si>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</si>
  <si>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</si>
  <si>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</si>
  <si>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</si>
  <si>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</si>
  <si>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</si>
  <si>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</si>
  <si>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</si>
  <si>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</si>
  <si>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</si>
  <si>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</si>
  <si>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</si>
  <si>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</si>
  <si>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</si>
  <si>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</si>
  <si>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</si>
  <si>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</si>
  <si>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</si>
  <si>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</si>
  <si>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</si>
  <si>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</si>
  <si>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</si>
  <si>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</si>
  <si>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</si>
  <si>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</si>
  <si>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</si>
  <si>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</si>
  <si>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</si>
  <si>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</si>
  <si>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</si>
  <si>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</si>
  <si>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</si>
  <si>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</si>
  <si>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</si>
  <si>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</si>
  <si>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</si>
  <si>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</si>
  <si>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</si>
  <si>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</si>
  <si>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</si>
  <si>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</si>
  <si>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</si>
  <si>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</si>
  <si>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</si>
  <si>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</si>
  <si>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</si>
  <si>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</si>
  <si>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</si>
  <si>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</si>
  <si>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</si>
  <si>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</si>
  <si>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</si>
  <si>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</si>
  <si>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</si>
  <si>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</si>
  <si>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</si>
  <si>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</si>
  <si>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</si>
  <si>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</si>
  <si>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</si>
  <si>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</si>
  <si>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</si>
  <si>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</si>
  <si>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</si>
  <si>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</si>
  <si>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</si>
  <si>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</si>
  <si>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</si>
  <si>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</si>
  <si>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</si>
  <si>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</si>
  <si>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</si>
  <si>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</si>
  <si>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</si>
  <si>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</si>
  <si>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</si>
  <si>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</si>
  <si>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</si>
  <si>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</si>
  <si>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</si>
  <si>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</si>
  <si>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</si>
  <si>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</si>
  <si>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</si>
  <si>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</si>
  <si>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</si>
  <si>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</si>
  <si>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</si>
  <si>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</si>
  <si>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</si>
  <si>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</si>
  <si>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</si>
  <si>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</si>
  <si>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</si>
  <si>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</si>
  <si>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</si>
  <si>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</si>
  <si>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</si>
  <si>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</si>
  <si>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</si>
  <si>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</si>
  <si>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</si>
  <si>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</si>
  <si>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</si>
  <si>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</si>
  <si>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</si>
  <si>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</si>
  <si>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</si>
  <si>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</si>
  <si>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</si>
  <si>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</si>
  <si>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</si>
  <si>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</si>
  <si>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</si>
  <si>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</si>
  <si>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</si>
  <si>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</si>
  <si>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</si>
  <si>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</si>
  <si>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</si>
  <si>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</si>
  <si>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</si>
  <si>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</si>
  <si>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</si>
  <si>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</si>
  <si>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</si>
  <si>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</si>
  <si>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</si>
  <si>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</si>
  <si>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</si>
  <si>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</si>
  <si>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</si>
  <si>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</si>
  <si>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</si>
  <si>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</si>
  <si>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</si>
  <si>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</si>
  <si>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</si>
  <si>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</si>
  <si>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</si>
  <si>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</si>
  <si>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</si>
  <si>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</si>
  <si>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</si>
  <si>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</si>
  <si>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</si>
  <si>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</si>
  <si>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</si>
  <si>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</si>
  <si>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</si>
  <si>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</si>
  <si>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</si>
  <si>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</si>
  <si>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</si>
  <si>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</si>
  <si>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</si>
  <si>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</si>
  <si>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</si>
  <si>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</si>
  <si>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</si>
  <si>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</si>
  <si>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</si>
  <si>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</si>
  <si>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</si>
  <si>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</si>
  <si>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</si>
  <si>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</si>
  <si>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</si>
  <si>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</si>
  <si>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</si>
  <si>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</si>
  <si>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</si>
  <si>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</si>
  <si>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</si>
  <si>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</si>
  <si>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</si>
  <si>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</si>
  <si>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</si>
  <si>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</si>
  <si>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</si>
  <si>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</si>
  <si>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</si>
  <si>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</si>
  <si>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</si>
  <si>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</si>
  <si>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</si>
  <si>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</si>
  <si>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</si>
  <si>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</si>
  <si>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</si>
  <si>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</si>
  <si>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</si>
  <si>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</si>
  <si>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</si>
  <si>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</si>
  <si>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</si>
  <si>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</si>
  <si>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</si>
  <si>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</si>
  <si>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</si>
  <si>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</si>
  <si>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</si>
  <si>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</si>
  <si>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</si>
  <si>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</si>
  <si>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</si>
  <si>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</si>
  <si>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</si>
  <si>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</si>
  <si>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</si>
  <si>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</si>
  <si>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</si>
  <si>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</si>
  <si>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</si>
  <si>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</si>
  <si>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</si>
  <si>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</si>
  <si>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</si>
  <si>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</si>
  <si>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</si>
  <si>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</si>
  <si>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</si>
  <si>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</si>
  <si>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</si>
  <si>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</si>
  <si>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</si>
  <si>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</si>
  <si>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</si>
  <si>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</si>
  <si>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</si>
  <si>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</si>
  <si>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</si>
  <si>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</si>
  <si>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</si>
  <si>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</si>
  <si>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</si>
  <si>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</si>
  <si>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</si>
  <si>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</si>
  <si>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</si>
  <si>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</si>
  <si>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</si>
  <si>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</si>
  <si>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</si>
  <si>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</si>
  <si>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</si>
  <si>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</si>
  <si>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</si>
  <si>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</si>
  <si>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</si>
  <si>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</si>
  <si>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</si>
  <si>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</si>
  <si>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</si>
  <si>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</si>
  <si>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</si>
  <si>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</si>
  <si>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</si>
  <si>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</si>
  <si>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</si>
  <si>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</si>
  <si>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</si>
  <si>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</si>
  <si>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</si>
  <si>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</si>
  <si>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</si>
  <si>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</si>
  <si>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</si>
  <si>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</si>
  <si>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</si>
  <si>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</si>
  <si>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</si>
  <si>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</si>
  <si>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</si>
  <si>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</si>
  <si>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</si>
  <si>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</si>
  <si>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</si>
  <si>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</si>
  <si>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</si>
  <si>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</si>
  <si>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</si>
  <si>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</si>
  <si>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</si>
  <si>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</si>
  <si>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</si>
  <si>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</si>
  <si>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</si>
  <si>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</si>
  <si>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</si>
  <si>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</si>
  <si>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</si>
  <si>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</si>
  <si>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</si>
  <si>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</si>
  <si>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</si>
  <si>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</si>
  <si>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</si>
  <si>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</si>
  <si>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</si>
  <si>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</si>
  <si>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</si>
  <si>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</si>
  <si>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</si>
  <si>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</si>
  <si>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</si>
  <si>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</si>
  <si>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</si>
  <si>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</si>
  <si>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</si>
  <si>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</si>
  <si>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</si>
  <si>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</si>
  <si>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</si>
  <si>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</si>
  <si>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</si>
  <si>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</si>
  <si>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</si>
  <si>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</si>
  <si>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</si>
  <si>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</si>
  <si>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</si>
  <si>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</si>
  <si>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</si>
  <si>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</si>
  <si>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</si>
  <si>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</si>
  <si>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</si>
  <si>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</si>
  <si>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</si>
  <si>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</si>
  <si>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</si>
  <si>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</si>
  <si>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</si>
  <si>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</si>
  <si>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</si>
  <si>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</si>
  <si>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</si>
  <si>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</si>
  <si>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</si>
  <si>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</si>
  <si>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</si>
  <si>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</si>
  <si>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</si>
  <si>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</si>
  <si>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</si>
  <si>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</si>
  <si>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</si>
  <si>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</si>
  <si>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</si>
  <si>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</si>
  <si>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</si>
  <si>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</si>
  <si>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</si>
  <si>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</si>
  <si>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</si>
  <si>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</si>
  <si>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</si>
  <si>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</si>
  <si>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</si>
  <si>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</si>
  <si>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</si>
  <si>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</si>
  <si>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</si>
  <si>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</si>
  <si>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</si>
  <si>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</si>
  <si>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</si>
  <si>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</si>
  <si>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</si>
  <si>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</si>
  <si>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</si>
  <si>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</si>
  <si>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</si>
  <si>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</si>
  <si>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</si>
  <si>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</si>
  <si>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</si>
  <si>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</si>
  <si>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</si>
  <si>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</si>
  <si>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</si>
  <si>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</si>
  <si>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</si>
  <si>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</si>
  <si>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</si>
  <si>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</si>
  <si>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</si>
  <si>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</si>
  <si>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</si>
  <si>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</si>
  <si>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</si>
  <si>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</si>
  <si>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</si>
  <si>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</si>
  <si>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</si>
  <si>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</si>
  <si>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</si>
  <si>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</si>
  <si>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</si>
  <si>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</si>
  <si>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</si>
  <si>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</si>
  <si>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</si>
  <si>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</si>
  <si>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</si>
  <si>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</si>
  <si>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</si>
  <si>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</si>
  <si>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</si>
  <si>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</si>
  <si>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</si>
  <si>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</si>
  <si>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</si>
  <si>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</si>
  <si>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</si>
  <si>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</si>
  <si>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</si>
  <si>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</si>
  <si>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</si>
  <si>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</si>
  <si>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</si>
  <si>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</si>
  <si>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</si>
  <si>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</si>
  <si>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</si>
  <si>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</si>
  <si>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</si>
  <si>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</si>
  <si>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</si>
  <si>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</si>
  <si>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</si>
  <si>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</si>
  <si>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</si>
  <si>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</si>
  <si>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</si>
  <si>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</si>
  <si>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</si>
  <si>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</si>
  <si>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</si>
  <si>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</si>
  <si>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</si>
  <si>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</si>
  <si>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</si>
  <si>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</si>
  <si>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</si>
  <si>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</si>
  <si>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</si>
  <si>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</si>
  <si>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</si>
  <si>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</si>
  <si>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</si>
  <si>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</si>
  <si>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</si>
  <si>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</si>
  <si>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</si>
  <si>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</si>
  <si>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</si>
  <si>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</si>
  <si>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</si>
  <si>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</si>
  <si>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</si>
  <si>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</si>
  <si>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</si>
  <si>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</si>
  <si>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</si>
  <si>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</si>
  <si>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</si>
  <si>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</si>
  <si>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</si>
  <si>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</si>
  <si>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</si>
  <si>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</si>
  <si>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</si>
  <si>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</si>
  <si>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</si>
  <si>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</si>
  <si>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</si>
  <si>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</si>
  <si>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</si>
  <si>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</si>
  <si>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</si>
  <si>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</si>
  <si>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</si>
  <si>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</si>
  <si>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</si>
  <si>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</si>
  <si>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</si>
  <si>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</si>
  <si>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</si>
  <si>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</si>
  <si>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</si>
  <si>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</si>
  <si>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</si>
  <si>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</si>
  <si>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</si>
  <si>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</si>
  <si>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</si>
  <si>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</si>
  <si>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</si>
  <si>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</si>
  <si>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</si>
  <si>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</si>
  <si>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</si>
  <si>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</si>
  <si>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</si>
  <si>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</si>
  <si>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</si>
  <si>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</si>
  <si>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</si>
  <si>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</si>
  <si>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</si>
  <si>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</si>
  <si>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</si>
  <si>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</si>
  <si>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</si>
  <si>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</si>
  <si>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</si>
  <si>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</si>
  <si>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</si>
  <si>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</si>
  <si>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</si>
  <si>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</si>
  <si>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</si>
  <si>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</si>
  <si>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</si>
  <si>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</si>
  <si>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</si>
  <si>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</si>
  <si>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</si>
  <si>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</si>
  <si>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</si>
  <si>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</si>
  <si>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</si>
  <si>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</si>
  <si>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</si>
  <si>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</si>
  <si>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</si>
  <si>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</si>
  <si>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</si>
  <si>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</si>
  <si>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</si>
  <si>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</si>
  <si>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</si>
  <si>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</si>
  <si>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</si>
  <si>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</si>
  <si>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</si>
  <si>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</si>
  <si>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</si>
  <si>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</si>
  <si>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</si>
  <si>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</si>
  <si>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</si>
  <si>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</si>
  <si>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</si>
  <si>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</si>
  <si>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</si>
  <si>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</si>
  <si>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</si>
  <si>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</si>
  <si>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</si>
  <si>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</si>
  <si>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</si>
  <si>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</si>
  <si>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</si>
  <si>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</si>
  <si>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</si>
  <si>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</si>
  <si>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</si>
  <si>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</si>
  <si>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</si>
  <si>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</si>
  <si>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</si>
  <si>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</si>
  <si>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</si>
  <si>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</si>
  <si>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</si>
  <si>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</si>
  <si>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</si>
  <si>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</si>
  <si>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</si>
  <si>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</si>
  <si>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</si>
  <si>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</si>
  <si>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</si>
  <si>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</si>
  <si>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</si>
  <si>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</si>
  <si>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</si>
  <si>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</si>
  <si>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</si>
  <si>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</si>
  <si>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</si>
  <si>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</si>
  <si>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</si>
  <si>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</si>
  <si>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</si>
  <si>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</si>
  <si>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</si>
  <si>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</si>
  <si>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</si>
  <si>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</si>
  <si>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</si>
  <si>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</si>
  <si>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</si>
  <si>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</si>
  <si>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</si>
  <si>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</si>
  <si>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</si>
  <si>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</si>
  <si>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</si>
  <si>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</si>
  <si>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</si>
  <si>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</si>
  <si>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</si>
  <si>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</si>
  <si>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</si>
  <si>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</si>
  <si>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</si>
  <si>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</si>
  <si>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</si>
  <si>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</si>
  <si>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</si>
  <si>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</si>
  <si>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</si>
  <si>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</si>
  <si>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</si>
  <si>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</si>
  <si>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</si>
  <si>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</si>
  <si>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</si>
  <si>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</si>
  <si>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</si>
  <si>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</si>
  <si>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</si>
  <si>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</si>
  <si>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</si>
  <si>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</si>
  <si>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</si>
  <si>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</si>
  <si>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</si>
  <si>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</si>
  <si>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</si>
  <si>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</si>
  <si>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</si>
  <si>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</si>
  <si>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</si>
  <si>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</si>
  <si>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</si>
  <si>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</si>
  <si>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</si>
  <si>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</si>
  <si>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</si>
  <si>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</si>
  <si>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</si>
  <si>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</si>
  <si>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</si>
  <si>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</si>
  <si>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</si>
  <si>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</si>
  <si>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</si>
  <si>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</si>
  <si>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</si>
  <si>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</si>
  <si>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</si>
  <si>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</si>
  <si>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</si>
  <si>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</si>
  <si>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</si>
  <si>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</si>
  <si>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</si>
  <si>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</si>
  <si>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</si>
  <si>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</si>
  <si>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</si>
  <si>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</si>
  <si>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</si>
  <si>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</si>
  <si>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</si>
  <si>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</si>
  <si>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</si>
  <si>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</si>
  <si>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</si>
  <si>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</si>
  <si>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</si>
  <si>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</si>
  <si>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</si>
  <si>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</si>
  <si>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</si>
  <si>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</si>
  <si>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</si>
  <si>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</si>
  <si>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</si>
  <si>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</si>
  <si>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</si>
  <si>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</si>
  <si>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</si>
  <si>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</si>
  <si>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</si>
  <si>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</si>
  <si>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</si>
  <si>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</si>
  <si>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</si>
  <si>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</si>
  <si>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</si>
  <si>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</si>
  <si>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</si>
  <si>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</si>
  <si>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</si>
  <si>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</si>
  <si>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</si>
  <si>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</si>
  <si>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</si>
  <si>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</si>
  <si>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</si>
  <si>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</si>
  <si>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</si>
  <si>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</si>
  <si>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</si>
  <si>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</si>
  <si>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</si>
  <si>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</si>
  <si>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</si>
  <si>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</si>
  <si>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</si>
  <si>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</si>
  <si>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</si>
  <si>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</si>
  <si>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</si>
  <si>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</si>
  <si>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</si>
  <si>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</si>
  <si>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</si>
  <si>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</si>
  <si>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</si>
  <si>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</si>
  <si>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</si>
  <si>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</si>
  <si>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</si>
  <si>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</si>
  <si>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</si>
  <si>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</si>
  <si>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</si>
  <si>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</si>
  <si>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</si>
  <si>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</si>
  <si>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</si>
  <si>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</si>
  <si>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</si>
  <si>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</si>
  <si>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</si>
  <si>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</si>
  <si>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</si>
  <si>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</si>
  <si>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</si>
  <si>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</si>
  <si>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</si>
  <si>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</si>
  <si>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</si>
  <si>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</si>
  <si>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</si>
  <si>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</si>
  <si>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</si>
  <si>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</si>
  <si>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</si>
  <si>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</si>
  <si>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</si>
  <si>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</si>
  <si>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</si>
  <si>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</si>
  <si>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</si>
  <si>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</si>
  <si>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</si>
  <si>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</si>
  <si>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</si>
  <si>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</si>
  <si>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</si>
  <si>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</si>
  <si>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</si>
  <si>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</si>
  <si>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</si>
  <si>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</si>
  <si>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</si>
  <si>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</si>
  <si>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</si>
  <si>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</si>
  <si>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</si>
  <si>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</si>
  <si>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</si>
  <si>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</si>
  <si>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</si>
  <si>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</si>
  <si>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</si>
  <si>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</si>
  <si>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</si>
  <si>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</si>
  <si>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</si>
  <si>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</si>
  <si>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</si>
  <si>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</si>
  <si>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</si>
  <si>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</si>
  <si>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</si>
  <si>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</si>
  <si>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</si>
  <si>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</si>
  <si>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</si>
  <si>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</si>
  <si>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</si>
  <si>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</si>
  <si>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</si>
  <si>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</si>
  <si>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</si>
  <si>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</si>
  <si>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</si>
  <si>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</si>
  <si>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</si>
  <si>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</si>
  <si>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</si>
  <si>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</si>
  <si>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</si>
  <si>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</si>
  <si>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</si>
  <si>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</si>
  <si>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</si>
  <si>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</si>
  <si>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</si>
  <si>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</si>
  <si>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</si>
  <si>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</si>
  <si>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</si>
  <si>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</si>
  <si>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</si>
  <si>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</si>
  <si>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</si>
  <si>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</si>
  <si>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</si>
  <si>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</si>
  <si>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</si>
  <si>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</si>
  <si>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</si>
  <si>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</si>
  <si>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</si>
  <si>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</si>
  <si>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</si>
  <si>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</si>
  <si>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</si>
  <si>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</si>
  <si>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</si>
  <si>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</si>
  <si>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</si>
  <si>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</si>
  <si>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</si>
  <si>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</si>
  <si>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</si>
  <si>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</si>
  <si>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</si>
  <si>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</si>
  <si>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</si>
  <si>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</si>
  <si>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</si>
  <si>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</si>
  <si>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</si>
  <si>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</si>
  <si>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</si>
  <si>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</si>
  <si>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</si>
  <si>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</si>
  <si>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</si>
  <si>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</si>
  <si>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</si>
  <si>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</si>
  <si>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</si>
  <si>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</si>
  <si>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</si>
  <si>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</si>
  <si>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</si>
  <si>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</si>
  <si>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</si>
  <si>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</si>
  <si>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</si>
  <si>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</si>
  <si>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</si>
  <si>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</si>
  <si>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</si>
  <si>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</si>
  <si>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</si>
  <si>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</si>
  <si>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</si>
  <si>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</si>
  <si>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</si>
  <si>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</si>
  <si>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</si>
  <si>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</si>
  <si>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</si>
  <si>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</si>
  <si>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</si>
  <si>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</si>
  <si>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</si>
  <si>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</si>
  <si>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</si>
  <si>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</si>
  <si>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</si>
  <si>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</si>
  <si>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</si>
  <si>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</si>
  <si>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</si>
  <si>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</si>
  <si>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</si>
  <si>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</si>
  <si>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</si>
  <si>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</si>
  <si>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</si>
  <si>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</si>
  <si>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</si>
  <si>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</si>
  <si>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</si>
  <si>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</si>
  <si>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</si>
  <si>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</si>
  <si>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</si>
  <si>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</si>
  <si>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</si>
  <si>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</si>
  <si>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</si>
  <si>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</si>
  <si>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</si>
  <si>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</si>
  <si>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</si>
  <si>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</si>
  <si>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</si>
  <si>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</si>
  <si>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</si>
  <si>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</si>
  <si>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</si>
  <si>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</si>
  <si>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</si>
  <si>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</si>
  <si>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</si>
  <si>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</si>
  <si>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</si>
  <si>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</si>
  <si>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</si>
  <si>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</si>
  <si>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</si>
  <si>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</si>
  <si>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</si>
  <si>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</si>
  <si>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</si>
  <si>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</si>
  <si>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</si>
  <si>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</si>
  <si>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</si>
  <si>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</si>
  <si>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</si>
  <si>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</si>
  <si>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</si>
  <si>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</si>
  <si>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</si>
  <si>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</si>
  <si>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</si>
  <si>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</si>
  <si>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</si>
  <si>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</si>
  <si>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</si>
  <si>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</si>
  <si>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</si>
  <si>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</si>
  <si>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</si>
  <si>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</si>
  <si>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</si>
  <si>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</si>
  <si>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</si>
  <si>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</si>
  <si>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</si>
  <si>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</si>
  <si>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</si>
  <si>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</si>
  <si>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</si>
  <si>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</si>
  <si>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</si>
  <si>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</si>
  <si>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</si>
  <si>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</si>
  <si>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</si>
  <si>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</si>
  <si>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</si>
  <si>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</si>
  <si>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</si>
  <si>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</si>
  <si>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</si>
  <si>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</si>
  <si>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</si>
  <si>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</si>
  <si>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</si>
  <si>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</si>
  <si>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</si>
  <si>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</si>
  <si>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</si>
  <si>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</si>
  <si>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</si>
  <si>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</si>
  <si>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</si>
  <si>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</si>
  <si>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</si>
  <si>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</si>
  <si>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</si>
  <si>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</si>
  <si>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</si>
  <si>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</si>
  <si>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</si>
  <si>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</si>
  <si>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</si>
  <si>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</si>
  <si>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</si>
  <si>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</si>
  <si>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</si>
  <si>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</si>
  <si>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</si>
  <si>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</si>
  <si>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</si>
  <si>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</si>
  <si>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</si>
  <si>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</si>
  <si>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</si>
  <si>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</si>
  <si>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</si>
  <si>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</si>
  <si>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</si>
  <si>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</si>
  <si>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</si>
  <si>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</si>
  <si>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</si>
  <si>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</si>
  <si>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</si>
  <si>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</si>
  <si>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</si>
  <si>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</si>
  <si>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</si>
  <si>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</si>
  <si>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</si>
  <si>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</si>
  <si>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</si>
  <si>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</si>
  <si>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</si>
  <si>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</si>
  <si>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</si>
  <si>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</si>
  <si>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</si>
  <si>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</si>
  <si>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</si>
  <si>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</si>
  <si>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</si>
  <si>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</si>
  <si>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</si>
  <si>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</si>
  <si>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</si>
  <si>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</si>
  <si>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</si>
  <si>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</si>
  <si>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</si>
  <si>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</si>
  <si>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</si>
  <si>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</si>
  <si>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</si>
  <si>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</si>
  <si>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</si>
  <si>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</si>
  <si>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</si>
  <si>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</si>
  <si>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</si>
  <si>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</si>
  <si>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</si>
  <si>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</si>
  <si>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</si>
  <si>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</si>
  <si>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</si>
  <si>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</si>
  <si>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</si>
  <si>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</si>
  <si>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</si>
  <si>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</si>
  <si>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</si>
  <si>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</si>
  <si>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</si>
  <si>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</si>
  <si>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</si>
  <si>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</si>
  <si>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</si>
  <si>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</si>
  <si>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</si>
  <si>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</si>
  <si>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</si>
  <si>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</si>
  <si>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</si>
  <si>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</si>
  <si>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</si>
  <si>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</si>
  <si>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</si>
  <si>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</si>
  <si>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</si>
  <si>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</si>
  <si>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</si>
  <si>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</si>
  <si>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</si>
  <si>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</si>
  <si>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</si>
  <si>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</si>
  <si>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</si>
  <si>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</si>
  <si>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</si>
  <si>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</si>
  <si>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</si>
  <si>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</si>
  <si>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</si>
  <si>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</si>
  <si>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</si>
  <si>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</si>
  <si>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</si>
  <si>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</si>
  <si>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</si>
  <si>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</si>
  <si>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</si>
  <si>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</si>
  <si>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</si>
  <si>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</si>
  <si>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</si>
  <si>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</si>
  <si>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</si>
  <si>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</si>
  <si>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</si>
  <si>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</si>
  <si>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</si>
  <si>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</si>
  <si>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</si>
  <si>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</si>
  <si>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</si>
  <si>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</si>
  <si>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</si>
  <si>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</si>
  <si>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</si>
  <si>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</si>
  <si>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</si>
  <si>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</si>
  <si>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</si>
  <si>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</si>
  <si>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</si>
  <si>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</si>
  <si>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</si>
  <si>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</si>
  <si>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</si>
  <si>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</si>
  <si>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</si>
  <si>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</si>
  <si>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</si>
  <si>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</si>
  <si>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</si>
  <si>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</si>
  <si>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</si>
  <si>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</si>
  <si>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</si>
  <si>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</si>
  <si>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</si>
  <si>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</si>
  <si>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</si>
  <si>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</si>
  <si>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</si>
  <si>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</si>
  <si>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</si>
  <si>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</si>
  <si>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</si>
  <si>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</si>
  <si>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</si>
  <si>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</si>
  <si>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</si>
  <si>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</si>
  <si>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</si>
  <si>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</si>
  <si>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</si>
  <si>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</si>
  <si>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</si>
  <si>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</si>
  <si>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</si>
  <si>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</si>
  <si>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</si>
  <si>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</si>
  <si>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</si>
  <si>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</si>
  <si>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</si>
  <si>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</si>
  <si>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</si>
  <si>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</si>
  <si>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</si>
  <si>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</si>
  <si>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</si>
  <si>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</si>
  <si>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</si>
  <si>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</si>
  <si>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</si>
  <si>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</si>
  <si>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</si>
  <si>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</si>
  <si>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</si>
  <si>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</si>
  <si>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</si>
  <si>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</si>
  <si>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</si>
  <si>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</si>
  <si>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</si>
  <si>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</si>
  <si>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</si>
  <si>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</si>
  <si>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</si>
  <si>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</si>
  <si>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</si>
  <si>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</si>
  <si>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</si>
  <si>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</si>
  <si>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</si>
  <si>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</si>
  <si>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</si>
  <si>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</si>
  <si>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</si>
  <si>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</si>
  <si>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</si>
  <si>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</si>
  <si>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</si>
  <si>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</si>
  <si>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</si>
  <si>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</si>
  <si>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</si>
  <si>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</si>
  <si>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</si>
  <si>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</si>
  <si>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</si>
  <si>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</si>
  <si>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</si>
  <si>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</si>
  <si>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</si>
  <si>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</si>
  <si>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</si>
  <si>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</si>
  <si>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</si>
  <si>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</si>
  <si>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</si>
  <si>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</si>
  <si>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</si>
  <si>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</si>
  <si>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</si>
  <si>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</si>
  <si>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</si>
  <si>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</si>
  <si>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</si>
  <si>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</si>
  <si>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</si>
  <si>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</si>
  <si>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</si>
  <si>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</si>
  <si>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</si>
  <si>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</si>
  <si>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</si>
  <si>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</si>
  <si>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</si>
  <si>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</si>
  <si>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</si>
  <si>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</si>
  <si>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</si>
  <si>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</si>
  <si>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</si>
  <si>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</si>
  <si>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</si>
  <si>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</si>
  <si>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</si>
  <si>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</si>
  <si>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</si>
  <si>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</si>
  <si>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</si>
  <si>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</si>
  <si>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</si>
  <si>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</si>
  <si>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</si>
  <si>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</si>
  <si>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</si>
  <si>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</si>
  <si>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</si>
  <si>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</si>
  <si>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</si>
  <si>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</si>
  <si>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</si>
  <si>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</si>
  <si>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</si>
  <si>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</si>
  <si>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</si>
  <si>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</si>
  <si>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</si>
  <si>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</si>
  <si>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</si>
  <si>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</si>
  <si>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</si>
  <si>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</si>
  <si>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</si>
  <si>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</si>
  <si>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</si>
  <si>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</si>
  <si>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</si>
  <si>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</si>
  <si>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</si>
  <si>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</si>
  <si>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</si>
  <si>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</si>
  <si>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</si>
  <si>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</si>
  <si>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</si>
  <si>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</si>
  <si>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</si>
  <si>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</si>
  <si>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</si>
  <si>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</si>
  <si>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</si>
  <si>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</si>
  <si>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</si>
  <si>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</si>
  <si>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</si>
  <si>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</si>
  <si>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</si>
  <si>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</si>
  <si>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</si>
  <si>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</si>
  <si>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</si>
  <si>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</si>
  <si>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</si>
  <si>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</si>
  <si>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</si>
  <si>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</si>
  <si>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</si>
  <si>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</si>
  <si>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</si>
  <si>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</si>
  <si>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</si>
  <si>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</si>
  <si>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</si>
  <si>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</si>
  <si>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</si>
  <si>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</si>
  <si>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</si>
  <si>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</si>
  <si>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</si>
  <si>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</si>
  <si>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</si>
  <si>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</si>
  <si>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</si>
  <si>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</si>
  <si>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</si>
  <si>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</si>
  <si>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</si>
  <si>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</si>
  <si>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</si>
  <si>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</si>
  <si>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</si>
  <si>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</si>
  <si>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</si>
  <si>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</si>
  <si>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</si>
  <si>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</si>
  <si>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</si>
  <si>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</si>
  <si>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</si>
  <si>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</si>
  <si>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</si>
  <si>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</si>
  <si>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</si>
  <si>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</si>
  <si>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</si>
  <si>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</si>
  <si>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</si>
  <si>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</si>
  <si>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</si>
  <si>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</si>
  <si>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</si>
  <si>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</si>
  <si>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</si>
  <si>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</si>
  <si>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</si>
  <si>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</si>
  <si>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</si>
  <si>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</si>
  <si>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</si>
  <si>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</si>
  <si>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</si>
  <si>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</si>
  <si>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</si>
  <si>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</si>
  <si>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</si>
  <si>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</si>
  <si>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</si>
  <si>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</si>
  <si>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</si>
  <si>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</si>
  <si>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</si>
  <si>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</si>
  <si>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</si>
  <si>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</si>
  <si>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</si>
  <si>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</si>
  <si>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</si>
  <si>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</si>
  <si>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</si>
  <si>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</si>
  <si>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</si>
  <si>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</si>
  <si>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</si>
  <si>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</si>
  <si>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</si>
  <si>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</si>
  <si>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</si>
  <si>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</si>
  <si>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</si>
  <si>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</si>
  <si>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</si>
  <si>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</si>
  <si>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</si>
  <si>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</si>
  <si>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</si>
  <si>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</si>
  <si>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</si>
  <si>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</si>
  <si>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</si>
  <si>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</si>
  <si>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</si>
  <si>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</si>
  <si>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</si>
  <si>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</si>
  <si>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</si>
  <si>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</si>
  <si>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</si>
  <si>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</si>
  <si>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</si>
  <si>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</si>
  <si>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</si>
  <si>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</si>
  <si>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</si>
  <si>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</si>
  <si>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</si>
  <si>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</si>
  <si>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</si>
  <si>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</si>
  <si>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</si>
  <si>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</si>
  <si>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</si>
  <si>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</si>
  <si>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</si>
  <si>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</si>
  <si>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</si>
  <si>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</si>
  <si>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</si>
  <si>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</si>
  <si>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</si>
  <si>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</si>
  <si>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</si>
  <si>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</si>
  <si>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</si>
  <si>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</si>
  <si>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</si>
  <si>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</si>
  <si>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</si>
  <si>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</si>
  <si>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</si>
  <si>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</si>
  <si>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</si>
  <si>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</si>
  <si>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</si>
  <si>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</si>
  <si>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</si>
  <si>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</si>
  <si>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</si>
  <si>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</si>
  <si>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</si>
  <si>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</si>
  <si>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</si>
  <si>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</si>
  <si>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</si>
  <si>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</si>
  <si>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</si>
  <si>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</si>
  <si>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</si>
  <si>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</si>
  <si>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</si>
  <si>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</si>
  <si>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</si>
  <si>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</si>
  <si>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</si>
  <si>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</si>
  <si>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</si>
  <si>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</si>
  <si>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</si>
  <si>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</si>
  <si>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</si>
  <si>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</si>
  <si>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</si>
  <si>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</si>
  <si>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</si>
  <si>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</si>
  <si>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</si>
  <si>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</si>
  <si>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</si>
  <si>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</si>
  <si>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</si>
  <si>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</si>
  <si>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</si>
  <si>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</si>
  <si>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</si>
  <si>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</si>
  <si>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</si>
  <si>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</si>
  <si>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</si>
  <si>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</si>
  <si>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</si>
  <si>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</si>
  <si>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</si>
  <si>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</si>
  <si>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</si>
  <si>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</si>
  <si>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</si>
  <si>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</si>
  <si>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</si>
  <si>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</si>
  <si>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</si>
  <si>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</si>
  <si>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</si>
  <si>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</si>
  <si>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</si>
  <si>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</si>
  <si>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</si>
  <si>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</si>
  <si>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</si>
  <si>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</si>
  <si>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</si>
  <si>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</si>
  <si>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</si>
  <si>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</si>
  <si>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</si>
  <si>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</si>
  <si>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</si>
  <si>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</si>
  <si>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</si>
  <si>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</si>
  <si>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</si>
  <si>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</si>
  <si>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</si>
  <si>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</si>
  <si>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</si>
  <si>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</si>
  <si>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</si>
  <si>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</si>
  <si>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</si>
  <si>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</si>
  <si>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</si>
  <si>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</si>
  <si>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</si>
  <si>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</si>
  <si>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</si>
  <si>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</si>
  <si>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</si>
  <si>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</si>
  <si>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</si>
  <si>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</si>
  <si>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</si>
  <si>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</si>
  <si>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</si>
  <si>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</si>
  <si>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</si>
  <si>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</si>
  <si>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</si>
  <si>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</si>
  <si>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</si>
  <si>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</si>
  <si>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</si>
  <si>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</si>
  <si>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</si>
  <si>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</si>
  <si>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</si>
  <si>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</si>
  <si>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</si>
  <si>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</si>
  <si>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</si>
  <si>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</si>
  <si>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</si>
  <si>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</si>
  <si>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</si>
  <si>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</si>
  <si>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</si>
  <si>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</si>
  <si>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</si>
  <si>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</si>
  <si>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</si>
  <si>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</si>
  <si>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</si>
  <si>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</si>
  <si>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</si>
  <si>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</si>
  <si>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</si>
  <si>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</si>
  <si>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</si>
  <si>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</si>
  <si>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</si>
  <si>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</si>
  <si>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</si>
  <si>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</si>
  <si>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</si>
  <si>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</si>
  <si>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</si>
  <si>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</si>
  <si>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</si>
  <si>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</si>
  <si>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</si>
  <si>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</si>
  <si>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</si>
  <si>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</si>
  <si>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</si>
  <si>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</si>
  <si>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</si>
  <si>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</si>
  <si>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</si>
  <si>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</si>
  <si>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</si>
  <si>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</si>
  <si>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</si>
  <si>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</si>
  <si>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</si>
  <si>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</si>
  <si>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</si>
  <si>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</si>
  <si>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</si>
  <si>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</si>
  <si>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</si>
  <si>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</si>
  <si>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</si>
  <si>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</si>
  <si>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</si>
  <si>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</si>
  <si>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</si>
  <si>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</si>
  <si>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</si>
  <si>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</si>
  <si>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</si>
  <si>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</si>
  <si>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</si>
  <si>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</si>
  <si>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</si>
  <si>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</si>
  <si>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</si>
  <si>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</si>
  <si>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</si>
  <si>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</si>
  <si>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</si>
  <si>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</si>
  <si>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</si>
  <si>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</si>
  <si>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</si>
  <si>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</si>
  <si>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</si>
  <si>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</si>
  <si>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</si>
  <si>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</si>
  <si>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</si>
  <si>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</si>
  <si>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</si>
  <si>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</si>
  <si>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</si>
  <si>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</si>
  <si>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</si>
  <si>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</si>
  <si>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</si>
  <si>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</si>
  <si>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</si>
  <si>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</si>
  <si>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</si>
  <si>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</si>
  <si>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</si>
  <si>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</si>
  <si>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</si>
  <si>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</si>
  <si>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</si>
  <si>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</si>
  <si>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</si>
  <si>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</si>
  <si>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</si>
  <si>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</si>
  <si>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</si>
  <si>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</si>
  <si>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</si>
  <si>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</si>
  <si>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</si>
  <si>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</si>
  <si>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</si>
  <si>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</si>
  <si>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</si>
  <si>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</si>
  <si>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</si>
  <si>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</si>
  <si>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</si>
  <si>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</si>
  <si>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</si>
  <si>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</si>
  <si>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</si>
  <si>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</si>
  <si>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</si>
  <si>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</si>
  <si>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</si>
  <si>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</si>
  <si>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</si>
  <si>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</si>
  <si>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</si>
  <si>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</si>
  <si>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</si>
  <si>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</si>
  <si>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</si>
  <si>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</si>
  <si>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</si>
  <si>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</si>
  <si>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</si>
  <si>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</si>
  <si>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</si>
  <si>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</si>
  <si>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</si>
  <si>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</si>
  <si>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</si>
  <si>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</si>
  <si>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</si>
  <si>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</si>
  <si>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</si>
  <si>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</si>
  <si>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</si>
  <si>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</si>
  <si>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</si>
  <si>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</si>
  <si>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</si>
  <si>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</si>
  <si>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</si>
  <si>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</si>
  <si>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</si>
  <si>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</si>
  <si>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</si>
  <si>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</si>
  <si>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</si>
  <si>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</si>
  <si>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</si>
  <si>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</si>
  <si>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</si>
  <si>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</si>
  <si>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</si>
  <si>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</si>
  <si>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</si>
  <si>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</si>
  <si>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</si>
  <si>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</si>
  <si>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</si>
  <si>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</si>
  <si>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</si>
  <si>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</si>
  <si>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</si>
  <si>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</si>
  <si>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</si>
  <si>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</si>
  <si>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</si>
  <si>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</si>
  <si>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</si>
  <si>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</si>
  <si>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</si>
  <si>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</si>
  <si>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</si>
  <si>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</si>
  <si>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</si>
  <si>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</si>
  <si>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</si>
  <si>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</si>
  <si>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</si>
  <si>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</si>
  <si>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</si>
  <si>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</si>
  <si>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</si>
  <si>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</si>
  <si>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</si>
  <si>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</si>
  <si>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</si>
  <si>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</si>
  <si>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</si>
  <si>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</si>
  <si>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</si>
  <si>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</si>
  <si>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</si>
  <si>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</si>
  <si>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</si>
  <si>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</si>
  <si>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</si>
  <si>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</si>
  <si>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</si>
  <si>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</si>
  <si>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</si>
  <si>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</si>
  <si>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</si>
  <si>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</si>
  <si>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</si>
  <si>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</si>
  <si>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</si>
  <si>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</si>
  <si>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</si>
  <si>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</si>
  <si>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</si>
  <si>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</si>
  <si>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</si>
  <si>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</si>
  <si>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</si>
  <si>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</si>
  <si>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</si>
  <si>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</si>
  <si>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</si>
  <si>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</si>
  <si>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</si>
  <si>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</si>
  <si>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</si>
  <si>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</si>
  <si>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</si>
  <si>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</si>
  <si>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</si>
  <si>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</si>
  <si>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</si>
  <si>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</si>
  <si>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</si>
  <si>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</si>
  <si>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</si>
  <si>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</si>
  <si>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</si>
  <si>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</si>
  <si>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</si>
  <si>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</si>
  <si>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</si>
  <si>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</si>
  <si>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</si>
  <si>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</si>
  <si>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</si>
  <si>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</si>
  <si>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</si>
  <si>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</si>
  <si>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</si>
  <si>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</si>
  <si>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</si>
  <si>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</si>
  <si>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</si>
  <si>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</si>
  <si>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</si>
  <si>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</si>
  <si>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</si>
  <si>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</si>
  <si>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</si>
  <si>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</si>
  <si>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</si>
  <si>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</si>
  <si>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</si>
  <si>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</si>
  <si>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</si>
  <si>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</si>
  <si>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</si>
  <si>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</si>
  <si>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</si>
  <si>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</si>
  <si>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</si>
  <si>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</si>
  <si>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</si>
  <si>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</si>
  <si>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</si>
  <si>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</si>
  <si>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</si>
  <si>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</si>
  <si>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</si>
  <si>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</si>
  <si>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</si>
  <si>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</si>
  <si>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</si>
  <si>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</si>
  <si>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</si>
  <si>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</si>
  <si>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</si>
  <si>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</si>
  <si>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</si>
  <si>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</si>
  <si>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</si>
  <si>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</si>
  <si>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</si>
  <si>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</si>
  <si>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</si>
  <si>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</si>
  <si>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</si>
  <si>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</si>
  <si>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</si>
  <si>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</si>
  <si>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</si>
  <si>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</si>
  <si>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</si>
  <si>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</si>
  <si>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</si>
  <si>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</si>
  <si>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</si>
  <si>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</si>
  <si>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</si>
  <si>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</si>
  <si>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</si>
  <si>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</si>
  <si>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</si>
  <si>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</si>
  <si>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</si>
  <si>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</si>
  <si>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</si>
  <si>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</si>
  <si>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</si>
  <si>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</si>
  <si>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</si>
  <si>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</si>
  <si>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</si>
  <si>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</si>
  <si>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</si>
  <si>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</si>
  <si>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</si>
  <si>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</si>
  <si>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</si>
  <si>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</si>
  <si>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</si>
  <si>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</si>
  <si>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</si>
  <si>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</si>
  <si>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</si>
  <si>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</si>
  <si>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</si>
  <si>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</si>
  <si>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</si>
  <si>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</si>
  <si>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</si>
  <si>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</si>
  <si>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</si>
  <si>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</si>
  <si>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</si>
  <si>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</si>
  <si>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</si>
  <si>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</si>
  <si>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</si>
  <si>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</si>
  <si>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</si>
  <si>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</si>
  <si>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</si>
  <si>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</si>
  <si>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</si>
  <si>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</si>
  <si>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</si>
  <si>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</si>
  <si>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</si>
  <si>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</si>
  <si>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</si>
  <si>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</si>
  <si>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</si>
  <si>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</si>
  <si>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</si>
  <si>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</si>
  <si>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</si>
  <si>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</si>
  <si>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</si>
  <si>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</si>
  <si>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</si>
  <si>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</si>
  <si>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</si>
  <si>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</si>
  <si>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</si>
  <si>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</si>
  <si>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</si>
  <si>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</si>
  <si>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</si>
  <si>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</si>
  <si>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</si>
  <si>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</si>
  <si>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</si>
  <si>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</si>
  <si>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</si>
  <si>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</si>
  <si>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</si>
  <si>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</si>
  <si>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</si>
  <si>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</si>
  <si>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</si>
  <si>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</si>
  <si>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</si>
  <si>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</si>
  <si>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</si>
  <si>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</si>
  <si>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</si>
  <si>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</si>
  <si>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</si>
  <si>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</si>
  <si>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</si>
  <si>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</si>
  <si>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</si>
  <si>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</si>
  <si>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</si>
  <si>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</si>
  <si>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</si>
  <si>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</si>
  <si>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</si>
  <si>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</si>
  <si>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</si>
  <si>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</si>
  <si>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</si>
  <si>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</si>
  <si>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</si>
  <si>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</si>
  <si>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</si>
  <si>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</si>
  <si>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</si>
  <si>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</si>
  <si>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</si>
  <si>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</si>
  <si>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</si>
  <si>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</si>
  <si>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</si>
  <si>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</si>
  <si>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</si>
  <si>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</si>
  <si>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</si>
  <si>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</si>
  <si>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</si>
  <si>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</si>
  <si>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</si>
  <si>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</si>
  <si>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</si>
  <si>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</si>
  <si>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</si>
  <si>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</si>
  <si>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</si>
  <si>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</si>
  <si>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</si>
  <si>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</si>
  <si>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</si>
  <si>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</si>
  <si>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</si>
  <si>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</si>
  <si>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</si>
  <si>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</si>
  <si>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</si>
  <si>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</si>
  <si>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</si>
  <si>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</si>
  <si>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</si>
  <si>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</si>
  <si>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</si>
  <si>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</si>
  <si>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</si>
  <si>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</si>
  <si>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</si>
  <si>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</si>
  <si>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</si>
  <si>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</si>
  <si>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</si>
  <si>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</si>
  <si>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</si>
  <si>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</si>
  <si>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</si>
  <si>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</si>
  <si>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</si>
  <si>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</si>
  <si>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</si>
  <si>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</si>
  <si>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</si>
  <si>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</si>
  <si>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</si>
  <si>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</si>
  <si>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</si>
  <si>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</si>
  <si>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</si>
  <si>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</si>
  <si>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</si>
  <si>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</si>
  <si>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</si>
  <si>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</si>
  <si>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</si>
  <si>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</si>
  <si>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</si>
  <si>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</si>
  <si>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</si>
  <si>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</si>
  <si>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</si>
  <si>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</si>
  <si>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</si>
  <si>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</si>
  <si>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</si>
  <si>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</si>
  <si>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</si>
  <si>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</si>
  <si>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</si>
  <si>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</si>
  <si>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</si>
  <si>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</si>
  <si>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</si>
  <si>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</si>
  <si>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</si>
  <si>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</si>
  <si>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</si>
  <si>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</si>
  <si>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</si>
  <si>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</si>
  <si>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</si>
  <si>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</si>
  <si>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</si>
  <si>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</si>
  <si>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</si>
  <si>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</si>
  <si>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</si>
  <si>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</si>
  <si>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</si>
  <si>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</si>
  <si>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</si>
  <si>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</si>
  <si>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</si>
  <si>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</si>
  <si>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</si>
  <si>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</si>
  <si>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</si>
  <si>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</si>
  <si>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</si>
  <si>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</si>
  <si>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</si>
  <si>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</si>
  <si>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</si>
  <si>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</si>
  <si>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</si>
  <si>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</si>
  <si>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</si>
  <si>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</si>
  <si>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</si>
  <si>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</si>
  <si>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</si>
  <si>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</si>
  <si>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</si>
  <si>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</si>
  <si>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</si>
  <si>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</si>
  <si>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</si>
  <si>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</si>
  <si>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</si>
  <si>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</si>
  <si>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</si>
  <si>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</si>
  <si>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</si>
  <si>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</si>
  <si>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</si>
  <si>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</si>
  <si>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</si>
  <si>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</si>
  <si>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</si>
  <si>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</si>
  <si>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</si>
  <si>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</si>
  <si>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</si>
  <si>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</si>
  <si>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</si>
  <si>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</si>
  <si>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</si>
  <si>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</si>
  <si>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</si>
  <si>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</si>
  <si>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</si>
  <si>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</si>
  <si>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</si>
  <si>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</si>
  <si>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</si>
  <si>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</si>
  <si>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</si>
  <si>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</si>
  <si>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</si>
  <si>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</si>
  <si>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</si>
  <si>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</si>
  <si>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</si>
  <si>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</si>
  <si>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</si>
  <si>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</si>
  <si>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</si>
  <si>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</si>
  <si>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</si>
  <si>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</si>
  <si>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</si>
  <si>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</si>
  <si>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</si>
  <si>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</si>
  <si>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</si>
  <si>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</si>
  <si>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</si>
  <si>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</si>
  <si>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</si>
  <si>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</si>
  <si>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</si>
  <si>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</si>
  <si>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</si>
  <si>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</si>
  <si>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</si>
  <si>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</si>
  <si>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</si>
  <si>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</si>
  <si>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</si>
  <si>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</si>
  <si>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</si>
  <si>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</si>
  <si>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</si>
  <si>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</si>
  <si>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</si>
  <si>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</si>
  <si>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</si>
  <si>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</si>
  <si>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</si>
  <si>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</si>
  <si>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</si>
  <si>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</si>
  <si>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</si>
  <si>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</si>
  <si>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</si>
  <si>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</si>
  <si>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</si>
  <si>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</si>
  <si>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</si>
  <si>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</si>
  <si>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</si>
  <si>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</si>
  <si>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</si>
  <si>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</si>
  <si>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</si>
  <si>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</si>
  <si>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</si>
  <si>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</si>
  <si>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</si>
  <si>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</si>
  <si>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</si>
  <si>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</si>
  <si>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</si>
  <si>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</si>
  <si>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</si>
  <si>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</si>
  <si>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</si>
  <si>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</si>
  <si>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</si>
  <si>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</si>
  <si>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</si>
  <si>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</si>
  <si>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</si>
  <si>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</si>
  <si>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</si>
  <si>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</si>
  <si>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</si>
  <si>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</si>
  <si>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</si>
  <si>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</si>
  <si>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</si>
  <si>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</si>
  <si>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</si>
  <si>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</si>
  <si>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</si>
  <si>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</si>
  <si>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</si>
  <si>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</si>
  <si>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</si>
  <si>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</si>
  <si>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</si>
  <si>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</si>
  <si>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</si>
  <si>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</si>
  <si>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</si>
  <si>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</si>
  <si>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</si>
  <si>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</si>
  <si>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</si>
  <si>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</si>
  <si>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</si>
  <si>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</si>
  <si>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</si>
  <si>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</si>
  <si>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</si>
  <si>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</si>
  <si>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</si>
  <si>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</si>
  <si>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</si>
  <si>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</si>
  <si>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</si>
  <si>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</si>
  <si>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</si>
  <si>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</si>
  <si>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</si>
  <si>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</si>
  <si>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</si>
  <si>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</si>
  <si>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</si>
  <si>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</si>
  <si>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</si>
  <si>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</si>
  <si>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</si>
  <si>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</si>
  <si>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</si>
  <si>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</si>
  <si>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</si>
  <si>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</si>
  <si>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</si>
  <si>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</si>
  <si>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</si>
  <si>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</si>
  <si>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</si>
  <si>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</si>
  <si>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</si>
  <si>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</si>
  <si>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</si>
  <si>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</si>
  <si>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</si>
  <si>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</si>
  <si>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</si>
  <si>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</si>
  <si>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</si>
  <si>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</si>
  <si>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</si>
  <si>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</si>
  <si>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</si>
  <si>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</si>
  <si>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</si>
  <si>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</si>
  <si>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</si>
  <si>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</si>
  <si>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</si>
  <si>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</si>
  <si>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</si>
  <si>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</si>
  <si>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</si>
  <si>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</si>
  <si>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</si>
  <si>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</si>
  <si>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</si>
  <si>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</si>
  <si>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</si>
  <si>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</si>
  <si>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</si>
  <si>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</si>
  <si>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</si>
  <si>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</si>
  <si>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</si>
  <si>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</si>
  <si>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</si>
  <si>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</si>
  <si>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</si>
  <si>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</si>
  <si>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</si>
  <si>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</si>
  <si>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</si>
  <si>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</si>
  <si>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</si>
  <si>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</si>
  <si>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</si>
  <si>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</si>
  <si>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</si>
  <si>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</si>
  <si>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</si>
  <si>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</si>
  <si>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</si>
  <si>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</si>
  <si>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</si>
  <si>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</si>
  <si>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</si>
  <si>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</si>
  <si>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</si>
  <si>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</si>
  <si>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</si>
  <si>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</si>
  <si>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</si>
  <si>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</si>
  <si>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</si>
  <si>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</si>
  <si>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</si>
  <si>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</si>
  <si>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</si>
  <si>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</si>
  <si>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</si>
  <si>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</si>
  <si>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</si>
  <si>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</si>
  <si>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</si>
  <si>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</si>
  <si>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</si>
  <si>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</si>
  <si>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</si>
  <si>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</si>
  <si>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</si>
  <si>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</si>
  <si>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</si>
  <si>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</si>
  <si>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</si>
  <si>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</si>
  <si>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</si>
  <si>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</si>
  <si>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</si>
  <si>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</si>
  <si>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</si>
  <si>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</si>
  <si>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</si>
  <si>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</si>
  <si>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</si>
  <si>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</si>
  <si>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</si>
  <si>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</si>
  <si>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</si>
  <si>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</si>
  <si>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</si>
  <si>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</si>
  <si>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</si>
  <si>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</si>
  <si>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</si>
  <si>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</si>
  <si>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</si>
  <si>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</si>
  <si>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</si>
  <si>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</si>
  <si>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</si>
  <si>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</si>
  <si>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</si>
  <si>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</si>
  <si>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</si>
  <si>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</si>
  <si>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</si>
  <si>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</si>
  <si>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</si>
  <si>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</si>
  <si>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</si>
  <si>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</si>
  <si>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</si>
  <si>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</si>
  <si>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</si>
  <si>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</si>
  <si>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</si>
  <si>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</si>
  <si>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</si>
  <si>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</si>
  <si>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</si>
  <si>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</si>
  <si>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</si>
  <si>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</si>
  <si>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</si>
  <si>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</si>
  <si>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</si>
  <si>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</si>
  <si>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</si>
  <si>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</si>
  <si>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</si>
  <si>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</si>
  <si>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</si>
  <si>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</si>
  <si>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</si>
  <si>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</si>
  <si>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</si>
  <si>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</si>
  <si>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</si>
  <si>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</si>
  <si>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</si>
  <si>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</si>
  <si>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</si>
  <si>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</si>
  <si>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</si>
  <si>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</si>
  <si>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</si>
  <si>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</si>
  <si>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</si>
  <si>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</si>
  <si>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</si>
  <si>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</si>
  <si>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</si>
  <si>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</si>
  <si>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</si>
  <si>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</si>
  <si>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</si>
  <si>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</si>
  <si>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</si>
  <si>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</si>
  <si>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</si>
  <si>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</si>
  <si>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</si>
  <si>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</si>
  <si>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</si>
  <si>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</si>
  <si>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</si>
  <si>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</si>
  <si>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</si>
  <si>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</si>
  <si>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</si>
  <si>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</si>
  <si>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</si>
  <si>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</si>
  <si>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</si>
  <si>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</si>
  <si>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</si>
  <si>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</si>
  <si>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</si>
  <si>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</si>
  <si>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</si>
  <si>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</si>
  <si>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</si>
  <si>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</si>
  <si>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</si>
  <si>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</si>
  <si>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</si>
  <si>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</si>
  <si>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</si>
  <si>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</si>
  <si>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</si>
  <si>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</si>
  <si>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</si>
  <si>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</si>
  <si>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</si>
  <si>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</si>
  <si>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</si>
  <si>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</si>
  <si>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</si>
  <si>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</si>
  <si>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</si>
  <si>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</si>
  <si>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</si>
  <si>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</si>
  <si>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</si>
  <si>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</si>
  <si>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</si>
  <si>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</si>
  <si>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</si>
  <si>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</si>
  <si>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</si>
  <si>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</si>
  <si>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</si>
  <si>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</si>
  <si>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</si>
  <si>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</si>
  <si>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</si>
  <si>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</si>
  <si>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</si>
  <si>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</si>
  <si>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</si>
  <si>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</si>
  <si>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</si>
  <si>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</si>
  <si>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</si>
  <si>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</si>
  <si>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</si>
  <si>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</si>
  <si>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</si>
  <si>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</si>
  <si>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</si>
  <si>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</si>
  <si>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</si>
  <si>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</si>
  <si>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</si>
  <si>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</si>
  <si>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</si>
  <si>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</si>
  <si>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</si>
  <si>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</si>
  <si>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</si>
  <si>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</si>
  <si>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</si>
  <si>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</si>
  <si>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</si>
  <si>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</si>
  <si>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</si>
  <si>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</si>
  <si>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</si>
  <si>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</si>
  <si>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</si>
  <si>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</si>
  <si>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</si>
  <si>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</si>
  <si>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</si>
  <si>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</si>
  <si>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</si>
  <si>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</si>
  <si>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</si>
  <si>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</si>
  <si>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</si>
  <si>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</si>
  <si>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</si>
  <si>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</si>
  <si>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</si>
  <si>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</si>
  <si>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</si>
  <si>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</si>
  <si>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</si>
  <si>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</si>
  <si>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</si>
  <si>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</si>
  <si>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</si>
  <si>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</si>
  <si>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</si>
  <si>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</si>
  <si>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</si>
  <si>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</si>
  <si>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</si>
  <si>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</si>
  <si>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</si>
  <si>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</si>
  <si>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</si>
  <si>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</si>
  <si>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</si>
  <si>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</si>
  <si>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</si>
  <si>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</si>
  <si>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</si>
  <si>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</si>
  <si>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</si>
  <si>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</si>
  <si>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</si>
  <si>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</si>
  <si>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</si>
  <si>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</si>
  <si>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</si>
  <si>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</si>
  <si>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</si>
  <si>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</si>
  <si>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</si>
  <si>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</si>
  <si>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</si>
  <si>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</si>
  <si>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</si>
  <si>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</si>
  <si>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</si>
  <si>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</si>
  <si>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</si>
  <si>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</si>
  <si>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</si>
  <si>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</si>
  <si>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</si>
  <si>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</si>
  <si>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</si>
  <si>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</si>
  <si>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</si>
  <si>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</si>
  <si>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</si>
  <si>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</si>
  <si>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</si>
  <si>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</si>
  <si>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</si>
  <si>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</si>
  <si>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</si>
  <si>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</si>
  <si>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</si>
  <si>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</si>
  <si>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</si>
  <si>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</si>
  <si>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</si>
  <si>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</si>
  <si>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</si>
  <si>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</si>
  <si>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</si>
  <si>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</si>
  <si>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</si>
  <si>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</si>
  <si>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</si>
  <si>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</si>
  <si>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</si>
  <si>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</si>
  <si>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</si>
  <si>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</si>
  <si>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</si>
  <si>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</si>
  <si>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</si>
  <si>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</si>
  <si>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</si>
  <si>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</si>
  <si>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</si>
  <si>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</si>
  <si>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</si>
  <si>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</si>
  <si>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</si>
  <si>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</si>
  <si>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</si>
  <si>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</si>
  <si>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</si>
  <si>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</si>
  <si>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</si>
  <si>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</si>
  <si>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</si>
  <si>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</si>
  <si>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</si>
  <si>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</si>
  <si>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</si>
  <si>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</si>
  <si>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</si>
  <si>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</si>
  <si>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</si>
  <si>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</si>
  <si>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</si>
  <si>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</si>
  <si>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</si>
  <si>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</si>
  <si>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</si>
  <si>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</si>
  <si>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</si>
  <si>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</si>
  <si>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</si>
  <si>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</si>
  <si>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</si>
  <si>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</si>
  <si>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</si>
  <si>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</si>
  <si>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</si>
  <si>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</si>
  <si>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</si>
  <si>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</si>
  <si>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</si>
  <si>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</si>
  <si>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</si>
  <si>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</si>
  <si>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</si>
  <si>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</si>
  <si>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</si>
  <si>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</si>
  <si>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</si>
  <si>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</si>
  <si>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</si>
  <si>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</si>
  <si>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</si>
  <si>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</si>
  <si>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</si>
  <si>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</si>
  <si>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</si>
  <si>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</si>
  <si>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</si>
  <si>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</si>
  <si>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</si>
  <si>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</si>
  <si>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</si>
  <si>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</si>
  <si>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</si>
  <si>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</si>
  <si>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</si>
  <si>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</si>
  <si>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</si>
  <si>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</si>
  <si>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</si>
  <si>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</si>
  <si>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</si>
  <si>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</si>
  <si>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</si>
  <si>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</si>
  <si>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</si>
  <si>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</si>
  <si>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</si>
  <si>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</si>
  <si>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</si>
  <si>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</si>
  <si>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</si>
  <si>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</si>
  <si>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</si>
  <si>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</si>
  <si>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</si>
  <si>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</si>
  <si>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</si>
  <si>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</si>
  <si>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</si>
  <si>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</si>
  <si>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</si>
  <si>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</si>
  <si>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</si>
  <si>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</si>
  <si>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</si>
  <si>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</si>
  <si>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</si>
  <si>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</si>
  <si>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</si>
  <si>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</si>
  <si>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</si>
  <si>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</si>
  <si>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</si>
  <si>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</si>
  <si>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</si>
  <si>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</si>
  <si>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</si>
  <si>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</si>
  <si>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</si>
  <si>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</si>
  <si>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</si>
  <si>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</si>
  <si>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</si>
  <si>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</si>
  <si>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</si>
  <si>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</si>
  <si>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</si>
  <si>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</si>
  <si>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</si>
  <si>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</si>
  <si>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</si>
  <si>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</si>
  <si>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</si>
  <si>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</si>
  <si>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</si>
  <si>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</si>
  <si>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</si>
  <si>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</si>
  <si>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</si>
  <si>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</si>
  <si>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</si>
  <si>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</si>
  <si>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</si>
  <si>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</si>
  <si>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</si>
  <si>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</si>
  <si>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</si>
  <si>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</si>
  <si>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</si>
  <si>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</si>
  <si>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</si>
  <si>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</si>
  <si>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</si>
  <si>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</si>
  <si>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</si>
  <si>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</si>
  <si>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</si>
  <si>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</si>
  <si>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</si>
  <si>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</si>
  <si>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</si>
  <si>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</si>
  <si>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</si>
  <si>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</si>
  <si>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</si>
  <si>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</si>
  <si>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</si>
  <si>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</si>
  <si>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</si>
  <si>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</si>
  <si>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</si>
  <si>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</si>
  <si>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</si>
  <si>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</si>
  <si>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</si>
  <si>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</si>
  <si>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</si>
  <si>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</si>
  <si>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</si>
  <si>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</si>
  <si>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</si>
  <si>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</si>
  <si>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</si>
  <si>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</si>
  <si>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</si>
  <si>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</si>
  <si>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</si>
  <si>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</si>
  <si>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</si>
  <si>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</si>
  <si>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</si>
  <si>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</si>
  <si>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</si>
  <si>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</si>
  <si>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</si>
  <si>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</si>
  <si>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</si>
  <si>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</si>
  <si>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</si>
  <si>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</si>
  <si>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</si>
  <si>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</si>
  <si>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</si>
  <si>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</si>
  <si>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</si>
  <si>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</si>
  <si>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</si>
  <si>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</si>
  <si>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</si>
  <si>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</si>
  <si>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</si>
  <si>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</si>
  <si>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</si>
  <si>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</si>
  <si>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</si>
  <si>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</si>
  <si>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</si>
  <si>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</si>
  <si>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</si>
  <si>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</si>
  <si>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</si>
  <si>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</si>
  <si>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</si>
  <si>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</si>
  <si>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</si>
  <si>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</si>
  <si>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</si>
  <si>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</si>
  <si>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</si>
  <si>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</si>
  <si>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</si>
  <si>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</si>
  <si>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</si>
  <si>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</si>
  <si>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</si>
  <si>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</si>
  <si>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</si>
  <si>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</si>
  <si>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</si>
  <si>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</si>
  <si>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</si>
  <si>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</si>
  <si>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</si>
  <si>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</si>
  <si>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</si>
  <si>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</si>
  <si>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</si>
  <si>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</si>
  <si>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</si>
  <si>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</si>
  <si>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</si>
  <si>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</si>
  <si>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</si>
  <si>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</si>
  <si>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</si>
  <si>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</si>
  <si>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</si>
  <si>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</si>
  <si>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</si>
  <si>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</si>
  <si>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</si>
  <si>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</si>
  <si>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</si>
  <si>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</si>
  <si>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</si>
  <si>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</si>
  <si>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</si>
  <si>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</si>
  <si>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</si>
  <si>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</si>
  <si>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</si>
  <si>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</si>
  <si>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</si>
  <si>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</si>
  <si>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</si>
  <si>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</si>
  <si>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</si>
  <si>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</si>
  <si>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</si>
  <si>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</si>
  <si>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</si>
  <si>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</si>
  <si>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</si>
  <si>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</si>
  <si>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</si>
  <si>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</si>
  <si>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</si>
  <si>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</si>
  <si>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</si>
  <si>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</si>
  <si>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</si>
  <si>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</si>
  <si>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</si>
  <si>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</si>
  <si>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</si>
  <si>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</si>
  <si>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</si>
  <si>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</si>
  <si>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</si>
  <si>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</si>
  <si>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</si>
  <si>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</si>
  <si>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</si>
  <si>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</si>
  <si>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</si>
  <si>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</si>
  <si>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</si>
  <si>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</si>
  <si>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</si>
  <si>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</si>
  <si>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</si>
  <si>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</si>
  <si>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</si>
  <si>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</si>
  <si>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</si>
  <si>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</si>
  <si>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</si>
  <si>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</si>
  <si>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</si>
  <si>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</si>
  <si>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</si>
  <si>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</si>
  <si>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</si>
  <si>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</si>
  <si>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</si>
  <si>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</si>
  <si>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</si>
  <si>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</si>
  <si>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</si>
  <si>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</si>
  <si>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</si>
  <si>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</si>
  <si>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</si>
  <si>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</si>
  <si>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</si>
  <si>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</si>
  <si>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</si>
  <si>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</si>
  <si>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</si>
  <si>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</si>
  <si>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</si>
  <si>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</si>
  <si>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</si>
  <si>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</si>
  <si>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</si>
  <si>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</si>
  <si>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</si>
  <si>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</si>
  <si>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</si>
  <si>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</si>
  <si>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</si>
  <si>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</si>
  <si>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</si>
  <si>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</si>
  <si>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</si>
  <si>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</si>
  <si>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</si>
  <si>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</si>
  <si>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</si>
  <si>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</si>
  <si>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</si>
  <si>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</si>
  <si>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</si>
  <si>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</si>
  <si>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</si>
  <si>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</si>
  <si>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</si>
  <si>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</si>
  <si>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</si>
  <si>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</si>
  <si>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</si>
  <si>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</si>
  <si>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</si>
  <si>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</si>
  <si>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</si>
  <si>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</si>
  <si>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</si>
  <si>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</si>
  <si>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</si>
  <si>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</si>
  <si>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</si>
  <si>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</si>
  <si>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</si>
  <si>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</si>
  <si>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</si>
  <si>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</si>
  <si>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</si>
  <si>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</si>
  <si>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</si>
  <si>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</si>
  <si>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</si>
  <si>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</si>
  <si>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</si>
  <si>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</si>
  <si>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</si>
  <si>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</si>
  <si>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</si>
  <si>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</si>
  <si>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</si>
  <si>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</si>
  <si>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</si>
  <si>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</si>
  <si>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</si>
  <si>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</si>
  <si>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</si>
  <si>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</si>
  <si>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</si>
  <si>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</si>
  <si>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</si>
  <si>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</si>
  <si>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</si>
  <si>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</si>
  <si>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</si>
  <si>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</si>
  <si>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</si>
  <si>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</si>
  <si>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</si>
  <si>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</si>
  <si>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</si>
  <si>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</si>
  <si>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</si>
  <si>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</si>
  <si>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</si>
  <si>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</si>
  <si>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</si>
  <si>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</si>
  <si>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</si>
  <si>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</si>
  <si>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</si>
  <si>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</si>
  <si>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</si>
  <si>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</si>
  <si>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</si>
  <si>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</si>
  <si>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</si>
  <si>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</si>
  <si>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</si>
  <si>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</si>
  <si>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</si>
  <si>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</si>
  <si>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</si>
  <si>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</si>
  <si>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</si>
  <si>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</si>
  <si>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</si>
  <si>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</si>
  <si>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</si>
  <si>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</si>
  <si>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</si>
  <si>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</si>
  <si>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</si>
  <si>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</si>
  <si>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</si>
  <si>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</si>
  <si>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</si>
  <si>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</si>
  <si>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</si>
  <si>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</si>
  <si>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</si>
  <si>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</si>
  <si>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</si>
  <si>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</si>
  <si>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</si>
  <si>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</si>
  <si>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</si>
  <si>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</si>
  <si>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</si>
  <si>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</si>
  <si>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</si>
  <si>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</si>
  <si>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</si>
  <si>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</si>
  <si>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</si>
  <si>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</si>
  <si>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</si>
  <si>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</si>
  <si>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</si>
  <si>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</si>
  <si>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</si>
  <si>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</si>
  <si>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</si>
  <si>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</si>
  <si>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</si>
  <si>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</si>
  <si>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</si>
  <si>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</si>
  <si>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</si>
  <si>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</si>
  <si>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</si>
  <si>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</si>
  <si>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</si>
  <si>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</si>
  <si>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</si>
  <si>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</si>
  <si>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</si>
  <si>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</si>
  <si>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</si>
  <si>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</si>
  <si>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</si>
  <si>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</si>
  <si>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</si>
  <si>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</si>
  <si>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</si>
  <si>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</si>
  <si>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</si>
  <si>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</si>
  <si>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</si>
  <si>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</si>
  <si>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</si>
  <si>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</si>
  <si>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</si>
  <si>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</si>
  <si>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</si>
  <si>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</si>
  <si>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</si>
  <si>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</si>
  <si>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</si>
  <si>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</si>
  <si>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</si>
  <si>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</si>
  <si>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</si>
  <si>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</si>
  <si>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</si>
  <si>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</si>
  <si>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</si>
  <si>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</si>
  <si>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</si>
  <si>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</si>
  <si>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</si>
  <si>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</si>
  <si>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</si>
  <si>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</si>
  <si>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</si>
  <si>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</si>
  <si>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</si>
  <si>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</si>
  <si>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</si>
  <si>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</si>
  <si>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</si>
  <si>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</si>
  <si>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</si>
  <si>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</si>
  <si>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</si>
  <si>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</si>
  <si>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</si>
  <si>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</si>
  <si>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</si>
  <si>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</si>
  <si>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</si>
  <si>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</si>
  <si>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</si>
  <si>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</si>
  <si>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</si>
  <si>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</si>
  <si>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</si>
  <si>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</si>
  <si>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</si>
  <si>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</si>
  <si>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</si>
  <si>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</si>
  <si>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</si>
  <si>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</si>
  <si>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</si>
  <si>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</si>
  <si>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</si>
  <si>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</si>
  <si>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</si>
  <si>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</si>
  <si>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</si>
  <si>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</si>
  <si>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</si>
  <si>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</si>
  <si>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</si>
  <si>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</si>
  <si>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</si>
  <si>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</si>
  <si>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</si>
  <si>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</si>
  <si>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</si>
  <si>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</si>
  <si>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</si>
  <si>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</si>
  <si>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</si>
  <si>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</si>
  <si>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</si>
  <si>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</si>
  <si>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</si>
  <si>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</si>
  <si>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</si>
  <si>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</si>
  <si>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</si>
  <si>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</si>
  <si>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</si>
  <si>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</si>
  <si>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</si>
  <si>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</si>
  <si>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</si>
  <si>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</si>
  <si>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</si>
  <si>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</si>
  <si>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</si>
  <si>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</si>
  <si>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</si>
  <si>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</si>
  <si>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</si>
  <si>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</si>
  <si>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</si>
  <si>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</si>
  <si>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</si>
  <si>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</si>
  <si>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</si>
  <si>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</si>
  <si>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</si>
  <si>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</si>
  <si>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</si>
  <si>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</si>
  <si>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</si>
  <si>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</si>
  <si>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</si>
  <si>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</si>
  <si>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</si>
  <si>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</si>
  <si>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</si>
  <si>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</si>
  <si>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</si>
  <si>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</si>
  <si>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</si>
  <si>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</si>
  <si>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</si>
  <si>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</si>
  <si>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</si>
  <si>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</si>
  <si>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</si>
  <si>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</si>
  <si>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</si>
  <si>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</si>
  <si>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</si>
  <si>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</si>
  <si>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</si>
  <si>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</si>
  <si>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</si>
  <si>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</si>
  <si>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</si>
  <si>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</si>
  <si>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</si>
  <si>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</si>
  <si>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</si>
  <si>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</si>
  <si>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</si>
  <si>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</si>
  <si>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</si>
  <si>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</si>
  <si>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</si>
  <si>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</si>
  <si>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</si>
  <si>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</si>
  <si>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</si>
  <si>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</si>
  <si>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</si>
  <si>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</si>
  <si>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</si>
  <si>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</si>
  <si>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</si>
  <si>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</si>
  <si>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</si>
  <si>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</si>
  <si>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</si>
  <si>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</si>
  <si>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</si>
  <si>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</si>
  <si>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</si>
  <si>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</si>
  <si>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</si>
  <si>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</si>
  <si>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</si>
  <si>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</si>
  <si>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</si>
  <si>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</si>
  <si>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</si>
  <si>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</si>
  <si>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</si>
  <si>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</si>
  <si>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</si>
  <si>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</si>
  <si>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</si>
  <si>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</si>
  <si>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</si>
  <si>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</si>
  <si>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</si>
  <si>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</si>
  <si>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</si>
  <si>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</si>
  <si>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</si>
  <si>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</si>
  <si>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</si>
  <si>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</si>
  <si>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</si>
  <si>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</si>
  <si>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</si>
  <si>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</si>
  <si>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</si>
  <si>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</si>
  <si>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</si>
  <si>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</si>
  <si>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</si>
  <si>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</si>
  <si>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</si>
  <si>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</si>
  <si>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</si>
  <si>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</si>
  <si>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</si>
  <si>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</si>
  <si>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</si>
  <si>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</si>
  <si>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</si>
  <si>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</si>
  <si>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</si>
  <si>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</si>
  <si>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</si>
  <si>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</si>
  <si>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</si>
  <si>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</si>
  <si>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</si>
  <si>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</si>
  <si>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</si>
  <si>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</si>
  <si>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</si>
  <si>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</si>
  <si>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</si>
  <si>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</si>
  <si>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</si>
  <si>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</si>
  <si>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</si>
  <si>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</si>
  <si>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</si>
  <si>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</si>
  <si>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</si>
  <si>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</si>
  <si>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</si>
  <si>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</si>
  <si>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</si>
  <si>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</si>
  <si>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</si>
  <si>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</si>
  <si>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</si>
  <si>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</si>
  <si>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</si>
  <si>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</si>
  <si>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</si>
  <si>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</si>
  <si>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</si>
  <si>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</si>
  <si>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</si>
  <si>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</si>
  <si>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</si>
  <si>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</si>
  <si>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</si>
  <si>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</si>
  <si>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</si>
  <si>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</si>
  <si>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</si>
  <si>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</si>
  <si>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</si>
  <si>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</si>
  <si>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</si>
  <si>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</si>
  <si>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</si>
  <si>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</si>
  <si>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</si>
  <si>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</si>
  <si>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</si>
  <si>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</si>
  <si>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</si>
  <si>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</si>
  <si>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</si>
  <si>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</si>
  <si>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</si>
  <si>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</si>
  <si>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</si>
  <si>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</si>
  <si>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</si>
  <si>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</si>
  <si>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</si>
  <si>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</si>
  <si>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</si>
  <si>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</si>
  <si>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</si>
  <si>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</si>
  <si>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</si>
  <si>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</si>
  <si>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</si>
  <si>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</si>
  <si>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</si>
  <si>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</si>
  <si>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</si>
  <si>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</si>
  <si>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</si>
  <si>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</si>
  <si>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</si>
  <si>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</si>
  <si>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</si>
  <si>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</si>
  <si>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</si>
  <si>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</si>
  <si>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</si>
  <si>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</si>
  <si>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</si>
  <si>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</si>
  <si>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</si>
  <si>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</si>
  <si>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</si>
  <si>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</si>
  <si>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</si>
  <si>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</si>
  <si>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</si>
  <si>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</si>
  <si>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</si>
  <si>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</si>
  <si>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</si>
  <si>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</si>
  <si>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</si>
  <si>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</si>
  <si>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</si>
  <si>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</si>
  <si>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</si>
  <si>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</si>
  <si>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</si>
  <si>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</si>
  <si>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</si>
  <si>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</si>
  <si>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</si>
  <si>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</si>
  <si>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</si>
  <si>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</si>
  <si>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</si>
  <si>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</si>
  <si>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</si>
  <si>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</si>
  <si>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</si>
  <si>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</si>
  <si>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</si>
  <si>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</si>
  <si>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</si>
  <si>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</si>
  <si>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</si>
  <si>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</si>
  <si>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</si>
  <si>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</si>
  <si>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</si>
  <si>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</si>
  <si>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</si>
  <si>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</si>
  <si>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</si>
  <si>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</si>
  <si>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</si>
  <si>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</si>
  <si>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</si>
  <si>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</si>
  <si>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</si>
  <si>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</si>
  <si>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</si>
  <si>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</si>
  <si>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</si>
  <si>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</si>
  <si>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</si>
  <si>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</si>
  <si>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</si>
  <si>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</si>
  <si>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</si>
  <si>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</si>
  <si>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</si>
  <si>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</si>
  <si>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</si>
  <si>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</si>
  <si>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</si>
  <si>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</si>
  <si>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</si>
  <si>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</si>
  <si>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</si>
  <si>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</si>
  <si>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</si>
  <si>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</si>
  <si>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</si>
  <si>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</si>
  <si>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</si>
  <si>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</si>
  <si>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</si>
  <si>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</si>
  <si>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</si>
  <si>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</si>
  <si>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</si>
  <si>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</si>
  <si>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</si>
  <si>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</si>
  <si>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</si>
  <si>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</si>
  <si>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</si>
  <si>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</si>
  <si>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</si>
  <si>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</si>
  <si>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</si>
  <si>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</si>
  <si>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</si>
  <si>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</si>
  <si>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</si>
  <si>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</si>
  <si>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</si>
  <si>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</si>
  <si>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</si>
  <si>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</si>
  <si>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</si>
  <si>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</si>
  <si>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</si>
  <si>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</si>
  <si>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</si>
  <si>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</si>
  <si>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</si>
  <si>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</si>
  <si>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</si>
  <si>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</si>
  <si>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</si>
  <si>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</si>
  <si>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</si>
  <si>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</si>
  <si>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</si>
  <si>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</si>
  <si>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</si>
  <si>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</si>
  <si>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</si>
  <si>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</si>
  <si>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</si>
  <si>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</si>
  <si>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</si>
  <si>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</si>
  <si>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</si>
  <si>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</si>
  <si>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</si>
  <si>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</si>
  <si>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</si>
  <si>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</si>
  <si>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</si>
  <si>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</si>
  <si>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</si>
  <si>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</si>
  <si>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</si>
  <si>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</si>
  <si>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</si>
  <si>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</si>
  <si>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</si>
  <si>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</si>
  <si>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</si>
  <si>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</si>
  <si>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</si>
  <si>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</si>
  <si>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</si>
  <si>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</si>
  <si>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</si>
  <si>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</si>
  <si>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</si>
  <si>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</si>
  <si>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</si>
  <si>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</si>
  <si>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</si>
  <si>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</si>
  <si>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</si>
  <si>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</si>
  <si>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</si>
  <si>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</si>
  <si>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</si>
  <si>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</si>
  <si>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</si>
  <si>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</si>
  <si>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</si>
  <si>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</si>
  <si>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</si>
  <si>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</si>
  <si>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</si>
  <si>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</si>
  <si>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</si>
  <si>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</si>
  <si>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</si>
  <si>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</si>
  <si>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</si>
  <si>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</si>
  <si>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</si>
  <si>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</si>
  <si>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</si>
  <si>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</si>
  <si>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</si>
  <si>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</si>
  <si>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</si>
  <si>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</si>
  <si>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</si>
  <si>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</si>
  <si>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</si>
  <si>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</si>
  <si>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</si>
  <si>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</si>
  <si>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</si>
  <si>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</si>
  <si>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</si>
  <si>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</si>
  <si>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</si>
  <si>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</si>
  <si>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</si>
  <si>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</si>
  <si>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</si>
  <si>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</si>
  <si>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</si>
  <si>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</si>
  <si>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</si>
  <si>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</si>
  <si>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</si>
  <si>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</si>
  <si>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</si>
  <si>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</si>
  <si>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</si>
  <si>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</si>
  <si>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</si>
  <si>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</si>
  <si>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</si>
  <si>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</si>
  <si>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</si>
  <si>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</si>
  <si>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</si>
  <si>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</si>
  <si>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</si>
  <si>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</si>
  <si>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</si>
  <si>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</si>
  <si>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</si>
  <si>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</si>
  <si>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</si>
  <si>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</si>
  <si>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</si>
  <si>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</si>
  <si>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</si>
  <si>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</si>
  <si>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</si>
  <si>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</si>
  <si>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</si>
  <si>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</si>
  <si>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</si>
  <si>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</si>
  <si>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</si>
  <si>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</si>
  <si>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</si>
  <si>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</si>
  <si>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</si>
  <si>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</si>
  <si>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</si>
  <si>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</si>
  <si>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</si>
  <si>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</si>
  <si>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</si>
  <si>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</si>
  <si>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</si>
  <si>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</si>
  <si>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</si>
  <si>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</si>
  <si>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</si>
  <si>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</si>
  <si>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</si>
  <si>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</si>
  <si>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</si>
  <si>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</si>
  <si>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</si>
  <si>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</si>
  <si>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</si>
  <si>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</si>
  <si>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</si>
  <si>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</si>
  <si>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</si>
  <si>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</si>
  <si>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</si>
  <si>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</si>
  <si>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</si>
  <si>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</si>
  <si>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</si>
  <si>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</si>
  <si>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</si>
  <si>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</si>
  <si>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</si>
  <si>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</si>
  <si>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</si>
  <si>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</si>
  <si>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</si>
  <si>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</si>
  <si>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</si>
  <si>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</si>
  <si>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</si>
  <si>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</si>
  <si>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</si>
  <si>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</si>
  <si>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</si>
  <si>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</si>
  <si>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</si>
  <si>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</si>
  <si>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</si>
  <si>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</si>
  <si>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</si>
  <si>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</si>
  <si>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</si>
  <si>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</si>
  <si>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</si>
  <si>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</si>
  <si>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</si>
  <si>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</si>
  <si>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</si>
  <si>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</si>
  <si>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</si>
  <si>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</si>
  <si>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</si>
  <si>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</si>
  <si>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</si>
  <si>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</si>
  <si>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</si>
  <si>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</si>
  <si>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</si>
  <si>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</si>
  <si>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</si>
  <si>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</si>
  <si>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</si>
  <si>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</si>
  <si>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</si>
  <si>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</si>
  <si>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</si>
  <si>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</si>
  <si>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</si>
  <si>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</si>
  <si>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</si>
  <si>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</si>
  <si>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</si>
  <si>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</si>
  <si>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</si>
  <si>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</si>
  <si>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</si>
  <si>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</si>
  <si>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</si>
  <si>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</si>
  <si>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</si>
  <si>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</si>
  <si>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</si>
  <si>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</si>
  <si>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</si>
  <si>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</si>
  <si>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</si>
  <si>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</si>
  <si>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</si>
  <si>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</si>
  <si>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</si>
  <si>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</si>
  <si>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</si>
  <si>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</si>
  <si>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</si>
  <si>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</si>
  <si>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</si>
  <si>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</si>
  <si>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</si>
  <si>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</si>
  <si>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</si>
  <si>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</si>
  <si>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</si>
  <si>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</si>
  <si>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</si>
  <si>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</si>
  <si>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</si>
  <si>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</si>
  <si>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</si>
  <si>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</si>
  <si>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</si>
  <si>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</si>
  <si>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</si>
  <si>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</si>
  <si>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</si>
  <si>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</si>
  <si>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</si>
  <si>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</si>
  <si>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</si>
  <si>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</si>
  <si>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</si>
  <si>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</si>
  <si>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</si>
  <si>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</si>
  <si>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</si>
  <si>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</si>
  <si>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</si>
  <si>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</si>
  <si>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</si>
  <si>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</si>
  <si>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</si>
  <si>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</si>
  <si>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</si>
  <si>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</si>
  <si>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</si>
  <si>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</si>
  <si>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</si>
  <si>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</si>
  <si>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</si>
  <si>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</si>
  <si>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</si>
  <si>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</si>
  <si>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</si>
  <si>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</si>
  <si>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</si>
  <si>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</si>
  <si>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</si>
  <si>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</si>
  <si>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</si>
  <si>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</si>
  <si>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</si>
  <si>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</si>
  <si>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</si>
  <si>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</si>
  <si>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</si>
  <si>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</si>
  <si>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</si>
  <si>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</si>
  <si>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</si>
  <si>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</si>
  <si>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</si>
  <si>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</si>
  <si>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</si>
  <si>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</si>
  <si>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</si>
  <si>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</si>
  <si>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</si>
  <si>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</si>
  <si>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</si>
  <si>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</si>
  <si>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</si>
  <si>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</si>
  <si>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</si>
  <si>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</si>
  <si>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</si>
  <si>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</si>
  <si>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</si>
  <si>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</si>
  <si>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</si>
  <si>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</si>
  <si>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</si>
  <si>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</si>
  <si>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</si>
  <si>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</si>
  <si>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</si>
  <si>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</si>
  <si>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</si>
  <si>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</si>
  <si>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</si>
  <si>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</si>
  <si>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</si>
  <si>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</si>
  <si>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</si>
  <si>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</si>
  <si>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</si>
  <si>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</si>
  <si>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</si>
  <si>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</si>
  <si>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</si>
  <si>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</si>
  <si>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</si>
  <si>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</si>
  <si>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</si>
  <si>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</si>
  <si>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</si>
  <si>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</si>
  <si>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</si>
  <si>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</si>
  <si>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</si>
  <si>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</si>
  <si>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</si>
  <si>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</si>
  <si>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</si>
  <si>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</si>
  <si>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</si>
  <si>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</si>
  <si>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</si>
  <si>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</si>
  <si>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</si>
  <si>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</si>
  <si>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</si>
  <si>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</si>
  <si>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</si>
  <si>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</si>
  <si>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</si>
  <si>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</si>
  <si>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</si>
  <si>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</si>
  <si>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</si>
  <si>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</si>
  <si>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</si>
  <si>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</si>
  <si>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</si>
  <si>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</si>
  <si>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</si>
  <si>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</si>
  <si>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</si>
  <si>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</si>
  <si>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</si>
  <si>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</si>
  <si>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</si>
  <si>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</si>
  <si>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</si>
  <si>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</si>
  <si>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</si>
  <si>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</si>
  <si>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</si>
  <si>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</si>
  <si>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</si>
  <si>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</si>
  <si>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</si>
  <si>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</si>
  <si>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</si>
  <si>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</si>
  <si>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</si>
  <si>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</si>
  <si>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</si>
  <si>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</si>
  <si>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</si>
  <si>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</si>
  <si>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</si>
  <si>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</si>
  <si>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</si>
  <si>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</si>
  <si>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</si>
  <si>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</si>
  <si>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</si>
  <si>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</si>
  <si>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</si>
  <si>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</si>
  <si>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</si>
  <si>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</si>
  <si>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</si>
  <si>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</si>
  <si>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</si>
  <si>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</si>
  <si>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</si>
  <si>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</si>
  <si>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</si>
  <si>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</si>
  <si>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</si>
  <si>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</si>
  <si>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</si>
  <si>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</si>
  <si>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</si>
  <si>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</si>
  <si>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</si>
  <si>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</si>
  <si>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</si>
  <si>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</si>
  <si>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</si>
  <si>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</si>
  <si>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</si>
  <si>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</si>
  <si>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</si>
  <si>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</si>
  <si>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</si>
  <si>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</si>
  <si>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</si>
  <si>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</si>
  <si>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</si>
  <si>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</si>
  <si>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</si>
  <si>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</si>
  <si>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</si>
  <si>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</si>
  <si>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</si>
  <si>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</si>
  <si>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</si>
  <si>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</si>
  <si>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</si>
  <si>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</si>
  <si>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</si>
  <si>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</si>
  <si>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</si>
  <si>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</si>
  <si>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</si>
  <si>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</si>
  <si>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</si>
  <si>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</si>
  <si>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</si>
  <si>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</si>
  <si>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</si>
  <si>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</si>
  <si>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</si>
  <si>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</si>
  <si>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</si>
  <si>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</si>
  <si>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</si>
  <si>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</si>
  <si>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</si>
  <si>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</si>
  <si>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</si>
  <si>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</si>
  <si>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</si>
  <si>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</si>
  <si>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</si>
  <si>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</si>
  <si>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</si>
  <si>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</si>
  <si>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</si>
  <si>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</si>
  <si>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</si>
  <si>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</si>
  <si>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</si>
  <si>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</si>
  <si>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</si>
  <si>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</si>
  <si>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</si>
  <si>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</si>
  <si>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</si>
  <si>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</si>
  <si>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</si>
  <si>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</si>
  <si>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</si>
  <si>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</si>
  <si>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</si>
  <si>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</si>
  <si>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</si>
  <si>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</si>
  <si>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</si>
  <si>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</si>
  <si>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</si>
  <si>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</si>
  <si>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</si>
  <si>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</si>
  <si>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</si>
  <si>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</si>
  <si>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</si>
  <si>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</si>
  <si>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</si>
  <si>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</si>
  <si>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</si>
  <si>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</si>
  <si>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</si>
  <si>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</si>
  <si>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</si>
  <si>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</si>
  <si>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</si>
  <si>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</si>
  <si>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</si>
  <si>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</si>
  <si>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</si>
  <si>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</si>
  <si>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</si>
  <si>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</si>
  <si>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</si>
  <si>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</si>
  <si>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</si>
  <si>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</si>
  <si>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</si>
  <si>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</si>
  <si>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</si>
  <si>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</si>
  <si>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</si>
  <si>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</si>
  <si>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</si>
  <si>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</si>
  <si>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</si>
  <si>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</si>
  <si>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</si>
  <si>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</si>
  <si>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</si>
  <si>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</si>
  <si>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</si>
  <si>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</si>
  <si>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</si>
  <si>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</si>
  <si>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</si>
  <si>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</si>
  <si>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</si>
  <si>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</si>
  <si>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</si>
  <si>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</si>
  <si>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</si>
  <si>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</si>
  <si>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</si>
  <si>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</si>
  <si>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</si>
  <si>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</si>
  <si>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</si>
  <si>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</si>
  <si>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</si>
  <si>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</si>
  <si>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</si>
  <si>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</si>
  <si>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</si>
  <si>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</si>
  <si>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</si>
  <si>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</si>
  <si>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</si>
  <si>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</si>
  <si>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</si>
  <si>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</si>
  <si>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</si>
  <si>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</si>
  <si>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</si>
  <si>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</si>
  <si>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</si>
  <si>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</si>
  <si>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</si>
  <si>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</si>
  <si>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</si>
  <si>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</si>
  <si>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</si>
  <si>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</si>
  <si>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</si>
  <si>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</si>
  <si>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</si>
  <si>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</si>
  <si>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</si>
  <si>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</si>
  <si>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</si>
  <si>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</si>
  <si>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</si>
  <si>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</si>
  <si>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</si>
  <si>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</si>
  <si>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</si>
  <si>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</si>
  <si>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</si>
  <si>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</si>
  <si>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</si>
  <si>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</si>
  <si>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</si>
  <si>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</si>
  <si>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</si>
  <si>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</si>
  <si>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</si>
  <si>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</si>
  <si>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</si>
  <si>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</si>
  <si>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</si>
  <si>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</si>
  <si>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</si>
  <si>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</si>
  <si>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</si>
  <si>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</si>
  <si>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</si>
  <si>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</si>
  <si>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</si>
  <si>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</si>
  <si>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</si>
  <si>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</si>
  <si>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</si>
  <si>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</si>
  <si>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</si>
  <si>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</si>
  <si>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</si>
  <si>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</si>
  <si>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</si>
  <si>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</si>
  <si>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</si>
  <si>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</si>
  <si>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</si>
  <si>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</si>
  <si>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</si>
  <si>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</si>
  <si>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</si>
  <si>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</si>
  <si>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</si>
  <si>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</si>
  <si>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</si>
  <si>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</si>
  <si>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</si>
  <si>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</si>
  <si>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</si>
  <si>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</si>
  <si>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</si>
  <si>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</si>
  <si>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</si>
  <si>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</si>
  <si>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</si>
  <si>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</si>
  <si>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</si>
  <si>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</si>
  <si>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</si>
  <si>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</si>
  <si>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</si>
  <si>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</si>
  <si>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</si>
  <si>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</si>
  <si>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</si>
  <si>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</si>
  <si>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</si>
  <si>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</si>
  <si>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</si>
  <si>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</si>
  <si>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</si>
  <si>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</si>
  <si>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</si>
  <si>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</si>
  <si>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</si>
  <si>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</si>
  <si>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</si>
  <si>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</si>
  <si>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</si>
  <si>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</si>
  <si>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</si>
  <si>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</si>
  <si>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</si>
  <si>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</si>
  <si>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</si>
  <si>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</si>
  <si>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</si>
  <si>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</si>
  <si>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</si>
  <si>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</si>
  <si>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</si>
  <si>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</si>
  <si>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</si>
  <si>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</si>
  <si>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</si>
  <si>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</si>
  <si>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</si>
  <si>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</si>
  <si>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</si>
  <si>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</si>
  <si>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</si>
  <si>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</si>
  <si>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</si>
  <si>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</si>
  <si>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</si>
  <si>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</si>
  <si>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</si>
  <si>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</si>
  <si>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</si>
  <si>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</si>
  <si>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</si>
  <si>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</si>
  <si>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</si>
  <si>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</si>
  <si>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</si>
  <si>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</si>
  <si>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</si>
  <si>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</si>
  <si>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</si>
  <si>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</si>
  <si>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</si>
  <si>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</si>
  <si>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</si>
  <si>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</si>
  <si>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</si>
  <si>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</si>
  <si>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</si>
  <si>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</si>
  <si>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</si>
  <si>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</si>
  <si>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</si>
  <si>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</si>
  <si>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</si>
  <si>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</si>
  <si>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</si>
  <si>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</si>
  <si>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</si>
  <si>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</si>
  <si>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</si>
  <si>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</si>
  <si>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</si>
  <si>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</si>
  <si>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</si>
  <si>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</si>
  <si>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</si>
  <si>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</si>
  <si>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</si>
  <si>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</si>
  <si>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</si>
  <si>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</si>
  <si>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</si>
  <si>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</si>
  <si>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</si>
  <si>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</si>
  <si>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</si>
  <si>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</si>
  <si>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</si>
  <si>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</si>
  <si>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</si>
  <si>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</si>
  <si>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</si>
  <si>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</si>
  <si>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</si>
  <si>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</si>
  <si>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</si>
  <si>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</si>
  <si>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</si>
  <si>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</si>
  <si>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</si>
  <si>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</si>
  <si>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</si>
  <si>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</si>
  <si>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</si>
  <si>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</si>
  <si>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</si>
  <si>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</si>
  <si>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</si>
  <si>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</si>
  <si>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</si>
  <si>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</si>
  <si>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</si>
  <si>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</si>
  <si>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</si>
  <si>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</si>
  <si>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</si>
  <si>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</si>
  <si>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</si>
  <si>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</si>
  <si>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</si>
  <si>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</si>
  <si>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</si>
  <si>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</si>
  <si>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</si>
  <si>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</si>
  <si>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</si>
  <si>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</si>
  <si>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</si>
  <si>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</si>
  <si>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</si>
  <si>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</si>
  <si>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</si>
  <si>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</si>
  <si>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</si>
  <si>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</si>
  <si>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</si>
  <si>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</si>
  <si>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</si>
  <si>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</si>
  <si>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</si>
  <si>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</si>
  <si>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</si>
  <si>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</si>
  <si>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</si>
  <si>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</si>
  <si>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</si>
  <si>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</si>
  <si>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</si>
  <si>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</si>
  <si>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</si>
  <si>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</si>
  <si>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</si>
  <si>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</si>
  <si>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</si>
  <si>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</si>
  <si>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</si>
  <si>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</si>
  <si>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</si>
  <si>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</si>
  <si>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</si>
  <si>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</si>
  <si>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</si>
  <si>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</si>
  <si>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</si>
  <si>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</si>
  <si>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</si>
  <si>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</si>
  <si>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</si>
  <si>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</si>
  <si>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</si>
  <si>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</si>
  <si>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</si>
  <si>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</si>
  <si>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</si>
  <si>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</si>
  <si>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</si>
  <si>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</si>
  <si>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</si>
  <si>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</si>
  <si>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</si>
  <si>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</si>
  <si>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</si>
  <si>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</si>
  <si>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</si>
  <si>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</si>
  <si>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</si>
  <si>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</si>
  <si>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</si>
  <si>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</si>
  <si>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</si>
  <si>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</si>
  <si>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</si>
  <si>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</si>
  <si>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</si>
  <si>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</si>
  <si>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</si>
  <si>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</si>
  <si>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</si>
  <si>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</si>
  <si>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</si>
  <si>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</si>
  <si>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</si>
  <si>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</si>
  <si>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</si>
  <si>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</si>
  <si>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</si>
  <si>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</si>
  <si>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</si>
  <si>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</si>
  <si>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</si>
  <si>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</si>
  <si>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</si>
  <si>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</si>
  <si>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</si>
  <si>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</si>
  <si>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</si>
  <si>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</si>
  <si>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</si>
  <si>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</si>
  <si>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</si>
  <si>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</si>
  <si>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</si>
  <si>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</si>
  <si>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</si>
  <si>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</si>
  <si>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</si>
  <si>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</si>
  <si>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</si>
  <si>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</si>
  <si>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</si>
  <si>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</si>
  <si>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</si>
  <si>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</si>
  <si>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</si>
  <si>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</si>
  <si>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</si>
  <si>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</si>
  <si>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</si>
  <si>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</si>
  <si>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</si>
  <si>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</si>
  <si>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</si>
  <si>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</si>
  <si>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</si>
  <si>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</si>
  <si>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</si>
  <si>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</si>
  <si>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</si>
  <si>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</si>
  <si>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</si>
  <si>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</si>
  <si>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</si>
  <si>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</si>
  <si>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</si>
  <si>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</si>
  <si>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</si>
  <si>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</si>
  <si>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</si>
  <si>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</si>
  <si>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</si>
  <si>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</si>
  <si>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</si>
  <si>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</si>
  <si>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</si>
  <si>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</si>
  <si>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</si>
  <si>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</si>
  <si>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</si>
  <si>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</si>
  <si>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</si>
  <si>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</si>
  <si>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</si>
  <si>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</si>
  <si>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</si>
  <si>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</si>
  <si>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</si>
  <si>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</si>
  <si>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</si>
  <si>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</si>
  <si>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</si>
  <si>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</si>
  <si>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</si>
  <si>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</si>
  <si>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</si>
  <si>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</si>
  <si>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</si>
  <si>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</si>
  <si>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</si>
  <si>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</si>
  <si>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</si>
  <si>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</si>
  <si>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</si>
  <si>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</si>
  <si>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</si>
  <si>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</si>
  <si>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</si>
  <si>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</si>
  <si>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</si>
  <si>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</si>
  <si>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</si>
  <si>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</si>
  <si>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</si>
  <si>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</si>
  <si>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</si>
  <si>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</si>
  <si>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</si>
  <si>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</si>
  <si>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</si>
  <si>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</si>
  <si>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</si>
  <si>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</si>
  <si>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</si>
  <si>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</si>
  <si>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</si>
  <si>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</si>
  <si>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</si>
  <si>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</si>
  <si>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</si>
  <si>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</si>
  <si>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</si>
  <si>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</si>
  <si>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</si>
  <si>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</si>
  <si>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</si>
  <si>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</si>
  <si>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</si>
  <si>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</si>
  <si>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</si>
  <si>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</si>
  <si>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</si>
  <si>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</si>
  <si>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</si>
  <si>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</si>
  <si>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</si>
  <si>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</si>
  <si>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</si>
  <si>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</si>
  <si>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</si>
  <si>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</si>
  <si>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</si>
  <si>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</si>
  <si>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</si>
  <si>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</si>
  <si>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</si>
  <si>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</si>
  <si>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</si>
  <si>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</si>
  <si>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</si>
  <si>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</si>
  <si>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</si>
  <si>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</si>
  <si>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</si>
  <si>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</si>
  <si>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</si>
  <si>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</si>
  <si>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</si>
  <si>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</si>
  <si>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</si>
  <si>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</si>
  <si>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</si>
  <si>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</si>
  <si>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</si>
  <si>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</si>
  <si>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</si>
  <si>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</si>
  <si>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</si>
  <si>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</si>
  <si>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</si>
  <si>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</si>
  <si>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</si>
  <si>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</si>
  <si>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</si>
  <si>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</si>
  <si>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</si>
  <si>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</si>
  <si>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</si>
  <si>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</si>
  <si>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</si>
  <si>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</si>
  <si>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</si>
  <si>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</si>
  <si>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</si>
  <si>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</si>
  <si>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</si>
  <si>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</si>
  <si>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</si>
  <si>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</si>
  <si>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</si>
  <si>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</si>
  <si>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</si>
  <si>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</si>
  <si>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</si>
  <si>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</si>
  <si>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</si>
  <si>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</si>
  <si>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</si>
  <si>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</si>
  <si>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</si>
  <si>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</si>
  <si>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</si>
  <si>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</si>
  <si>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</si>
  <si>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</si>
  <si>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</si>
  <si>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</si>
  <si>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</si>
  <si>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</si>
  <si>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</si>
  <si>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</si>
  <si>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</si>
  <si>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</si>
  <si>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</si>
  <si>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</si>
  <si>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</si>
  <si>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</si>
  <si>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</si>
  <si>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</si>
  <si>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</si>
  <si>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</si>
  <si>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</si>
  <si>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</si>
  <si>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</si>
  <si>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</si>
  <si>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</si>
  <si>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</si>
  <si>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</si>
  <si>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</si>
  <si>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</si>
  <si>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</si>
  <si>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</si>
  <si>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</si>
  <si>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</si>
  <si>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</si>
  <si>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</si>
  <si>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</si>
  <si>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</si>
  <si>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</si>
  <si>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</si>
  <si>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</si>
  <si>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</si>
  <si>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</si>
  <si>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</si>
  <si>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</si>
  <si>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</si>
  <si>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</si>
  <si>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</si>
  <si>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</si>
  <si>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</si>
  <si>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</si>
  <si>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</si>
  <si>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</si>
  <si>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</si>
  <si>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</si>
  <si>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</si>
  <si>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</si>
  <si>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</si>
  <si>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</si>
  <si>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</si>
  <si>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</si>
  <si>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</si>
  <si>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</si>
  <si>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</si>
  <si>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</si>
  <si>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</si>
  <si>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</si>
  <si>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</si>
  <si>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</si>
  <si>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</si>
  <si>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</si>
  <si>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</si>
  <si>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</si>
  <si>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</si>
  <si>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</si>
  <si>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</si>
  <si>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</si>
  <si>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</si>
  <si>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</si>
  <si>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</si>
  <si>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</si>
  <si>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</si>
  <si>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</si>
  <si>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</si>
  <si>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</si>
  <si>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</si>
  <si>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</si>
  <si>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</si>
  <si>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</si>
  <si>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</si>
  <si>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</si>
  <si>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</si>
  <si>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</si>
  <si>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</si>
  <si>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</si>
  <si>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</si>
  <si>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</si>
  <si>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</si>
  <si>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</si>
  <si>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</si>
  <si>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</si>
  <si>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</si>
  <si>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</si>
  <si>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</si>
  <si>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</si>
  <si>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</si>
  <si>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</si>
  <si>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</si>
  <si>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</si>
  <si>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</si>
  <si>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</si>
  <si>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</si>
  <si>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</si>
  <si>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</si>
  <si>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</si>
  <si>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</si>
  <si>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</si>
  <si>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</si>
  <si>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</si>
  <si>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</si>
  <si>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</si>
  <si>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</si>
  <si>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</si>
  <si>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</si>
  <si>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</si>
  <si>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</si>
  <si>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</si>
  <si>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</si>
  <si>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</si>
  <si>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</si>
  <si>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</si>
  <si>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</si>
  <si>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</si>
  <si>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</si>
  <si>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</si>
  <si>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</si>
  <si>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</si>
  <si>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</si>
  <si>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</si>
  <si>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</si>
  <si>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</si>
  <si>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</si>
  <si>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</si>
  <si>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</si>
  <si>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</si>
  <si>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</si>
  <si>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</si>
  <si>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</si>
  <si>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</si>
  <si>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</si>
  <si>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</si>
  <si>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</si>
  <si>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</si>
  <si>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</si>
  <si>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</si>
  <si>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</si>
  <si>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</si>
  <si>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</si>
  <si>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</si>
  <si>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</si>
  <si>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</si>
  <si>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</si>
  <si>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</si>
  <si>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</si>
  <si>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</si>
  <si>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</si>
  <si>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</si>
  <si>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</si>
  <si>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</si>
  <si>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</si>
  <si>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</si>
  <si>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</si>
  <si>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</si>
  <si>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</si>
  <si>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</si>
  <si>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</si>
  <si>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</si>
  <si>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</si>
  <si>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</si>
  <si>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</si>
  <si>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</si>
  <si>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</si>
  <si>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</si>
  <si>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</si>
  <si>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</si>
  <si>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</si>
  <si>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</si>
  <si>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</si>
  <si>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</si>
  <si>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</si>
  <si>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</si>
  <si>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</si>
  <si>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</si>
  <si>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</si>
  <si>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</si>
  <si>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</si>
  <si>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</si>
  <si>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</si>
  <si>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</si>
  <si>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</si>
  <si>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</si>
  <si>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</si>
  <si>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</si>
  <si>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</si>
  <si>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</si>
  <si>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</si>
  <si>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</si>
  <si>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</si>
  <si>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</si>
  <si>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</si>
  <si>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</si>
  <si>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</si>
  <si>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</si>
  <si>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</si>
  <si>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</si>
  <si>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</si>
  <si>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</si>
  <si>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</si>
  <si>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</si>
  <si>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</si>
  <si>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</si>
  <si>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</si>
  <si>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</si>
  <si>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</si>
  <si>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</si>
  <si>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</si>
  <si>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</si>
  <si>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</si>
  <si>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</si>
  <si>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</si>
  <si>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</si>
  <si>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</si>
  <si>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</si>
  <si>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</si>
  <si>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</si>
  <si>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</si>
  <si>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</si>
  <si>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</si>
  <si>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</si>
  <si>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</si>
  <si>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</si>
  <si>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</si>
  <si>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</si>
  <si>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</si>
  <si>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</si>
  <si>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</si>
  <si>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</si>
  <si>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</si>
  <si>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</si>
  <si>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</si>
  <si>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</si>
  <si>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</si>
  <si>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</si>
  <si>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</si>
  <si>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</si>
  <si>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</si>
  <si>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</si>
  <si>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</si>
  <si>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</si>
  <si>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</si>
  <si>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</si>
  <si>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</si>
  <si>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</si>
  <si>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</si>
  <si>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</si>
  <si>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</si>
  <si>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</si>
  <si>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</si>
  <si>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</si>
  <si>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</si>
  <si>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</si>
  <si>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</si>
  <si>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</si>
  <si>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</si>
  <si>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</si>
  <si>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</si>
  <si>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</si>
  <si>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</si>
  <si>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</si>
  <si>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</si>
  <si>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</si>
  <si>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</si>
  <si>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</si>
  <si>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</si>
  <si>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</si>
  <si>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</si>
  <si>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</si>
  <si>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</si>
  <si>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</si>
  <si>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</si>
  <si>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</si>
  <si>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</si>
  <si>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</si>
  <si>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</si>
  <si>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</si>
  <si>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</si>
  <si>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</si>
  <si>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</si>
  <si>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</si>
  <si>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</si>
  <si>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</si>
  <si>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</si>
  <si>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</si>
  <si>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</si>
  <si>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</si>
  <si>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</si>
  <si>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</si>
  <si>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</si>
  <si>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</si>
  <si>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</si>
  <si>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</si>
  <si>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</si>
  <si>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</si>
  <si>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</si>
  <si>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</si>
  <si>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</si>
  <si>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</si>
  <si>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</si>
  <si>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</si>
  <si>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</si>
  <si>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</si>
  <si>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</si>
  <si>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</si>
  <si>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</si>
  <si>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</si>
  <si>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</si>
  <si>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</si>
  <si>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</si>
  <si>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</si>
  <si>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</si>
  <si>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</si>
  <si>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</si>
  <si>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</si>
  <si>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</si>
  <si>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</si>
  <si>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</si>
  <si>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</si>
  <si>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</si>
  <si>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</si>
  <si>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</si>
  <si>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</si>
  <si>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</si>
  <si>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</si>
  <si>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</si>
  <si>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</si>
  <si>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</si>
  <si>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</si>
  <si>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</si>
  <si>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</si>
  <si>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</si>
  <si>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</si>
  <si>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</si>
  <si>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</si>
  <si>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</si>
  <si>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</si>
  <si>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</si>
  <si>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</si>
  <si>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</si>
  <si>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</si>
  <si>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</si>
  <si>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</si>
  <si>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</si>
  <si>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</si>
  <si>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</si>
  <si>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</si>
  <si>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</si>
  <si>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</si>
  <si>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</si>
  <si>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</si>
  <si>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</si>
  <si>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</si>
  <si>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</si>
  <si>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</si>
  <si>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</si>
  <si>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</si>
  <si>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</si>
  <si>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</si>
  <si>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</si>
  <si>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</si>
  <si>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</si>
  <si>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</si>
  <si>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</si>
  <si>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</si>
  <si>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</si>
  <si>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</si>
  <si>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</si>
  <si>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</si>
  <si>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</si>
  <si>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</si>
  <si>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</si>
  <si>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</si>
  <si>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</si>
  <si>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</si>
  <si>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</si>
  <si>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</si>
  <si>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</si>
  <si>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</si>
  <si>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</si>
  <si>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</si>
  <si>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</si>
  <si>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</si>
  <si>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</si>
  <si>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</si>
  <si>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</si>
  <si>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</si>
  <si>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</si>
  <si>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</si>
  <si>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</si>
  <si>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</si>
  <si>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</si>
  <si>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</si>
  <si>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</si>
  <si>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</si>
  <si>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</si>
  <si>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</si>
  <si>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</si>
  <si>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</si>
  <si>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</si>
  <si>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</si>
  <si>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</si>
  <si>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</si>
  <si>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</si>
  <si>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</si>
  <si>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</si>
  <si>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</si>
  <si>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</si>
  <si>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</si>
  <si>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</si>
  <si>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</si>
  <si>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</si>
  <si>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</si>
  <si>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</si>
  <si>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</si>
  <si>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</si>
  <si>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</si>
  <si>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</si>
  <si>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</si>
  <si>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</si>
  <si>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</si>
  <si>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</si>
  <si>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</si>
  <si>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</si>
  <si>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</si>
  <si>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</si>
  <si>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</si>
  <si>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</si>
  <si>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</si>
  <si>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</si>
  <si>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</si>
  <si>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</si>
  <si>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</si>
  <si>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</si>
  <si>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</si>
  <si>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</si>
  <si>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</si>
  <si>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</si>
  <si>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</si>
  <si>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</si>
  <si>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</si>
  <si>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</si>
  <si>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</si>
  <si>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</si>
  <si>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</si>
  <si>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</si>
  <si>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</si>
  <si>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</si>
  <si>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</si>
  <si>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</si>
  <si>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</si>
  <si>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</si>
  <si>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</si>
  <si>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</si>
  <si>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</si>
  <si>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</si>
  <si>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</si>
  <si>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</si>
  <si>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</si>
  <si>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</si>
  <si>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</si>
  <si>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</si>
  <si>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</si>
  <si>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</si>
  <si>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</si>
  <si>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</si>
  <si>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</si>
  <si>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</si>
  <si>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</si>
  <si>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</si>
  <si>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</si>
  <si>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</si>
  <si>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</si>
  <si>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</si>
  <si>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</si>
  <si>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</si>
  <si>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</si>
  <si>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</si>
  <si>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</si>
  <si>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</si>
  <si>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</si>
  <si>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</si>
  <si>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</si>
  <si>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</si>
  <si>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</si>
  <si>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</si>
  <si>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</si>
  <si>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</si>
  <si>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</si>
  <si>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</si>
  <si>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</si>
  <si>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</si>
  <si>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</si>
  <si>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</si>
  <si>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</si>
  <si>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</si>
  <si>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</si>
  <si>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</si>
  <si>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</si>
  <si>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</si>
  <si>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</si>
  <si>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</si>
  <si>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</si>
  <si>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</si>
  <si>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</si>
  <si>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</si>
  <si>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</si>
  <si>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</si>
  <si>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</si>
  <si>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</si>
  <si>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</si>
  <si>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</si>
  <si>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</si>
  <si>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</si>
  <si>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</si>
  <si>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</si>
  <si>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</si>
  <si>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</si>
  <si>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</si>
  <si>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</si>
  <si>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</si>
  <si>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</si>
  <si>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</si>
  <si>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</si>
  <si>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</si>
  <si>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</si>
  <si>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</si>
  <si>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</si>
  <si>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</si>
  <si>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</si>
  <si>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</si>
  <si>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</si>
  <si>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</si>
  <si>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</si>
  <si>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</si>
  <si>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</si>
  <si>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</si>
  <si>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</si>
  <si>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</si>
  <si>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</si>
  <si>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</si>
  <si>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</si>
  <si>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</si>
  <si>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</si>
  <si>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</si>
  <si>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</si>
  <si>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</si>
  <si>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</si>
  <si>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</si>
  <si>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</si>
  <si>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</si>
  <si>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</si>
  <si>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</si>
  <si>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</si>
  <si>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</si>
  <si>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</si>
  <si>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</si>
  <si>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</si>
  <si>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</si>
  <si>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</si>
  <si>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</si>
  <si>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</si>
  <si>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</si>
  <si>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</si>
  <si>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</si>
  <si>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</si>
  <si>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</si>
  <si>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</si>
  <si>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</si>
  <si>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</si>
  <si>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</si>
  <si>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</si>
  <si>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</si>
  <si>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</si>
  <si>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</si>
  <si>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</si>
  <si>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</si>
  <si>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</si>
  <si>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</si>
  <si>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</si>
  <si>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</si>
  <si>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</si>
  <si>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</si>
  <si>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</si>
  <si>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</si>
  <si>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</si>
  <si>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</si>
  <si>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</si>
  <si>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</si>
  <si>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</si>
  <si>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</si>
  <si>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</si>
  <si>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</si>
  <si>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</si>
  <si>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</si>
  <si>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</si>
  <si>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</si>
  <si>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</si>
  <si>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</si>
  <si>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</si>
  <si>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</si>
  <si>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</si>
  <si>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</si>
  <si>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</si>
  <si>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</si>
  <si>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</si>
  <si>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</si>
  <si>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</si>
  <si>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</si>
  <si>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</si>
  <si>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</si>
  <si>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</si>
  <si>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</si>
  <si>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</si>
  <si>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</si>
  <si>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</si>
  <si>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</si>
  <si>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</si>
  <si>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</si>
  <si>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</si>
  <si>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</si>
  <si>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</si>
  <si>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</si>
  <si>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</si>
  <si>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</si>
  <si>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</si>
  <si>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</si>
  <si>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</si>
  <si>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</si>
  <si>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</si>
  <si>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</si>
  <si>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</si>
  <si>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</si>
  <si>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</si>
  <si>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</si>
  <si>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</si>
  <si>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</si>
  <si>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</si>
  <si>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</si>
  <si>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</si>
  <si>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</si>
  <si>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</si>
  <si>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</si>
  <si>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</si>
  <si>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</si>
  <si>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</si>
  <si>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</si>
  <si>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</si>
  <si>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</si>
  <si>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</si>
  <si>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</si>
  <si>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</si>
  <si>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</si>
  <si>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</si>
  <si>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</si>
  <si>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</si>
  <si>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</si>
  <si>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</si>
  <si>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</si>
  <si>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</si>
  <si>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</si>
  <si>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</si>
  <si>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</si>
  <si>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</si>
  <si>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</si>
  <si>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</si>
  <si>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</si>
  <si>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</si>
  <si>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</si>
  <si>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</si>
  <si>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</si>
  <si>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</si>
  <si>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</si>
  <si>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</si>
  <si>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</si>
  <si>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</si>
  <si>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</si>
  <si>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</si>
  <si>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</si>
  <si>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</si>
  <si>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</si>
  <si>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</si>
  <si>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</si>
  <si>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</si>
  <si>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</si>
  <si>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</si>
  <si>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</si>
  <si>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</si>
  <si>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</si>
  <si>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</si>
  <si>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</si>
  <si>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</si>
  <si>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</si>
  <si>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</si>
  <si>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</si>
  <si>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</si>
  <si>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</si>
  <si>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</si>
  <si>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</si>
  <si>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</si>
  <si>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</si>
  <si>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</si>
  <si>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</si>
  <si>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</si>
  <si>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</si>
  <si>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</si>
  <si>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</si>
  <si>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</si>
  <si>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</si>
  <si>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</si>
  <si>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</si>
  <si>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</si>
  <si>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</si>
  <si>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</si>
  <si>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</si>
  <si>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</si>
  <si>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</si>
  <si>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</si>
  <si>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</si>
  <si>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</si>
  <si>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</si>
  <si>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</si>
  <si>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</si>
  <si>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</si>
  <si>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</si>
  <si>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</si>
  <si>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</si>
  <si>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</si>
  <si>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</si>
  <si>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</si>
  <si>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</si>
  <si>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</si>
  <si>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</si>
  <si>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</si>
  <si>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</si>
  <si>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</si>
  <si>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</si>
  <si>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</si>
  <si>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</si>
  <si>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</si>
  <si>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</si>
  <si>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</si>
  <si>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</si>
  <si>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</si>
  <si>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</si>
  <si>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</si>
  <si>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</si>
  <si>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</si>
  <si>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</si>
  <si>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</si>
  <si>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</si>
  <si>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</si>
  <si>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</si>
  <si>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</si>
  <si>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</si>
  <si>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</si>
  <si>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</si>
  <si>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</si>
  <si>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</si>
  <si>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</si>
  <si>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</si>
  <si>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</si>
  <si>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</si>
  <si>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</si>
  <si>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</si>
  <si>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</si>
  <si>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</si>
  <si>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</si>
  <si>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</si>
  <si>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</si>
  <si>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</si>
  <si>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</si>
  <si>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</si>
  <si>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</si>
  <si>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</si>
  <si>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</si>
  <si>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</si>
  <si>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</si>
  <si>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</si>
  <si>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</si>
  <si>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</si>
  <si>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</si>
  <si>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</si>
  <si>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</si>
  <si>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</si>
  <si>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</si>
  <si>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</si>
  <si>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</si>
  <si>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</si>
  <si>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</si>
  <si>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</si>
  <si>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</si>
  <si>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</si>
  <si>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</si>
  <si>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</si>
  <si>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</si>
  <si>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</si>
  <si>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</si>
  <si>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</si>
  <si>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</si>
  <si>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</si>
  <si>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</si>
  <si>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</si>
  <si>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</si>
  <si>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</si>
  <si>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</si>
  <si>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</si>
  <si>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</si>
  <si>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</si>
  <si>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</si>
  <si>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</si>
  <si>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</si>
  <si>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</si>
  <si>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</si>
  <si>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</si>
  <si>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</si>
  <si>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</si>
  <si>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</si>
  <si>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</si>
  <si>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</si>
  <si>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</si>
  <si>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</si>
  <si>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</si>
  <si>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</si>
  <si>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</si>
  <si>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</si>
  <si>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</si>
  <si>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</si>
  <si>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</si>
  <si>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</si>
  <si>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</si>
  <si>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</si>
  <si>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</si>
  <si>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</si>
  <si>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</si>
  <si>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</si>
  <si>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</si>
  <si>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</si>
  <si>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</si>
  <si>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</si>
  <si>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</si>
  <si>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</si>
  <si>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</si>
  <si>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</si>
  <si>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</si>
  <si>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</si>
  <si>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</si>
  <si>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</si>
  <si>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</si>
  <si>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</si>
  <si>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</si>
  <si>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</si>
  <si>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</si>
  <si>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</si>
  <si>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</si>
  <si>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</si>
  <si>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</si>
  <si>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</si>
  <si>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</si>
  <si>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</si>
  <si>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</si>
  <si>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</si>
  <si>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</si>
  <si>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</si>
  <si>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</si>
  <si>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</si>
  <si>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</si>
  <si>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</si>
  <si>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</si>
  <si>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</si>
  <si>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</si>
  <si>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</si>
  <si>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</si>
  <si>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</si>
  <si>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</si>
  <si>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</si>
  <si>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</si>
  <si>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</si>
  <si>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</si>
  <si>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</si>
  <si>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</si>
  <si>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</si>
  <si>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</si>
  <si>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</si>
  <si>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</si>
  <si>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</si>
  <si>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</si>
  <si>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</si>
  <si>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</si>
  <si>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</si>
  <si>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</si>
  <si>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</si>
  <si>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</si>
  <si>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</si>
  <si>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</si>
  <si>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</si>
  <si>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</si>
  <si>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</si>
  <si>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</si>
  <si>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</si>
  <si>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</si>
  <si>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</si>
  <si>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</si>
  <si>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</si>
  <si>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</si>
  <si>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</si>
  <si>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</si>
  <si>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</si>
  <si>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</si>
  <si>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</si>
  <si>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</si>
  <si>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</si>
  <si>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</si>
  <si>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</si>
  <si>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</si>
  <si>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</si>
  <si>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</si>
  <si>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</si>
  <si>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</si>
  <si>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</si>
  <si>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</si>
  <si>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</si>
  <si>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</si>
  <si>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</si>
  <si>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</si>
  <si>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</si>
  <si>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</si>
  <si>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</si>
  <si>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</si>
  <si>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</si>
  <si>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</si>
  <si>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</si>
  <si>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</si>
  <si>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</si>
  <si>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</si>
  <si>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</si>
  <si>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</si>
  <si>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</si>
  <si>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</si>
  <si>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</si>
  <si>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</si>
  <si>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</si>
  <si>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</si>
  <si>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</si>
  <si>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</si>
  <si>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</si>
  <si>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</si>
  <si>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</si>
  <si>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</si>
  <si>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</si>
  <si>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</si>
  <si>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</si>
  <si>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</si>
  <si>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</si>
  <si>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</si>
  <si>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</si>
  <si>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</si>
  <si>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</si>
  <si>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</si>
  <si>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</si>
  <si>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</si>
  <si>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</si>
  <si>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</si>
  <si>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</si>
  <si>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</si>
  <si>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</si>
  <si>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</si>
  <si>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</si>
  <si>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</si>
  <si>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</si>
  <si>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</si>
  <si>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</si>
  <si>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</si>
  <si>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</si>
  <si>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</si>
  <si>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</si>
  <si>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</si>
  <si>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</si>
  <si>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</si>
  <si>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</si>
  <si>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</si>
  <si>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</si>
  <si>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</si>
  <si>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</si>
  <si>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</si>
  <si>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</si>
  <si>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</si>
  <si>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</si>
  <si>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</si>
  <si>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</si>
  <si>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</si>
  <si>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</si>
  <si>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</si>
  <si>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</si>
  <si>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</si>
  <si>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</si>
  <si>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</si>
  <si>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</si>
  <si>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</si>
  <si>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</si>
  <si>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</si>
  <si>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</si>
  <si>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</si>
  <si>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</si>
  <si>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</si>
  <si>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</si>
  <si>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</si>
  <si>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</si>
  <si>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</si>
  <si>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</si>
  <si>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</si>
  <si>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</si>
  <si>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</si>
  <si>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</si>
  <si>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</si>
  <si>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</si>
  <si>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</si>
  <si>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</si>
  <si>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</si>
  <si>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</si>
  <si>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</si>
  <si>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</si>
  <si>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</si>
  <si>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</si>
  <si>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</si>
  <si>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</si>
  <si>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</si>
  <si>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</si>
  <si>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</si>
  <si>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</si>
  <si>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</si>
  <si>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</si>
  <si>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</si>
  <si>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</si>
  <si>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</si>
  <si>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</si>
  <si>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</si>
  <si>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</si>
  <si>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</si>
  <si>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</si>
  <si>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</si>
  <si>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</si>
  <si>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</si>
  <si>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</si>
  <si>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</si>
  <si>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</si>
  <si>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</si>
  <si>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</si>
  <si>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</si>
  <si>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</si>
  <si>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</si>
  <si>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</si>
  <si>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</si>
  <si>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</si>
  <si>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</si>
  <si>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</si>
  <si>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</si>
  <si>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</si>
  <si>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</si>
  <si>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</si>
  <si>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</si>
  <si>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</si>
  <si>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</si>
  <si>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</si>
  <si>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</si>
  <si>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</si>
  <si>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</si>
  <si>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</si>
  <si>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</si>
  <si>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</si>
  <si>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</si>
  <si>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</si>
  <si>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</si>
  <si>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</si>
  <si>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</si>
  <si>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</si>
  <si>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</si>
  <si>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</si>
  <si>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</si>
  <si>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</si>
  <si>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</si>
  <si>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</si>
  <si>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</si>
  <si>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</si>
  <si>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</si>
  <si>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</si>
  <si>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</si>
  <si>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</si>
  <si>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</si>
  <si>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</si>
  <si>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</si>
  <si>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</si>
  <si>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</si>
  <si>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</si>
  <si>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</si>
  <si>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</si>
  <si>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</si>
  <si>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</si>
  <si>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</si>
  <si>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</si>
  <si>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</si>
  <si>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</si>
  <si>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</si>
  <si>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</si>
  <si>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</si>
  <si>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</si>
  <si>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</si>
  <si>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</si>
  <si>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</si>
  <si>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</si>
  <si>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</si>
  <si>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</si>
  <si>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</si>
  <si>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</si>
  <si>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</si>
  <si>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</si>
  <si>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</si>
  <si>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</si>
  <si>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</si>
  <si>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</si>
  <si>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</si>
  <si>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</si>
  <si>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</si>
  <si>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</si>
  <si>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</si>
  <si>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</si>
  <si>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</si>
  <si>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</si>
  <si>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</si>
  <si>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</si>
  <si>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</si>
  <si>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</si>
  <si>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</si>
  <si>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</si>
  <si>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</si>
  <si>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</si>
  <si>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</si>
  <si>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</si>
  <si>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</si>
  <si>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</si>
  <si>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</si>
  <si>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</si>
  <si>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</si>
  <si>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</si>
  <si>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</si>
  <si>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</si>
  <si>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</si>
  <si>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</si>
  <si>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</si>
  <si>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</si>
  <si>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</si>
  <si>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</si>
  <si>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</si>
  <si>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</si>
  <si>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</si>
  <si>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</si>
  <si>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</si>
  <si>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</si>
  <si>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</si>
  <si>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</si>
  <si>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</si>
  <si>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</si>
  <si>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</si>
  <si>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</si>
  <si>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</si>
  <si>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</si>
  <si>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</si>
  <si>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</si>
  <si>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</si>
  <si>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</si>
  <si>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</si>
  <si>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</si>
  <si>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</si>
  <si>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</si>
  <si>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</si>
  <si>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</si>
  <si>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</si>
  <si>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</si>
  <si>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</si>
  <si>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</si>
  <si>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</si>
  <si>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</si>
  <si>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</si>
  <si>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</si>
  <si>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</si>
  <si>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</si>
  <si>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</si>
  <si>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</si>
  <si>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</si>
  <si>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</si>
  <si>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</si>
  <si>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</si>
  <si>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</si>
  <si>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</si>
  <si>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</si>
  <si>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</si>
  <si>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</si>
  <si>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</si>
  <si>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</si>
  <si>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</si>
  <si>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</si>
  <si>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</si>
  <si>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</si>
  <si>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</si>
  <si>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</si>
  <si>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</si>
  <si>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</si>
  <si>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</si>
  <si>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</si>
  <si>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</si>
  <si>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</si>
  <si>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</si>
  <si>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</si>
  <si>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</si>
  <si>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</si>
  <si>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</si>
  <si>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</si>
  <si>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</si>
  <si>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</si>
  <si>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</si>
  <si>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</si>
  <si>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</si>
  <si>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</si>
  <si>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</si>
  <si>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</si>
  <si>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</si>
  <si>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</si>
  <si>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</si>
  <si>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</si>
  <si>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</si>
  <si>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</si>
  <si>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</si>
  <si>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</si>
  <si>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</si>
  <si>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</si>
  <si>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</si>
  <si>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</si>
  <si>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</si>
  <si>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</si>
  <si>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</si>
  <si>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</si>
  <si>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</si>
  <si>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</si>
  <si>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</si>
  <si>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</si>
  <si>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</si>
  <si>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</si>
  <si>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</si>
  <si>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</si>
  <si>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</si>
  <si>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</si>
  <si>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</si>
  <si>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</si>
  <si>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</si>
  <si>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</si>
  <si>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</si>
  <si>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</si>
  <si>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</si>
  <si>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</si>
  <si>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</si>
  <si>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</si>
  <si>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</si>
  <si>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</si>
  <si>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</si>
  <si>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</si>
  <si>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</si>
  <si>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</si>
  <si>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</si>
  <si>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</si>
  <si>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</si>
  <si>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</si>
  <si>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</si>
  <si>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</si>
  <si>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</si>
  <si>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</si>
  <si>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</si>
  <si>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</si>
  <si>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</si>
  <si>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</si>
  <si>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</si>
  <si>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</si>
  <si>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</si>
  <si>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</si>
  <si>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</si>
  <si>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</si>
  <si>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</si>
  <si>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</si>
  <si>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</si>
  <si>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</si>
  <si>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</si>
  <si>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</si>
  <si>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</si>
  <si>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</si>
  <si>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</si>
  <si>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</si>
  <si>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</si>
  <si>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</si>
  <si>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</si>
  <si>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</si>
  <si>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</si>
  <si>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</si>
  <si>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</si>
  <si>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</si>
  <si>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</si>
  <si>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</si>
  <si>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</si>
  <si>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</si>
  <si>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</si>
  <si>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</si>
  <si>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</si>
  <si>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</si>
  <si>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</si>
  <si>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</si>
  <si>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</si>
  <si>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</si>
  <si>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</si>
  <si>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</si>
  <si>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</si>
  <si>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</si>
  <si>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</si>
  <si>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</si>
  <si>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</si>
  <si>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</si>
  <si>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</si>
  <si>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</si>
  <si>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</si>
  <si>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</si>
  <si>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</si>
  <si>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</si>
  <si>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</si>
  <si>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</si>
  <si>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</si>
  <si>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</si>
  <si>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</si>
  <si>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</si>
  <si>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</si>
  <si>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</si>
  <si>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</si>
  <si>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</si>
  <si>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</si>
  <si>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</si>
  <si>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</si>
  <si>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</si>
  <si>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</si>
  <si>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</si>
  <si>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</si>
  <si>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</si>
  <si>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</si>
  <si>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</si>
  <si>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</si>
  <si>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</si>
  <si>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</si>
  <si>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</si>
  <si>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</si>
  <si>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</si>
  <si>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</si>
  <si>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</si>
  <si>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</si>
  <si>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</si>
  <si>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</si>
  <si>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</si>
  <si>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</si>
  <si>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</si>
  <si>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</si>
  <si>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</si>
  <si>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</si>
  <si>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</si>
  <si>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</si>
  <si>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</si>
  <si>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</si>
  <si>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</si>
  <si>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</si>
  <si>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</si>
  <si>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</si>
  <si>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</si>
  <si>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</si>
  <si>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</si>
  <si>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</si>
  <si>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</si>
  <si>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</si>
  <si>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</si>
  <si>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</si>
  <si>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</si>
  <si>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</si>
  <si>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</si>
  <si>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</si>
  <si>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</si>
  <si>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</si>
  <si>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</si>
  <si>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</si>
  <si>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</si>
  <si>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</si>
  <si>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</si>
  <si>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</si>
  <si>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</si>
  <si>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</si>
  <si>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</si>
  <si>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</si>
  <si>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</si>
  <si>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</si>
  <si>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</si>
  <si>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</si>
  <si>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</si>
  <si>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</si>
  <si>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</si>
  <si>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</si>
  <si>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</si>
  <si>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</si>
  <si>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</si>
  <si>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</si>
  <si>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</si>
  <si>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</si>
  <si>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</si>
  <si>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</si>
  <si>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</si>
  <si>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</si>
  <si>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</si>
  <si>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</si>
  <si>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</si>
  <si>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</si>
  <si>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</si>
  <si>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</si>
  <si>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</si>
  <si>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</si>
  <si>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</si>
  <si>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</si>
  <si>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</si>
  <si>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</si>
  <si>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</si>
  <si>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</si>
  <si>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</si>
  <si>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</si>
  <si>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</si>
  <si>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</si>
  <si>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</si>
  <si>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</si>
  <si>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</si>
  <si>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</si>
  <si>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</si>
  <si>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</si>
  <si>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</si>
  <si>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</si>
  <si>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</si>
  <si>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</si>
  <si>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</si>
  <si>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</si>
  <si>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</si>
  <si>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</si>
  <si>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</si>
  <si>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</si>
  <si>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</si>
  <si>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</si>
  <si>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</si>
  <si>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</si>
  <si>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</si>
  <si>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</si>
  <si>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</si>
  <si>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</si>
  <si>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</si>
  <si>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</si>
  <si>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</si>
  <si>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</si>
  <si>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</si>
  <si>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</si>
  <si>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</si>
  <si>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</si>
  <si>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</si>
  <si>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</si>
  <si>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</si>
  <si>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</si>
  <si>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</si>
  <si>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</si>
  <si>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</si>
  <si>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</si>
  <si>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</si>
  <si>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</si>
  <si>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</si>
  <si>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</si>
  <si>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</si>
  <si>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</si>
  <si>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</si>
  <si>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</si>
  <si>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</si>
  <si>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</si>
  <si>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</si>
  <si>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</si>
  <si>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</si>
  <si>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</si>
  <si>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</si>
  <si>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</si>
  <si>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</si>
  <si>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</si>
  <si>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</si>
  <si>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</si>
  <si>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</si>
  <si>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</si>
  <si>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</si>
  <si>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</si>
  <si>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</si>
  <si>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</si>
  <si>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</si>
  <si>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</si>
  <si>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</si>
  <si>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</si>
  <si>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</si>
  <si>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</si>
  <si>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</si>
  <si>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</si>
  <si>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</si>
  <si>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</si>
  <si>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</si>
  <si>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</si>
  <si>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</si>
  <si>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</si>
  <si>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</si>
  <si>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</si>
  <si>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</si>
  <si>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</si>
  <si>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</si>
  <si>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</si>
  <si>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</si>
  <si>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</si>
  <si>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</si>
  <si>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</si>
  <si>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</si>
  <si>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</si>
  <si>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</si>
  <si>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</si>
  <si>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</si>
  <si>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</si>
  <si>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</si>
  <si>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</si>
  <si>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</si>
  <si>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</si>
  <si>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</si>
  <si>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</si>
  <si>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</si>
  <si>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</si>
  <si>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</si>
  <si>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</si>
  <si>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</si>
  <si>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</si>
  <si>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</si>
  <si>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</si>
  <si>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</si>
  <si>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</si>
  <si>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</si>
  <si>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</si>
  <si>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</si>
  <si>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</si>
  <si>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</si>
  <si>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</si>
  <si>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</si>
  <si>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</si>
  <si>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</si>
  <si>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</si>
  <si>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</si>
  <si>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</si>
  <si>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</si>
  <si>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</si>
  <si>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</si>
  <si>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</si>
  <si>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</si>
  <si>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</si>
  <si>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</si>
  <si>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</si>
  <si>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</si>
  <si>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</si>
  <si>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</si>
  <si>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</si>
  <si>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</si>
  <si>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</si>
  <si>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</si>
  <si>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</si>
  <si>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</si>
  <si>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</si>
  <si>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</si>
  <si>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</si>
  <si>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</si>
  <si>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</si>
  <si>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</si>
  <si>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</si>
  <si>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</si>
  <si>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</si>
  <si>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</si>
  <si>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</si>
  <si>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</si>
  <si>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</si>
  <si>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</si>
  <si>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</si>
  <si>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</si>
  <si>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</si>
  <si>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</si>
  <si>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</si>
  <si>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</si>
  <si>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</si>
  <si>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</si>
  <si>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</si>
  <si>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</si>
  <si>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</si>
  <si>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</si>
  <si>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</si>
  <si>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</si>
  <si>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</si>
  <si>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</si>
  <si>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</si>
  <si>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</si>
  <si>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</si>
  <si>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</si>
  <si>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</si>
  <si>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</si>
  <si>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</si>
  <si>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</si>
  <si>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</si>
  <si>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</si>
  <si>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</si>
  <si>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</si>
  <si>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</si>
  <si>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</si>
  <si>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</si>
  <si>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</si>
  <si>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</si>
  <si>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</si>
  <si>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</si>
  <si>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</si>
  <si>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</si>
  <si>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</si>
  <si>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</si>
  <si>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</si>
  <si>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</si>
  <si>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</si>
  <si>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</si>
  <si>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</si>
  <si>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</si>
  <si>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</si>
  <si>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</si>
  <si>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</si>
  <si>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</si>
  <si>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</si>
  <si>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</si>
  <si>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</si>
  <si>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</si>
  <si>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</si>
  <si>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</si>
  <si>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</si>
  <si>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</si>
  <si>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</si>
  <si>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</si>
  <si>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</si>
  <si>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</si>
  <si>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</si>
  <si>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</si>
  <si>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</si>
  <si>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</si>
  <si>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</si>
  <si>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</si>
  <si>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</si>
  <si>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</si>
  <si>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</si>
  <si>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</si>
  <si>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</si>
  <si>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</si>
  <si>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</si>
  <si>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</si>
  <si>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</si>
  <si>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</si>
  <si>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</si>
  <si>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</si>
  <si>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</si>
  <si>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</si>
  <si>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</si>
  <si>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</si>
  <si>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</si>
  <si>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</si>
  <si>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</si>
  <si>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</si>
  <si>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</si>
  <si>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</si>
  <si>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</si>
  <si>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</si>
  <si>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</si>
  <si>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</si>
  <si>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</si>
  <si>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</si>
  <si>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</si>
  <si>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</si>
  <si>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</si>
  <si>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</si>
  <si>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</si>
  <si>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</si>
  <si>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</si>
  <si>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</si>
  <si>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</si>
  <si>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</si>
  <si>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</si>
  <si>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</si>
  <si>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</si>
  <si>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</si>
  <si>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</si>
  <si>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</si>
  <si>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</si>
  <si>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</si>
  <si>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</si>
  <si>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</si>
  <si>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</si>
  <si>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</si>
  <si>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</si>
  <si>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</si>
  <si>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</si>
  <si>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</si>
  <si>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</si>
  <si>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</si>
  <si>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</si>
  <si>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</si>
  <si>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</si>
  <si>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</si>
  <si>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</si>
  <si>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</si>
  <si>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</si>
  <si>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</si>
  <si>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</si>
  <si>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</si>
  <si>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</si>
  <si>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</si>
  <si>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</si>
  <si>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</si>
  <si>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</si>
  <si>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</si>
  <si>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</si>
  <si>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</si>
  <si>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</si>
  <si>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</si>
  <si>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</si>
  <si>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</si>
  <si>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</si>
  <si>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</si>
  <si>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</si>
  <si>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</si>
  <si>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</si>
  <si>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</si>
  <si>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</si>
  <si>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</si>
  <si>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</si>
  <si>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</si>
  <si>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</si>
  <si>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</si>
  <si>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</si>
  <si>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</si>
  <si>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</si>
  <si>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</si>
  <si>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</si>
  <si>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</si>
  <si>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</si>
  <si>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</si>
  <si>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</si>
  <si>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</si>
  <si>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</si>
  <si>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</si>
  <si>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</si>
  <si>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</si>
  <si>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</si>
  <si>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</si>
  <si>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</si>
  <si>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</si>
  <si>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</si>
  <si>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</si>
  <si>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</si>
  <si>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</si>
  <si>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</si>
  <si>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</si>
  <si>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</si>
  <si>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</si>
  <si>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</si>
  <si>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</si>
  <si>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</si>
  <si>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</si>
  <si>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</si>
  <si>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</si>
  <si>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</si>
  <si>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</si>
  <si>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</si>
  <si>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</si>
  <si>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</si>
  <si>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</si>
  <si>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</si>
  <si>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</si>
  <si>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</si>
  <si>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</si>
  <si>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</si>
  <si>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</si>
  <si>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</si>
  <si>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</si>
  <si>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</si>
  <si>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</si>
  <si>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</si>
  <si>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</si>
  <si>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</si>
  <si>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</si>
  <si>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</si>
  <si>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</si>
  <si>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</si>
  <si>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</si>
  <si>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</si>
  <si>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</si>
  <si>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</si>
  <si>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</si>
  <si>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</si>
  <si>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</si>
  <si>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</si>
  <si>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</si>
  <si>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</si>
  <si>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</si>
  <si>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</si>
  <si>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</si>
  <si>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</si>
  <si>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</si>
  <si>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</si>
  <si>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</si>
  <si>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</si>
  <si>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</si>
  <si>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</si>
  <si>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</si>
  <si>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</si>
  <si>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</si>
  <si>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</si>
  <si>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</si>
  <si>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</si>
  <si>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</si>
  <si>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</si>
  <si>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</si>
  <si>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</si>
  <si>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</si>
  <si>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</si>
  <si>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</si>
  <si>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</si>
  <si>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</si>
  <si>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</si>
  <si>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</si>
  <si>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</si>
  <si>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</si>
  <si>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</si>
  <si>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</si>
  <si>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</si>
  <si>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</si>
  <si>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</si>
  <si>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</si>
  <si>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</si>
  <si>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</si>
  <si>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</si>
  <si>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</si>
  <si>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</si>
  <si>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</si>
  <si>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</si>
  <si>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</si>
  <si>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</si>
  <si>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</si>
  <si>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</si>
  <si>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</si>
  <si>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</si>
  <si>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</si>
  <si>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</si>
  <si>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</si>
  <si>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</si>
  <si>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</si>
  <si>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</si>
  <si>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</si>
  <si>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</si>
  <si>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</si>
  <si>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</si>
  <si>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</si>
  <si>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</si>
  <si>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</si>
  <si>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</si>
  <si>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</si>
  <si>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</si>
  <si>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</si>
  <si>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</si>
  <si>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</si>
  <si>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</si>
  <si>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</si>
  <si>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</si>
  <si>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</si>
  <si>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</si>
  <si>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</si>
  <si>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</si>
  <si>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</si>
  <si>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</si>
  <si>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</si>
  <si>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</si>
  <si>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</si>
  <si>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</si>
  <si>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</si>
  <si>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</si>
  <si>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</si>
  <si>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</si>
  <si>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</si>
  <si>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</si>
  <si>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</si>
  <si>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</si>
  <si>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</si>
  <si>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</si>
  <si>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</si>
  <si>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</si>
  <si>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</si>
  <si>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</si>
  <si>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</si>
  <si>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</si>
  <si>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</si>
  <si>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</si>
  <si>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</si>
  <si>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</si>
  <si>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</si>
  <si>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</si>
  <si>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</si>
  <si>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</si>
  <si>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</si>
  <si>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</si>
  <si>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</si>
  <si>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</si>
  <si>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</si>
  <si>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</si>
  <si>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</si>
  <si>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</si>
  <si>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</si>
  <si>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</si>
  <si>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</si>
  <si>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</si>
  <si>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</si>
  <si>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</si>
  <si>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</si>
  <si>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</si>
  <si>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</si>
  <si>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</si>
  <si>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</si>
  <si>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</si>
  <si>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</si>
  <si>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</si>
  <si>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</si>
  <si>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</si>
  <si>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</si>
  <si>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</si>
  <si>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</si>
  <si>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</si>
  <si>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</si>
  <si>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</si>
  <si>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</si>
  <si>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</si>
  <si>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</si>
  <si>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</si>
  <si>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</si>
  <si>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</si>
  <si>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</si>
  <si>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</si>
  <si>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</si>
  <si>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</si>
  <si>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</si>
  <si>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</si>
  <si>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</si>
  <si>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</si>
  <si>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</si>
  <si>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</si>
  <si>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</si>
  <si>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</si>
  <si>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</si>
  <si>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</si>
  <si>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</si>
  <si>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</si>
  <si>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</si>
  <si>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</si>
  <si>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</si>
  <si>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</si>
  <si>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</si>
  <si>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</si>
  <si>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</si>
  <si>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</si>
  <si>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</si>
  <si>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</si>
  <si>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</si>
  <si>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</si>
  <si>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</si>
  <si>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</si>
  <si>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</si>
  <si>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</si>
  <si>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</si>
  <si>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</si>
  <si>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</si>
  <si>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</si>
  <si>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</si>
  <si>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</si>
  <si>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</si>
  <si>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</si>
  <si>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</si>
  <si>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</si>
  <si>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</si>
  <si>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</si>
  <si>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</si>
  <si>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</si>
  <si>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</si>
  <si>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</si>
  <si>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</si>
  <si>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</si>
  <si>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</si>
  <si>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</si>
  <si>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</si>
  <si>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</si>
  <si>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</si>
  <si>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</si>
  <si>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</si>
  <si>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</si>
  <si>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</si>
  <si>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</si>
  <si>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</si>
  <si>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</si>
  <si>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</si>
  <si>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</si>
  <si>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</si>
  <si>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</si>
  <si>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</si>
  <si>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</si>
  <si>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</si>
  <si>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</si>
  <si>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</si>
  <si>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</si>
  <si>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</si>
  <si>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</si>
  <si>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</si>
  <si>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</si>
  <si>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</si>
  <si>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</si>
  <si>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</si>
  <si>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</si>
  <si>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</si>
  <si>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</si>
  <si>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</si>
  <si>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</si>
  <si>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</si>
  <si>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</si>
  <si>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</si>
  <si>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</si>
  <si>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</si>
  <si>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</si>
  <si>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</si>
  <si>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</si>
  <si>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</si>
  <si>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</si>
  <si>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</si>
  <si>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</si>
  <si>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</si>
  <si>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</si>
  <si>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</si>
  <si>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</si>
  <si>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</si>
  <si>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</si>
  <si>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</si>
  <si>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</si>
  <si>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</si>
  <si>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</si>
  <si>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</si>
  <si>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</si>
  <si>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</si>
  <si>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</si>
  <si>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</si>
  <si>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</si>
  <si>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</si>
  <si>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</si>
  <si>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</si>
  <si>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</si>
  <si>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</si>
  <si>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</si>
  <si>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</si>
  <si>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</si>
  <si>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</si>
  <si>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</si>
  <si>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</si>
  <si>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</si>
  <si>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</si>
  <si>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</si>
  <si>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</si>
  <si>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</si>
  <si>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</si>
  <si>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</si>
  <si>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</si>
  <si>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</si>
  <si>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</si>
  <si>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</si>
  <si>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</si>
  <si>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</si>
  <si>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</si>
  <si>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</si>
  <si>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</si>
  <si>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</si>
  <si>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</si>
  <si>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</si>
  <si>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</si>
  <si>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</si>
  <si>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</si>
  <si>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</si>
  <si>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</si>
  <si>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</si>
  <si>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</si>
  <si>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</si>
  <si>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</si>
  <si>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</si>
  <si>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</si>
  <si>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</si>
  <si>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</si>
  <si>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</si>
  <si>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</si>
  <si>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</si>
  <si>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</si>
  <si>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</si>
  <si>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</si>
  <si>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</si>
  <si>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</si>
  <si>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</si>
  <si>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</si>
  <si>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</si>
  <si>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</si>
  <si>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</si>
  <si>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</si>
  <si>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</si>
  <si>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</si>
  <si>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</si>
  <si>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</si>
  <si>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</si>
  <si>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</si>
  <si>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</si>
  <si>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</si>
  <si>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</si>
  <si>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</si>
  <si>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</si>
  <si>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</si>
  <si>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</si>
  <si>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</si>
  <si>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</si>
  <si>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</si>
  <si>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</si>
  <si>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</si>
  <si>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</si>
  <si>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</si>
  <si>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</si>
  <si>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</si>
  <si>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</si>
  <si>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</si>
  <si>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</si>
  <si>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</si>
  <si>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</si>
  <si>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</si>
  <si>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</si>
  <si>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</si>
  <si>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</si>
  <si>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</si>
  <si>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</si>
  <si>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</si>
  <si>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</si>
  <si>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</si>
  <si>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</si>
  <si>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</si>
  <si>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</si>
  <si>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</si>
  <si>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</si>
  <si>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</si>
  <si>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</si>
  <si>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</si>
  <si>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</si>
  <si>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</si>
  <si>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</si>
  <si>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</si>
  <si>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</si>
  <si>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</si>
  <si>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</si>
  <si>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</si>
  <si>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</si>
  <si>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</si>
  <si>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</si>
  <si>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</si>
  <si>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</si>
  <si>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</si>
  <si>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</si>
  <si>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</si>
  <si>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</si>
  <si>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</si>
  <si>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</si>
  <si>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</si>
  <si>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</si>
  <si>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</si>
  <si>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</si>
  <si>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</si>
  <si>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</si>
  <si>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</si>
  <si>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</si>
  <si>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</si>
  <si>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</si>
  <si>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</si>
  <si>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</si>
  <si>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</si>
  <si>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</si>
  <si>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</si>
  <si>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</si>
  <si>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</si>
  <si>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</si>
  <si>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</si>
  <si>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</si>
  <si>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</si>
  <si>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</si>
  <si>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</si>
  <si>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</si>
  <si>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</si>
  <si>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</si>
  <si>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</si>
  <si>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</si>
  <si>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</si>
  <si>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</si>
  <si>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</si>
  <si>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</si>
  <si>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</si>
  <si>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</si>
  <si>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</si>
  <si>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</si>
  <si>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</si>
  <si>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</si>
  <si>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</si>
  <si>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</si>
  <si>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</si>
  <si>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</si>
  <si>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</si>
  <si>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</si>
  <si>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</si>
  <si>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</si>
  <si>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</si>
  <si>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</si>
  <si>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</si>
  <si>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</si>
  <si>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</si>
  <si>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</si>
  <si>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</si>
  <si>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</si>
  <si>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</si>
  <si>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</si>
  <si>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</si>
  <si>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</si>
  <si>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</si>
  <si>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</si>
  <si>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</si>
  <si>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</si>
  <si>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</si>
  <si>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</si>
  <si>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</si>
  <si>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</si>
  <si>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</si>
  <si>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</si>
  <si>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</si>
  <si>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</si>
  <si>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</si>
  <si>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</si>
  <si>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</si>
  <si>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</si>
  <si>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</si>
  <si>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</si>
  <si>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</si>
  <si>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</si>
  <si>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</si>
  <si>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</si>
  <si>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</si>
  <si>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</si>
  <si>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</si>
  <si>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</si>
  <si>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</si>
  <si>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</si>
  <si>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</si>
  <si>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</si>
  <si>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</si>
  <si>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</si>
  <si>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</si>
  <si>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</si>
  <si>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</si>
  <si>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</si>
  <si>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</si>
  <si>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</si>
  <si>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</si>
  <si>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</si>
  <si>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</si>
  <si>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</si>
  <si>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</si>
  <si>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</si>
  <si>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</si>
  <si>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</si>
  <si>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</si>
  <si>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</si>
  <si>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</si>
  <si>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</si>
  <si>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</si>
  <si>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</si>
  <si>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</si>
  <si>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</si>
  <si>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</si>
  <si>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</si>
  <si>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</si>
  <si>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</si>
  <si>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</si>
  <si>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</si>
  <si>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</si>
  <si>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</si>
  <si>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</si>
  <si>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</si>
  <si>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</si>
  <si>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</si>
  <si>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</si>
  <si>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</si>
  <si>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</si>
  <si>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</si>
  <si>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</si>
  <si>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</si>
  <si>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</si>
  <si>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</si>
  <si>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</si>
  <si>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</si>
  <si>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</si>
  <si>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</si>
  <si>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</si>
  <si>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</si>
  <si>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</si>
  <si>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</si>
  <si>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</si>
  <si>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</si>
  <si>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</si>
  <si>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</si>
  <si>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</si>
  <si>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</si>
  <si>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</si>
  <si>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</si>
  <si>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</si>
  <si>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</si>
  <si>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</si>
  <si>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</si>
  <si>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</si>
  <si>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</si>
  <si>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</si>
  <si>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</si>
  <si>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</si>
  <si>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</si>
  <si>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</si>
  <si>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</si>
  <si>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</si>
  <si>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</si>
  <si>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</si>
  <si>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</si>
  <si>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</si>
  <si>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</si>
  <si>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</si>
  <si>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</si>
  <si>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</si>
  <si>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</si>
  <si>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</si>
  <si>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</si>
  <si>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</si>
  <si>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</si>
  <si>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</si>
  <si>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</si>
  <si>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</si>
  <si>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</si>
  <si>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</si>
  <si>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</si>
  <si>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</si>
  <si>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</si>
  <si>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</si>
  <si>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</si>
  <si>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</si>
  <si>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</si>
  <si>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</si>
  <si>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</si>
  <si>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</si>
  <si>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</si>
  <si>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</si>
  <si>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</si>
  <si>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</si>
  <si>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</si>
  <si>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</si>
  <si>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</si>
  <si>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</si>
  <si>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</si>
  <si>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</si>
  <si>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</si>
  <si>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</si>
  <si>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</si>
  <si>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</si>
  <si>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</si>
  <si>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</si>
  <si>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</si>
  <si>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</si>
  <si>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</si>
  <si>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</si>
  <si>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</si>
  <si>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</si>
  <si>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</si>
  <si>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</si>
  <si>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</si>
  <si>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</si>
  <si>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</si>
  <si>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</si>
  <si>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</si>
  <si>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</si>
  <si>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</si>
  <si>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</si>
  <si>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</si>
  <si>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</si>
  <si>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</si>
  <si>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</si>
  <si>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</si>
  <si>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</si>
  <si>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</si>
  <si>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</si>
  <si>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</si>
  <si>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</si>
  <si>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</si>
  <si>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</si>
  <si>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</si>
  <si>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</si>
  <si>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</si>
  <si>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</si>
  <si>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</si>
  <si>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</si>
  <si>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</si>
  <si>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</si>
  <si>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</si>
  <si>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</si>
  <si>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</si>
  <si>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</si>
  <si>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</si>
  <si>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</si>
  <si>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</si>
  <si>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</si>
  <si>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</si>
  <si>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</si>
  <si>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</si>
  <si>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</si>
  <si>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</si>
  <si>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</si>
  <si>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</si>
  <si>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</si>
  <si>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</si>
  <si>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</si>
  <si>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</si>
  <si>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</si>
  <si>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</si>
  <si>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</si>
  <si>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</si>
  <si>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</si>
  <si>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</si>
  <si>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</si>
  <si>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</si>
  <si>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</si>
  <si>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</si>
  <si>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</si>
  <si>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</si>
  <si>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</si>
  <si>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</si>
  <si>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</si>
  <si>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</si>
  <si>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</si>
  <si>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</si>
  <si>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</si>
  <si>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</si>
  <si>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</si>
  <si>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</si>
  <si>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</si>
  <si>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</si>
  <si>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</si>
  <si>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</si>
  <si>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</si>
  <si>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</si>
  <si>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</si>
  <si>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</si>
  <si>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</si>
  <si>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</si>
  <si>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</si>
  <si>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</si>
  <si>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</si>
  <si>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</si>
  <si>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</si>
  <si>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</si>
  <si>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</si>
  <si>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</si>
  <si>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</si>
  <si>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</si>
  <si>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</si>
  <si>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</si>
  <si>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</si>
  <si>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</si>
  <si>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</si>
  <si>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</si>
  <si>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</si>
  <si>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</si>
  <si>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</si>
  <si>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</si>
  <si>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</si>
  <si>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</si>
  <si>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</si>
  <si>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</si>
  <si>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</si>
  <si>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</si>
  <si>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</si>
  <si>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</si>
  <si>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</si>
  <si>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</si>
  <si>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</si>
  <si>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</si>
  <si>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</si>
  <si>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</si>
  <si>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</si>
  <si>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</si>
  <si>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</si>
  <si>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</si>
  <si>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</si>
  <si>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</si>
  <si>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</si>
  <si>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</si>
  <si>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</si>
  <si>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</si>
  <si>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</si>
  <si>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</si>
  <si>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</si>
  <si>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</si>
  <si>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</si>
  <si>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</si>
  <si>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</si>
  <si>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</si>
  <si>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</si>
  <si>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</si>
  <si>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</si>
  <si>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</si>
  <si>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</si>
  <si>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</si>
  <si>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</si>
  <si>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</si>
  <si>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</si>
  <si>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</si>
  <si>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</si>
  <si>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</si>
  <si>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</si>
  <si>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</si>
  <si>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</si>
  <si>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</si>
  <si>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</si>
  <si>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</si>
  <si>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</si>
  <si>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</si>
  <si>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</si>
  <si>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</si>
  <si>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</si>
  <si>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</si>
  <si>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</si>
  <si>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</si>
  <si>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</si>
  <si>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</si>
  <si>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</si>
  <si>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</si>
  <si>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</si>
  <si>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</si>
  <si>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</si>
  <si>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</si>
  <si>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</si>
  <si>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</si>
  <si>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</si>
  <si>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</si>
  <si>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</si>
  <si>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</si>
  <si>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</si>
  <si>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</si>
  <si>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</si>
  <si>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</si>
  <si>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</si>
  <si>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</si>
  <si>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</si>
  <si>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</si>
  <si>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</si>
  <si>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</si>
  <si>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</si>
  <si>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</si>
  <si>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</si>
  <si>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</si>
  <si>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</si>
  <si>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</si>
  <si>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</si>
  <si>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</si>
  <si>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</si>
  <si>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</si>
  <si>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</si>
  <si>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</si>
  <si>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</si>
  <si>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</si>
  <si>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</si>
  <si>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</si>
  <si>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</si>
  <si>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</si>
  <si>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</si>
  <si>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</si>
  <si>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</si>
  <si>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</si>
  <si>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</si>
  <si>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</si>
  <si>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</si>
  <si>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</si>
  <si>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</si>
  <si>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</si>
  <si>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</si>
  <si>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</si>
  <si>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</si>
  <si>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</si>
  <si>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</si>
  <si>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</si>
  <si>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</si>
  <si>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</si>
  <si>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</si>
  <si>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</si>
  <si>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</si>
  <si>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</si>
  <si>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</si>
  <si>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</si>
  <si>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</si>
  <si>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</si>
  <si>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</si>
  <si>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</si>
  <si>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</si>
  <si>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</si>
  <si>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</si>
  <si>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</si>
  <si>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</si>
  <si>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</si>
  <si>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</si>
  <si>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</si>
  <si>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</si>
  <si>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</si>
  <si>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</si>
  <si>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</si>
  <si>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</si>
  <si>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</si>
  <si>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</si>
  <si>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</si>
  <si>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</si>
  <si>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</si>
  <si>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</si>
  <si>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</si>
  <si>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</si>
  <si>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</si>
  <si>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</si>
  <si>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</si>
  <si>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</si>
  <si>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</si>
  <si>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</si>
  <si>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</si>
  <si>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</si>
  <si>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</si>
  <si>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</si>
  <si>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</si>
  <si>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</si>
  <si>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</si>
  <si>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</si>
  <si>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</si>
  <si>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</si>
  <si>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</si>
  <si>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</si>
  <si>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</si>
  <si>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</si>
  <si>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</si>
  <si>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</si>
  <si>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</si>
  <si>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</si>
  <si>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</si>
  <si>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</si>
  <si>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</si>
  <si>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</si>
  <si>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</si>
  <si>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</si>
  <si>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</si>
  <si>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</si>
  <si>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</si>
  <si>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</si>
  <si>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</si>
  <si>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</si>
  <si>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</si>
  <si>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</si>
  <si>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</si>
  <si>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</si>
  <si>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</si>
  <si>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</si>
  <si>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</si>
  <si>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</si>
  <si>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</si>
  <si>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</si>
  <si>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</si>
  <si>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</si>
  <si>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</si>
  <si>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</si>
  <si>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</si>
  <si>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</si>
  <si>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</si>
  <si>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</si>
  <si>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</si>
  <si>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</si>
  <si>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</si>
  <si>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</si>
  <si>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</si>
  <si>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</si>
  <si>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</si>
  <si>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</si>
  <si>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</si>
  <si>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</si>
  <si>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</si>
  <si>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</si>
  <si>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</si>
  <si>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</si>
  <si>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</si>
  <si>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</si>
  <si>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</si>
  <si>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</si>
  <si>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</si>
  <si>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</si>
  <si>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</si>
  <si>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</si>
  <si>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</si>
  <si>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</si>
  <si>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</si>
  <si>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</si>
  <si>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</si>
  <si>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</si>
  <si>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</si>
  <si>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</si>
  <si>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</si>
  <si>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</si>
  <si>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</si>
  <si>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</si>
  <si>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</si>
  <si>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</si>
  <si>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</si>
  <si>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</si>
  <si>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</si>
  <si>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</si>
  <si>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</si>
  <si>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</si>
  <si>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</si>
  <si>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</si>
  <si>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</si>
  <si>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</si>
  <si>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</si>
  <si>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</si>
  <si>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</si>
  <si>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</si>
  <si>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</si>
  <si>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</si>
  <si>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</si>
  <si>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</si>
  <si>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</si>
  <si>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</si>
  <si>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</si>
  <si>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</si>
  <si>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</si>
  <si>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</si>
  <si>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</si>
  <si>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</si>
  <si>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</si>
  <si>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</si>
  <si>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</si>
  <si>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</si>
  <si>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</si>
  <si>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</si>
  <si>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</si>
  <si>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</si>
  <si>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</si>
  <si>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</si>
  <si>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</si>
  <si>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</si>
  <si>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</si>
  <si>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</si>
  <si>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</si>
  <si>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</si>
  <si>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</si>
  <si>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</si>
  <si>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</si>
  <si>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</si>
  <si>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</si>
  <si>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</si>
  <si>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</si>
  <si>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</si>
  <si>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</si>
  <si>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</si>
  <si>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</si>
  <si>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</si>
  <si>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</si>
  <si>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</si>
  <si>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</si>
  <si>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</si>
  <si>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</si>
  <si>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</si>
  <si>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</si>
  <si>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</si>
  <si>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</si>
  <si>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</si>
  <si>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</si>
  <si>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</si>
  <si>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</si>
  <si>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</si>
  <si>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</si>
  <si>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</si>
  <si>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</si>
  <si>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</si>
  <si>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</si>
  <si>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</si>
  <si>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</si>
  <si>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</si>
  <si>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</si>
  <si>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</si>
  <si>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</si>
  <si>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</si>
  <si>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</si>
  <si>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</si>
  <si>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</si>
  <si>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</si>
  <si>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</si>
  <si>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</si>
  <si>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</si>
  <si>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</si>
  <si>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</si>
  <si>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</si>
  <si>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</si>
  <si>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</si>
  <si>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</si>
  <si>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</si>
  <si>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</si>
  <si>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</si>
  <si>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</si>
  <si>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</si>
  <si>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</si>
  <si>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</si>
  <si>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</si>
  <si>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</si>
  <si>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</si>
  <si>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</si>
  <si>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</si>
  <si>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</si>
  <si>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</si>
  <si>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</si>
  <si>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</si>
  <si>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</si>
  <si>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</si>
  <si>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</si>
  <si>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</si>
  <si>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</si>
  <si>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</si>
  <si>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</si>
  <si>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</si>
  <si>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</si>
  <si>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</si>
  <si>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</si>
  <si>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</si>
  <si>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</si>
  <si>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</si>
  <si>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</si>
  <si>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</si>
  <si>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</si>
  <si>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</si>
  <si>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</si>
  <si>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</si>
  <si>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</si>
  <si>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</si>
  <si>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</si>
  <si>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</si>
  <si>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</si>
  <si>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</si>
  <si>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</si>
  <si>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</si>
  <si>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</si>
  <si>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</si>
  <si>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</si>
  <si>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</si>
  <si>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</si>
  <si>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</si>
  <si>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</si>
  <si>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</si>
  <si>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</si>
  <si>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</si>
  <si>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</si>
  <si>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</si>
  <si>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</si>
  <si>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</si>
  <si>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</si>
  <si>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</si>
  <si>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</si>
  <si>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</si>
  <si>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</si>
  <si>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</si>
  <si>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</si>
  <si>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</si>
  <si>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</si>
  <si>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</si>
  <si>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</si>
  <si>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</si>
  <si>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</si>
  <si>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</si>
  <si>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</si>
  <si>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</si>
  <si>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</si>
  <si>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</si>
  <si>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</si>
  <si>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</si>
  <si>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</si>
  <si>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</si>
  <si>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</si>
  <si>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</si>
  <si>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</si>
  <si>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</si>
  <si>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</si>
  <si>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</si>
  <si>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</si>
  <si>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</si>
  <si>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</si>
  <si>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</si>
  <si>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</si>
  <si>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</si>
  <si>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</si>
  <si>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</si>
  <si>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</si>
  <si>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</si>
  <si>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</si>
  <si>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</si>
  <si>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</si>
  <si>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</si>
  <si>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</si>
  <si>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</si>
  <si>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</si>
  <si>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</si>
  <si>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</si>
  <si>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</si>
  <si>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</si>
  <si>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</si>
  <si>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</si>
  <si>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</si>
  <si>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</si>
  <si>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</si>
  <si>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</si>
  <si>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</si>
  <si>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</si>
  <si>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</si>
  <si>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</si>
  <si>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</si>
  <si>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</si>
  <si>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</si>
  <si>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</si>
  <si>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</si>
  <si>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</si>
  <si>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</si>
  <si>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</si>
  <si>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</si>
  <si>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</si>
  <si>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</si>
  <si>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</si>
  <si>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</si>
  <si>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</si>
  <si>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</si>
  <si>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</si>
  <si>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</si>
  <si>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</si>
  <si>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</si>
  <si>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</si>
  <si>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</si>
  <si>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</si>
  <si>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</si>
  <si>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</si>
  <si>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</si>
  <si>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</si>
  <si>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</si>
  <si>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</si>
  <si>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</si>
  <si>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</si>
  <si>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</si>
  <si>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</si>
  <si>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</si>
  <si>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</si>
  <si>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</si>
  <si>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</si>
  <si>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</si>
  <si>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</si>
  <si>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</si>
  <si>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</si>
  <si>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</si>
  <si>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</si>
  <si>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</si>
  <si>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</si>
  <si>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</si>
  <si>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</si>
  <si>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</si>
  <si>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</si>
  <si>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</si>
  <si>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</si>
  <si>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</si>
  <si>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</si>
  <si>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</si>
  <si>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</si>
  <si>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</si>
  <si>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</si>
  <si>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</si>
  <si>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</si>
  <si>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</si>
  <si>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</si>
  <si>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</si>
  <si>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</si>
  <si>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</si>
  <si>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</si>
  <si>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</si>
  <si>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</si>
  <si>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</si>
  <si>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</si>
  <si>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</si>
  <si>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</si>
  <si>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</si>
  <si>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</si>
  <si>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</si>
  <si>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</si>
  <si>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</si>
  <si>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</si>
  <si>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</si>
  <si>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</si>
  <si>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</si>
  <si>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</si>
  <si>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</si>
  <si>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</si>
  <si>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</si>
  <si>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</si>
  <si>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</si>
  <si>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</si>
  <si>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</si>
  <si>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</si>
  <si>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</si>
  <si>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</si>
  <si>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</si>
  <si>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</si>
  <si>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</si>
  <si>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</si>
  <si>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</si>
  <si>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</si>
  <si>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</si>
  <si>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</si>
  <si>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</si>
  <si>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</si>
  <si>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</si>
  <si>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</si>
  <si>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</si>
  <si>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</si>
  <si>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</si>
  <si>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</si>
  <si>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</si>
  <si>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</si>
  <si>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</si>
  <si>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</si>
  <si>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</si>
  <si>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</si>
  <si>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</si>
  <si>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</si>
  <si>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</si>
  <si>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</si>
  <si>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</si>
  <si>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</si>
  <si>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</si>
  <si>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</si>
  <si>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</si>
  <si>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</si>
  <si>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</si>
  <si>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</si>
  <si>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</si>
  <si>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</si>
  <si>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</si>
  <si>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</si>
  <si>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</si>
  <si>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</si>
  <si>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</si>
  <si>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</si>
  <si>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</si>
  <si>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</si>
  <si>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</si>
  <si>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</si>
  <si>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</si>
  <si>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</si>
  <si>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</si>
  <si>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</si>
  <si>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</si>
  <si>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</si>
  <si>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</si>
  <si>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</si>
  <si>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</si>
  <si>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</si>
  <si>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</si>
  <si>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</si>
  <si>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</si>
  <si>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</si>
  <si>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</si>
  <si>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</si>
  <si>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</si>
  <si>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</si>
  <si>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</si>
  <si>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</si>
  <si>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</si>
  <si>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</si>
  <si>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</si>
  <si>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</si>
  <si>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</si>
  <si>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</si>
  <si>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</si>
  <si>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</si>
  <si>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</si>
  <si>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</si>
  <si>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</si>
  <si>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</si>
  <si>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</si>
  <si>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</si>
  <si>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</si>
  <si>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</si>
  <si>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</si>
  <si>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</si>
  <si>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</si>
  <si>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</si>
  <si>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</si>
  <si>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</si>
  <si>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</si>
  <si>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</si>
  <si>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</si>
  <si>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</si>
  <si>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</si>
  <si>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</si>
  <si>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</si>
  <si>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</si>
  <si>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</si>
  <si>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</si>
  <si>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</si>
  <si>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</si>
  <si>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</si>
  <si>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</si>
  <si>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</si>
  <si>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</si>
  <si>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</si>
  <si>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</si>
  <si>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</si>
  <si>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</si>
  <si>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</si>
  <si>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</si>
  <si>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</si>
  <si>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</si>
  <si>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B14:B97</t>
  </si>
  <si>
    <t>012 - improved formatting and formulas in pep_ssf Worksheet</t>
  </si>
  <si>
    <t>Right-Click yellow to Validate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</si>
</sst>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77">
    <font>
      <sz val="11"/>
      <color theme="1"/>
      <name val="Calibri"/>
      <family val="2"/>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28" fillId="0" borderId="0" applyBorder="0" applyProtection="0"/>
    <xf numFmtId="0" fontId="3" fillId="0" borderId="0"/>
    <xf numFmtId="0" fontId="2" fillId="0" borderId="0"/>
    <xf numFmtId="0" fontId="69" fillId="0" borderId="0"/>
    <xf numFmtId="0" fontId="1" fillId="0" borderId="0"/>
  </cellStyleXfs>
  <cellXfs count="556">
    <xf numFmtId="0" fontId="0" fillId="0" borderId="0" xfId="0"/>
    <xf numFmtId="0" fontId="49"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4" fillId="2" borderId="0" xfId="0" applyFont="1" applyFill="1"/>
    <xf numFmtId="0" fontId="4"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4"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8" fillId="0" borderId="0" xfId="1" applyNumberFormat="1" applyBorder="1" applyAlignment="1" applyProtection="1">
      <alignment horizontal="center"/>
    </xf>
    <xf numFmtId="165" fontId="28" fillId="0" borderId="0" xfId="1" applyBorder="1" applyAlignment="1" applyProtection="1">
      <alignment horizontal="center"/>
    </xf>
    <xf numFmtId="1" fontId="28" fillId="0" borderId="0" xfId="1" applyNumberFormat="1" applyBorder="1" applyProtection="1"/>
    <xf numFmtId="165" fontId="28" fillId="0" borderId="1" xfId="1" applyBorder="1" applyAlignment="1" applyProtection="1">
      <alignment horizontal="center"/>
    </xf>
    <xf numFmtId="1" fontId="28" fillId="0" borderId="1" xfId="1" applyNumberFormat="1" applyBorder="1" applyProtection="1"/>
    <xf numFmtId="165" fontId="4"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4" fillId="5" borderId="0" xfId="0" applyNumberFormat="1" applyFont="1" applyFill="1" applyAlignment="1">
      <alignment horizontal="center"/>
    </xf>
    <xf numFmtId="0" fontId="0" fillId="7" borderId="2" xfId="0" applyFill="1" applyBorder="1" applyAlignment="1">
      <alignment horizontal="center"/>
    </xf>
    <xf numFmtId="0" fontId="7" fillId="0" borderId="0" xfId="0" applyFont="1" applyAlignment="1">
      <alignment horizontal="right"/>
    </xf>
    <xf numFmtId="2" fontId="0" fillId="0" borderId="0" xfId="0" applyNumberFormat="1" applyAlignment="1">
      <alignment horizontal="center"/>
    </xf>
    <xf numFmtId="0" fontId="0" fillId="8" borderId="0" xfId="0" applyFill="1"/>
    <xf numFmtId="165" fontId="28"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8" fillId="9" borderId="0" xfId="0" applyNumberFormat="1" applyFont="1" applyFill="1" applyAlignment="1">
      <alignment horizontal="center"/>
    </xf>
    <xf numFmtId="0" fontId="9" fillId="9" borderId="0" xfId="0" applyFont="1" applyFill="1" applyAlignment="1">
      <alignment horizontal="center"/>
    </xf>
    <xf numFmtId="0" fontId="7" fillId="0" borderId="0" xfId="0" applyFont="1" applyAlignment="1">
      <alignment horizontal="center"/>
    </xf>
    <xf numFmtId="0" fontId="0" fillId="10" borderId="0" xfId="0" applyFill="1" applyAlignment="1">
      <alignment horizontal="center"/>
    </xf>
    <xf numFmtId="0" fontId="0" fillId="10" borderId="0" xfId="0" applyFill="1"/>
    <xf numFmtId="165" fontId="8" fillId="10" borderId="0" xfId="0" applyNumberFormat="1" applyFont="1" applyFill="1" applyAlignment="1">
      <alignment horizontal="center"/>
    </xf>
    <xf numFmtId="0" fontId="9"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4" fillId="12" borderId="0" xfId="1" applyNumberFormat="1" applyFont="1" applyFill="1" applyBorder="1" applyAlignment="1" applyProtection="1">
      <alignment horizontal="center"/>
    </xf>
    <xf numFmtId="165" fontId="4" fillId="12" borderId="0" xfId="1" applyFont="1" applyFill="1" applyBorder="1" applyAlignment="1" applyProtection="1">
      <alignment horizontal="center"/>
    </xf>
    <xf numFmtId="165" fontId="4"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4"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4"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0" fillId="12" borderId="0" xfId="0" applyFont="1" applyFill="1" applyAlignment="1">
      <alignment horizontal="center"/>
    </xf>
    <xf numFmtId="168" fontId="0" fillId="12" borderId="11" xfId="0" applyNumberFormat="1" applyFill="1" applyBorder="1" applyAlignment="1">
      <alignment horizontal="center"/>
    </xf>
    <xf numFmtId="1" fontId="10"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0"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0"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1" fillId="0" borderId="2" xfId="0" applyFont="1" applyBorder="1"/>
    <xf numFmtId="0" fontId="12" fillId="0" borderId="0" xfId="0" applyFont="1"/>
    <xf numFmtId="0" fontId="11" fillId="13" borderId="2" xfId="0" applyFont="1" applyFill="1" applyBorder="1"/>
    <xf numFmtId="3" fontId="0" fillId="0" borderId="0" xfId="0" applyNumberFormat="1"/>
    <xf numFmtId="0" fontId="13" fillId="13" borderId="2" xfId="0" applyFont="1" applyFill="1" applyBorder="1"/>
    <xf numFmtId="0" fontId="0" fillId="12" borderId="14" xfId="0" applyFill="1" applyBorder="1" applyAlignment="1">
      <alignment horizontal="center"/>
    </xf>
    <xf numFmtId="1" fontId="10"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4" fillId="12" borderId="0" xfId="0" applyFont="1" applyFill="1" applyAlignment="1">
      <alignment horizontal="center"/>
    </xf>
    <xf numFmtId="0" fontId="14" fillId="12" borderId="0" xfId="0" applyFont="1" applyFill="1" applyAlignment="1">
      <alignment horizontal="center"/>
    </xf>
    <xf numFmtId="0" fontId="10" fillId="12" borderId="15" xfId="0" applyFont="1" applyFill="1" applyBorder="1" applyAlignment="1">
      <alignment horizontal="center"/>
    </xf>
    <xf numFmtId="0" fontId="4" fillId="0" borderId="0" xfId="0" applyFont="1"/>
    <xf numFmtId="0" fontId="0" fillId="14" borderId="0" xfId="0" applyFill="1" applyAlignment="1">
      <alignment horizontal="center"/>
    </xf>
    <xf numFmtId="0" fontId="0" fillId="0" borderId="0" xfId="0" applyAlignment="1">
      <alignment horizontal="left"/>
    </xf>
    <xf numFmtId="0" fontId="10" fillId="0" borderId="0" xfId="0" applyFont="1" applyAlignment="1">
      <alignment horizontal="center"/>
    </xf>
    <xf numFmtId="0" fontId="0" fillId="0" borderId="17" xfId="0" applyBorder="1" applyAlignment="1">
      <alignment horizontal="center"/>
    </xf>
    <xf numFmtId="0" fontId="10" fillId="2" borderId="0" xfId="0" applyFont="1" applyFill="1" applyAlignment="1">
      <alignment horizontal="center"/>
    </xf>
    <xf numFmtId="1" fontId="0" fillId="0" borderId="0" xfId="0" applyNumberFormat="1" applyAlignment="1">
      <alignment horizontal="center"/>
    </xf>
    <xf numFmtId="0" fontId="4" fillId="15" borderId="3" xfId="0" applyFont="1" applyFill="1" applyBorder="1"/>
    <xf numFmtId="0" fontId="0" fillId="15" borderId="6" xfId="0" applyFill="1" applyBorder="1" applyAlignment="1">
      <alignment horizontal="left"/>
    </xf>
    <xf numFmtId="0" fontId="4" fillId="15" borderId="7" xfId="0" applyFont="1" applyFill="1" applyBorder="1"/>
    <xf numFmtId="0" fontId="0" fillId="15" borderId="9" xfId="0" applyFill="1" applyBorder="1" applyAlignment="1">
      <alignment horizontal="left"/>
    </xf>
    <xf numFmtId="0" fontId="4"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0"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0"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5" fillId="2" borderId="2" xfId="0" applyFont="1" applyFill="1" applyBorder="1" applyAlignment="1">
      <alignment horizontal="center"/>
    </xf>
    <xf numFmtId="0" fontId="16"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0" fillId="2" borderId="0" xfId="0" applyNumberFormat="1" applyFont="1" applyFill="1" applyAlignment="1">
      <alignment horizontal="center"/>
    </xf>
    <xf numFmtId="0" fontId="14"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1" fillId="0" borderId="2" xfId="0" applyFont="1" applyBorder="1" applyAlignment="1">
      <alignment horizontal="center"/>
    </xf>
    <xf numFmtId="0" fontId="13" fillId="0" borderId="2" xfId="0" applyFont="1" applyBorder="1" applyAlignment="1">
      <alignment horizontal="center"/>
    </xf>
    <xf numFmtId="0" fontId="17" fillId="0" borderId="2" xfId="0" applyFont="1" applyBorder="1" applyAlignment="1">
      <alignment horizontal="center"/>
    </xf>
    <xf numFmtId="0" fontId="13"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4" fillId="15" borderId="3" xfId="0" applyFont="1" applyFill="1" applyBorder="1" applyAlignment="1">
      <alignment horizontal="center"/>
    </xf>
    <xf numFmtId="0" fontId="0" fillId="15" borderId="6" xfId="0" applyFill="1" applyBorder="1" applyAlignment="1">
      <alignment horizontal="center"/>
    </xf>
    <xf numFmtId="0" fontId="18" fillId="0" borderId="0" xfId="0" applyFont="1" applyAlignment="1">
      <alignment vertical="center"/>
    </xf>
    <xf numFmtId="0" fontId="4" fillId="15" borderId="7" xfId="0" applyFont="1" applyFill="1" applyBorder="1" applyAlignment="1">
      <alignment horizontal="center"/>
    </xf>
    <xf numFmtId="0" fontId="0" fillId="15" borderId="9" xfId="0" applyFill="1" applyBorder="1" applyAlignment="1">
      <alignment horizontal="center"/>
    </xf>
    <xf numFmtId="0" fontId="4" fillId="15" borderId="14" xfId="0" applyFont="1" applyFill="1" applyBorder="1" applyAlignment="1">
      <alignment horizontal="center"/>
    </xf>
    <xf numFmtId="0" fontId="0" fillId="15" borderId="16" xfId="0" applyFill="1" applyBorder="1" applyAlignment="1">
      <alignment horizontal="center"/>
    </xf>
    <xf numFmtId="0" fontId="12" fillId="0" borderId="0" xfId="0" applyFont="1" applyAlignment="1">
      <alignment horizontal="right"/>
    </xf>
    <xf numFmtId="1" fontId="4" fillId="0" borderId="0" xfId="0" applyNumberFormat="1" applyFont="1" applyAlignment="1">
      <alignment horizontal="center"/>
    </xf>
    <xf numFmtId="1" fontId="4" fillId="12" borderId="0" xfId="0" applyNumberFormat="1" applyFont="1" applyFill="1" applyAlignment="1">
      <alignment horizontal="center"/>
    </xf>
    <xf numFmtId="169" fontId="0" fillId="0" borderId="0" xfId="0" applyNumberFormat="1" applyAlignment="1">
      <alignment horizontal="center"/>
    </xf>
    <xf numFmtId="0" fontId="4" fillId="0" borderId="0" xfId="0" applyFont="1" applyAlignment="1">
      <alignment horizontal="center"/>
    </xf>
    <xf numFmtId="0" fontId="4"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0" fillId="12" borderId="0" xfId="0" applyNumberFormat="1" applyFont="1" applyFill="1" applyAlignment="1">
      <alignment horizontal="center"/>
    </xf>
    <xf numFmtId="0" fontId="12" fillId="0" borderId="2" xfId="0" applyFont="1" applyBorder="1" applyAlignment="1">
      <alignment horizontal="center"/>
    </xf>
    <xf numFmtId="0" fontId="11" fillId="22" borderId="2" xfId="0" applyFont="1" applyFill="1" applyBorder="1"/>
    <xf numFmtId="0" fontId="13" fillId="22" borderId="2" xfId="0" applyFont="1" applyFill="1" applyBorder="1"/>
    <xf numFmtId="0" fontId="11" fillId="22" borderId="2" xfId="0" applyFont="1" applyFill="1" applyBorder="1" applyAlignment="1">
      <alignment horizontal="center"/>
    </xf>
    <xf numFmtId="0" fontId="13"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1"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9" fillId="2" borderId="0" xfId="2" applyFont="1" applyFill="1"/>
    <xf numFmtId="0" fontId="3" fillId="2" borderId="0" xfId="2" applyFill="1"/>
    <xf numFmtId="0" fontId="4" fillId="12" borderId="7" xfId="0" applyFont="1" applyFill="1" applyBorder="1" applyAlignment="1">
      <alignment horizontal="center"/>
    </xf>
    <xf numFmtId="1" fontId="4" fillId="20" borderId="0" xfId="0" applyNumberFormat="1" applyFont="1" applyFill="1" applyAlignment="1">
      <alignment horizontal="center"/>
    </xf>
    <xf numFmtId="0" fontId="19"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1" fillId="0" borderId="0" xfId="0" applyFont="1"/>
    <xf numFmtId="164" fontId="0" fillId="0" borderId="0" xfId="0" applyNumberFormat="1" applyAlignment="1">
      <alignment horizontal="right"/>
    </xf>
    <xf numFmtId="0" fontId="20" fillId="0" borderId="0" xfId="0" applyFont="1"/>
    <xf numFmtId="0" fontId="19" fillId="11" borderId="0" xfId="2" applyFont="1" applyFill="1"/>
    <xf numFmtId="0" fontId="4" fillId="23" borderId="2" xfId="0" applyFont="1" applyFill="1" applyBorder="1" applyAlignment="1">
      <alignment horizontal="center"/>
    </xf>
    <xf numFmtId="20" fontId="3" fillId="2" borderId="0" xfId="2" applyNumberFormat="1" applyFill="1" applyAlignment="1">
      <alignment vertical="center" wrapText="1"/>
    </xf>
    <xf numFmtId="0" fontId="3" fillId="2" borderId="0" xfId="2" applyFill="1" applyAlignment="1">
      <alignment vertical="center" wrapText="1"/>
    </xf>
    <xf numFmtId="0" fontId="3" fillId="4" borderId="0" xfId="2" applyFill="1" applyAlignment="1">
      <alignment vertical="center"/>
    </xf>
    <xf numFmtId="171" fontId="0" fillId="0" borderId="0" xfId="0" applyNumberFormat="1" applyAlignment="1">
      <alignment horizontal="center"/>
    </xf>
    <xf numFmtId="0" fontId="21" fillId="0" borderId="0" xfId="0" applyFont="1" applyAlignment="1">
      <alignment horizontal="center"/>
    </xf>
    <xf numFmtId="0" fontId="22" fillId="12" borderId="3" xfId="0" applyFont="1" applyFill="1" applyBorder="1" applyAlignment="1">
      <alignment horizontal="center"/>
    </xf>
    <xf numFmtId="1" fontId="22" fillId="20" borderId="0" xfId="0" applyNumberFormat="1" applyFont="1" applyFill="1" applyAlignment="1">
      <alignment horizontal="center"/>
    </xf>
    <xf numFmtId="164" fontId="21" fillId="0" borderId="0" xfId="0" applyNumberFormat="1" applyFont="1" applyAlignment="1">
      <alignment horizontal="center"/>
    </xf>
    <xf numFmtId="1" fontId="21" fillId="12" borderId="0" xfId="0" applyNumberFormat="1" applyFont="1" applyFill="1" applyAlignment="1">
      <alignment horizontal="center"/>
    </xf>
    <xf numFmtId="1" fontId="21" fillId="0" borderId="0" xfId="0" applyNumberFormat="1" applyFont="1" applyAlignment="1">
      <alignment horizontal="center"/>
    </xf>
    <xf numFmtId="1" fontId="21" fillId="12" borderId="9" xfId="0" applyNumberFormat="1" applyFont="1" applyFill="1" applyBorder="1" applyAlignment="1">
      <alignment horizontal="center"/>
    </xf>
    <xf numFmtId="0" fontId="23" fillId="11" borderId="0" xfId="2" applyFont="1" applyFill="1"/>
    <xf numFmtId="0" fontId="24" fillId="2" borderId="0" xfId="2" applyFont="1" applyFill="1"/>
    <xf numFmtId="20" fontId="24" fillId="2" borderId="0" xfId="2" applyNumberFormat="1" applyFont="1" applyFill="1" applyAlignment="1">
      <alignment vertical="center" wrapText="1"/>
    </xf>
    <xf numFmtId="0" fontId="0" fillId="24" borderId="0" xfId="0" applyFill="1" applyAlignment="1">
      <alignment horizontal="center"/>
    </xf>
    <xf numFmtId="1" fontId="4" fillId="24" borderId="0" xfId="0" applyNumberFormat="1" applyFont="1" applyFill="1" applyAlignment="1">
      <alignment horizontal="center"/>
    </xf>
    <xf numFmtId="0" fontId="4" fillId="12" borderId="3" xfId="0" applyFont="1" applyFill="1" applyBorder="1" applyAlignment="1">
      <alignment horizontal="left"/>
    </xf>
    <xf numFmtId="172" fontId="4" fillId="0" borderId="0" xfId="0" applyNumberFormat="1" applyFont="1" applyAlignment="1">
      <alignment horizontal="center"/>
    </xf>
    <xf numFmtId="0" fontId="0" fillId="25" borderId="0" xfId="0" applyFill="1" applyAlignment="1">
      <alignment horizontal="center"/>
    </xf>
    <xf numFmtId="1" fontId="4" fillId="26" borderId="0" xfId="0" applyNumberFormat="1" applyFont="1" applyFill="1" applyAlignment="1">
      <alignment horizontal="center"/>
    </xf>
    <xf numFmtId="0" fontId="4" fillId="27" borderId="0" xfId="0" applyFont="1" applyFill="1"/>
    <xf numFmtId="1" fontId="4" fillId="25" borderId="0" xfId="0" applyNumberFormat="1" applyFont="1" applyFill="1" applyAlignment="1">
      <alignment horizontal="center"/>
    </xf>
    <xf numFmtId="173" fontId="0" fillId="25" borderId="0" xfId="0" applyNumberFormat="1" applyFill="1" applyAlignment="1">
      <alignment horizontal="center"/>
    </xf>
    <xf numFmtId="164" fontId="4" fillId="0" borderId="0" xfId="0" applyNumberFormat="1" applyFont="1" applyAlignment="1">
      <alignment horizontal="center"/>
    </xf>
    <xf numFmtId="0" fontId="4" fillId="15" borderId="3" xfId="0" applyFont="1" applyFill="1" applyBorder="1" applyAlignment="1">
      <alignment horizontal="right"/>
    </xf>
    <xf numFmtId="0" fontId="27"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8" fillId="0" borderId="0" xfId="0" applyFont="1"/>
    <xf numFmtId="0" fontId="28" fillId="0" borderId="0" xfId="0" applyFont="1" applyAlignment="1">
      <alignment horizontal="right"/>
    </xf>
    <xf numFmtId="0" fontId="28" fillId="0" borderId="0" xfId="0" applyFont="1" applyAlignment="1">
      <alignment horizontal="center"/>
    </xf>
    <xf numFmtId="0" fontId="29" fillId="15" borderId="3" xfId="0" applyFont="1" applyFill="1" applyBorder="1" applyAlignment="1">
      <alignment horizontal="center"/>
    </xf>
    <xf numFmtId="169" fontId="28" fillId="15" borderId="6" xfId="0" applyNumberFormat="1" applyFont="1" applyFill="1" applyBorder="1" applyAlignment="1">
      <alignment horizontal="center"/>
    </xf>
    <xf numFmtId="0" fontId="11" fillId="29" borderId="2" xfId="0" applyFont="1" applyFill="1" applyBorder="1"/>
    <xf numFmtId="0" fontId="13" fillId="29" borderId="2" xfId="0" applyFont="1" applyFill="1" applyBorder="1"/>
    <xf numFmtId="0" fontId="0" fillId="30" borderId="0" xfId="0" applyFill="1" applyAlignment="1">
      <alignment horizontal="center"/>
    </xf>
    <xf numFmtId="0" fontId="0" fillId="30" borderId="0" xfId="0" applyFill="1"/>
    <xf numFmtId="0" fontId="3" fillId="30" borderId="0" xfId="2" applyFill="1" applyAlignment="1">
      <alignment vertical="center" wrapText="1"/>
    </xf>
    <xf numFmtId="0" fontId="19" fillId="11" borderId="0" xfId="2" applyFont="1" applyFill="1" applyAlignment="1">
      <alignment horizontal="center"/>
    </xf>
    <xf numFmtId="1" fontId="19" fillId="11" borderId="24" xfId="2" applyNumberFormat="1" applyFont="1" applyFill="1" applyBorder="1" applyAlignment="1">
      <alignment horizontal="center"/>
    </xf>
    <xf numFmtId="169" fontId="19" fillId="11" borderId="25" xfId="2" applyNumberFormat="1" applyFont="1" applyFill="1" applyBorder="1" applyAlignment="1">
      <alignment horizontal="center"/>
    </xf>
    <xf numFmtId="0" fontId="30" fillId="0" borderId="0" xfId="0" applyFont="1"/>
    <xf numFmtId="0" fontId="19" fillId="11" borderId="26" xfId="2" applyFont="1" applyFill="1" applyBorder="1" applyAlignment="1">
      <alignment horizontal="center"/>
    </xf>
    <xf numFmtId="0" fontId="19" fillId="11" borderId="27" xfId="2" applyFont="1" applyFill="1" applyBorder="1" applyAlignment="1">
      <alignment horizontal="center"/>
    </xf>
    <xf numFmtId="1" fontId="19" fillId="11" borderId="0" xfId="2" applyNumberFormat="1" applyFont="1" applyFill="1" applyAlignment="1">
      <alignment horizontal="center"/>
    </xf>
    <xf numFmtId="169" fontId="19"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9"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1" fillId="0" borderId="0" xfId="0" applyFont="1" applyAlignment="1">
      <alignment vertical="center" wrapText="1"/>
    </xf>
    <xf numFmtId="0" fontId="31" fillId="15" borderId="0" xfId="0" applyFont="1" applyFill="1" applyAlignment="1">
      <alignment vertical="center" wrapText="1"/>
    </xf>
    <xf numFmtId="0" fontId="32" fillId="15" borderId="0" xfId="0" applyFont="1" applyFill="1" applyAlignment="1">
      <alignment vertical="center" wrapText="1"/>
    </xf>
    <xf numFmtId="173" fontId="0" fillId="0" borderId="0" xfId="0" applyNumberFormat="1" applyAlignment="1">
      <alignment horizontal="center"/>
    </xf>
    <xf numFmtId="0" fontId="32" fillId="0" borderId="0" xfId="0" applyFont="1"/>
    <xf numFmtId="0" fontId="32" fillId="0" borderId="0" xfId="0" applyFont="1" applyAlignment="1">
      <alignment vertical="center" wrapText="1"/>
    </xf>
    <xf numFmtId="0" fontId="31" fillId="33" borderId="0" xfId="0" applyFont="1" applyFill="1" applyAlignment="1">
      <alignment vertical="center" wrapText="1"/>
    </xf>
    <xf numFmtId="0" fontId="32" fillId="33" borderId="0" xfId="0" applyFont="1" applyFill="1" applyAlignment="1">
      <alignment vertical="center" wrapText="1"/>
    </xf>
    <xf numFmtId="0" fontId="0" fillId="30" borderId="0" xfId="0" applyFill="1" applyAlignment="1">
      <alignment horizontal="left"/>
    </xf>
    <xf numFmtId="0" fontId="19" fillId="15" borderId="0" xfId="2" applyFont="1" applyFill="1"/>
    <xf numFmtId="0" fontId="0" fillId="34" borderId="0" xfId="0" applyFill="1"/>
    <xf numFmtId="0" fontId="0" fillId="13" borderId="0" xfId="0" applyFill="1" applyAlignment="1">
      <alignment horizontal="left"/>
    </xf>
    <xf numFmtId="0" fontId="19" fillId="33" borderId="0" xfId="2" applyFont="1" applyFill="1"/>
    <xf numFmtId="0" fontId="4" fillId="13" borderId="0" xfId="0" applyFont="1" applyFill="1" applyAlignment="1">
      <alignment horizontal="center"/>
    </xf>
    <xf numFmtId="0" fontId="19" fillId="35" borderId="0" xfId="2" applyFont="1" applyFill="1"/>
    <xf numFmtId="0" fontId="31" fillId="35" borderId="0" xfId="0" applyFont="1" applyFill="1" applyAlignment="1">
      <alignment vertical="center" wrapText="1"/>
    </xf>
    <xf numFmtId="0" fontId="32" fillId="35" borderId="0" xfId="0" applyFont="1" applyFill="1" applyAlignment="1">
      <alignment vertical="center" wrapText="1"/>
    </xf>
    <xf numFmtId="0" fontId="13" fillId="25" borderId="2" xfId="0" applyFont="1" applyFill="1" applyBorder="1"/>
    <xf numFmtId="0" fontId="32" fillId="0" borderId="0" xfId="0" applyFont="1" applyAlignment="1">
      <alignment horizontal="center" vertical="center" wrapText="1"/>
    </xf>
    <xf numFmtId="0" fontId="19" fillId="2" borderId="0" xfId="2" applyFont="1" applyFill="1" applyAlignment="1">
      <alignment vertical="center" wrapText="1"/>
    </xf>
    <xf numFmtId="1" fontId="4" fillId="12" borderId="0" xfId="0" applyNumberFormat="1" applyFont="1" applyFill="1" applyAlignment="1">
      <alignment horizontal="center" wrapText="1"/>
    </xf>
    <xf numFmtId="1" fontId="4" fillId="36" borderId="0" xfId="0" applyNumberFormat="1" applyFont="1" applyFill="1" applyAlignment="1">
      <alignment horizontal="center"/>
    </xf>
    <xf numFmtId="1" fontId="30" fillId="12" borderId="9" xfId="0" applyNumberFormat="1" applyFont="1" applyFill="1" applyBorder="1" applyAlignment="1">
      <alignment horizontal="center"/>
    </xf>
    <xf numFmtId="0" fontId="19"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4" fillId="25" borderId="0" xfId="0" applyFont="1" applyFill="1" applyAlignment="1">
      <alignment horizontal="center" wrapText="1"/>
    </xf>
    <xf numFmtId="0" fontId="0" fillId="36" borderId="0" xfId="0" applyFill="1"/>
    <xf numFmtId="0" fontId="19" fillId="13" borderId="0" xfId="2" applyFont="1" applyFill="1" applyAlignment="1">
      <alignment horizontal="center"/>
    </xf>
    <xf numFmtId="0" fontId="4" fillId="30" borderId="0" xfId="0" applyFont="1" applyFill="1" applyAlignment="1">
      <alignment horizontal="center"/>
    </xf>
    <xf numFmtId="0" fontId="0" fillId="30" borderId="0" xfId="0" applyFill="1" applyAlignment="1">
      <alignment vertical="center" wrapText="1"/>
    </xf>
    <xf numFmtId="0" fontId="19" fillId="30" borderId="0" xfId="2" applyFont="1" applyFill="1" applyAlignment="1">
      <alignment horizontal="center"/>
    </xf>
    <xf numFmtId="0" fontId="0" fillId="0" borderId="0" xfId="0" applyAlignment="1">
      <alignment vertical="center" wrapText="1"/>
    </xf>
    <xf numFmtId="2" fontId="19" fillId="11" borderId="0" xfId="2" applyNumberFormat="1" applyFont="1" applyFill="1" applyAlignment="1">
      <alignment horizontal="center"/>
    </xf>
    <xf numFmtId="2" fontId="0" fillId="0" borderId="0" xfId="0" applyNumberFormat="1"/>
    <xf numFmtId="1" fontId="4" fillId="25" borderId="0" xfId="0" applyNumberFormat="1" applyFont="1" applyFill="1" applyAlignment="1">
      <alignment horizontal="center" wrapText="1"/>
    </xf>
    <xf numFmtId="1" fontId="30" fillId="0" borderId="0" xfId="0" applyNumberFormat="1" applyFont="1" applyAlignment="1">
      <alignment horizontal="center"/>
    </xf>
    <xf numFmtId="0" fontId="30" fillId="0" borderId="0" xfId="0" applyFont="1" applyAlignment="1">
      <alignment horizontal="center"/>
    </xf>
    <xf numFmtId="172" fontId="19" fillId="33" borderId="0" xfId="2" applyNumberFormat="1" applyFont="1" applyFill="1"/>
    <xf numFmtId="0" fontId="33" fillId="0" borderId="0" xfId="0" applyFont="1" applyAlignment="1">
      <alignment horizontal="center"/>
    </xf>
    <xf numFmtId="0" fontId="33" fillId="0" borderId="0" xfId="0" applyFont="1"/>
    <xf numFmtId="0" fontId="33" fillId="0" borderId="0" xfId="0" applyFont="1" applyAlignment="1">
      <alignment horizontal="right"/>
    </xf>
    <xf numFmtId="172" fontId="0" fillId="13" borderId="0" xfId="0" applyNumberFormat="1" applyFill="1"/>
    <xf numFmtId="173" fontId="4" fillId="13" borderId="0" xfId="0" applyNumberFormat="1" applyFont="1" applyFill="1" applyAlignment="1">
      <alignment horizontal="center"/>
    </xf>
    <xf numFmtId="172" fontId="19" fillId="13" borderId="0" xfId="2" applyNumberFormat="1" applyFont="1" applyFill="1" applyAlignment="1">
      <alignment horizontal="center"/>
    </xf>
    <xf numFmtId="172" fontId="19"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4" fillId="0" borderId="0" xfId="0" applyFont="1" applyAlignment="1">
      <alignment horizontal="right"/>
    </xf>
    <xf numFmtId="0" fontId="11" fillId="15" borderId="2" xfId="0" applyFont="1" applyFill="1" applyBorder="1"/>
    <xf numFmtId="0" fontId="35" fillId="15" borderId="2" xfId="0" applyFont="1" applyFill="1" applyBorder="1"/>
    <xf numFmtId="0" fontId="4" fillId="15" borderId="0" xfId="0" applyFont="1" applyFill="1" applyAlignment="1">
      <alignment horizontal="center"/>
    </xf>
    <xf numFmtId="1" fontId="36" fillId="15" borderId="0" xfId="0" applyNumberFormat="1" applyFont="1" applyFill="1" applyAlignment="1">
      <alignment horizontal="center"/>
    </xf>
    <xf numFmtId="2" fontId="19" fillId="13" borderId="0" xfId="2" applyNumberFormat="1" applyFont="1" applyFill="1" applyAlignment="1">
      <alignment horizontal="center"/>
    </xf>
    <xf numFmtId="0" fontId="37" fillId="13" borderId="0" xfId="0" applyFont="1" applyFill="1" applyAlignment="1">
      <alignment horizontal="center"/>
    </xf>
    <xf numFmtId="1" fontId="0" fillId="15" borderId="0" xfId="0" applyNumberFormat="1" applyFill="1" applyAlignment="1">
      <alignment horizontal="center" wrapText="1"/>
    </xf>
    <xf numFmtId="1" fontId="33" fillId="25" borderId="0" xfId="0" applyNumberFormat="1" applyFont="1" applyFill="1" applyAlignment="1">
      <alignment horizontal="center"/>
    </xf>
    <xf numFmtId="0" fontId="38"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3" fillId="12" borderId="9" xfId="0" applyNumberFormat="1" applyFont="1" applyFill="1" applyBorder="1" applyAlignment="1">
      <alignment horizontal="center"/>
    </xf>
    <xf numFmtId="1" fontId="30" fillId="25" borderId="0" xfId="0" applyNumberFormat="1" applyFont="1" applyFill="1" applyAlignment="1">
      <alignment horizontal="center"/>
    </xf>
    <xf numFmtId="1" fontId="30" fillId="12" borderId="0" xfId="0" applyNumberFormat="1" applyFont="1" applyFill="1" applyAlignment="1">
      <alignment horizontal="center" wrapText="1"/>
    </xf>
    <xf numFmtId="1" fontId="0" fillId="25" borderId="0" xfId="0" applyNumberFormat="1" applyFill="1" applyAlignment="1">
      <alignment horizontal="center"/>
    </xf>
    <xf numFmtId="2" fontId="19" fillId="30" borderId="0" xfId="2" applyNumberFormat="1" applyFont="1" applyFill="1" applyAlignment="1">
      <alignment horizontal="center"/>
    </xf>
    <xf numFmtId="0" fontId="27" fillId="0" borderId="0" xfId="0" applyFont="1"/>
    <xf numFmtId="1" fontId="39" fillId="12" borderId="0" xfId="0" applyNumberFormat="1" applyFont="1" applyFill="1" applyAlignment="1">
      <alignment horizontal="center" wrapText="1"/>
    </xf>
    <xf numFmtId="1" fontId="33"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8" fillId="0" borderId="0" xfId="0" applyNumberFormat="1" applyFont="1" applyAlignment="1">
      <alignment horizontal="center"/>
    </xf>
    <xf numFmtId="0" fontId="0" fillId="37" borderId="0" xfId="0" applyFill="1"/>
    <xf numFmtId="0" fontId="40" fillId="0" borderId="0" xfId="0" applyFont="1"/>
    <xf numFmtId="0" fontId="41" fillId="38" borderId="0" xfId="0" applyFont="1" applyFill="1"/>
    <xf numFmtId="1" fontId="33" fillId="38" borderId="9" xfId="0" applyNumberFormat="1" applyFont="1" applyFill="1" applyBorder="1" applyAlignment="1">
      <alignment horizontal="center"/>
    </xf>
    <xf numFmtId="172" fontId="33" fillId="38" borderId="9" xfId="0" applyNumberFormat="1" applyFont="1" applyFill="1" applyBorder="1" applyAlignment="1">
      <alignment horizontal="center"/>
    </xf>
    <xf numFmtId="0" fontId="42" fillId="38" borderId="0" xfId="0" applyFont="1" applyFill="1"/>
    <xf numFmtId="0" fontId="27" fillId="15" borderId="0" xfId="0" applyFont="1" applyFill="1"/>
    <xf numFmtId="1" fontId="4"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4" fillId="40" borderId="0" xfId="0" applyFont="1" applyFill="1" applyAlignment="1">
      <alignment horizontal="center"/>
    </xf>
    <xf numFmtId="0" fontId="0" fillId="41" borderId="0" xfId="0" applyFill="1" applyAlignment="1">
      <alignment horizontal="center"/>
    </xf>
    <xf numFmtId="0" fontId="4"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4"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4" fillId="40" borderId="0" xfId="0" applyNumberFormat="1" applyFont="1" applyFill="1" applyAlignment="1">
      <alignment horizontal="center"/>
    </xf>
    <xf numFmtId="0" fontId="4" fillId="16" borderId="2" xfId="0" applyFont="1" applyFill="1" applyBorder="1" applyAlignment="1">
      <alignment horizontal="center"/>
    </xf>
    <xf numFmtId="0" fontId="4"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4" fillId="42" borderId="2" xfId="0" applyFont="1" applyFill="1" applyBorder="1" applyAlignment="1">
      <alignment horizontal="center"/>
    </xf>
    <xf numFmtId="0" fontId="4" fillId="0" borderId="2" xfId="0" applyFont="1" applyBorder="1" applyAlignment="1">
      <alignment horizontal="center"/>
    </xf>
    <xf numFmtId="0" fontId="4" fillId="0" borderId="2" xfId="0" applyFont="1" applyBorder="1"/>
    <xf numFmtId="0" fontId="47" fillId="0" borderId="0" xfId="0" applyFont="1"/>
    <xf numFmtId="0" fontId="46" fillId="0" borderId="0" xfId="0" applyFont="1"/>
    <xf numFmtId="0" fontId="47" fillId="0" borderId="0" xfId="0" applyFont="1" applyAlignment="1">
      <alignment horizontal="center"/>
    </xf>
    <xf numFmtId="0" fontId="48" fillId="0" borderId="0" xfId="0" applyFont="1" applyAlignment="1">
      <alignment horizontal="center"/>
    </xf>
    <xf numFmtId="0" fontId="4" fillId="0" borderId="2" xfId="0" applyFont="1" applyBorder="1" applyAlignment="1">
      <alignment horizontal="left"/>
    </xf>
    <xf numFmtId="0" fontId="49" fillId="43" borderId="24" xfId="0" applyFont="1" applyFill="1" applyBorder="1" applyAlignment="1">
      <alignment vertical="center" wrapText="1"/>
    </xf>
    <xf numFmtId="0" fontId="49" fillId="43" borderId="2" xfId="0" applyFont="1" applyFill="1" applyBorder="1" applyAlignment="1">
      <alignment vertical="center" wrapText="1"/>
    </xf>
    <xf numFmtId="0" fontId="51" fillId="0" borderId="2" xfId="0" applyFont="1" applyBorder="1" applyAlignment="1">
      <alignment horizontal="center" wrapText="1" readingOrder="1"/>
    </xf>
    <xf numFmtId="171" fontId="51" fillId="0" borderId="8" xfId="0" applyNumberFormat="1" applyFont="1" applyBorder="1" applyAlignment="1">
      <alignment horizontal="right" wrapText="1" readingOrder="1"/>
    </xf>
    <xf numFmtId="171" fontId="51" fillId="0" borderId="8" xfId="0" applyNumberFormat="1" applyFont="1" applyBorder="1" applyAlignment="1">
      <alignment horizontal="right"/>
    </xf>
    <xf numFmtId="171" fontId="51" fillId="0" borderId="2" xfId="0" applyNumberFormat="1" applyFont="1" applyBorder="1" applyAlignment="1">
      <alignment horizontal="right" wrapText="1" readingOrder="1"/>
    </xf>
    <xf numFmtId="171" fontId="51" fillId="0" borderId="2" xfId="0" applyNumberFormat="1" applyFont="1" applyBorder="1" applyAlignment="1">
      <alignment horizontal="right"/>
    </xf>
    <xf numFmtId="0" fontId="51" fillId="0" borderId="2" xfId="0" applyFont="1" applyBorder="1"/>
    <xf numFmtId="0" fontId="52" fillId="0" borderId="0" xfId="0" applyFont="1"/>
    <xf numFmtId="0" fontId="3" fillId="0" borderId="3" xfId="0" applyFont="1" applyBorder="1"/>
    <xf numFmtId="0" fontId="3" fillId="0" borderId="4" xfId="0" applyFont="1" applyBorder="1"/>
    <xf numFmtId="0" fontId="3" fillId="0" borderId="6" xfId="0" applyFont="1" applyBorder="1"/>
    <xf numFmtId="0" fontId="3" fillId="0" borderId="7" xfId="0" applyFont="1" applyBorder="1"/>
    <xf numFmtId="0" fontId="3" fillId="0" borderId="0" xfId="0" applyFont="1"/>
    <xf numFmtId="2" fontId="3" fillId="0" borderId="9" xfId="0" applyNumberFormat="1" applyFont="1" applyBorder="1"/>
    <xf numFmtId="0" fontId="3" fillId="0" borderId="9" xfId="0" applyFont="1" applyBorder="1"/>
    <xf numFmtId="0" fontId="0" fillId="0" borderId="9" xfId="0" applyBorder="1"/>
    <xf numFmtId="1" fontId="3" fillId="0" borderId="9" xfId="0" applyNumberFormat="1" applyFont="1" applyBorder="1"/>
    <xf numFmtId="1" fontId="19" fillId="0" borderId="9" xfId="0" applyNumberFormat="1" applyFont="1" applyBorder="1"/>
    <xf numFmtId="0" fontId="3" fillId="0" borderId="14" xfId="0" applyFont="1" applyBorder="1"/>
    <xf numFmtId="0" fontId="3" fillId="0" borderId="15" xfId="0" applyFont="1" applyBorder="1"/>
    <xf numFmtId="1" fontId="19" fillId="0" borderId="16" xfId="0" applyNumberFormat="1" applyFont="1" applyBorder="1"/>
    <xf numFmtId="0" fontId="0" fillId="33" borderId="0" xfId="0" applyFill="1" applyAlignment="1">
      <alignment horizontal="center"/>
    </xf>
    <xf numFmtId="0" fontId="0" fillId="33" borderId="0" xfId="0" applyFill="1"/>
    <xf numFmtId="0" fontId="4"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8" fillId="8" borderId="0" xfId="1" applyFill="1" applyBorder="1" applyProtection="1"/>
    <xf numFmtId="0" fontId="9" fillId="9" borderId="0" xfId="0" applyFont="1" applyFill="1"/>
    <xf numFmtId="0" fontId="9"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4" fillId="0" borderId="0" xfId="0" applyNumberFormat="1" applyFont="1" applyAlignment="1">
      <alignment horizontal="center"/>
    </xf>
    <xf numFmtId="0" fontId="55" fillId="46" borderId="30" xfId="3" applyFont="1" applyFill="1" applyBorder="1"/>
    <xf numFmtId="0" fontId="0" fillId="47" borderId="0" xfId="0" applyFill="1"/>
    <xf numFmtId="0" fontId="55" fillId="46" borderId="30" xfId="0" applyFont="1" applyFill="1" applyBorder="1"/>
    <xf numFmtId="0" fontId="28" fillId="2" borderId="0" xfId="2" applyFont="1" applyFill="1"/>
    <xf numFmtId="0" fontId="28" fillId="2" borderId="0" xfId="2" applyFont="1" applyFill="1" applyAlignment="1">
      <alignment vertical="center" wrapText="1"/>
    </xf>
    <xf numFmtId="0" fontId="55" fillId="48" borderId="30" xfId="0" applyFont="1" applyFill="1" applyBorder="1"/>
    <xf numFmtId="0" fontId="56" fillId="46" borderId="30" xfId="3" applyFont="1" applyFill="1" applyBorder="1"/>
    <xf numFmtId="0" fontId="0" fillId="49" borderId="0" xfId="0" applyFill="1"/>
    <xf numFmtId="0" fontId="55" fillId="50" borderId="2" xfId="0" applyFont="1" applyFill="1" applyBorder="1"/>
    <xf numFmtId="0" fontId="56" fillId="50" borderId="2" xfId="0" applyFont="1" applyFill="1" applyBorder="1"/>
    <xf numFmtId="0" fontId="57" fillId="50" borderId="2" xfId="0" applyFont="1" applyFill="1" applyBorder="1"/>
    <xf numFmtId="0" fontId="0" fillId="51" borderId="0" xfId="0" applyFill="1"/>
    <xf numFmtId="0" fontId="56" fillId="48" borderId="30" xfId="0" applyFont="1" applyFill="1" applyBorder="1"/>
    <xf numFmtId="1" fontId="0" fillId="52" borderId="0" xfId="0" applyNumberFormat="1" applyFill="1" applyAlignment="1">
      <alignment horizontal="center"/>
    </xf>
    <xf numFmtId="2" fontId="19" fillId="13" borderId="1" xfId="2" applyNumberFormat="1" applyFont="1" applyFill="1" applyBorder="1" applyAlignment="1">
      <alignment horizontal="center"/>
    </xf>
    <xf numFmtId="0" fontId="55" fillId="53" borderId="30" xfId="0" applyFont="1" applyFill="1" applyBorder="1"/>
    <xf numFmtId="1" fontId="30" fillId="54" borderId="9" xfId="0" applyNumberFormat="1" applyFont="1" applyFill="1" applyBorder="1" applyAlignment="1">
      <alignment horizontal="center"/>
    </xf>
    <xf numFmtId="1" fontId="58" fillId="0" borderId="0" xfId="0" applyNumberFormat="1" applyFont="1" applyAlignment="1">
      <alignment horizontal="center"/>
    </xf>
    <xf numFmtId="2" fontId="19" fillId="13" borderId="31" xfId="2" applyNumberFormat="1" applyFont="1" applyFill="1" applyBorder="1" applyAlignment="1">
      <alignment horizontal="center"/>
    </xf>
    <xf numFmtId="0" fontId="55" fillId="46" borderId="0" xfId="3" applyFont="1" applyFill="1"/>
    <xf numFmtId="1" fontId="0" fillId="55" borderId="0" xfId="0" applyNumberFormat="1" applyFill="1" applyAlignment="1">
      <alignment horizontal="center"/>
    </xf>
    <xf numFmtId="0" fontId="60" fillId="30" borderId="0" xfId="0" applyFont="1" applyFill="1" applyAlignment="1">
      <alignment horizontal="center"/>
    </xf>
    <xf numFmtId="1" fontId="58"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1" fillId="0" borderId="0" xfId="0" applyFont="1"/>
    <xf numFmtId="0" fontId="62" fillId="0" borderId="0" xfId="0" applyFont="1"/>
    <xf numFmtId="0" fontId="62" fillId="57" borderId="0" xfId="0" applyFont="1" applyFill="1"/>
    <xf numFmtId="0" fontId="63" fillId="0" borderId="0" xfId="0" applyFont="1"/>
    <xf numFmtId="0" fontId="63" fillId="57" borderId="0" xfId="0" applyFont="1" applyFill="1"/>
    <xf numFmtId="1" fontId="60" fillId="0" borderId="0" xfId="0" applyNumberFormat="1" applyFont="1" applyAlignment="1">
      <alignment horizontal="center"/>
    </xf>
    <xf numFmtId="2" fontId="19" fillId="58" borderId="0" xfId="2" applyNumberFormat="1" applyFont="1" applyFill="1" applyAlignment="1">
      <alignment horizontal="center"/>
    </xf>
    <xf numFmtId="0" fontId="55" fillId="0" borderId="30" xfId="0" applyFont="1" applyBorder="1"/>
    <xf numFmtId="0" fontId="0" fillId="56" borderId="0" xfId="0" applyFill="1" applyAlignment="1">
      <alignment horizontal="right"/>
    </xf>
    <xf numFmtId="0" fontId="56" fillId="46" borderId="30" xfId="0" applyFont="1" applyFill="1" applyBorder="1"/>
    <xf numFmtId="0" fontId="57" fillId="0" borderId="2" xfId="0" applyFont="1" applyBorder="1"/>
    <xf numFmtId="1" fontId="0" fillId="59" borderId="0" xfId="0" applyNumberFormat="1" applyFill="1" applyAlignment="1">
      <alignment horizontal="center"/>
    </xf>
    <xf numFmtId="1" fontId="30" fillId="12" borderId="0" xfId="0" applyNumberFormat="1" applyFont="1" applyFill="1" applyAlignment="1">
      <alignment horizontal="center"/>
    </xf>
    <xf numFmtId="1" fontId="60" fillId="12" borderId="9" xfId="0" applyNumberFormat="1" applyFont="1" applyFill="1" applyBorder="1" applyAlignment="1">
      <alignment horizontal="center"/>
    </xf>
    <xf numFmtId="0" fontId="57" fillId="60" borderId="2" xfId="0" applyFont="1" applyFill="1" applyBorder="1"/>
    <xf numFmtId="1" fontId="0" fillId="61" borderId="0" xfId="0" applyNumberFormat="1" applyFill="1" applyAlignment="1">
      <alignment horizontal="center"/>
    </xf>
    <xf numFmtId="2" fontId="4" fillId="49" borderId="0" xfId="0" applyNumberFormat="1" applyFont="1" applyFill="1" applyAlignment="1">
      <alignment horizontal="center"/>
    </xf>
    <xf numFmtId="0" fontId="55" fillId="49" borderId="30" xfId="0" applyFont="1" applyFill="1" applyBorder="1"/>
    <xf numFmtId="0" fontId="55" fillId="56" borderId="30" xfId="0" applyFont="1" applyFill="1" applyBorder="1"/>
    <xf numFmtId="0" fontId="56" fillId="49" borderId="30" xfId="0" applyFont="1" applyFill="1" applyBorder="1"/>
    <xf numFmtId="0" fontId="3" fillId="2" borderId="0" xfId="2" applyFill="1" applyAlignment="1">
      <alignment horizontal="right" vertical="center" wrapText="1"/>
    </xf>
    <xf numFmtId="0" fontId="56" fillId="62" borderId="2" xfId="0" applyFont="1" applyFill="1" applyBorder="1"/>
    <xf numFmtId="0" fontId="56"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5" fillId="65" borderId="30" xfId="0" applyFont="1" applyFill="1" applyBorder="1"/>
    <xf numFmtId="0" fontId="57" fillId="66" borderId="2" xfId="0" applyFont="1" applyFill="1" applyBorder="1"/>
    <xf numFmtId="1" fontId="0" fillId="55" borderId="0" xfId="0" applyNumberFormat="1" applyFill="1" applyAlignment="1">
      <alignment horizontal="center" wrapText="1"/>
    </xf>
    <xf numFmtId="0" fontId="57" fillId="69" borderId="2" xfId="0" applyFont="1" applyFill="1" applyBorder="1"/>
    <xf numFmtId="1" fontId="64" fillId="0" borderId="0" xfId="0" applyNumberFormat="1" applyFont="1" applyAlignment="1">
      <alignment horizontal="center"/>
    </xf>
    <xf numFmtId="1" fontId="64" fillId="0" borderId="0" xfId="0" applyNumberFormat="1" applyFont="1" applyAlignment="1">
      <alignment horizontal="left"/>
    </xf>
    <xf numFmtId="0" fontId="65" fillId="0" borderId="0" xfId="0" applyFont="1" applyAlignment="1">
      <alignment horizontal="center"/>
    </xf>
    <xf numFmtId="0" fontId="65" fillId="0" borderId="0" xfId="0" applyFont="1" applyAlignment="1">
      <alignment horizontal="right"/>
    </xf>
    <xf numFmtId="0" fontId="65" fillId="68" borderId="0" xfId="0" applyFont="1" applyFill="1"/>
    <xf numFmtId="0" fontId="65" fillId="0" borderId="0" xfId="0" applyFont="1"/>
    <xf numFmtId="1" fontId="66" fillId="12" borderId="9" xfId="0" applyNumberFormat="1" applyFont="1" applyFill="1" applyBorder="1" applyAlignment="1">
      <alignment horizontal="center"/>
    </xf>
    <xf numFmtId="0" fontId="67" fillId="13" borderId="0" xfId="0" applyFont="1" applyFill="1" applyAlignment="1">
      <alignment horizontal="center"/>
    </xf>
    <xf numFmtId="1" fontId="66" fillId="67" borderId="0" xfId="0" applyNumberFormat="1" applyFont="1" applyFill="1" applyAlignment="1">
      <alignment horizontal="center"/>
    </xf>
    <xf numFmtId="0" fontId="68" fillId="0" borderId="0" xfId="0" applyFont="1"/>
    <xf numFmtId="0" fontId="69" fillId="0" borderId="0" xfId="4"/>
    <xf numFmtId="22" fontId="69" fillId="0" borderId="0" xfId="4" applyNumberFormat="1"/>
    <xf numFmtId="0" fontId="4" fillId="70" borderId="0" xfId="0" applyFont="1" applyFill="1"/>
    <xf numFmtId="0" fontId="0" fillId="70" borderId="0" xfId="0" applyFill="1"/>
    <xf numFmtId="0" fontId="9" fillId="71" borderId="0" xfId="0" applyFont="1" applyFill="1" applyAlignment="1">
      <alignment horizontal="center"/>
    </xf>
    <xf numFmtId="0" fontId="9"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0" fillId="73" borderId="0" xfId="0" applyFont="1" applyFill="1" applyAlignment="1">
      <alignment horizontal="center"/>
    </xf>
    <xf numFmtId="0" fontId="70"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1" fillId="0" borderId="0" xfId="0" applyNumberFormat="1" applyFont="1" applyAlignment="1">
      <alignment horizontal="right"/>
    </xf>
    <xf numFmtId="0" fontId="71" fillId="0" borderId="0" xfId="0" applyFont="1"/>
    <xf numFmtId="0" fontId="4" fillId="0" borderId="0" xfId="0" applyFont="1" applyAlignment="1">
      <alignment horizontal="center" wrapText="1"/>
    </xf>
    <xf numFmtId="1" fontId="4" fillId="0" borderId="0" xfId="0" applyNumberFormat="1" applyFont="1" applyAlignment="1">
      <alignment horizontal="center" wrapText="1"/>
    </xf>
    <xf numFmtId="0" fontId="4" fillId="65" borderId="0" xfId="0" applyFont="1" applyFill="1" applyAlignment="1">
      <alignment horizontal="center" wrapText="1"/>
    </xf>
    <xf numFmtId="0" fontId="4" fillId="0" borderId="0" xfId="0" applyFont="1" applyAlignment="1">
      <alignment horizontal="right" wrapText="1"/>
    </xf>
    <xf numFmtId="0" fontId="4" fillId="65" borderId="0" xfId="0" applyFont="1" applyFill="1" applyAlignment="1">
      <alignment horizontal="right" wrapText="1"/>
    </xf>
    <xf numFmtId="170" fontId="4" fillId="57" borderId="0" xfId="0" applyNumberFormat="1" applyFont="1" applyFill="1" applyAlignment="1">
      <alignment horizontal="center" wrapText="1"/>
    </xf>
    <xf numFmtId="0" fontId="4" fillId="57" borderId="0" xfId="0" applyFont="1" applyFill="1" applyAlignment="1">
      <alignment horizontal="center" wrapText="1"/>
    </xf>
    <xf numFmtId="0" fontId="4"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2" fillId="0" borderId="26" xfId="0" applyFont="1" applyBorder="1" applyAlignment="1">
      <alignment horizontal="center" wrapText="1"/>
    </xf>
    <xf numFmtId="0" fontId="72" fillId="0" borderId="1" xfId="0" applyFont="1" applyBorder="1" applyAlignment="1">
      <alignment horizontal="center" wrapText="1"/>
    </xf>
    <xf numFmtId="0" fontId="72"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4" fillId="0" borderId="0" xfId="0" applyNumberFormat="1" applyFont="1" applyAlignment="1">
      <alignment horizontal="right" wrapText="1"/>
    </xf>
    <xf numFmtId="1" fontId="73" fillId="74" borderId="0" xfId="3" applyNumberFormat="1" applyFont="1" applyFill="1"/>
    <xf numFmtId="0" fontId="55" fillId="46" borderId="0" xfId="3" applyFont="1" applyFill="1" applyAlignment="1">
      <alignment horizontal="center"/>
    </xf>
    <xf numFmtId="0" fontId="55"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1" fillId="0" borderId="0" xfId="5"/>
    <xf numFmtId="164" fontId="28" fillId="65" borderId="0" xfId="5" applyNumberFormat="1" applyFont="1" applyFill="1" applyAlignment="1">
      <alignment horizontal="right"/>
    </xf>
    <xf numFmtId="164" fontId="1" fillId="65" borderId="0" xfId="5" applyNumberFormat="1" applyFill="1"/>
    <xf numFmtId="175" fontId="1" fillId="0" borderId="0" xfId="5" applyNumberFormat="1"/>
    <xf numFmtId="0" fontId="1" fillId="0" borderId="0" xfId="5" applyAlignment="1">
      <alignment horizontal="right"/>
    </xf>
    <xf numFmtId="1" fontId="1" fillId="0" borderId="0" xfId="5" applyNumberFormat="1" applyAlignment="1">
      <alignment horizontal="right"/>
    </xf>
    <xf numFmtId="175" fontId="71" fillId="0" borderId="0" xfId="5" applyNumberFormat="1" applyFont="1" applyAlignment="1">
      <alignment horizontal="right"/>
    </xf>
    <xf numFmtId="175" fontId="1" fillId="0" borderId="0" xfId="5" applyNumberFormat="1" applyAlignment="1">
      <alignment horizontal="right"/>
    </xf>
    <xf numFmtId="0" fontId="1" fillId="0" borderId="0" xfId="5" applyAlignment="1">
      <alignment horizontal="center"/>
    </xf>
    <xf numFmtId="0" fontId="4" fillId="0" borderId="0" xfId="5" applyFont="1" applyAlignment="1">
      <alignment horizontal="center" wrapText="1"/>
    </xf>
    <xf numFmtId="0" fontId="72" fillId="0" borderId="27" xfId="5" applyFont="1" applyBorder="1" applyAlignment="1">
      <alignment horizontal="center" wrapText="1"/>
    </xf>
    <xf numFmtId="0" fontId="72" fillId="0" borderId="1" xfId="5" applyFont="1" applyBorder="1" applyAlignment="1">
      <alignment horizontal="center" wrapText="1"/>
    </xf>
    <xf numFmtId="0" fontId="72" fillId="0" borderId="26" xfId="5" applyFont="1" applyBorder="1" applyAlignment="1">
      <alignment horizontal="center" wrapText="1"/>
    </xf>
    <xf numFmtId="0" fontId="75" fillId="57" borderId="0" xfId="5" applyFont="1" applyFill="1" applyAlignment="1">
      <alignment horizontal="center" wrapText="1"/>
    </xf>
    <xf numFmtId="0" fontId="75" fillId="51" borderId="0" xfId="5" applyFont="1" applyFill="1" applyAlignment="1">
      <alignment horizontal="center" wrapText="1"/>
    </xf>
    <xf numFmtId="170" fontId="75" fillId="57" borderId="0" xfId="5" applyNumberFormat="1" applyFont="1" applyFill="1" applyAlignment="1">
      <alignment horizontal="center" wrapText="1"/>
    </xf>
    <xf numFmtId="1" fontId="4" fillId="0" borderId="0" xfId="5" applyNumberFormat="1" applyFont="1" applyAlignment="1">
      <alignment horizontal="center" wrapText="1"/>
    </xf>
    <xf numFmtId="1" fontId="4" fillId="0" borderId="0" xfId="5" applyNumberFormat="1" applyFont="1" applyAlignment="1">
      <alignment horizontal="right" wrapText="1"/>
    </xf>
    <xf numFmtId="0" fontId="4" fillId="0" borderId="0" xfId="5" applyFont="1" applyAlignment="1">
      <alignment horizontal="right" wrapText="1"/>
    </xf>
    <xf numFmtId="0" fontId="1" fillId="0" borderId="25" xfId="5" applyBorder="1" applyAlignment="1">
      <alignment horizontal="center"/>
    </xf>
    <xf numFmtId="0" fontId="1" fillId="0" borderId="32" xfId="5" applyBorder="1" applyAlignment="1">
      <alignment horizontal="center"/>
    </xf>
    <xf numFmtId="0" fontId="1" fillId="0" borderId="24" xfId="5" applyBorder="1" applyAlignment="1">
      <alignment horizontal="center"/>
    </xf>
    <xf numFmtId="0" fontId="1" fillId="57" borderId="0" xfId="5" applyFill="1" applyAlignment="1">
      <alignment horizontal="center"/>
    </xf>
    <xf numFmtId="0" fontId="1" fillId="51" borderId="0" xfId="5" applyFill="1" applyAlignment="1">
      <alignment horizontal="center"/>
    </xf>
    <xf numFmtId="1" fontId="1" fillId="0" borderId="0" xfId="5" applyNumberFormat="1"/>
    <xf numFmtId="170" fontId="1" fillId="0" borderId="0" xfId="5" applyNumberFormat="1" applyAlignment="1">
      <alignment horizontal="center"/>
    </xf>
    <xf numFmtId="170" fontId="1" fillId="0" borderId="0" xfId="5" applyNumberFormat="1"/>
    <xf numFmtId="1" fontId="1" fillId="76" borderId="0" xfId="5" applyNumberFormat="1" applyFill="1" applyAlignment="1">
      <alignment horizontal="right"/>
    </xf>
    <xf numFmtId="0" fontId="1" fillId="76" borderId="0" xfId="5" applyFill="1" applyAlignment="1">
      <alignment horizontal="right"/>
    </xf>
    <xf numFmtId="164" fontId="1" fillId="76" borderId="0" xfId="5" applyNumberFormat="1" applyFill="1"/>
    <xf numFmtId="0" fontId="1" fillId="76" borderId="0" xfId="5" applyFill="1"/>
    <xf numFmtId="164" fontId="1" fillId="0" borderId="0" xfId="5" applyNumberFormat="1"/>
    <xf numFmtId="164" fontId="1" fillId="65" borderId="0" xfId="5" applyNumberFormat="1" applyFill="1" applyAlignment="1">
      <alignment horizontal="right"/>
    </xf>
    <xf numFmtId="164" fontId="1" fillId="0" borderId="0" xfId="5" applyNumberFormat="1" applyAlignment="1">
      <alignment horizontal="right"/>
    </xf>
    <xf numFmtId="164" fontId="1" fillId="0" borderId="0" xfId="5" applyNumberFormat="1" applyAlignment="1">
      <alignment horizontal="center"/>
    </xf>
    <xf numFmtId="0" fontId="0" fillId="0" borderId="0" xfId="0" applyAlignment="1">
      <alignment horizontal="center"/>
    </xf>
    <xf numFmtId="0" fontId="0" fillId="6" borderId="2" xfId="0" applyFill="1" applyBorder="1" applyAlignment="1">
      <alignment horizontal="center"/>
    </xf>
    <xf numFmtId="0" fontId="5" fillId="7" borderId="2" xfId="0" applyFont="1" applyFill="1" applyBorder="1" applyAlignment="1">
      <alignment horizontal="right"/>
    </xf>
    <xf numFmtId="0" fontId="0" fillId="7" borderId="2" xfId="0" applyFill="1" applyBorder="1" applyAlignment="1">
      <alignment horizontal="right"/>
    </xf>
    <xf numFmtId="0" fontId="43" fillId="16" borderId="2" xfId="0" applyFont="1" applyFill="1" applyBorder="1" applyAlignment="1">
      <alignment horizontal="center"/>
    </xf>
    <xf numFmtId="0" fontId="46" fillId="0" borderId="28" xfId="0" applyFont="1" applyBorder="1" applyAlignment="1">
      <alignment horizontal="left" wrapText="1"/>
    </xf>
    <xf numFmtId="0" fontId="0" fillId="0" borderId="2" xfId="0" applyBorder="1" applyAlignment="1">
      <alignment horizontal="center"/>
    </xf>
    <xf numFmtId="0" fontId="46" fillId="0" borderId="28" xfId="0" applyFont="1" applyBorder="1" applyAlignment="1">
      <alignment horizontal="left" vertical="center" wrapText="1"/>
    </xf>
    <xf numFmtId="0" fontId="0" fillId="0" borderId="10" xfId="0" applyBorder="1" applyAlignment="1">
      <alignment horizontal="center"/>
    </xf>
    <xf numFmtId="0" fontId="45" fillId="16" borderId="2" xfId="0" applyFont="1" applyFill="1" applyBorder="1" applyAlignment="1">
      <alignment horizontal="center"/>
    </xf>
    <xf numFmtId="0" fontId="47" fillId="0" borderId="28" xfId="0" applyFont="1" applyBorder="1" applyAlignment="1">
      <alignment horizontal="left"/>
    </xf>
    <xf numFmtId="0" fontId="53" fillId="0" borderId="23" xfId="0" applyFont="1" applyBorder="1" applyAlignment="1">
      <alignment horizontal="center"/>
    </xf>
    <xf numFmtId="0" fontId="49" fillId="43" borderId="29" xfId="0" applyFont="1" applyFill="1" applyBorder="1" applyAlignment="1">
      <alignment horizontal="center" vertical="center" wrapText="1" readingOrder="1"/>
    </xf>
    <xf numFmtId="0" fontId="50" fillId="0" borderId="28" xfId="0" applyFont="1" applyBorder="1" applyAlignment="1">
      <alignment horizontal="left" vertical="top" wrapText="1"/>
    </xf>
    <xf numFmtId="0" fontId="52" fillId="20" borderId="0" xfId="0" applyFont="1" applyFill="1" applyAlignment="1">
      <alignment horizontal="center"/>
    </xf>
    <xf numFmtId="1" fontId="0" fillId="45" borderId="0" xfId="0" applyNumberFormat="1" applyFill="1" applyAlignment="1">
      <alignment horizontal="center"/>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1">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75" formatCode="_(* #,##0.0000_);_(* \(#,##0.0\);_(* \-??_);_(@_)"/>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164" formatCode="0.0"/>
      <fill>
        <patternFill patternType="solid">
          <fgColor indexed="64"/>
          <bgColor theme="4" tint="0.79998168889431442"/>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border>
        <top style="thin">
          <color auto="1"/>
        </top>
        <vertical/>
        <horizontal/>
      </border>
    </dxf>
    <dxf>
      <border>
        <bottom style="thin">
          <color auto="1"/>
        </bottom>
        <vertical/>
        <horizontal/>
      </border>
    </dxf>
    <dxf>
      <border>
        <top style="thin">
          <color auto="1"/>
        </top>
        <vertical/>
        <horizontal/>
      </border>
    </dxf>
    <dxf>
      <border>
        <bottom style="thin">
          <color auto="1"/>
        </bottom>
        <vertical/>
        <horizontal/>
      </border>
    </dxf>
    <dxf>
      <fill>
        <patternFill>
          <bgColor rgb="FFFF0000"/>
        </patternFill>
      </fill>
    </dxf>
    <dxf>
      <fill>
        <patternFill>
          <bgColor theme="0"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8" unboundColumnsRight="54">
    <queryTableFields count="58">
      <queryTableField id="3" name="CommandStr" tableColumnId="3"/>
      <queryTableField id="4" name="MET" tableColumnId="4"/>
      <queryTableField id="5" name="cmd" tableColumnId="5"/>
      <queryTableField id="6" name="arg" tableColumnId="6"/>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F97" tableType="queryTable" totalsRowShown="0">
  <tableColumns count="58">
    <tableColumn id="3" xr3:uid="{2388C90F-2358-4631-83F5-0F5E6C4A0452}" uniqueName="3" name="CommandStr" queryTableFieldId="3" dataCellStyle="Normal 5"/>
    <tableColumn id="4" xr3:uid="{E3799C3A-4B31-4D4E-8397-EE7909C117C2}" uniqueName="4" name="MET" queryTableFieldId="4" dataCellStyle="Normal 5"/>
    <tableColumn id="5" xr3:uid="{DE120A99-B5F2-4B1A-A22E-A9BEEE9C55B0}" uniqueName="5" name="cmd" queryTableFieldId="5" dataCellStyle="Normal 5"/>
    <tableColumn id="6" xr3:uid="{19AF7F27-0D9D-4BCE-A533-94878B619783}" uniqueName="6" name="arg" queryTableFieldId="6" dataDxfId="100" dataCellStyle="Normal 5"/>
    <tableColumn id="14" xr3:uid="{662EB3B0-32F5-402D-80A6-61D3564CADAD}" uniqueName="14" name="a" queryTableFieldId="14" dataDxfId="46" dataCellStyle="Normal 5"/>
    <tableColumn id="15" xr3:uid="{9C5328F3-FA02-47D1-83DC-B1DBCA9D89BA}" uniqueName="15" name="cmd+arg" queryTableFieldId="15" dataDxfId="45" dataCellStyle="Normal 5">
      <calculatedColumnFormula>_xlfn.TEXTJOIN("+",TRUE,$C14:$D14)</calculatedColumnFormula>
    </tableColumn>
    <tableColumn id="16" xr3:uid="{F4B97D7B-76B9-472C-BE55-DDF523C91B54}" uniqueName="16" name="MET Start" queryTableFieldId="16" dataDxfId="44" dataCellStyle="Normal 5">
      <calculatedColumnFormula>IF($C14="ON",$B14,IF(G13="MET Start","",G13))</calculatedColumnFormula>
    </tableColumn>
    <tableColumn id="17" xr3:uid="{75D7A893-75C0-4A6D-8B25-0B595F60D7D7}" uniqueName="17" name="MET End" queryTableFieldId="17" dataDxfId="43" dataCellStyle="Normal 5">
      <calculatedColumnFormula>IF($C14="OFF",$B14,IF($B15="",$B14+31500000,IF($F15="MAC+111",$B15,H15)))</calculatedColumnFormula>
    </tableColumn>
    <tableColumn id="18" xr3:uid="{FE7FC58F-1F68-4601-9509-6833A5279466}" uniqueName="18" name="Offset fr Start" queryTableFieldId="18" dataDxfId="42" dataCellStyle="Normal 5">
      <calculatedColumnFormula>IF(OR($C14="ON",$F14="MAC+111"),0,IF(OR(I13="",I13="Offset fr Start"),"",I13+1))</calculatedColumnFormula>
    </tableColumn>
    <tableColumn id="19" xr3:uid="{2E9987EA-D81C-4D54-957D-0506DB032AC5}" uniqueName="19" name="Offset to End" queryTableFieldId="19" dataDxfId="41" dataCellStyle="Normal 5">
      <calculatedColumnFormula>IF($C14="OFF",0,IF($I15&lt;&gt;0,J15+1,1))</calculatedColumnFormula>
    </tableColumn>
    <tableColumn id="20" xr3:uid="{462F98F8-6248-4D4E-8AD2-6EC7109B2E52}" uniqueName="20" name="b" queryTableFieldId="20" dataDxfId="40" dataCellStyle="Normal 5"/>
    <tableColumn id="21" xr3:uid="{0FBD6B38-B1E1-4E9C-81A5-CA14B2F9084A}" uniqueName="21" name="N1" queryTableFieldId="21" dataDxfId="99" dataCellStyle="Normal 5">
      <calculatedColumnFormula>IF($C14="ON","",IF($C14="N1",$D14,IF(L13="N1","",L13)))</calculatedColumnFormula>
    </tableColumn>
    <tableColumn id="22" xr3:uid="{A5045F8C-7AE0-4763-BBC4-A4CC8954069F}" uniqueName="22" name="N2" queryTableFieldId="22" dataDxfId="98" dataCellStyle="Normal 5">
      <calculatedColumnFormula>IF($C14="ON","",IF($C14="N2",$D14,IF($F14="MAC+103",3,IF($F14="MAC+104",2,IF(M13="N2","",M13)))))</calculatedColumnFormula>
    </tableColumn>
    <tableColumn id="23" xr3:uid="{9B014DB1-4E67-4325-A7FF-B51BB73C144C}" uniqueName="23" name="N3" queryTableFieldId="23" dataDxfId="97" dataCellStyle="Normal 5">
      <calculatedColumnFormula>IF($C14="ON","",IF($C14="N3",$D14,IF(N13="N3","",N13)))</calculatedColumnFormula>
    </tableColumn>
    <tableColumn id="24" xr3:uid="{5660ED6E-B39C-41E9-9202-1674D6671C41}" uniqueName="24" name="STAT" queryTableFieldId="24" dataDxfId="96" dataCellStyle="Normal 5">
      <calculatedColumnFormula>IF($C14="ON","",IF($C14="STAT",$D14,IF(O13="STAT","",O13)))</calculatedColumnFormula>
    </tableColumn>
    <tableColumn id="25" xr3:uid="{12FF0207-469E-4F94-A1F8-EBA478DE17D3}" uniqueName="25" name="N2 disabled" queryTableFieldId="25" dataDxfId="95" dataCellStyle="Normal 5">
      <calculatedColumnFormula>IF($C14="ON","",IF(AND($C14="MAC",105&lt;=$D14,$D14&lt;=110),"",IF(AND($C14="MAC",103&lt;=$D14,$D14&lt;=104),"disabled",IF(P13="N2 disabled","",P13))))</calculatedColumnFormula>
    </tableColumn>
    <tableColumn id="26" xr3:uid="{5E06349F-774C-418E-B3FB-63D723605E5A}" uniqueName="26" name="105-110_x000a_s/12h" queryTableFieldId="26" dataDxfId="94" dataCellStyle="Normal 5">
      <calculatedColumnFormula>IF(F14="ON","",IF($F14="MAC+105",300,IF($F14="MAC+106",600,IF($F14="MAC+107",840,IF($F14="MAC+108",1200,IF($F14="MAC+109",1800,IF($F14="MAC+110",43200,IF(LEFT(Q13,4)="105-","",Q13))))))))</calculatedColumnFormula>
    </tableColumn>
    <tableColumn id="27" xr3:uid="{64AF562B-F04F-41BB-8ECA-C5897F819C6A}" uniqueName="27" name="102_x000a_active?" queryTableFieldId="27" dataDxfId="93" dataCellStyle="Normal 5">
      <calculatedColumnFormula>IF($C14="ON","",IF($F14="MAC+102","102",IF(RIGHT(R13,1)="?","",R13)))</calculatedColumnFormula>
    </tableColumn>
    <tableColumn id="28" xr3:uid="{EBBF58EA-A53F-4BBA-A5D0-7897A48C89F7}" uniqueName="28" name="c" queryTableFieldId="28" dataDxfId="39" dataCellStyle="Normal 5"/>
    <tableColumn id="29" xr3:uid="{3369BB1D-534B-4412-A3BF-FEC6F2C8BBA1}" uniqueName="29" name="TrgAssess_x000a_bit/s" queryTableFieldId="29" dataDxfId="38" dataCellStyle="Normal 5">
      <calculatedColumnFormula>IF($M14="",0,T$1/64/$M14)</calculatedColumnFormula>
    </tableColumn>
    <tableColumn id="30" xr3:uid="{55B18AA0-1F9B-467A-B1E9-BA2EE8619FDC}" uniqueName="30" name="BRD_x000a_bit/s" queryTableFieldId="30" dataDxfId="37" dataCellStyle="Normal 5">
      <calculatedColumnFormula>IF($M14="",0,U$1/64/$M14)</calculatedColumnFormula>
    </tableColumn>
    <tableColumn id="31" xr3:uid="{090EFE20-88EA-4674-BD37-BEF6B463F4DB}" uniqueName="31" name="STAT_x000a_bit/s" queryTableFieldId="31" dataDxfId="36" dataCellStyle="Normal 5">
      <calculatedColumnFormula>IF($O14="",0,V$1/$O14)</calculatedColumnFormula>
    </tableColumn>
    <tableColumn id="32" xr3:uid="{B18EAE2A-70E1-4898-A71B-5A3C36BF4EE0}" uniqueName="32" name="N1_x000a_bit/s" queryTableFieldId="32" dataDxfId="35" dataCellStyle="Normal 5">
      <calculatedColumnFormula>IF($L14="",0,W$1/$L14)</calculatedColumnFormula>
    </tableColumn>
    <tableColumn id="33" xr3:uid="{E4838A52-964A-4DE1-B5E0-0AE42E730F68}" uniqueName="33" name="N2_x000a_bit/s" queryTableFieldId="33" dataDxfId="34" dataCellStyle="Normal 5">
      <calculatedColumnFormula>IF(OR($M14="",$P14&lt;&gt;""),0,X$1/$M14)</calculatedColumnFormula>
    </tableColumn>
    <tableColumn id="34" xr3:uid="{FB6527D2-6F60-4531-AE7F-873F0C6AB8D6}" uniqueName="34" name="N2_x000a_bit/s2" queryTableFieldId="34" dataDxfId="33" dataCellStyle="Normal 5">
      <calculatedColumnFormula>IF($M14="",0,IF($Q14="",1,Q14/43200)*X14)</calculatedColumnFormula>
    </tableColumn>
    <tableColumn id="35" xr3:uid="{9E653D53-4500-4832-A022-C911049DBBA5}" uniqueName="35" name="N3_x000a_bit/s" queryTableFieldId="35" dataDxfId="32" dataCellStyle="Normal 5">
      <calculatedColumnFormula>IF($N14="",0,Z$1/$N14)</calculatedColumnFormula>
    </tableColumn>
    <tableColumn id="36" xr3:uid="{8ED16EFB-45C9-4EDA-AF99-AA59788EFFC4}" uniqueName="36" name="d" queryTableFieldId="36" dataDxfId="31" dataCellStyle="Normal 5"/>
    <tableColumn id="37" xr3:uid="{84B53164-2455-4095-84F3-40F1C7BB6A8F}" uniqueName="37" name="DT1" queryTableFieldId="37" dataDxfId="30" dataCellStyle="Normal 5">
      <calculatedColumnFormula>IF(AB$3&lt;&gt;"",$V14,0)+IF(AB$4&lt;&gt;"",$T14,0)+IF(AB$5&lt;&gt;"",$Y14+IF($R14&lt;&gt;"102",$U14,0),0)+IF(AB$6&lt;&gt;"",$Z14+IF($R14="102",$U14,0),0)+IF(AB$7&lt;&gt;"",$W14,0)</calculatedColumnFormula>
    </tableColumn>
    <tableColumn id="38" xr3:uid="{8ED05B90-FD0D-4641-9784-41EE0A0AF784}" uniqueName="38" name="DT2" queryTableFieldId="38" dataDxfId="29" dataCellStyle="Normal 5">
      <calculatedColumnFormula>IF(AC$3&lt;&gt;"",$V14,0)+IF(AC$4&lt;&gt;"",$T14,0)+IF(AC$5&lt;&gt;"",$Y14+IF($R14&lt;&gt;"102",$U14,0),0)+IF(AC$6&lt;&gt;"",$Z14+IF($R14="102",$U14,0),0)+IF(AC$7&lt;&gt;"",$W14,0)</calculatedColumnFormula>
    </tableColumn>
    <tableColumn id="39" xr3:uid="{21A56DFA-7B01-43C3-AF52-C1FE5F2B5F13}" uniqueName="39" name="DT2DT1" queryTableFieldId="39" dataDxfId="28" dataCellStyle="Normal 5">
      <calculatedColumnFormula>IF(AD$3&lt;&gt;"",$V14,0)+IF(AD$4&lt;&gt;"",$T14,0)+IF(AD$5&lt;&gt;"",$Y14+IF($R14&lt;&gt;"102",$U14,0),0)+IF(AD$6&lt;&gt;"",$Z14+IF($R14="102",$U14,0),0)+IF(AD$7&lt;&gt;"",$W14,0)</calculatedColumnFormula>
    </tableColumn>
    <tableColumn id="40" xr3:uid="{ABBC0F6B-242D-4D3F-8BFD-C7DB67A6041A}" uniqueName="40" name="DT3" queryTableFieldId="40" dataDxfId="27" dataCellStyle="Normal 5">
      <calculatedColumnFormula>IF(AE$3&lt;&gt;"",$V14,0)+IF(AE$4&lt;&gt;"",$T14,0)+IF(AE$5&lt;&gt;"",$Y14+IF($R14&lt;&gt;"102",$U14,0),0)+IF(AE$6&lt;&gt;"",$Z14+IF($R14="102",$U14,0),0)+IF(AE$7&lt;&gt;"",$W14,0)</calculatedColumnFormula>
    </tableColumn>
    <tableColumn id="41" xr3:uid="{3F23E520-626C-43EB-A4F2-E99DE76487E9}" uniqueName="41" name="DT3DT1" queryTableFieldId="41" dataDxfId="26" dataCellStyle="Normal 5">
      <calculatedColumnFormula>IF(AF$3&lt;&gt;"",$V14,0)+IF(AF$4&lt;&gt;"",$T14,0)+IF(AF$5&lt;&gt;"",$Y14+IF($R14&lt;&gt;"102",$U14,0),0)+IF(AF$6&lt;&gt;"",$Z14+IF($R14="102",$U14,0),0)+IF(AF$7&lt;&gt;"",$W14,0)</calculatedColumnFormula>
    </tableColumn>
    <tableColumn id="42" xr3:uid="{776A660A-2DBC-4653-A779-A310CE3B8EFA}" uniqueName="42" name="DT3DT2" queryTableFieldId="42" dataDxfId="25" dataCellStyle="Normal 5">
      <calculatedColumnFormula>IF(AG$3&lt;&gt;"",$V14,0)+IF(AG$4&lt;&gt;"",$T14,0)+IF(AG$5&lt;&gt;"",$Y14+IF($R14&lt;&gt;"102",$U14,0),0)+IF(AG$6&lt;&gt;"",$Z14+IF($R14="102",$U14,0),0)+IF(AG$7&lt;&gt;"",$W14,0)</calculatedColumnFormula>
    </tableColumn>
    <tableColumn id="43" xr3:uid="{3931049E-EE8F-4899-BA67-94BC1581C220}" uniqueName="43" name="DT3DT2DT1" queryTableFieldId="43" dataDxfId="24" dataCellStyle="Normal 5">
      <calculatedColumnFormula>IF(AH$3&lt;&gt;"",$V14,0)+IF(AH$4&lt;&gt;"",$T14,0)+IF(AH$5&lt;&gt;"",$Y14+IF($R14&lt;&gt;"102",$U14,0),0)+IF(AH$6&lt;&gt;"",$Z14+IF($R14="102",$U14,0),0)+IF(AH$7&lt;&gt;"",$W14,0)</calculatedColumnFormula>
    </tableColumn>
    <tableColumn id="44" xr3:uid="{45E0294F-A66B-4BAE-9827-ED3AF39988D8}" uniqueName="44" name="DT4" queryTableFieldId="44" dataDxfId="23" dataCellStyle="Normal 5">
      <calculatedColumnFormula>IF(AI$3&lt;&gt;"",$V14,0)+IF(AI$4&lt;&gt;"",$T14,0)+IF(AI$5&lt;&gt;"",$Y14+IF($R14&lt;&gt;"102",$U14,0),0)+IF(AI$6&lt;&gt;"",$Z14+IF($R14="102",$U14,0),0)+IF(AI$7&lt;&gt;"",$W14,0)</calculatedColumnFormula>
    </tableColumn>
    <tableColumn id="45" xr3:uid="{99868B73-D9CB-4D6A-AF51-3624F4A08C17}" uniqueName="45" name="DT4DT1" queryTableFieldId="45" dataDxfId="22" dataCellStyle="Normal 5">
      <calculatedColumnFormula>IF(AJ$3&lt;&gt;"",$V14,0)+IF(AJ$4&lt;&gt;"",$T14,0)+IF(AJ$5&lt;&gt;"",$Y14+IF($R14&lt;&gt;"102",$U14,0),0)+IF(AJ$6&lt;&gt;"",$Z14+IF($R14="102",$U14,0),0)+IF(AJ$7&lt;&gt;"",$W14,0)</calculatedColumnFormula>
    </tableColumn>
    <tableColumn id="46" xr3:uid="{EFB5ACA6-D706-49A0-B305-CF2DDF0D3A87}" uniqueName="46" name="DT4DT2" queryTableFieldId="46" dataDxfId="21" dataCellStyle="Normal 5">
      <calculatedColumnFormula>IF(AK$3&lt;&gt;"",$V14,0)+IF(AK$4&lt;&gt;"",$T14,0)+IF(AK$5&lt;&gt;"",$Y14+IF($R14&lt;&gt;"102",$U14,0),0)+IF(AK$6&lt;&gt;"",$Z14+IF($R14="102",$U14,0),0)+IF(AK$7&lt;&gt;"",$W14,0)</calculatedColumnFormula>
    </tableColumn>
    <tableColumn id="47" xr3:uid="{0FA7BE0E-A683-4A99-A12C-6395E23C069D}" uniqueName="47" name="DT4DT2DT1" queryTableFieldId="47" dataDxfId="20" dataCellStyle="Normal 5">
      <calculatedColumnFormula>IF(AL$3&lt;&gt;"",$V14,0)+IF(AL$4&lt;&gt;"",$T14,0)+IF(AL$5&lt;&gt;"",$Y14+IF($R14&lt;&gt;"102",$U14,0),0)+IF(AL$6&lt;&gt;"",$Z14+IF($R14="102",$U14,0),0)+IF(AL$7&lt;&gt;"",$W14,0)</calculatedColumnFormula>
    </tableColumn>
    <tableColumn id="48" xr3:uid="{866498C8-9DEB-40C1-AE1D-5446ABF86309}" uniqueName="48" name="DT4DT3" queryTableFieldId="48" dataDxfId="19" dataCellStyle="Normal 5">
      <calculatedColumnFormula>IF(AM$3&lt;&gt;"",$V14,0)+IF(AM$4&lt;&gt;"",$T14,0)+IF(AM$5&lt;&gt;"",$Y14+IF($R14&lt;&gt;"102",$U14,0),0)+IF(AM$6&lt;&gt;"",$Z14+IF($R14="102",$U14,0),0)+IF(AM$7&lt;&gt;"",$W14,0)</calculatedColumnFormula>
    </tableColumn>
    <tableColumn id="49" xr3:uid="{DE51AB0F-398F-434A-A627-E3880F0FFF3B}" uniqueName="49" name="DT4DT3DT1" queryTableFieldId="49" dataDxfId="18" dataCellStyle="Normal 5">
      <calculatedColumnFormula>IF(AN$3&lt;&gt;"",$V14,0)+IF(AN$4&lt;&gt;"",$T14,0)+IF(AN$5&lt;&gt;"",$Y14+IF($R14&lt;&gt;"102",$U14,0),0)+IF(AN$6&lt;&gt;"",$Z14+IF($R14="102",$U14,0),0)+IF(AN$7&lt;&gt;"",$W14,0)</calculatedColumnFormula>
    </tableColumn>
    <tableColumn id="50" xr3:uid="{24D12476-4596-45B8-9EC7-FF4B6C4868AA}" uniqueName="50" name="DT4DT3DT2" queryTableFieldId="50" dataDxfId="17" dataCellStyle="Normal 5">
      <calculatedColumnFormula>IF(AO$3&lt;&gt;"",$V14,0)+IF(AO$4&lt;&gt;"",$T14,0)+IF(AO$5&lt;&gt;"",$Y14+IF($R14&lt;&gt;"102",$U14,0),0)+IF(AO$6&lt;&gt;"",$Z14+IF($R14="102",$U14,0),0)+IF(AO$7&lt;&gt;"",$W14,0)</calculatedColumnFormula>
    </tableColumn>
    <tableColumn id="51" xr3:uid="{BF1BC10A-846C-4E7A-80B1-4CE86A71826B}" uniqueName="51" name="DT4DT3DT2DT1" queryTableFieldId="51" dataDxfId="16" dataCellStyle="Normal 5">
      <calculatedColumnFormula>IF(AP$3&lt;&gt;"",$V14,0)+IF(AP$4&lt;&gt;"",$T14,0)+IF(AP$5&lt;&gt;"",$Y14+IF($R14&lt;&gt;"102",$U14,0),0)+IF(AP$6&lt;&gt;"",$Z14+IF($R14="102",$U14,0),0)+IF(AP$7&lt;&gt;"",$W14,0)</calculatedColumnFormula>
    </tableColumn>
    <tableColumn id="52" xr3:uid="{95949A76-5F02-40FF-B992-A0BF67500C10}" uniqueName="52" name="HSK3" queryTableFieldId="52" dataDxfId="15" dataCellStyle="Normal 5">
      <calculatedColumnFormula>IF(AQ$3&lt;&gt;"",$V14,0)+IF(AQ$4&lt;&gt;"",$T14,0)+IF(AQ$5&lt;&gt;"",$Y14+IF($R14&lt;&gt;"102",$U14,0),0)+IF(AQ$6&lt;&gt;"",$Z14+IF($R14="102",$U14,0),0)+IF(AQ$7&lt;&gt;"",$W14,0)</calculatedColumnFormula>
    </tableColumn>
    <tableColumn id="53" xr3:uid="{307C564A-1F74-4881-BCCE-13EC1452AB24}" uniqueName="53" name="HSK3DT1" queryTableFieldId="53" dataDxfId="14" dataCellStyle="Normal 5">
      <calculatedColumnFormula>IF(AR$3&lt;&gt;"",$V14,0)+IF(AR$4&lt;&gt;"",$T14,0)+IF(AR$5&lt;&gt;"",$Y14+IF($R14&lt;&gt;"102",$U14,0),0)+IF(AR$6&lt;&gt;"",$Z14+IF($R14="102",$U14,0),0)+IF(AR$7&lt;&gt;"",$W14,0)</calculatedColumnFormula>
    </tableColumn>
    <tableColumn id="54" xr3:uid="{31145E34-B3F6-4838-86EB-3080DB6BD4E4}" uniqueName="54" name="HSK3DT2" queryTableFieldId="54" dataDxfId="13" dataCellStyle="Normal 5">
      <calculatedColumnFormula>IF(AS$3&lt;&gt;"",$V14,0)+IF(AS$4&lt;&gt;"",$T14,0)+IF(AS$5&lt;&gt;"",$Y14+IF($R14&lt;&gt;"102",$U14,0),0)+IF(AS$6&lt;&gt;"",$Z14+IF($R14="102",$U14,0),0)+IF(AS$7&lt;&gt;"",$W14,0)</calculatedColumnFormula>
    </tableColumn>
    <tableColumn id="55" xr3:uid="{C60BC714-1883-4909-B09B-55828E53F790}" uniqueName="55" name="HSK3DT2DT1" queryTableFieldId="55" dataDxfId="12" dataCellStyle="Normal 5">
      <calculatedColumnFormula>IF(AT$3&lt;&gt;"",$V14,0)+IF(AT$4&lt;&gt;"",$T14,0)+IF(AT$5&lt;&gt;"",$Y14+IF($R14&lt;&gt;"102",$U14,0),0)+IF(AT$6&lt;&gt;"",$Z14+IF($R14="102",$U14,0),0)+IF(AT$7&lt;&gt;"",$W14,0)</calculatedColumnFormula>
    </tableColumn>
    <tableColumn id="56" xr3:uid="{539D70BE-7180-4948-807E-02785FDFA316}" uniqueName="56" name="HSK3DT3" queryTableFieldId="56" dataDxfId="11" dataCellStyle="Normal 5">
      <calculatedColumnFormula>IF(AU$3&lt;&gt;"",$V14,0)+IF(AU$4&lt;&gt;"",$T14,0)+IF(AU$5&lt;&gt;"",$Y14+IF($R14&lt;&gt;"102",$U14,0),0)+IF(AU$6&lt;&gt;"",$Z14+IF($R14="102",$U14,0),0)+IF(AU$7&lt;&gt;"",$W14,0)</calculatedColumnFormula>
    </tableColumn>
    <tableColumn id="57" xr3:uid="{F8CBCA95-E968-4270-90F8-E641A2335AB9}" uniqueName="57" name="HSK3DT3DT1" queryTableFieldId="57" dataDxfId="10" dataCellStyle="Normal 5">
      <calculatedColumnFormula>IF(AV$3&lt;&gt;"",$V14,0)+IF(AV$4&lt;&gt;"",$T14,0)+IF(AV$5&lt;&gt;"",$Y14+IF($R14&lt;&gt;"102",$U14,0),0)+IF(AV$6&lt;&gt;"",$Z14+IF($R14="102",$U14,0),0)+IF(AV$7&lt;&gt;"",$W14,0)</calculatedColumnFormula>
    </tableColumn>
    <tableColumn id="58" xr3:uid="{3BAC3E93-4423-4691-BC9B-E63079B3B99F}" uniqueName="58" name="HSK3DT3DT2" queryTableFieldId="58" dataDxfId="9" dataCellStyle="Normal 5">
      <calculatedColumnFormula>IF(AW$3&lt;&gt;"",$V14,0)+IF(AW$4&lt;&gt;"",$T14,0)+IF(AW$5&lt;&gt;"",$Y14+IF($R14&lt;&gt;"102",$U14,0),0)+IF(AW$6&lt;&gt;"",$Z14+IF($R14="102",$U14,0),0)+IF(AW$7&lt;&gt;"",$W14,0)</calculatedColumnFormula>
    </tableColumn>
    <tableColumn id="59" xr3:uid="{53527FBB-C0D6-424D-9010-9E99BA6320A2}" uniqueName="59" name="HSK3DT3DT2DT1" queryTableFieldId="59" dataDxfId="8" dataCellStyle="Normal 5">
      <calculatedColumnFormula>IF(AX$3&lt;&gt;"",$V14,0)+IF(AX$4&lt;&gt;"",$T14,0)+IF(AX$5&lt;&gt;"",$Y14+IF($R14&lt;&gt;"102",$U14,0),0)+IF(AX$6&lt;&gt;"",$Z14+IF($R14="102",$U14,0),0)+IF(AX$7&lt;&gt;"",$W14,0)</calculatedColumnFormula>
    </tableColumn>
    <tableColumn id="60" xr3:uid="{3802271E-84EE-44DF-A3AA-C2A5937DE7D3}" uniqueName="60" name="HSK3DT4" queryTableFieldId="60" dataDxfId="7" dataCellStyle="Normal 5">
      <calculatedColumnFormula>IF(AY$3&lt;&gt;"",$V14,0)+IF(AY$4&lt;&gt;"",$T14,0)+IF(AY$5&lt;&gt;"",$Y14+IF($R14&lt;&gt;"102",$U14,0),0)+IF(AY$6&lt;&gt;"",$Z14+IF($R14="102",$U14,0),0)+IF(AY$7&lt;&gt;"",$W14,0)</calculatedColumnFormula>
    </tableColumn>
    <tableColumn id="61" xr3:uid="{4B716812-FB9E-43F7-9335-7F3244735086}" uniqueName="61" name="HSK3DT4DT1" queryTableFieldId="61" dataDxfId="6" dataCellStyle="Normal 5">
      <calculatedColumnFormula>IF(AZ$3&lt;&gt;"",$V14,0)+IF(AZ$4&lt;&gt;"",$T14,0)+IF(AZ$5&lt;&gt;"",$Y14+IF($R14&lt;&gt;"102",$U14,0),0)+IF(AZ$6&lt;&gt;"",$Z14+IF($R14="102",$U14,0),0)+IF(AZ$7&lt;&gt;"",$W14,0)</calculatedColumnFormula>
    </tableColumn>
    <tableColumn id="62" xr3:uid="{50915A5B-8D34-4817-8459-454663B4516A}" uniqueName="62" name="HSK3DT4DT2" queryTableFieldId="62" dataDxfId="5" dataCellStyle="Normal 5">
      <calculatedColumnFormula>IF(BA$3&lt;&gt;"",$V14,0)+IF(BA$4&lt;&gt;"",$T14,0)+IF(BA$5&lt;&gt;"",$Y14+IF($R14&lt;&gt;"102",$U14,0),0)+IF(BA$6&lt;&gt;"",$Z14+IF($R14="102",$U14,0),0)+IF(BA$7&lt;&gt;"",$W14,0)</calculatedColumnFormula>
    </tableColumn>
    <tableColumn id="63" xr3:uid="{F1C56DB0-C72D-47E2-AA9A-5F2DC0A90416}" uniqueName="63" name="HSK3DT4DT2DT1" queryTableFieldId="63" dataDxfId="4" dataCellStyle="Normal 5">
      <calculatedColumnFormula>IF(BB$3&lt;&gt;"",$V14,0)+IF(BB$4&lt;&gt;"",$T14,0)+IF(BB$5&lt;&gt;"",$Y14+IF($R14&lt;&gt;"102",$U14,0),0)+IF(BB$6&lt;&gt;"",$Z14+IF($R14="102",$U14,0),0)+IF(BB$7&lt;&gt;"",$W14,0)</calculatedColumnFormula>
    </tableColumn>
    <tableColumn id="64" xr3:uid="{90EACDF9-5441-4162-BD22-9A7E1B0CEFAB}" uniqueName="64" name="HSK3DT4DT3" queryTableFieldId="64" dataDxfId="3" dataCellStyle="Normal 5">
      <calculatedColumnFormula>IF(BC$3&lt;&gt;"",$V14,0)+IF(BC$4&lt;&gt;"",$T14,0)+IF(BC$5&lt;&gt;"",$Y14+IF($R14&lt;&gt;"102",$U14,0),0)+IF(BC$6&lt;&gt;"",$Z14+IF($R14="102",$U14,0),0)+IF(BC$7&lt;&gt;"",$W14,0)</calculatedColumnFormula>
    </tableColumn>
    <tableColumn id="65" xr3:uid="{660BF87B-D83D-455A-A38B-255500770A17}" uniqueName="65" name="HSK3DT4DT3DT1" queryTableFieldId="65" dataDxfId="2" dataCellStyle="Normal 5">
      <calculatedColumnFormula>IF(BD$3&lt;&gt;"",$V14,0)+IF(BD$4&lt;&gt;"",$T14,0)+IF(BD$5&lt;&gt;"",$Y14+IF($R14&lt;&gt;"102",$U14,0),0)+IF(BD$6&lt;&gt;"",$Z14+IF($R14="102",$U14,0),0)+IF(BD$7&lt;&gt;"",$W14,0)</calculatedColumnFormula>
    </tableColumn>
    <tableColumn id="66" xr3:uid="{71447BA7-412D-422C-A628-EDBB897FD3A4}" uniqueName="66" name="HSK3DT4DT3DT2" queryTableFieldId="66" dataDxfId="1" dataCellStyle="Normal 5">
      <calculatedColumnFormula>IF(BE$3&lt;&gt;"",$V14,0)+IF(BE$4&lt;&gt;"",$T14,0)+IF(BE$5&lt;&gt;"",$Y14+IF($R14&lt;&gt;"102",$U14,0),0)+IF(BE$6&lt;&gt;"",$Z14+IF($R14="102",$U14,0),0)+IF(BE$7&lt;&gt;"",$W14,0)</calculatedColumnFormula>
    </tableColumn>
    <tableColumn id="67" xr3:uid="{F5A113A1-274F-4A94-B976-33A83A2461B6}" uniqueName="67" name="HSK3DT4DT3DT2DT1" queryTableFieldId="67" dataDxfId="0" dataCellStyle="Normal 5">
      <calculatedColumnFormula>IF(BF$3&lt;&gt;"",$V14,0)+IF(BF$4&lt;&gt;"",$T14,0)+IF(BF$5&lt;&gt;"",$Y14+IF($R14&lt;&gt;"102",$U14,0),0)+IF(BF$6&lt;&gt;"",$Z14+IF($R14="102",$U14,0),0)+IF(BF$7&lt;&gt;"",$W14,0)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68"/>
  <sheetViews>
    <sheetView topLeftCell="A19" workbookViewId="0">
      <selection activeCell="B37" sqref="B37"/>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8503</v>
      </c>
    </row>
    <row r="39" spans="1:3" s="459" customFormat="1">
      <c r="A39" s="458" t="s">
        <v>4397</v>
      </c>
    </row>
    <row r="40" spans="1:3">
      <c r="A40" s="455"/>
    </row>
    <row r="41" spans="1:3">
      <c r="B41" t="s">
        <v>4398</v>
      </c>
    </row>
    <row r="42" spans="1:3">
      <c r="B42" s="17" t="s">
        <v>4386</v>
      </c>
      <c r="C42" t="s">
        <v>4399</v>
      </c>
    </row>
    <row r="43" spans="1:3">
      <c r="B43" s="17"/>
    </row>
    <row r="44" spans="1:3">
      <c r="B44" t="s">
        <v>4414</v>
      </c>
    </row>
    <row r="45" spans="1:3">
      <c r="B45" s="17" t="s">
        <v>4386</v>
      </c>
      <c r="C45" t="s">
        <v>4400</v>
      </c>
    </row>
    <row r="46" spans="1:3">
      <c r="B46" s="17" t="s">
        <v>4386</v>
      </c>
      <c r="C46" t="s">
        <v>4412</v>
      </c>
    </row>
    <row r="47" spans="1:3">
      <c r="B47" s="17" t="s">
        <v>4386</v>
      </c>
      <c r="C47" t="s">
        <v>4413</v>
      </c>
    </row>
    <row r="48" spans="1:3">
      <c r="B48" s="17"/>
    </row>
    <row r="49" spans="2:4">
      <c r="B49" s="93" t="s">
        <v>4401</v>
      </c>
    </row>
    <row r="50" spans="2:4">
      <c r="B50" s="17" t="s">
        <v>4386</v>
      </c>
      <c r="C50" t="s">
        <v>4408</v>
      </c>
    </row>
    <row r="51" spans="2:4">
      <c r="C51" s="17" t="s">
        <v>4386</v>
      </c>
      <c r="D51" t="s">
        <v>4403</v>
      </c>
    </row>
    <row r="52" spans="2:4">
      <c r="C52" s="17" t="s">
        <v>4386</v>
      </c>
      <c r="D52" t="s">
        <v>4404</v>
      </c>
    </row>
    <row r="53" spans="2:4">
      <c r="C53" s="17" t="s">
        <v>4386</v>
      </c>
      <c r="D53" t="s">
        <v>4405</v>
      </c>
    </row>
    <row r="54" spans="2:4">
      <c r="C54" s="17" t="s">
        <v>4386</v>
      </c>
      <c r="D54" t="s">
        <v>4406</v>
      </c>
    </row>
    <row r="55" spans="2:4">
      <c r="C55" s="17" t="s">
        <v>4386</v>
      </c>
      <c r="D55" t="s">
        <v>4407</v>
      </c>
    </row>
    <row r="56" spans="2:4">
      <c r="B56" s="17" t="s">
        <v>4386</v>
      </c>
      <c r="C56" t="s">
        <v>4402</v>
      </c>
    </row>
    <row r="58" spans="2:4">
      <c r="B58" t="s">
        <v>4409</v>
      </c>
    </row>
    <row r="59" spans="2:4">
      <c r="B59" s="17" t="s">
        <v>4386</v>
      </c>
      <c r="C59" t="s">
        <v>4410</v>
      </c>
    </row>
    <row r="61" spans="2:4">
      <c r="B61" t="s">
        <v>4411</v>
      </c>
    </row>
    <row r="62" spans="2:4">
      <c r="B62" s="17" t="s">
        <v>4386</v>
      </c>
      <c r="C62" t="s">
        <v>4415</v>
      </c>
    </row>
    <row r="63" spans="2:4">
      <c r="B63" s="17"/>
    </row>
    <row r="65" spans="1:2" s="459" customFormat="1">
      <c r="A65" s="458" t="s">
        <v>4396</v>
      </c>
    </row>
    <row r="66" spans="1:2">
      <c r="A66" s="455"/>
    </row>
    <row r="67" spans="1:2">
      <c r="B67" t="s">
        <v>4417</v>
      </c>
    </row>
    <row r="68" spans="1:2">
      <c r="B68"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BF97"/>
  <sheetViews>
    <sheetView zoomScale="85" zoomScaleNormal="85" workbookViewId="0">
      <selection activeCell="B3" sqref="B3"/>
    </sheetView>
  </sheetViews>
  <sheetFormatPr defaultRowHeight="15"/>
  <cols>
    <col min="1" max="1" width="33.140625" style="505" bestFit="1" customWidth="1"/>
    <col min="2" max="2" width="11.7109375" style="505" bestFit="1" customWidth="1"/>
    <col min="3" max="3" width="6.28515625" style="505" bestFit="1" customWidth="1"/>
    <col min="4" max="4" width="5.85546875" style="505" bestFit="1" customWidth="1"/>
    <col min="5" max="5" width="2.28515625" style="507" bestFit="1" customWidth="1"/>
    <col min="6" max="6" width="12.140625" style="505" bestFit="1" customWidth="1"/>
    <col min="7" max="8" width="11.7109375" style="505" bestFit="1" customWidth="1"/>
    <col min="9" max="9" width="8.42578125" style="505" bestFit="1" customWidth="1"/>
    <col min="10" max="10" width="8.85546875" style="505" bestFit="1" customWidth="1"/>
    <col min="11" max="11" width="2.28515625" style="507" bestFit="1" customWidth="1"/>
    <col min="12" max="12" width="5.85546875" style="505" bestFit="1" customWidth="1"/>
    <col min="13" max="13" width="4.7109375" style="505" bestFit="1" customWidth="1"/>
    <col min="14" max="15" width="5.85546875" style="505" bestFit="1" customWidth="1"/>
    <col min="16" max="16" width="11.42578125" style="505" bestFit="1" customWidth="1"/>
    <col min="17" max="17" width="7.85546875" style="505" bestFit="1" customWidth="1"/>
    <col min="18" max="18" width="7.28515625" style="505" bestFit="1" customWidth="1"/>
    <col min="19" max="19" width="2.28515625" style="507" bestFit="1" customWidth="1"/>
    <col min="20" max="20" width="9.5703125" style="505" bestFit="1" customWidth="1"/>
    <col min="21" max="21" width="10" style="505" bestFit="1" customWidth="1"/>
    <col min="22" max="25" width="11.28515625" style="505" bestFit="1" customWidth="1"/>
    <col min="26" max="26" width="10" style="505" bestFit="1" customWidth="1"/>
    <col min="27" max="27" width="2.140625" style="506" bestFit="1" customWidth="1"/>
    <col min="28" max="28" width="11.28515625" style="505" bestFit="1" customWidth="1"/>
    <col min="29" max="29" width="10" style="505" bestFit="1" customWidth="1"/>
    <col min="30" max="34" width="11.28515625" style="505" bestFit="1" customWidth="1"/>
    <col min="35" max="35" width="8.85546875" style="505" bestFit="1" customWidth="1"/>
    <col min="36" max="36" width="11.28515625" style="505" bestFit="1" customWidth="1"/>
    <col min="37" max="37" width="10" style="505" bestFit="1" customWidth="1"/>
    <col min="38" max="58" width="11.28515625" style="505" bestFit="1" customWidth="1"/>
    <col min="59" max="16384" width="9.140625" style="505"/>
  </cols>
  <sheetData>
    <row r="1" spans="1:58" s="536" customFormat="1">
      <c r="A1" s="539"/>
      <c r="B1" s="529"/>
      <c r="E1" s="507"/>
      <c r="F1" s="538"/>
      <c r="G1" s="510"/>
      <c r="H1" s="510"/>
      <c r="I1" s="538"/>
      <c r="J1" s="538"/>
      <c r="K1" s="507"/>
      <c r="P1" s="539"/>
      <c r="R1" s="538"/>
      <c r="S1" s="537" t="s">
        <v>8437</v>
      </c>
      <c r="T1" s="531">
        <v>526</v>
      </c>
      <c r="U1" s="531">
        <v>2087</v>
      </c>
      <c r="V1" s="536">
        <v>512</v>
      </c>
      <c r="W1" s="536">
        <v>1988</v>
      </c>
      <c r="X1" s="536">
        <v>1266</v>
      </c>
      <c r="Y1" s="536">
        <v>1266</v>
      </c>
      <c r="Z1" s="536">
        <v>18176</v>
      </c>
      <c r="AA1" s="506"/>
    </row>
    <row r="2" spans="1:58">
      <c r="A2" s="509" t="s">
        <v>8501</v>
      </c>
      <c r="B2" s="535" t="s">
        <v>8500</v>
      </c>
      <c r="C2" s="535"/>
      <c r="D2" s="535"/>
      <c r="E2" s="534"/>
      <c r="F2" s="533"/>
      <c r="G2" s="532"/>
      <c r="H2" s="510"/>
      <c r="I2" s="509"/>
      <c r="J2" s="509"/>
      <c r="P2" s="513"/>
      <c r="R2" s="509"/>
      <c r="T2" s="531"/>
      <c r="U2" s="531"/>
    </row>
    <row r="3" spans="1:58">
      <c r="A3" s="4"/>
      <c r="B3" s="555" t="s">
        <v>8504</v>
      </c>
      <c r="H3" s="510"/>
      <c r="I3" s="509"/>
      <c r="J3" s="509"/>
      <c r="P3" s="513"/>
      <c r="R3" s="509"/>
      <c r="T3" s="531"/>
      <c r="U3" s="531"/>
      <c r="Z3" s="509" t="s">
        <v>766</v>
      </c>
      <c r="AA3" s="506" t="s">
        <v>8438</v>
      </c>
      <c r="AQ3" s="509" t="str">
        <f t="shared" ref="AQ3:BF3" si="0">$Z3</f>
        <v>HSK3</v>
      </c>
      <c r="AR3" s="509" t="str">
        <f t="shared" si="0"/>
        <v>HSK3</v>
      </c>
      <c r="AS3" s="509" t="str">
        <f t="shared" si="0"/>
        <v>HSK3</v>
      </c>
      <c r="AT3" s="509" t="str">
        <f t="shared" si="0"/>
        <v>HSK3</v>
      </c>
      <c r="AU3" s="509" t="str">
        <f t="shared" si="0"/>
        <v>HSK3</v>
      </c>
      <c r="AV3" s="509" t="str">
        <f t="shared" si="0"/>
        <v>HSK3</v>
      </c>
      <c r="AW3" s="509" t="str">
        <f t="shared" si="0"/>
        <v>HSK3</v>
      </c>
      <c r="AX3" s="509" t="str">
        <f t="shared" si="0"/>
        <v>HSK3</v>
      </c>
      <c r="AY3" s="509" t="str">
        <f t="shared" si="0"/>
        <v>HSK3</v>
      </c>
      <c r="AZ3" s="509" t="str">
        <f t="shared" si="0"/>
        <v>HSK3</v>
      </c>
      <c r="BA3" s="509" t="str">
        <f t="shared" si="0"/>
        <v>HSK3</v>
      </c>
      <c r="BB3" s="509" t="str">
        <f t="shared" si="0"/>
        <v>HSK3</v>
      </c>
      <c r="BC3" s="509" t="str">
        <f t="shared" si="0"/>
        <v>HSK3</v>
      </c>
      <c r="BD3" s="509" t="str">
        <f t="shared" si="0"/>
        <v>HSK3</v>
      </c>
      <c r="BE3" s="509" t="str">
        <f t="shared" si="0"/>
        <v>HSK3</v>
      </c>
      <c r="BF3" s="509" t="str">
        <f t="shared" si="0"/>
        <v>HSK3</v>
      </c>
    </row>
    <row r="4" spans="1:58">
      <c r="A4" s="3" t="s">
        <v>8502</v>
      </c>
      <c r="B4" s="5" t="s">
        <v>8446</v>
      </c>
      <c r="H4" s="510"/>
      <c r="I4" s="509"/>
      <c r="J4" s="509"/>
      <c r="P4" s="513"/>
      <c r="R4" s="509"/>
      <c r="T4" s="531"/>
      <c r="U4" s="531"/>
      <c r="Z4" s="509" t="s">
        <v>769</v>
      </c>
      <c r="AA4" s="506" t="s">
        <v>8438</v>
      </c>
      <c r="AB4" s="509"/>
      <c r="AI4" s="509" t="str">
        <f t="shared" ref="AI4:AP4" si="1">$Z4</f>
        <v>DT4</v>
      </c>
      <c r="AJ4" s="509" t="str">
        <f t="shared" si="1"/>
        <v>DT4</v>
      </c>
      <c r="AK4" s="509" t="str">
        <f t="shared" si="1"/>
        <v>DT4</v>
      </c>
      <c r="AL4" s="509" t="str">
        <f t="shared" si="1"/>
        <v>DT4</v>
      </c>
      <c r="AM4" s="509" t="str">
        <f t="shared" si="1"/>
        <v>DT4</v>
      </c>
      <c r="AN4" s="509" t="str">
        <f t="shared" si="1"/>
        <v>DT4</v>
      </c>
      <c r="AO4" s="509" t="str">
        <f t="shared" si="1"/>
        <v>DT4</v>
      </c>
      <c r="AP4" s="509" t="str">
        <f t="shared" si="1"/>
        <v>DT4</v>
      </c>
      <c r="AR4" s="509"/>
      <c r="AY4" s="509" t="str">
        <f t="shared" ref="AY4:BF4" si="2">$Z4</f>
        <v>DT4</v>
      </c>
      <c r="AZ4" s="509" t="str">
        <f t="shared" si="2"/>
        <v>DT4</v>
      </c>
      <c r="BA4" s="509" t="str">
        <f t="shared" si="2"/>
        <v>DT4</v>
      </c>
      <c r="BB4" s="509" t="str">
        <f t="shared" si="2"/>
        <v>DT4</v>
      </c>
      <c r="BC4" s="509" t="str">
        <f t="shared" si="2"/>
        <v>DT4</v>
      </c>
      <c r="BD4" s="509" t="str">
        <f t="shared" si="2"/>
        <v>DT4</v>
      </c>
      <c r="BE4" s="509" t="str">
        <f t="shared" si="2"/>
        <v>DT4</v>
      </c>
      <c r="BF4" s="509" t="str">
        <f t="shared" si="2"/>
        <v>DT4</v>
      </c>
    </row>
    <row r="5" spans="1:58">
      <c r="A5" s="3" t="s">
        <v>8448</v>
      </c>
      <c r="B5" s="5" t="s">
        <v>8447</v>
      </c>
      <c r="F5" s="509"/>
      <c r="G5" s="510"/>
      <c r="H5" s="510"/>
      <c r="I5" s="509"/>
      <c r="J5" s="509"/>
      <c r="P5" s="513"/>
      <c r="R5" s="509"/>
      <c r="T5" s="531"/>
      <c r="U5" s="531"/>
      <c r="Z5" s="509" t="s">
        <v>768</v>
      </c>
      <c r="AA5" s="506" t="s">
        <v>8438</v>
      </c>
      <c r="AB5" s="509"/>
      <c r="AE5" s="509" t="str">
        <f>$Z5</f>
        <v>DT3</v>
      </c>
      <c r="AF5" s="509" t="str">
        <f>$Z5</f>
        <v>DT3</v>
      </c>
      <c r="AG5" s="509" t="str">
        <f>$Z5</f>
        <v>DT3</v>
      </c>
      <c r="AH5" s="509" t="str">
        <f>$Z5</f>
        <v>DT3</v>
      </c>
      <c r="AJ5" s="509"/>
      <c r="AM5" s="509" t="str">
        <f>$Z5</f>
        <v>DT3</v>
      </c>
      <c r="AN5" s="509" t="str">
        <f>$Z5</f>
        <v>DT3</v>
      </c>
      <c r="AO5" s="509" t="str">
        <f>$Z5</f>
        <v>DT3</v>
      </c>
      <c r="AP5" s="509" t="str">
        <f>$Z5</f>
        <v>DT3</v>
      </c>
      <c r="AR5" s="509"/>
      <c r="AU5" s="509" t="str">
        <f>$Z5</f>
        <v>DT3</v>
      </c>
      <c r="AV5" s="509" t="str">
        <f>$Z5</f>
        <v>DT3</v>
      </c>
      <c r="AW5" s="509" t="str">
        <f>$Z5</f>
        <v>DT3</v>
      </c>
      <c r="AX5" s="509" t="str">
        <f>$Z5</f>
        <v>DT3</v>
      </c>
      <c r="AZ5" s="509"/>
      <c r="BC5" s="509" t="str">
        <f>$Z5</f>
        <v>DT3</v>
      </c>
      <c r="BD5" s="509" t="str">
        <f>$Z5</f>
        <v>DT3</v>
      </c>
      <c r="BE5" s="509" t="str">
        <f>$Z5</f>
        <v>DT3</v>
      </c>
      <c r="BF5" s="509" t="str">
        <f>$Z5</f>
        <v>DT3</v>
      </c>
    </row>
    <row r="6" spans="1:58">
      <c r="A6" s="513"/>
      <c r="B6" s="529"/>
      <c r="F6" s="509"/>
      <c r="G6" s="510"/>
      <c r="H6" s="510"/>
      <c r="I6" s="509"/>
      <c r="J6" s="509"/>
      <c r="P6" s="513"/>
      <c r="R6" s="509"/>
      <c r="T6" s="531"/>
      <c r="U6" s="531"/>
      <c r="Z6" s="509" t="s">
        <v>765</v>
      </c>
      <c r="AA6" s="506" t="s">
        <v>8438</v>
      </c>
      <c r="AB6" s="509"/>
      <c r="AC6" s="509" t="str">
        <f>$Z6</f>
        <v>DT2</v>
      </c>
      <c r="AD6" s="509" t="str">
        <f>$Z6</f>
        <v>DT2</v>
      </c>
      <c r="AF6" s="509"/>
      <c r="AG6" s="509" t="str">
        <f>$Z6</f>
        <v>DT2</v>
      </c>
      <c r="AH6" s="509" t="str">
        <f>$Z6</f>
        <v>DT2</v>
      </c>
      <c r="AJ6" s="509"/>
      <c r="AK6" s="509" t="str">
        <f>$Z6</f>
        <v>DT2</v>
      </c>
      <c r="AL6" s="509" t="str">
        <f>$Z6</f>
        <v>DT2</v>
      </c>
      <c r="AN6" s="509"/>
      <c r="AO6" s="509" t="str">
        <f>$Z6</f>
        <v>DT2</v>
      </c>
      <c r="AP6" s="509" t="str">
        <f>$Z6</f>
        <v>DT2</v>
      </c>
      <c r="AR6" s="509"/>
      <c r="AS6" s="509" t="str">
        <f>$Z6</f>
        <v>DT2</v>
      </c>
      <c r="AT6" s="509" t="str">
        <f>$Z6</f>
        <v>DT2</v>
      </c>
      <c r="AV6" s="509"/>
      <c r="AW6" s="509" t="str">
        <f>$Z6</f>
        <v>DT2</v>
      </c>
      <c r="AX6" s="509" t="str">
        <f>$Z6</f>
        <v>DT2</v>
      </c>
      <c r="AZ6" s="509"/>
      <c r="BA6" s="509" t="str">
        <f>$Z6</f>
        <v>DT2</v>
      </c>
      <c r="BB6" s="509" t="str">
        <f>$Z6</f>
        <v>DT2</v>
      </c>
      <c r="BD6" s="509"/>
      <c r="BE6" s="509" t="str">
        <f>$Z6</f>
        <v>DT2</v>
      </c>
      <c r="BF6" s="509" t="str">
        <f>$Z6</f>
        <v>DT2</v>
      </c>
    </row>
    <row r="7" spans="1:58">
      <c r="A7" s="513"/>
      <c r="B7" s="529"/>
      <c r="F7" s="509"/>
      <c r="G7" s="510"/>
      <c r="H7" s="510"/>
      <c r="I7" s="509"/>
      <c r="J7" s="509"/>
      <c r="P7" s="513"/>
      <c r="R7" s="509"/>
      <c r="T7" s="531"/>
      <c r="U7" s="531"/>
      <c r="Z7" s="509" t="s">
        <v>764</v>
      </c>
      <c r="AA7" s="506" t="s">
        <v>8438</v>
      </c>
      <c r="AB7" s="509" t="str">
        <f>$Z7</f>
        <v>DT1</v>
      </c>
      <c r="AD7" s="509" t="str">
        <f>$Z7</f>
        <v>DT1</v>
      </c>
      <c r="AF7" s="509" t="str">
        <f>$Z7</f>
        <v>DT1</v>
      </c>
      <c r="AH7" s="509" t="str">
        <f>$Z7</f>
        <v>DT1</v>
      </c>
      <c r="AJ7" s="509" t="str">
        <f>$Z7</f>
        <v>DT1</v>
      </c>
      <c r="AL7" s="509" t="str">
        <f>$Z7</f>
        <v>DT1</v>
      </c>
      <c r="AN7" s="509" t="str">
        <f>$Z7</f>
        <v>DT1</v>
      </c>
      <c r="AP7" s="509" t="str">
        <f>$Z7</f>
        <v>DT1</v>
      </c>
      <c r="AR7" s="509" t="str">
        <f>$Z7</f>
        <v>DT1</v>
      </c>
      <c r="AT7" s="509" t="str">
        <f>$Z7</f>
        <v>DT1</v>
      </c>
      <c r="AV7" s="509" t="str">
        <f>$Z7</f>
        <v>DT1</v>
      </c>
      <c r="AX7" s="509" t="str">
        <f>$Z7</f>
        <v>DT1</v>
      </c>
      <c r="AZ7" s="509" t="str">
        <f>$Z7</f>
        <v>DT1</v>
      </c>
      <c r="BB7" s="509" t="str">
        <f>$Z7</f>
        <v>DT1</v>
      </c>
      <c r="BD7" s="509" t="str">
        <f>$Z7</f>
        <v>DT1</v>
      </c>
      <c r="BF7" s="509" t="str">
        <f>$Z7</f>
        <v>DT1</v>
      </c>
    </row>
    <row r="8" spans="1:58">
      <c r="A8" s="513"/>
      <c r="B8" s="529"/>
      <c r="F8" s="509"/>
      <c r="G8" s="510"/>
      <c r="H8" s="510"/>
      <c r="I8" s="509"/>
      <c r="J8" s="509"/>
      <c r="P8" s="513"/>
      <c r="R8" s="509"/>
      <c r="T8" s="531"/>
      <c r="U8" s="531"/>
      <c r="Z8" s="509" t="s">
        <v>8439</v>
      </c>
      <c r="AA8" s="506" t="s">
        <v>8438</v>
      </c>
      <c r="AB8" s="505">
        <f t="shared" ref="AB8:BF8" si="3">IF(AB7="",0,1)+IF(AB6="",0,2)+IF(AB5="",0,4)+IF(AB4="",0,8)+IF(AB3="",0,16)</f>
        <v>1</v>
      </c>
      <c r="AC8" s="505">
        <f t="shared" si="3"/>
        <v>2</v>
      </c>
      <c r="AD8" s="505">
        <f t="shared" si="3"/>
        <v>3</v>
      </c>
      <c r="AE8" s="505">
        <f t="shared" si="3"/>
        <v>4</v>
      </c>
      <c r="AF8" s="505">
        <f t="shared" si="3"/>
        <v>5</v>
      </c>
      <c r="AG8" s="505">
        <f t="shared" si="3"/>
        <v>6</v>
      </c>
      <c r="AH8" s="505">
        <f t="shared" si="3"/>
        <v>7</v>
      </c>
      <c r="AI8" s="505">
        <f t="shared" si="3"/>
        <v>8</v>
      </c>
      <c r="AJ8" s="505">
        <f t="shared" si="3"/>
        <v>9</v>
      </c>
      <c r="AK8" s="505">
        <f t="shared" si="3"/>
        <v>10</v>
      </c>
      <c r="AL8" s="505">
        <f t="shared" si="3"/>
        <v>11</v>
      </c>
      <c r="AM8" s="505">
        <f t="shared" si="3"/>
        <v>12</v>
      </c>
      <c r="AN8" s="505">
        <f t="shared" si="3"/>
        <v>13</v>
      </c>
      <c r="AO8" s="505">
        <f t="shared" si="3"/>
        <v>14</v>
      </c>
      <c r="AP8" s="505">
        <f t="shared" si="3"/>
        <v>15</v>
      </c>
      <c r="AQ8" s="505">
        <f t="shared" si="3"/>
        <v>16</v>
      </c>
      <c r="AR8" s="505">
        <f t="shared" si="3"/>
        <v>17</v>
      </c>
      <c r="AS8" s="505">
        <f t="shared" si="3"/>
        <v>18</v>
      </c>
      <c r="AT8" s="505">
        <f t="shared" si="3"/>
        <v>19</v>
      </c>
      <c r="AU8" s="505">
        <f t="shared" si="3"/>
        <v>20</v>
      </c>
      <c r="AV8" s="505">
        <f t="shared" si="3"/>
        <v>21</v>
      </c>
      <c r="AW8" s="505">
        <f t="shared" si="3"/>
        <v>22</v>
      </c>
      <c r="AX8" s="505">
        <f t="shared" si="3"/>
        <v>23</v>
      </c>
      <c r="AY8" s="505">
        <f t="shared" si="3"/>
        <v>24</v>
      </c>
      <c r="AZ8" s="505">
        <f t="shared" si="3"/>
        <v>25</v>
      </c>
      <c r="BA8" s="505">
        <f t="shared" si="3"/>
        <v>26</v>
      </c>
      <c r="BB8" s="505">
        <f t="shared" si="3"/>
        <v>27</v>
      </c>
      <c r="BC8" s="505">
        <f t="shared" si="3"/>
        <v>28</v>
      </c>
      <c r="BD8" s="505">
        <f t="shared" si="3"/>
        <v>29</v>
      </c>
      <c r="BE8" s="505">
        <f t="shared" si="3"/>
        <v>30</v>
      </c>
      <c r="BF8" s="505">
        <f t="shared" si="3"/>
        <v>31</v>
      </c>
    </row>
    <row r="9" spans="1:58">
      <c r="A9" s="513"/>
      <c r="B9" s="529"/>
      <c r="F9" s="509"/>
      <c r="G9" s="510"/>
      <c r="H9" s="510"/>
      <c r="I9" s="509"/>
      <c r="J9" s="509"/>
      <c r="P9" s="513"/>
      <c r="R9" s="509"/>
      <c r="T9" s="531"/>
      <c r="U9" s="531"/>
    </row>
    <row r="10" spans="1:58">
      <c r="A10" s="513"/>
      <c r="B10" s="529"/>
      <c r="F10" s="509"/>
      <c r="G10" s="510"/>
      <c r="H10" s="510"/>
      <c r="I10" s="509"/>
      <c r="J10" s="509"/>
      <c r="P10" s="513"/>
      <c r="R10" s="509"/>
      <c r="T10" s="531"/>
      <c r="U10" s="531"/>
    </row>
    <row r="11" spans="1:58">
      <c r="A11" s="513"/>
      <c r="B11" s="529"/>
      <c r="F11" s="509"/>
      <c r="G11" s="510"/>
      <c r="H11" s="510"/>
      <c r="I11" s="509"/>
      <c r="J11" s="509"/>
      <c r="P11" s="513"/>
      <c r="R11" s="509"/>
      <c r="T11" s="530" t="s">
        <v>8420</v>
      </c>
      <c r="U11" s="530" t="s">
        <v>8421</v>
      </c>
      <c r="V11" s="513" t="s">
        <v>8422</v>
      </c>
      <c r="W11" s="513" t="s">
        <v>8423</v>
      </c>
      <c r="X11" s="513"/>
      <c r="Y11" s="513" t="s">
        <v>8424</v>
      </c>
      <c r="Z11" s="513" t="s">
        <v>8425</v>
      </c>
    </row>
    <row r="12" spans="1:58">
      <c r="A12" s="513"/>
      <c r="B12" s="529"/>
      <c r="F12" s="509"/>
      <c r="G12" s="510"/>
      <c r="H12" s="510"/>
      <c r="I12" s="509"/>
      <c r="J12" s="509"/>
      <c r="L12" s="513" t="s">
        <v>8413</v>
      </c>
      <c r="M12" s="513" t="s">
        <v>8413</v>
      </c>
      <c r="N12" s="513" t="s">
        <v>8413</v>
      </c>
      <c r="O12" s="513" t="s">
        <v>8413</v>
      </c>
      <c r="P12" s="513"/>
      <c r="Q12" s="513" t="s">
        <v>8441</v>
      </c>
      <c r="R12" s="513" t="s">
        <v>8419</v>
      </c>
      <c r="T12" s="527" t="s">
        <v>8416</v>
      </c>
      <c r="U12" s="527" t="s">
        <v>8416</v>
      </c>
      <c r="V12" s="527" t="s">
        <v>8416</v>
      </c>
      <c r="W12" s="527" t="s">
        <v>8416</v>
      </c>
      <c r="X12" s="528" t="s">
        <v>8415</v>
      </c>
      <c r="Y12" s="527" t="s">
        <v>8416</v>
      </c>
      <c r="Z12" s="527" t="s">
        <v>8416</v>
      </c>
      <c r="AB12" s="526" t="str">
        <f t="shared" ref="AB12:BF12" si="4">IF(OR(AB$8=1,AB$8=2,AB$8=4,AB$8=8,AB$8=16),"Single","")</f>
        <v>Single</v>
      </c>
      <c r="AC12" s="525" t="str">
        <f t="shared" si="4"/>
        <v>Single</v>
      </c>
      <c r="AD12" s="525" t="str">
        <f t="shared" si="4"/>
        <v/>
      </c>
      <c r="AE12" s="525" t="str">
        <f t="shared" si="4"/>
        <v>Single</v>
      </c>
      <c r="AF12" s="525" t="str">
        <f t="shared" si="4"/>
        <v/>
      </c>
      <c r="AG12" s="525" t="str">
        <f t="shared" si="4"/>
        <v/>
      </c>
      <c r="AH12" s="525" t="str">
        <f t="shared" si="4"/>
        <v/>
      </c>
      <c r="AI12" s="525" t="str">
        <f t="shared" si="4"/>
        <v>Single</v>
      </c>
      <c r="AJ12" s="525" t="str">
        <f t="shared" si="4"/>
        <v/>
      </c>
      <c r="AK12" s="525" t="str">
        <f t="shared" si="4"/>
        <v/>
      </c>
      <c r="AL12" s="525" t="str">
        <f t="shared" si="4"/>
        <v/>
      </c>
      <c r="AM12" s="525" t="str">
        <f t="shared" si="4"/>
        <v/>
      </c>
      <c r="AN12" s="525" t="str">
        <f t="shared" si="4"/>
        <v/>
      </c>
      <c r="AO12" s="525" t="str">
        <f t="shared" si="4"/>
        <v/>
      </c>
      <c r="AP12" s="525" t="str">
        <f t="shared" si="4"/>
        <v/>
      </c>
      <c r="AQ12" s="525" t="str">
        <f t="shared" si="4"/>
        <v>Single</v>
      </c>
      <c r="AR12" s="525" t="str">
        <f t="shared" si="4"/>
        <v/>
      </c>
      <c r="AS12" s="525" t="str">
        <f t="shared" si="4"/>
        <v/>
      </c>
      <c r="AT12" s="525" t="str">
        <f t="shared" si="4"/>
        <v/>
      </c>
      <c r="AU12" s="525" t="str">
        <f t="shared" si="4"/>
        <v/>
      </c>
      <c r="AV12" s="525" t="str">
        <f t="shared" si="4"/>
        <v/>
      </c>
      <c r="AW12" s="525" t="str">
        <f t="shared" si="4"/>
        <v/>
      </c>
      <c r="AX12" s="525" t="str">
        <f t="shared" si="4"/>
        <v/>
      </c>
      <c r="AY12" s="525" t="str">
        <f t="shared" si="4"/>
        <v/>
      </c>
      <c r="AZ12" s="525" t="str">
        <f t="shared" si="4"/>
        <v/>
      </c>
      <c r="BA12" s="525" t="str">
        <f t="shared" si="4"/>
        <v/>
      </c>
      <c r="BB12" s="525" t="str">
        <f t="shared" si="4"/>
        <v/>
      </c>
      <c r="BC12" s="525" t="str">
        <f t="shared" si="4"/>
        <v/>
      </c>
      <c r="BD12" s="525" t="str">
        <f t="shared" si="4"/>
        <v/>
      </c>
      <c r="BE12" s="525" t="str">
        <f t="shared" si="4"/>
        <v/>
      </c>
      <c r="BF12" s="524" t="str">
        <f t="shared" si="4"/>
        <v/>
      </c>
    </row>
    <row r="13" spans="1:58" s="514" customFormat="1" ht="30">
      <c r="A13" s="505" t="s">
        <v>8499</v>
      </c>
      <c r="B13" s="505" t="s">
        <v>8409</v>
      </c>
      <c r="C13" s="505" t="s">
        <v>8410</v>
      </c>
      <c r="D13" s="505" t="s">
        <v>8414</v>
      </c>
      <c r="E13" s="507" t="s">
        <v>33</v>
      </c>
      <c r="F13" s="523" t="s">
        <v>8440</v>
      </c>
      <c r="G13" s="522" t="s">
        <v>8435</v>
      </c>
      <c r="H13" s="521" t="s">
        <v>8417</v>
      </c>
      <c r="I13" s="514" t="s">
        <v>8426</v>
      </c>
      <c r="J13" s="514" t="s">
        <v>8418</v>
      </c>
      <c r="K13" s="507" t="s">
        <v>34</v>
      </c>
      <c r="L13" s="514" t="s">
        <v>12</v>
      </c>
      <c r="M13" s="514" t="s">
        <v>776</v>
      </c>
      <c r="N13" s="514" t="s">
        <v>773</v>
      </c>
      <c r="O13" s="514" t="s">
        <v>8411</v>
      </c>
      <c r="P13" s="514" t="s">
        <v>8436</v>
      </c>
      <c r="Q13" s="514" t="s">
        <v>8433</v>
      </c>
      <c r="R13" s="514" t="s">
        <v>8434</v>
      </c>
      <c r="S13" s="507" t="s">
        <v>8498</v>
      </c>
      <c r="T13" s="520" t="s">
        <v>8432</v>
      </c>
      <c r="U13" s="520" t="s">
        <v>8427</v>
      </c>
      <c r="V13" s="518" t="s">
        <v>8428</v>
      </c>
      <c r="W13" s="518" t="s">
        <v>8429</v>
      </c>
      <c r="X13" s="519" t="s">
        <v>8430</v>
      </c>
      <c r="Y13" s="518" t="s">
        <v>8497</v>
      </c>
      <c r="Z13" s="518" t="s">
        <v>8431</v>
      </c>
      <c r="AA13" s="506" t="s">
        <v>8496</v>
      </c>
      <c r="AB13" s="517" t="s">
        <v>764</v>
      </c>
      <c r="AC13" s="516" t="s">
        <v>765</v>
      </c>
      <c r="AD13" s="516" t="s">
        <v>8495</v>
      </c>
      <c r="AE13" s="516" t="s">
        <v>768</v>
      </c>
      <c r="AF13" s="516" t="s">
        <v>8494</v>
      </c>
      <c r="AG13" s="516" t="s">
        <v>8493</v>
      </c>
      <c r="AH13" s="516" t="s">
        <v>8492</v>
      </c>
      <c r="AI13" s="516" t="s">
        <v>769</v>
      </c>
      <c r="AJ13" s="516" t="s">
        <v>8491</v>
      </c>
      <c r="AK13" s="516" t="s">
        <v>8490</v>
      </c>
      <c r="AL13" s="516" t="s">
        <v>8489</v>
      </c>
      <c r="AM13" s="516" t="s">
        <v>8488</v>
      </c>
      <c r="AN13" s="516" t="s">
        <v>8487</v>
      </c>
      <c r="AO13" s="516" t="s">
        <v>8486</v>
      </c>
      <c r="AP13" s="516" t="s">
        <v>8485</v>
      </c>
      <c r="AQ13" s="516" t="s">
        <v>766</v>
      </c>
      <c r="AR13" s="516" t="s">
        <v>8484</v>
      </c>
      <c r="AS13" s="516" t="s">
        <v>8483</v>
      </c>
      <c r="AT13" s="516" t="s">
        <v>8482</v>
      </c>
      <c r="AU13" s="516" t="s">
        <v>8481</v>
      </c>
      <c r="AV13" s="516" t="s">
        <v>8480</v>
      </c>
      <c r="AW13" s="516" t="s">
        <v>8479</v>
      </c>
      <c r="AX13" s="516" t="s">
        <v>8478</v>
      </c>
      <c r="AY13" s="516" t="s">
        <v>8477</v>
      </c>
      <c r="AZ13" s="516" t="s">
        <v>8476</v>
      </c>
      <c r="BA13" s="516" t="s">
        <v>8475</v>
      </c>
      <c r="BB13" s="516" t="s">
        <v>8474</v>
      </c>
      <c r="BC13" s="516" t="s">
        <v>8473</v>
      </c>
      <c r="BD13" s="516" t="s">
        <v>8472</v>
      </c>
      <c r="BE13" s="516" t="s">
        <v>8471</v>
      </c>
      <c r="BF13" s="515" t="s">
        <v>8470</v>
      </c>
    </row>
    <row r="14" spans="1:58">
      <c r="A14" s="505" t="s">
        <v>8449</v>
      </c>
      <c r="B14" s="505">
        <v>556768386</v>
      </c>
      <c r="C14" s="505" t="s">
        <v>8469</v>
      </c>
      <c r="F14" s="509" t="str">
        <f t="shared" ref="F14:F45" si="5">_xlfn.TEXTJOIN("+",TRUE,$C14:$D14)</f>
        <v>OFF</v>
      </c>
      <c r="G14" s="510" t="str">
        <f t="shared" ref="G14:G45" si="6">IF($C14="ON",$B14,IF(G13="MET Start","",G13))</f>
        <v/>
      </c>
      <c r="H14" s="510">
        <f t="shared" ref="H14:H45" si="7">IF($C14="OFF",$B14,IF($B15="",$B14+31500000,IF($F15="MAC+111",$B15,H15)))</f>
        <v>556768386</v>
      </c>
      <c r="I14" s="509" t="str">
        <f t="shared" ref="I14:I45" si="8">IF(OR($C14="ON",$F14="MAC+111"),0,IF(OR(I13="",I13="Offset fr Start"),"",I13+1))</f>
        <v/>
      </c>
      <c r="J14" s="509">
        <f t="shared" ref="J14:J45" si="9">IF($C14="OFF",0,IF($I15&lt;&gt;0,J15+1,1))</f>
        <v>0</v>
      </c>
      <c r="L14" s="505" t="str">
        <f t="shared" ref="L14:L45" si="10">IF($C14="ON","",IF($C14="N1",$D14,IF(L13="N1","",L13)))</f>
        <v/>
      </c>
      <c r="M14" s="505" t="str">
        <f t="shared" ref="M14:M45" si="11">IF($C14="ON","",IF($C14="N2",$D14,IF($F14="MAC+103",3,IF($F14="MAC+104",2,IF(M13="N2","",M13)))))</f>
        <v/>
      </c>
      <c r="N14" s="505" t="str">
        <f t="shared" ref="N14:N45" si="12">IF($C14="ON","",IF($C14="N3",$D14,IF(N13="N3","",N13)))</f>
        <v/>
      </c>
      <c r="O14" s="505" t="str">
        <f t="shared" ref="O14:O45" si="13">IF($C14="ON","",IF($C14="STAT",$D14,IF(O13="STAT","",O13)))</f>
        <v/>
      </c>
      <c r="P14" s="513" t="str">
        <f t="shared" ref="P14:P45" si="14">IF($C14="ON","",IF(AND($C14="MAC",105&lt;=$D14,$D14&lt;=110),"",IF(AND($C14="MAC",103&lt;=$D14,$D14&lt;=104),"disabled",IF(P13="N2 disabled","",P13))))</f>
        <v/>
      </c>
      <c r="Q14" s="505" t="str">
        <f t="shared" ref="Q14:Q45" si="15">IF(F14="ON","",IF($F14="MAC+105",300,IF($F14="MAC+106",600,IF($F14="MAC+107",840,IF($F14="MAC+108",1200,IF($F14="MAC+109",1800,IF($F14="MAC+110",43200,IF(LEFT(Q13,4)="105-","",Q13))))))))</f>
        <v/>
      </c>
      <c r="R14" s="509" t="str">
        <f t="shared" ref="R14:R45" si="16">IF($C14="ON","",IF($F14="MAC+102","102",IF(RIGHT(R13,1)="?","",R13)))</f>
        <v/>
      </c>
      <c r="T14" s="512">
        <f t="shared" ref="T14:T45" si="17">IF($M14="",0,T$1/64/$M14)</f>
        <v>0</v>
      </c>
      <c r="U14" s="512">
        <f t="shared" ref="U14:U45" si="18">IF($M14="",0,U$1/64/$M14)</f>
        <v>0</v>
      </c>
      <c r="V14" s="512">
        <f t="shared" ref="V14:V45" si="19">IF($O14="",0,V$1/$O14)</f>
        <v>0</v>
      </c>
      <c r="W14" s="512">
        <f t="shared" ref="W14:W45" si="20">IF($L14="",0,W$1/$L14)</f>
        <v>0</v>
      </c>
      <c r="X14" s="512">
        <f t="shared" ref="X14:X45" si="21">IF(OR($M14="",$P14&lt;&gt;""),0,X$1/$M14)</f>
        <v>0</v>
      </c>
      <c r="Y14" s="512">
        <f t="shared" ref="Y14:Y45" si="22">IF($M14="",0,IF($Q14="",1,Q14/43200)*X14)</f>
        <v>0</v>
      </c>
      <c r="Z14" s="512">
        <f t="shared" ref="Z14:Z45" si="23">IF($N14="",0,Z$1/$N14)</f>
        <v>0</v>
      </c>
      <c r="AB14" s="511">
        <f t="shared" ref="AB14:AB45" si="24">IF(AB$3&lt;&gt;"",$V14,0)+IF(AB$4&lt;&gt;"",$T14,0)+IF(AB$5&lt;&gt;"",$Y14+IF($R14&lt;&gt;"102",$U14,0),0)+IF(AB$6&lt;&gt;"",$Z14+IF($R14="102",$U14,0),0)+IF(AB$7&lt;&gt;"",$W14,0)</f>
        <v>0</v>
      </c>
      <c r="AC14" s="511">
        <f t="shared" ref="AC14:AC45" si="25">IF(AC$3&lt;&gt;"",$V14,0)+IF(AC$4&lt;&gt;"",$T14,0)+IF(AC$5&lt;&gt;"",$Y14+IF($R14&lt;&gt;"102",$U14,0),0)+IF(AC$6&lt;&gt;"",$Z14+IF($R14="102",$U14,0),0)+IF(AC$7&lt;&gt;"",$W14,0)</f>
        <v>0</v>
      </c>
      <c r="AD14" s="511">
        <f t="shared" ref="AD14:AD45" si="26">IF(AD$3&lt;&gt;"",$V14,0)+IF(AD$4&lt;&gt;"",$T14,0)+IF(AD$5&lt;&gt;"",$Y14+IF($R14&lt;&gt;"102",$U14,0),0)+IF(AD$6&lt;&gt;"",$Z14+IF($R14="102",$U14,0),0)+IF(AD$7&lt;&gt;"",$W14,0)</f>
        <v>0</v>
      </c>
      <c r="AE14" s="511">
        <f t="shared" ref="AE14:AE45" si="27">IF(AE$3&lt;&gt;"",$V14,0)+IF(AE$4&lt;&gt;"",$T14,0)+IF(AE$5&lt;&gt;"",$Y14+IF($R14&lt;&gt;"102",$U14,0),0)+IF(AE$6&lt;&gt;"",$Z14+IF($R14="102",$U14,0),0)+IF(AE$7&lt;&gt;"",$W14,0)</f>
        <v>0</v>
      </c>
      <c r="AF14" s="511">
        <f t="shared" ref="AF14:AF45" si="28">IF(AF$3&lt;&gt;"",$V14,0)+IF(AF$4&lt;&gt;"",$T14,0)+IF(AF$5&lt;&gt;"",$Y14+IF($R14&lt;&gt;"102",$U14,0),0)+IF(AF$6&lt;&gt;"",$Z14+IF($R14="102",$U14,0),0)+IF(AF$7&lt;&gt;"",$W14,0)</f>
        <v>0</v>
      </c>
      <c r="AG14" s="511">
        <f t="shared" ref="AG14:AG45" si="29">IF(AG$3&lt;&gt;"",$V14,0)+IF(AG$4&lt;&gt;"",$T14,0)+IF(AG$5&lt;&gt;"",$Y14+IF($R14&lt;&gt;"102",$U14,0),0)+IF(AG$6&lt;&gt;"",$Z14+IF($R14="102",$U14,0),0)+IF(AG$7&lt;&gt;"",$W14,0)</f>
        <v>0</v>
      </c>
      <c r="AH14" s="511">
        <f t="shared" ref="AH14:AH45" si="30">IF(AH$3&lt;&gt;"",$V14,0)+IF(AH$4&lt;&gt;"",$T14,0)+IF(AH$5&lt;&gt;"",$Y14+IF($R14&lt;&gt;"102",$U14,0),0)+IF(AH$6&lt;&gt;"",$Z14+IF($R14="102",$U14,0),0)+IF(AH$7&lt;&gt;"",$W14,0)</f>
        <v>0</v>
      </c>
      <c r="AI14" s="511">
        <f t="shared" ref="AI14:AI45" si="31">IF(AI$3&lt;&gt;"",$V14,0)+IF(AI$4&lt;&gt;"",$T14,0)+IF(AI$5&lt;&gt;"",$Y14+IF($R14&lt;&gt;"102",$U14,0),0)+IF(AI$6&lt;&gt;"",$Z14+IF($R14="102",$U14,0),0)+IF(AI$7&lt;&gt;"",$W14,0)</f>
        <v>0</v>
      </c>
      <c r="AJ14" s="511">
        <f t="shared" ref="AJ14:AJ45" si="32">IF(AJ$3&lt;&gt;"",$V14,0)+IF(AJ$4&lt;&gt;"",$T14,0)+IF(AJ$5&lt;&gt;"",$Y14+IF($R14&lt;&gt;"102",$U14,0),0)+IF(AJ$6&lt;&gt;"",$Z14+IF($R14="102",$U14,0),0)+IF(AJ$7&lt;&gt;"",$W14,0)</f>
        <v>0</v>
      </c>
      <c r="AK14" s="511">
        <f t="shared" ref="AK14:AK45" si="33">IF(AK$3&lt;&gt;"",$V14,0)+IF(AK$4&lt;&gt;"",$T14,0)+IF(AK$5&lt;&gt;"",$Y14+IF($R14&lt;&gt;"102",$U14,0),0)+IF(AK$6&lt;&gt;"",$Z14+IF($R14="102",$U14,0),0)+IF(AK$7&lt;&gt;"",$W14,0)</f>
        <v>0</v>
      </c>
      <c r="AL14" s="511">
        <f t="shared" ref="AL14:AL45" si="34">IF(AL$3&lt;&gt;"",$V14,0)+IF(AL$4&lt;&gt;"",$T14,0)+IF(AL$5&lt;&gt;"",$Y14+IF($R14&lt;&gt;"102",$U14,0),0)+IF(AL$6&lt;&gt;"",$Z14+IF($R14="102",$U14,0),0)+IF(AL$7&lt;&gt;"",$W14,0)</f>
        <v>0</v>
      </c>
      <c r="AM14" s="511">
        <f t="shared" ref="AM14:AM45" si="35">IF(AM$3&lt;&gt;"",$V14,0)+IF(AM$4&lt;&gt;"",$T14,0)+IF(AM$5&lt;&gt;"",$Y14+IF($R14&lt;&gt;"102",$U14,0),0)+IF(AM$6&lt;&gt;"",$Z14+IF($R14="102",$U14,0),0)+IF(AM$7&lt;&gt;"",$W14,0)</f>
        <v>0</v>
      </c>
      <c r="AN14" s="511">
        <f t="shared" ref="AN14:AN45" si="36">IF(AN$3&lt;&gt;"",$V14,0)+IF(AN$4&lt;&gt;"",$T14,0)+IF(AN$5&lt;&gt;"",$Y14+IF($R14&lt;&gt;"102",$U14,0),0)+IF(AN$6&lt;&gt;"",$Z14+IF($R14="102",$U14,0),0)+IF(AN$7&lt;&gt;"",$W14,0)</f>
        <v>0</v>
      </c>
      <c r="AO14" s="511">
        <f t="shared" ref="AO14:AO45" si="37">IF(AO$3&lt;&gt;"",$V14,0)+IF(AO$4&lt;&gt;"",$T14,0)+IF(AO$5&lt;&gt;"",$Y14+IF($R14&lt;&gt;"102",$U14,0),0)+IF(AO$6&lt;&gt;"",$Z14+IF($R14="102",$U14,0),0)+IF(AO$7&lt;&gt;"",$W14,0)</f>
        <v>0</v>
      </c>
      <c r="AP14" s="511">
        <f t="shared" ref="AP14:AP45" si="38">IF(AP$3&lt;&gt;"",$V14,0)+IF(AP$4&lt;&gt;"",$T14,0)+IF(AP$5&lt;&gt;"",$Y14+IF($R14&lt;&gt;"102",$U14,0),0)+IF(AP$6&lt;&gt;"",$Z14+IF($R14="102",$U14,0),0)+IF(AP$7&lt;&gt;"",$W14,0)</f>
        <v>0</v>
      </c>
      <c r="AQ14" s="511">
        <f t="shared" ref="AQ14:AQ45" si="39">IF(AQ$3&lt;&gt;"",$V14,0)+IF(AQ$4&lt;&gt;"",$T14,0)+IF(AQ$5&lt;&gt;"",$Y14+IF($R14&lt;&gt;"102",$U14,0),0)+IF(AQ$6&lt;&gt;"",$Z14+IF($R14="102",$U14,0),0)+IF(AQ$7&lt;&gt;"",$W14,0)</f>
        <v>0</v>
      </c>
      <c r="AR14" s="511">
        <f t="shared" ref="AR14:AR45" si="40">IF(AR$3&lt;&gt;"",$V14,0)+IF(AR$4&lt;&gt;"",$T14,0)+IF(AR$5&lt;&gt;"",$Y14+IF($R14&lt;&gt;"102",$U14,0),0)+IF(AR$6&lt;&gt;"",$Z14+IF($R14="102",$U14,0),0)+IF(AR$7&lt;&gt;"",$W14,0)</f>
        <v>0</v>
      </c>
      <c r="AS14" s="511">
        <f t="shared" ref="AS14:AS45" si="41">IF(AS$3&lt;&gt;"",$V14,0)+IF(AS$4&lt;&gt;"",$T14,0)+IF(AS$5&lt;&gt;"",$Y14+IF($R14&lt;&gt;"102",$U14,0),0)+IF(AS$6&lt;&gt;"",$Z14+IF($R14="102",$U14,0),0)+IF(AS$7&lt;&gt;"",$W14,0)</f>
        <v>0</v>
      </c>
      <c r="AT14" s="511">
        <f t="shared" ref="AT14:AT45" si="42">IF(AT$3&lt;&gt;"",$V14,0)+IF(AT$4&lt;&gt;"",$T14,0)+IF(AT$5&lt;&gt;"",$Y14+IF($R14&lt;&gt;"102",$U14,0),0)+IF(AT$6&lt;&gt;"",$Z14+IF($R14="102",$U14,0),0)+IF(AT$7&lt;&gt;"",$W14,0)</f>
        <v>0</v>
      </c>
      <c r="AU14" s="511">
        <f t="shared" ref="AU14:AU45" si="43">IF(AU$3&lt;&gt;"",$V14,0)+IF(AU$4&lt;&gt;"",$T14,0)+IF(AU$5&lt;&gt;"",$Y14+IF($R14&lt;&gt;"102",$U14,0),0)+IF(AU$6&lt;&gt;"",$Z14+IF($R14="102",$U14,0),0)+IF(AU$7&lt;&gt;"",$W14,0)</f>
        <v>0</v>
      </c>
      <c r="AV14" s="511">
        <f t="shared" ref="AV14:AV45" si="44">IF(AV$3&lt;&gt;"",$V14,0)+IF(AV$4&lt;&gt;"",$T14,0)+IF(AV$5&lt;&gt;"",$Y14+IF($R14&lt;&gt;"102",$U14,0),0)+IF(AV$6&lt;&gt;"",$Z14+IF($R14="102",$U14,0),0)+IF(AV$7&lt;&gt;"",$W14,0)</f>
        <v>0</v>
      </c>
      <c r="AW14" s="511">
        <f t="shared" ref="AW14:AW45" si="45">IF(AW$3&lt;&gt;"",$V14,0)+IF(AW$4&lt;&gt;"",$T14,0)+IF(AW$5&lt;&gt;"",$Y14+IF($R14&lt;&gt;"102",$U14,0),0)+IF(AW$6&lt;&gt;"",$Z14+IF($R14="102",$U14,0),0)+IF(AW$7&lt;&gt;"",$W14,0)</f>
        <v>0</v>
      </c>
      <c r="AX14" s="511">
        <f t="shared" ref="AX14:AX45" si="46">IF(AX$3&lt;&gt;"",$V14,0)+IF(AX$4&lt;&gt;"",$T14,0)+IF(AX$5&lt;&gt;"",$Y14+IF($R14&lt;&gt;"102",$U14,0),0)+IF(AX$6&lt;&gt;"",$Z14+IF($R14="102",$U14,0),0)+IF(AX$7&lt;&gt;"",$W14,0)</f>
        <v>0</v>
      </c>
      <c r="AY14" s="511">
        <f t="shared" ref="AY14:AY45" si="47">IF(AY$3&lt;&gt;"",$V14,0)+IF(AY$4&lt;&gt;"",$T14,0)+IF(AY$5&lt;&gt;"",$Y14+IF($R14&lt;&gt;"102",$U14,0),0)+IF(AY$6&lt;&gt;"",$Z14+IF($R14="102",$U14,0),0)+IF(AY$7&lt;&gt;"",$W14,0)</f>
        <v>0</v>
      </c>
      <c r="AZ14" s="511">
        <f t="shared" ref="AZ14:AZ45" si="48">IF(AZ$3&lt;&gt;"",$V14,0)+IF(AZ$4&lt;&gt;"",$T14,0)+IF(AZ$5&lt;&gt;"",$Y14+IF($R14&lt;&gt;"102",$U14,0),0)+IF(AZ$6&lt;&gt;"",$Z14+IF($R14="102",$U14,0),0)+IF(AZ$7&lt;&gt;"",$W14,0)</f>
        <v>0</v>
      </c>
      <c r="BA14" s="511">
        <f t="shared" ref="BA14:BA45" si="49">IF(BA$3&lt;&gt;"",$V14,0)+IF(BA$4&lt;&gt;"",$T14,0)+IF(BA$5&lt;&gt;"",$Y14+IF($R14&lt;&gt;"102",$U14,0),0)+IF(BA$6&lt;&gt;"",$Z14+IF($R14="102",$U14,0),0)+IF(BA$7&lt;&gt;"",$W14,0)</f>
        <v>0</v>
      </c>
      <c r="BB14" s="511">
        <f t="shared" ref="BB14:BB45" si="50">IF(BB$3&lt;&gt;"",$V14,0)+IF(BB$4&lt;&gt;"",$T14,0)+IF(BB$5&lt;&gt;"",$Y14+IF($R14&lt;&gt;"102",$U14,0),0)+IF(BB$6&lt;&gt;"",$Z14+IF($R14="102",$U14,0),0)+IF(BB$7&lt;&gt;"",$W14,0)</f>
        <v>0</v>
      </c>
      <c r="BC14" s="511">
        <f t="shared" ref="BC14:BC45" si="51">IF(BC$3&lt;&gt;"",$V14,0)+IF(BC$4&lt;&gt;"",$T14,0)+IF(BC$5&lt;&gt;"",$Y14+IF($R14&lt;&gt;"102",$U14,0),0)+IF(BC$6&lt;&gt;"",$Z14+IF($R14="102",$U14,0),0)+IF(BC$7&lt;&gt;"",$W14,0)</f>
        <v>0</v>
      </c>
      <c r="BD14" s="511">
        <f t="shared" ref="BD14:BD45" si="52">IF(BD$3&lt;&gt;"",$V14,0)+IF(BD$4&lt;&gt;"",$T14,0)+IF(BD$5&lt;&gt;"",$Y14+IF($R14&lt;&gt;"102",$U14,0),0)+IF(BD$6&lt;&gt;"",$Z14+IF($R14="102",$U14,0),0)+IF(BD$7&lt;&gt;"",$W14,0)</f>
        <v>0</v>
      </c>
      <c r="BE14" s="511">
        <f t="shared" ref="BE14:BE45" si="53">IF(BE$3&lt;&gt;"",$V14,0)+IF(BE$4&lt;&gt;"",$T14,0)+IF(BE$5&lt;&gt;"",$Y14+IF($R14&lt;&gt;"102",$U14,0),0)+IF(BE$6&lt;&gt;"",$Z14+IF($R14="102",$U14,0),0)+IF(BE$7&lt;&gt;"",$W14,0)</f>
        <v>0</v>
      </c>
      <c r="BF14" s="511">
        <f t="shared" ref="BF14:BF45" si="54">IF(BF$3&lt;&gt;"",$V14,0)+IF(BF$4&lt;&gt;"",$T14,0)+IF(BF$5&lt;&gt;"",$Y14+IF($R14&lt;&gt;"102",$U14,0),0)+IF(BF$6&lt;&gt;"",$Z14+IF($R14="102",$U14,0),0)+IF(BF$7&lt;&gt;"",$W14,0)</f>
        <v>0</v>
      </c>
    </row>
    <row r="15" spans="1:58">
      <c r="A15" s="505" t="s">
        <v>8449</v>
      </c>
      <c r="B15" s="505">
        <v>556984316</v>
      </c>
      <c r="C15" s="505" t="s">
        <v>1148</v>
      </c>
      <c r="F15" s="509" t="str">
        <f t="shared" si="5"/>
        <v>ON</v>
      </c>
      <c r="G15" s="510">
        <f t="shared" si="6"/>
        <v>556984316</v>
      </c>
      <c r="H15" s="510">
        <f t="shared" si="7"/>
        <v>557237286</v>
      </c>
      <c r="I15" s="509">
        <f t="shared" si="8"/>
        <v>0</v>
      </c>
      <c r="J15" s="509">
        <f t="shared" si="9"/>
        <v>14</v>
      </c>
      <c r="L15" s="505" t="str">
        <f t="shared" si="10"/>
        <v/>
      </c>
      <c r="M15" s="505" t="str">
        <f t="shared" si="11"/>
        <v/>
      </c>
      <c r="N15" s="505" t="str">
        <f t="shared" si="12"/>
        <v/>
      </c>
      <c r="O15" s="505" t="str">
        <f t="shared" si="13"/>
        <v/>
      </c>
      <c r="P15" s="505" t="str">
        <f t="shared" si="14"/>
        <v/>
      </c>
      <c r="Q15" s="505" t="str">
        <f t="shared" si="15"/>
        <v/>
      </c>
      <c r="R15" s="505" t="str">
        <f t="shared" si="16"/>
        <v/>
      </c>
      <c r="T15" s="508">
        <f t="shared" si="17"/>
        <v>0</v>
      </c>
      <c r="U15" s="508">
        <f t="shared" si="18"/>
        <v>0</v>
      </c>
      <c r="V15" s="508">
        <f t="shared" si="19"/>
        <v>0</v>
      </c>
      <c r="W15" s="508">
        <f t="shared" si="20"/>
        <v>0</v>
      </c>
      <c r="X15" s="508">
        <f t="shared" si="21"/>
        <v>0</v>
      </c>
      <c r="Y15" s="508">
        <f t="shared" si="22"/>
        <v>0</v>
      </c>
      <c r="Z15" s="508">
        <f t="shared" si="23"/>
        <v>0</v>
      </c>
      <c r="AB15" s="508">
        <f t="shared" si="24"/>
        <v>0</v>
      </c>
      <c r="AC15" s="508">
        <f t="shared" si="25"/>
        <v>0</v>
      </c>
      <c r="AD15" s="508">
        <f t="shared" si="26"/>
        <v>0</v>
      </c>
      <c r="AE15" s="508">
        <f t="shared" si="27"/>
        <v>0</v>
      </c>
      <c r="AF15" s="508">
        <f t="shared" si="28"/>
        <v>0</v>
      </c>
      <c r="AG15" s="508">
        <f t="shared" si="29"/>
        <v>0</v>
      </c>
      <c r="AH15" s="508">
        <f t="shared" si="30"/>
        <v>0</v>
      </c>
      <c r="AI15" s="508">
        <f t="shared" si="31"/>
        <v>0</v>
      </c>
      <c r="AJ15" s="508">
        <f t="shared" si="32"/>
        <v>0</v>
      </c>
      <c r="AK15" s="508">
        <f t="shared" si="33"/>
        <v>0</v>
      </c>
      <c r="AL15" s="508">
        <f t="shared" si="34"/>
        <v>0</v>
      </c>
      <c r="AM15" s="508">
        <f t="shared" si="35"/>
        <v>0</v>
      </c>
      <c r="AN15" s="508">
        <f t="shared" si="36"/>
        <v>0</v>
      </c>
      <c r="AO15" s="508">
        <f t="shared" si="37"/>
        <v>0</v>
      </c>
      <c r="AP15" s="508">
        <f t="shared" si="38"/>
        <v>0</v>
      </c>
      <c r="AQ15" s="508">
        <f t="shared" si="39"/>
        <v>0</v>
      </c>
      <c r="AR15" s="508">
        <f t="shared" si="40"/>
        <v>0</v>
      </c>
      <c r="AS15" s="508">
        <f t="shared" si="41"/>
        <v>0</v>
      </c>
      <c r="AT15" s="508">
        <f t="shared" si="42"/>
        <v>0</v>
      </c>
      <c r="AU15" s="508">
        <f t="shared" si="43"/>
        <v>0</v>
      </c>
      <c r="AV15" s="508">
        <f t="shared" si="44"/>
        <v>0</v>
      </c>
      <c r="AW15" s="508">
        <f t="shared" si="45"/>
        <v>0</v>
      </c>
      <c r="AX15" s="508">
        <f t="shared" si="46"/>
        <v>0</v>
      </c>
      <c r="AY15" s="508">
        <f t="shared" si="47"/>
        <v>0</v>
      </c>
      <c r="AZ15" s="508">
        <f t="shared" si="48"/>
        <v>0</v>
      </c>
      <c r="BA15" s="508">
        <f t="shared" si="49"/>
        <v>0</v>
      </c>
      <c r="BB15" s="508">
        <f t="shared" si="50"/>
        <v>0</v>
      </c>
      <c r="BC15" s="508">
        <f t="shared" si="51"/>
        <v>0</v>
      </c>
      <c r="BD15" s="508">
        <f t="shared" si="52"/>
        <v>0</v>
      </c>
      <c r="BE15" s="508">
        <f t="shared" si="53"/>
        <v>0</v>
      </c>
      <c r="BF15" s="508">
        <f t="shared" si="54"/>
        <v>0</v>
      </c>
    </row>
    <row r="16" spans="1:58">
      <c r="A16" s="505" t="s">
        <v>8451</v>
      </c>
      <c r="B16" s="505">
        <v>556984361</v>
      </c>
      <c r="C16" s="505" t="s">
        <v>8412</v>
      </c>
      <c r="D16" s="505">
        <v>10</v>
      </c>
      <c r="F16" s="509" t="str">
        <f t="shared" si="5"/>
        <v>MAC+10</v>
      </c>
      <c r="G16" s="510">
        <f t="shared" si="6"/>
        <v>556984316</v>
      </c>
      <c r="H16" s="510">
        <f t="shared" si="7"/>
        <v>557237286</v>
      </c>
      <c r="I16" s="509">
        <f t="shared" si="8"/>
        <v>1</v>
      </c>
      <c r="J16" s="509">
        <f t="shared" si="9"/>
        <v>13</v>
      </c>
      <c r="L16" s="505" t="str">
        <f t="shared" si="10"/>
        <v/>
      </c>
      <c r="M16" s="505" t="str">
        <f t="shared" si="11"/>
        <v/>
      </c>
      <c r="N16" s="505" t="str">
        <f t="shared" si="12"/>
        <v/>
      </c>
      <c r="O16" s="505" t="str">
        <f t="shared" si="13"/>
        <v/>
      </c>
      <c r="P16" s="505" t="str">
        <f t="shared" si="14"/>
        <v/>
      </c>
      <c r="Q16" s="505" t="str">
        <f t="shared" si="15"/>
        <v/>
      </c>
      <c r="R16" s="505" t="str">
        <f t="shared" si="16"/>
        <v/>
      </c>
      <c r="T16" s="508">
        <f t="shared" si="17"/>
        <v>0</v>
      </c>
      <c r="U16" s="508">
        <f t="shared" si="18"/>
        <v>0</v>
      </c>
      <c r="V16" s="508">
        <f t="shared" si="19"/>
        <v>0</v>
      </c>
      <c r="W16" s="508">
        <f t="shared" si="20"/>
        <v>0</v>
      </c>
      <c r="X16" s="508">
        <f t="shared" si="21"/>
        <v>0</v>
      </c>
      <c r="Y16" s="508">
        <f t="shared" si="22"/>
        <v>0</v>
      </c>
      <c r="Z16" s="508">
        <f t="shared" si="23"/>
        <v>0</v>
      </c>
      <c r="AB16" s="508">
        <f t="shared" si="24"/>
        <v>0</v>
      </c>
      <c r="AC16" s="508">
        <f t="shared" si="25"/>
        <v>0</v>
      </c>
      <c r="AD16" s="508">
        <f t="shared" si="26"/>
        <v>0</v>
      </c>
      <c r="AE16" s="508">
        <f t="shared" si="27"/>
        <v>0</v>
      </c>
      <c r="AF16" s="508">
        <f t="shared" si="28"/>
        <v>0</v>
      </c>
      <c r="AG16" s="508">
        <f t="shared" si="29"/>
        <v>0</v>
      </c>
      <c r="AH16" s="508">
        <f t="shared" si="30"/>
        <v>0</v>
      </c>
      <c r="AI16" s="508">
        <f t="shared" si="31"/>
        <v>0</v>
      </c>
      <c r="AJ16" s="508">
        <f t="shared" si="32"/>
        <v>0</v>
      </c>
      <c r="AK16" s="508">
        <f t="shared" si="33"/>
        <v>0</v>
      </c>
      <c r="AL16" s="508">
        <f t="shared" si="34"/>
        <v>0</v>
      </c>
      <c r="AM16" s="508">
        <f t="shared" si="35"/>
        <v>0</v>
      </c>
      <c r="AN16" s="508">
        <f t="shared" si="36"/>
        <v>0</v>
      </c>
      <c r="AO16" s="508">
        <f t="shared" si="37"/>
        <v>0</v>
      </c>
      <c r="AP16" s="508">
        <f t="shared" si="38"/>
        <v>0</v>
      </c>
      <c r="AQ16" s="508">
        <f t="shared" si="39"/>
        <v>0</v>
      </c>
      <c r="AR16" s="508">
        <f t="shared" si="40"/>
        <v>0</v>
      </c>
      <c r="AS16" s="508">
        <f t="shared" si="41"/>
        <v>0</v>
      </c>
      <c r="AT16" s="508">
        <f t="shared" si="42"/>
        <v>0</v>
      </c>
      <c r="AU16" s="508">
        <f t="shared" si="43"/>
        <v>0</v>
      </c>
      <c r="AV16" s="508">
        <f t="shared" si="44"/>
        <v>0</v>
      </c>
      <c r="AW16" s="508">
        <f t="shared" si="45"/>
        <v>0</v>
      </c>
      <c r="AX16" s="508">
        <f t="shared" si="46"/>
        <v>0</v>
      </c>
      <c r="AY16" s="508">
        <f t="shared" si="47"/>
        <v>0</v>
      </c>
      <c r="AZ16" s="508">
        <f t="shared" si="48"/>
        <v>0</v>
      </c>
      <c r="BA16" s="508">
        <f t="shared" si="49"/>
        <v>0</v>
      </c>
      <c r="BB16" s="508">
        <f t="shared" si="50"/>
        <v>0</v>
      </c>
      <c r="BC16" s="508">
        <f t="shared" si="51"/>
        <v>0</v>
      </c>
      <c r="BD16" s="508">
        <f t="shared" si="52"/>
        <v>0</v>
      </c>
      <c r="BE16" s="508">
        <f t="shared" si="53"/>
        <v>0</v>
      </c>
      <c r="BF16" s="508">
        <f t="shared" si="54"/>
        <v>0</v>
      </c>
    </row>
    <row r="17" spans="1:58">
      <c r="A17" s="505" t="s">
        <v>8453</v>
      </c>
      <c r="B17" s="505">
        <v>556984361</v>
      </c>
      <c r="C17" s="505" t="s">
        <v>776</v>
      </c>
      <c r="D17" s="505">
        <v>10</v>
      </c>
      <c r="F17" s="509" t="str">
        <f t="shared" si="5"/>
        <v>N2+10</v>
      </c>
      <c r="G17" s="510">
        <f t="shared" si="6"/>
        <v>556984316</v>
      </c>
      <c r="H17" s="510">
        <f t="shared" si="7"/>
        <v>557237286</v>
      </c>
      <c r="I17" s="509">
        <f t="shared" si="8"/>
        <v>2</v>
      </c>
      <c r="J17" s="509">
        <f t="shared" si="9"/>
        <v>12</v>
      </c>
      <c r="L17" s="505" t="str">
        <f t="shared" si="10"/>
        <v/>
      </c>
      <c r="M17" s="505">
        <f t="shared" si="11"/>
        <v>10</v>
      </c>
      <c r="N17" s="505" t="str">
        <f t="shared" si="12"/>
        <v/>
      </c>
      <c r="O17" s="505" t="str">
        <f t="shared" si="13"/>
        <v/>
      </c>
      <c r="P17" s="505" t="str">
        <f t="shared" si="14"/>
        <v/>
      </c>
      <c r="Q17" s="505" t="str">
        <f t="shared" si="15"/>
        <v/>
      </c>
      <c r="R17" s="505" t="str">
        <f t="shared" si="16"/>
        <v/>
      </c>
      <c r="T17" s="508">
        <f t="shared" si="17"/>
        <v>0.82187500000000002</v>
      </c>
      <c r="U17" s="508">
        <f t="shared" si="18"/>
        <v>3.2609374999999998</v>
      </c>
      <c r="V17" s="508">
        <f t="shared" si="19"/>
        <v>0</v>
      </c>
      <c r="W17" s="508">
        <f t="shared" si="20"/>
        <v>0</v>
      </c>
      <c r="X17" s="508">
        <f t="shared" si="21"/>
        <v>126.6</v>
      </c>
      <c r="Y17" s="508">
        <f t="shared" si="22"/>
        <v>126.6</v>
      </c>
      <c r="Z17" s="508">
        <f t="shared" si="23"/>
        <v>0</v>
      </c>
      <c r="AB17" s="508">
        <f t="shared" si="24"/>
        <v>0</v>
      </c>
      <c r="AC17" s="508">
        <f t="shared" si="25"/>
        <v>0</v>
      </c>
      <c r="AD17" s="508">
        <f t="shared" si="26"/>
        <v>0</v>
      </c>
      <c r="AE17" s="508">
        <f t="shared" si="27"/>
        <v>129.86093750000001</v>
      </c>
      <c r="AF17" s="508">
        <f t="shared" si="28"/>
        <v>129.86093750000001</v>
      </c>
      <c r="AG17" s="508">
        <f t="shared" si="29"/>
        <v>129.86093750000001</v>
      </c>
      <c r="AH17" s="508">
        <f t="shared" si="30"/>
        <v>129.86093750000001</v>
      </c>
      <c r="AI17" s="508">
        <f t="shared" si="31"/>
        <v>0.82187500000000002</v>
      </c>
      <c r="AJ17" s="508">
        <f t="shared" si="32"/>
        <v>0.82187500000000002</v>
      </c>
      <c r="AK17" s="508">
        <f t="shared" si="33"/>
        <v>0.82187500000000002</v>
      </c>
      <c r="AL17" s="508">
        <f t="shared" si="34"/>
        <v>0.82187500000000002</v>
      </c>
      <c r="AM17" s="508">
        <f t="shared" si="35"/>
        <v>130.68281250000001</v>
      </c>
      <c r="AN17" s="508">
        <f t="shared" si="36"/>
        <v>130.68281250000001</v>
      </c>
      <c r="AO17" s="508">
        <f t="shared" si="37"/>
        <v>130.68281250000001</v>
      </c>
      <c r="AP17" s="508">
        <f t="shared" si="38"/>
        <v>130.68281250000001</v>
      </c>
      <c r="AQ17" s="508">
        <f t="shared" si="39"/>
        <v>0</v>
      </c>
      <c r="AR17" s="508">
        <f t="shared" si="40"/>
        <v>0</v>
      </c>
      <c r="AS17" s="508">
        <f t="shared" si="41"/>
        <v>0</v>
      </c>
      <c r="AT17" s="508">
        <f t="shared" si="42"/>
        <v>0</v>
      </c>
      <c r="AU17" s="508">
        <f t="shared" si="43"/>
        <v>129.86093750000001</v>
      </c>
      <c r="AV17" s="508">
        <f t="shared" si="44"/>
        <v>129.86093750000001</v>
      </c>
      <c r="AW17" s="508">
        <f t="shared" si="45"/>
        <v>129.86093750000001</v>
      </c>
      <c r="AX17" s="508">
        <f t="shared" si="46"/>
        <v>129.86093750000001</v>
      </c>
      <c r="AY17" s="508">
        <f t="shared" si="47"/>
        <v>0.82187500000000002</v>
      </c>
      <c r="AZ17" s="508">
        <f t="shared" si="48"/>
        <v>0.82187500000000002</v>
      </c>
      <c r="BA17" s="508">
        <f t="shared" si="49"/>
        <v>0.82187500000000002</v>
      </c>
      <c r="BB17" s="508">
        <f t="shared" si="50"/>
        <v>0.82187500000000002</v>
      </c>
      <c r="BC17" s="508">
        <f t="shared" si="51"/>
        <v>130.68281250000001</v>
      </c>
      <c r="BD17" s="508">
        <f t="shared" si="52"/>
        <v>130.68281250000001</v>
      </c>
      <c r="BE17" s="508">
        <f t="shared" si="53"/>
        <v>130.68281250000001</v>
      </c>
      <c r="BF17" s="508">
        <f t="shared" si="54"/>
        <v>130.68281250000001</v>
      </c>
    </row>
    <row r="18" spans="1:58">
      <c r="A18" s="505" t="s">
        <v>8453</v>
      </c>
      <c r="B18" s="505">
        <v>556984362</v>
      </c>
      <c r="C18" s="505" t="s">
        <v>773</v>
      </c>
      <c r="D18" s="505">
        <v>300</v>
      </c>
      <c r="F18" s="509" t="str">
        <f t="shared" si="5"/>
        <v>N3+300</v>
      </c>
      <c r="G18" s="510">
        <f t="shared" si="6"/>
        <v>556984316</v>
      </c>
      <c r="H18" s="510">
        <f t="shared" si="7"/>
        <v>557237286</v>
      </c>
      <c r="I18" s="509">
        <f t="shared" si="8"/>
        <v>3</v>
      </c>
      <c r="J18" s="509">
        <f t="shared" si="9"/>
        <v>11</v>
      </c>
      <c r="L18" s="505" t="str">
        <f t="shared" si="10"/>
        <v/>
      </c>
      <c r="M18" s="505">
        <f t="shared" si="11"/>
        <v>10</v>
      </c>
      <c r="N18" s="505">
        <f t="shared" si="12"/>
        <v>300</v>
      </c>
      <c r="O18" s="505" t="str">
        <f t="shared" si="13"/>
        <v/>
      </c>
      <c r="P18" s="505" t="str">
        <f t="shared" si="14"/>
        <v/>
      </c>
      <c r="Q18" s="505" t="str">
        <f t="shared" si="15"/>
        <v/>
      </c>
      <c r="R18" s="505" t="str">
        <f t="shared" si="16"/>
        <v/>
      </c>
      <c r="T18" s="508">
        <f t="shared" si="17"/>
        <v>0.82187500000000002</v>
      </c>
      <c r="U18" s="508">
        <f t="shared" si="18"/>
        <v>3.2609374999999998</v>
      </c>
      <c r="V18" s="508">
        <f t="shared" si="19"/>
        <v>0</v>
      </c>
      <c r="W18" s="508">
        <f t="shared" si="20"/>
        <v>0</v>
      </c>
      <c r="X18" s="508">
        <f t="shared" si="21"/>
        <v>126.6</v>
      </c>
      <c r="Y18" s="508">
        <f t="shared" si="22"/>
        <v>126.6</v>
      </c>
      <c r="Z18" s="508">
        <f t="shared" si="23"/>
        <v>60.586666666666666</v>
      </c>
      <c r="AB18" s="508">
        <f t="shared" si="24"/>
        <v>0</v>
      </c>
      <c r="AC18" s="508">
        <f t="shared" si="25"/>
        <v>60.586666666666666</v>
      </c>
      <c r="AD18" s="508">
        <f t="shared" si="26"/>
        <v>60.586666666666666</v>
      </c>
      <c r="AE18" s="508">
        <f t="shared" si="27"/>
        <v>129.86093750000001</v>
      </c>
      <c r="AF18" s="508">
        <f t="shared" si="28"/>
        <v>129.86093750000001</v>
      </c>
      <c r="AG18" s="508">
        <f t="shared" si="29"/>
        <v>190.44760416666668</v>
      </c>
      <c r="AH18" s="508">
        <f t="shared" si="30"/>
        <v>190.44760416666668</v>
      </c>
      <c r="AI18" s="508">
        <f t="shared" si="31"/>
        <v>0.82187500000000002</v>
      </c>
      <c r="AJ18" s="508">
        <f t="shared" si="32"/>
        <v>0.82187500000000002</v>
      </c>
      <c r="AK18" s="508">
        <f t="shared" si="33"/>
        <v>61.408541666666665</v>
      </c>
      <c r="AL18" s="508">
        <f t="shared" si="34"/>
        <v>61.408541666666665</v>
      </c>
      <c r="AM18" s="508">
        <f t="shared" si="35"/>
        <v>130.68281250000001</v>
      </c>
      <c r="AN18" s="508">
        <f t="shared" si="36"/>
        <v>130.68281250000001</v>
      </c>
      <c r="AO18" s="508">
        <f t="shared" si="37"/>
        <v>191.26947916666668</v>
      </c>
      <c r="AP18" s="508">
        <f t="shared" si="38"/>
        <v>191.26947916666668</v>
      </c>
      <c r="AQ18" s="508">
        <f t="shared" si="39"/>
        <v>0</v>
      </c>
      <c r="AR18" s="508">
        <f t="shared" si="40"/>
        <v>0</v>
      </c>
      <c r="AS18" s="508">
        <f t="shared" si="41"/>
        <v>60.586666666666666</v>
      </c>
      <c r="AT18" s="508">
        <f t="shared" si="42"/>
        <v>60.586666666666666</v>
      </c>
      <c r="AU18" s="508">
        <f t="shared" si="43"/>
        <v>129.86093750000001</v>
      </c>
      <c r="AV18" s="508">
        <f t="shared" si="44"/>
        <v>129.86093750000001</v>
      </c>
      <c r="AW18" s="508">
        <f t="shared" si="45"/>
        <v>190.44760416666668</v>
      </c>
      <c r="AX18" s="508">
        <f t="shared" si="46"/>
        <v>190.44760416666668</v>
      </c>
      <c r="AY18" s="508">
        <f t="shared" si="47"/>
        <v>0.82187500000000002</v>
      </c>
      <c r="AZ18" s="508">
        <f t="shared" si="48"/>
        <v>0.82187500000000002</v>
      </c>
      <c r="BA18" s="508">
        <f t="shared" si="49"/>
        <v>61.408541666666665</v>
      </c>
      <c r="BB18" s="508">
        <f t="shared" si="50"/>
        <v>61.408541666666665</v>
      </c>
      <c r="BC18" s="508">
        <f t="shared" si="51"/>
        <v>130.68281250000001</v>
      </c>
      <c r="BD18" s="508">
        <f t="shared" si="52"/>
        <v>130.68281250000001</v>
      </c>
      <c r="BE18" s="508">
        <f t="shared" si="53"/>
        <v>191.26947916666668</v>
      </c>
      <c r="BF18" s="508">
        <f t="shared" si="54"/>
        <v>191.26947916666668</v>
      </c>
    </row>
    <row r="19" spans="1:58">
      <c r="A19" s="505" t="s">
        <v>8453</v>
      </c>
      <c r="B19" s="505">
        <v>556984363</v>
      </c>
      <c r="C19" s="505" t="s">
        <v>12</v>
      </c>
      <c r="D19" s="505">
        <v>10</v>
      </c>
      <c r="F19" s="509" t="str">
        <f t="shared" si="5"/>
        <v>N1+10</v>
      </c>
      <c r="G19" s="510">
        <f t="shared" si="6"/>
        <v>556984316</v>
      </c>
      <c r="H19" s="510">
        <f t="shared" si="7"/>
        <v>557237286</v>
      </c>
      <c r="I19" s="509">
        <f t="shared" si="8"/>
        <v>4</v>
      </c>
      <c r="J19" s="509">
        <f t="shared" si="9"/>
        <v>10</v>
      </c>
      <c r="L19" s="505">
        <f t="shared" si="10"/>
        <v>10</v>
      </c>
      <c r="M19" s="505">
        <f t="shared" si="11"/>
        <v>10</v>
      </c>
      <c r="N19" s="505">
        <f t="shared" si="12"/>
        <v>300</v>
      </c>
      <c r="O19" s="505" t="str">
        <f t="shared" si="13"/>
        <v/>
      </c>
      <c r="P19" s="505" t="str">
        <f t="shared" si="14"/>
        <v/>
      </c>
      <c r="Q19" s="505" t="str">
        <f t="shared" si="15"/>
        <v/>
      </c>
      <c r="R19" s="505" t="str">
        <f t="shared" si="16"/>
        <v/>
      </c>
      <c r="T19" s="508">
        <f t="shared" si="17"/>
        <v>0.82187500000000002</v>
      </c>
      <c r="U19" s="508">
        <f t="shared" si="18"/>
        <v>3.2609374999999998</v>
      </c>
      <c r="V19" s="508">
        <f t="shared" si="19"/>
        <v>0</v>
      </c>
      <c r="W19" s="508">
        <f t="shared" si="20"/>
        <v>198.8</v>
      </c>
      <c r="X19" s="508">
        <f t="shared" si="21"/>
        <v>126.6</v>
      </c>
      <c r="Y19" s="508">
        <f t="shared" si="22"/>
        <v>126.6</v>
      </c>
      <c r="Z19" s="508">
        <f t="shared" si="23"/>
        <v>60.586666666666666</v>
      </c>
      <c r="AB19" s="508">
        <f t="shared" si="24"/>
        <v>198.8</v>
      </c>
      <c r="AC19" s="508">
        <f t="shared" si="25"/>
        <v>60.586666666666666</v>
      </c>
      <c r="AD19" s="508">
        <f t="shared" si="26"/>
        <v>259.38666666666666</v>
      </c>
      <c r="AE19" s="508">
        <f t="shared" si="27"/>
        <v>129.86093750000001</v>
      </c>
      <c r="AF19" s="508">
        <f t="shared" si="28"/>
        <v>328.66093750000005</v>
      </c>
      <c r="AG19" s="508">
        <f t="shared" si="29"/>
        <v>190.44760416666668</v>
      </c>
      <c r="AH19" s="508">
        <f t="shared" si="30"/>
        <v>389.24760416666669</v>
      </c>
      <c r="AI19" s="508">
        <f t="shared" si="31"/>
        <v>0.82187500000000002</v>
      </c>
      <c r="AJ19" s="508">
        <f t="shared" si="32"/>
        <v>199.62187500000002</v>
      </c>
      <c r="AK19" s="508">
        <f t="shared" si="33"/>
        <v>61.408541666666665</v>
      </c>
      <c r="AL19" s="508">
        <f t="shared" si="34"/>
        <v>260.20854166666669</v>
      </c>
      <c r="AM19" s="508">
        <f t="shared" si="35"/>
        <v>130.68281250000001</v>
      </c>
      <c r="AN19" s="508">
        <f t="shared" si="36"/>
        <v>329.48281250000002</v>
      </c>
      <c r="AO19" s="508">
        <f t="shared" si="37"/>
        <v>191.26947916666668</v>
      </c>
      <c r="AP19" s="508">
        <f t="shared" si="38"/>
        <v>390.06947916666672</v>
      </c>
      <c r="AQ19" s="508">
        <f t="shared" si="39"/>
        <v>0</v>
      </c>
      <c r="AR19" s="508">
        <f t="shared" si="40"/>
        <v>198.8</v>
      </c>
      <c r="AS19" s="508">
        <f t="shared" si="41"/>
        <v>60.586666666666666</v>
      </c>
      <c r="AT19" s="508">
        <f t="shared" si="42"/>
        <v>259.38666666666666</v>
      </c>
      <c r="AU19" s="508">
        <f t="shared" si="43"/>
        <v>129.86093750000001</v>
      </c>
      <c r="AV19" s="508">
        <f t="shared" si="44"/>
        <v>328.66093750000005</v>
      </c>
      <c r="AW19" s="508">
        <f t="shared" si="45"/>
        <v>190.44760416666668</v>
      </c>
      <c r="AX19" s="508">
        <f t="shared" si="46"/>
        <v>389.24760416666669</v>
      </c>
      <c r="AY19" s="508">
        <f t="shared" si="47"/>
        <v>0.82187500000000002</v>
      </c>
      <c r="AZ19" s="508">
        <f t="shared" si="48"/>
        <v>199.62187500000002</v>
      </c>
      <c r="BA19" s="508">
        <f t="shared" si="49"/>
        <v>61.408541666666665</v>
      </c>
      <c r="BB19" s="508">
        <f t="shared" si="50"/>
        <v>260.20854166666669</v>
      </c>
      <c r="BC19" s="508">
        <f t="shared" si="51"/>
        <v>130.68281250000001</v>
      </c>
      <c r="BD19" s="508">
        <f t="shared" si="52"/>
        <v>329.48281250000002</v>
      </c>
      <c r="BE19" s="508">
        <f t="shared" si="53"/>
        <v>191.26947916666668</v>
      </c>
      <c r="BF19" s="508">
        <f t="shared" si="54"/>
        <v>390.06947916666672</v>
      </c>
    </row>
    <row r="20" spans="1:58">
      <c r="A20" s="505" t="s">
        <v>8455</v>
      </c>
      <c r="B20" s="505">
        <v>556984364</v>
      </c>
      <c r="C20" s="505" t="s">
        <v>8411</v>
      </c>
      <c r="D20" s="505">
        <v>1</v>
      </c>
      <c r="F20" s="509" t="str">
        <f t="shared" si="5"/>
        <v>STAT+1</v>
      </c>
      <c r="G20" s="510">
        <f t="shared" si="6"/>
        <v>556984316</v>
      </c>
      <c r="H20" s="510">
        <f t="shared" si="7"/>
        <v>557237286</v>
      </c>
      <c r="I20" s="509">
        <f t="shared" si="8"/>
        <v>5</v>
      </c>
      <c r="J20" s="509">
        <f t="shared" si="9"/>
        <v>9</v>
      </c>
      <c r="L20" s="505">
        <f t="shared" si="10"/>
        <v>10</v>
      </c>
      <c r="M20" s="505">
        <f t="shared" si="11"/>
        <v>10</v>
      </c>
      <c r="N20" s="505">
        <f t="shared" si="12"/>
        <v>300</v>
      </c>
      <c r="O20" s="505">
        <f t="shared" si="13"/>
        <v>1</v>
      </c>
      <c r="P20" s="505" t="str">
        <f t="shared" si="14"/>
        <v/>
      </c>
      <c r="Q20" s="505" t="str">
        <f t="shared" si="15"/>
        <v/>
      </c>
      <c r="R20" s="505" t="str">
        <f t="shared" si="16"/>
        <v/>
      </c>
      <c r="T20" s="508">
        <f t="shared" si="17"/>
        <v>0.82187500000000002</v>
      </c>
      <c r="U20" s="508">
        <f t="shared" si="18"/>
        <v>3.2609374999999998</v>
      </c>
      <c r="V20" s="508">
        <f t="shared" si="19"/>
        <v>512</v>
      </c>
      <c r="W20" s="508">
        <f t="shared" si="20"/>
        <v>198.8</v>
      </c>
      <c r="X20" s="508">
        <f t="shared" si="21"/>
        <v>126.6</v>
      </c>
      <c r="Y20" s="508">
        <f t="shared" si="22"/>
        <v>126.6</v>
      </c>
      <c r="Z20" s="508">
        <f t="shared" si="23"/>
        <v>60.586666666666666</v>
      </c>
      <c r="AB20" s="508">
        <f t="shared" si="24"/>
        <v>198.8</v>
      </c>
      <c r="AC20" s="508">
        <f t="shared" si="25"/>
        <v>60.586666666666666</v>
      </c>
      <c r="AD20" s="508">
        <f t="shared" si="26"/>
        <v>259.38666666666666</v>
      </c>
      <c r="AE20" s="508">
        <f t="shared" si="27"/>
        <v>129.86093750000001</v>
      </c>
      <c r="AF20" s="508">
        <f t="shared" si="28"/>
        <v>328.66093750000005</v>
      </c>
      <c r="AG20" s="508">
        <f t="shared" si="29"/>
        <v>190.44760416666668</v>
      </c>
      <c r="AH20" s="508">
        <f t="shared" si="30"/>
        <v>389.24760416666669</v>
      </c>
      <c r="AI20" s="508">
        <f t="shared" si="31"/>
        <v>0.82187500000000002</v>
      </c>
      <c r="AJ20" s="508">
        <f t="shared" si="32"/>
        <v>199.62187500000002</v>
      </c>
      <c r="AK20" s="508">
        <f t="shared" si="33"/>
        <v>61.408541666666665</v>
      </c>
      <c r="AL20" s="508">
        <f t="shared" si="34"/>
        <v>260.20854166666669</v>
      </c>
      <c r="AM20" s="508">
        <f t="shared" si="35"/>
        <v>130.68281250000001</v>
      </c>
      <c r="AN20" s="508">
        <f t="shared" si="36"/>
        <v>329.48281250000002</v>
      </c>
      <c r="AO20" s="508">
        <f t="shared" si="37"/>
        <v>191.26947916666668</v>
      </c>
      <c r="AP20" s="508">
        <f t="shared" si="38"/>
        <v>390.06947916666672</v>
      </c>
      <c r="AQ20" s="508">
        <f t="shared" si="39"/>
        <v>512</v>
      </c>
      <c r="AR20" s="508">
        <f t="shared" si="40"/>
        <v>710.8</v>
      </c>
      <c r="AS20" s="508">
        <f t="shared" si="41"/>
        <v>572.5866666666667</v>
      </c>
      <c r="AT20" s="508">
        <f t="shared" si="42"/>
        <v>771.38666666666677</v>
      </c>
      <c r="AU20" s="508">
        <f t="shared" si="43"/>
        <v>641.86093749999998</v>
      </c>
      <c r="AV20" s="508">
        <f t="shared" si="44"/>
        <v>840.66093750000005</v>
      </c>
      <c r="AW20" s="508">
        <f t="shared" si="45"/>
        <v>702.44760416666668</v>
      </c>
      <c r="AX20" s="508">
        <f t="shared" si="46"/>
        <v>901.24760416666663</v>
      </c>
      <c r="AY20" s="508">
        <f t="shared" si="47"/>
        <v>512.82187499999998</v>
      </c>
      <c r="AZ20" s="508">
        <f t="shared" si="48"/>
        <v>711.62187500000005</v>
      </c>
      <c r="BA20" s="508">
        <f t="shared" si="49"/>
        <v>573.40854166666668</v>
      </c>
      <c r="BB20" s="508">
        <f t="shared" si="50"/>
        <v>772.20854166666663</v>
      </c>
      <c r="BC20" s="508">
        <f t="shared" si="51"/>
        <v>642.68281249999995</v>
      </c>
      <c r="BD20" s="508">
        <f t="shared" si="52"/>
        <v>841.48281249999991</v>
      </c>
      <c r="BE20" s="508">
        <f t="shared" si="53"/>
        <v>703.26947916666666</v>
      </c>
      <c r="BF20" s="508">
        <f t="shared" si="54"/>
        <v>902.06947916666672</v>
      </c>
    </row>
    <row r="21" spans="1:58">
      <c r="A21" s="505" t="s">
        <v>8453</v>
      </c>
      <c r="B21" s="505">
        <v>556985847</v>
      </c>
      <c r="C21" s="505" t="s">
        <v>776</v>
      </c>
      <c r="D21" s="505">
        <v>40</v>
      </c>
      <c r="F21" s="509" t="str">
        <f t="shared" si="5"/>
        <v>N2+40</v>
      </c>
      <c r="G21" s="510">
        <f t="shared" si="6"/>
        <v>556984316</v>
      </c>
      <c r="H21" s="510">
        <f t="shared" si="7"/>
        <v>557237286</v>
      </c>
      <c r="I21" s="509">
        <f t="shared" si="8"/>
        <v>6</v>
      </c>
      <c r="J21" s="509">
        <f t="shared" si="9"/>
        <v>8</v>
      </c>
      <c r="L21" s="505">
        <f t="shared" si="10"/>
        <v>10</v>
      </c>
      <c r="M21" s="505">
        <f t="shared" si="11"/>
        <v>40</v>
      </c>
      <c r="N21" s="505">
        <f t="shared" si="12"/>
        <v>300</v>
      </c>
      <c r="O21" s="505">
        <f t="shared" si="13"/>
        <v>1</v>
      </c>
      <c r="P21" s="505" t="str">
        <f t="shared" si="14"/>
        <v/>
      </c>
      <c r="Q21" s="505" t="str">
        <f t="shared" si="15"/>
        <v/>
      </c>
      <c r="R21" s="505" t="str">
        <f t="shared" si="16"/>
        <v/>
      </c>
      <c r="T21" s="508">
        <f t="shared" si="17"/>
        <v>0.20546875000000001</v>
      </c>
      <c r="U21" s="508">
        <f t="shared" si="18"/>
        <v>0.81523437499999996</v>
      </c>
      <c r="V21" s="508">
        <f t="shared" si="19"/>
        <v>512</v>
      </c>
      <c r="W21" s="508">
        <f t="shared" si="20"/>
        <v>198.8</v>
      </c>
      <c r="X21" s="508">
        <f t="shared" si="21"/>
        <v>31.65</v>
      </c>
      <c r="Y21" s="508">
        <f t="shared" si="22"/>
        <v>31.65</v>
      </c>
      <c r="Z21" s="508">
        <f t="shared" si="23"/>
        <v>60.586666666666666</v>
      </c>
      <c r="AB21" s="508">
        <f t="shared" si="24"/>
        <v>198.8</v>
      </c>
      <c r="AC21" s="508">
        <f t="shared" si="25"/>
        <v>60.586666666666666</v>
      </c>
      <c r="AD21" s="508">
        <f t="shared" si="26"/>
        <v>259.38666666666666</v>
      </c>
      <c r="AE21" s="508">
        <f t="shared" si="27"/>
        <v>32.465234375000001</v>
      </c>
      <c r="AF21" s="508">
        <f t="shared" si="28"/>
        <v>231.26523437500001</v>
      </c>
      <c r="AG21" s="508">
        <f t="shared" si="29"/>
        <v>93.051901041666667</v>
      </c>
      <c r="AH21" s="508">
        <f t="shared" si="30"/>
        <v>291.85190104166668</v>
      </c>
      <c r="AI21" s="508">
        <f t="shared" si="31"/>
        <v>0.20546875000000001</v>
      </c>
      <c r="AJ21" s="508">
        <f t="shared" si="32"/>
        <v>199.00546875000001</v>
      </c>
      <c r="AK21" s="508">
        <f t="shared" si="33"/>
        <v>60.792135416666667</v>
      </c>
      <c r="AL21" s="508">
        <f t="shared" si="34"/>
        <v>259.59213541666668</v>
      </c>
      <c r="AM21" s="508">
        <f t="shared" si="35"/>
        <v>32.670703125000003</v>
      </c>
      <c r="AN21" s="508">
        <f t="shared" si="36"/>
        <v>231.470703125</v>
      </c>
      <c r="AO21" s="508">
        <f t="shared" si="37"/>
        <v>93.257369791666662</v>
      </c>
      <c r="AP21" s="508">
        <f t="shared" si="38"/>
        <v>292.0573697916667</v>
      </c>
      <c r="AQ21" s="508">
        <f t="shared" si="39"/>
        <v>512</v>
      </c>
      <c r="AR21" s="508">
        <f t="shared" si="40"/>
        <v>710.8</v>
      </c>
      <c r="AS21" s="508">
        <f t="shared" si="41"/>
        <v>572.5866666666667</v>
      </c>
      <c r="AT21" s="508">
        <f t="shared" si="42"/>
        <v>771.38666666666677</v>
      </c>
      <c r="AU21" s="508">
        <f t="shared" si="43"/>
        <v>544.46523437500002</v>
      </c>
      <c r="AV21" s="508">
        <f t="shared" si="44"/>
        <v>743.26523437500009</v>
      </c>
      <c r="AW21" s="508">
        <f t="shared" si="45"/>
        <v>605.05190104166672</v>
      </c>
      <c r="AX21" s="508">
        <f t="shared" si="46"/>
        <v>803.85190104166668</v>
      </c>
      <c r="AY21" s="508">
        <f t="shared" si="47"/>
        <v>512.20546875000002</v>
      </c>
      <c r="AZ21" s="508">
        <f t="shared" si="48"/>
        <v>711.00546875000009</v>
      </c>
      <c r="BA21" s="508">
        <f t="shared" si="49"/>
        <v>572.79213541666672</v>
      </c>
      <c r="BB21" s="508">
        <f t="shared" si="50"/>
        <v>771.59213541666668</v>
      </c>
      <c r="BC21" s="508">
        <f t="shared" si="51"/>
        <v>544.67070312500005</v>
      </c>
      <c r="BD21" s="508">
        <f t="shared" si="52"/>
        <v>743.470703125</v>
      </c>
      <c r="BE21" s="508">
        <f t="shared" si="53"/>
        <v>605.25736979166675</v>
      </c>
      <c r="BF21" s="508">
        <f t="shared" si="54"/>
        <v>804.05736979166682</v>
      </c>
    </row>
    <row r="22" spans="1:58">
      <c r="A22" s="505" t="s">
        <v>8453</v>
      </c>
      <c r="B22" s="505">
        <v>556985848</v>
      </c>
      <c r="C22" s="505" t="s">
        <v>773</v>
      </c>
      <c r="D22" s="505">
        <v>7200</v>
      </c>
      <c r="F22" s="509" t="str">
        <f t="shared" si="5"/>
        <v>N3+7200</v>
      </c>
      <c r="G22" s="510">
        <f t="shared" si="6"/>
        <v>556984316</v>
      </c>
      <c r="H22" s="510">
        <f t="shared" si="7"/>
        <v>557237286</v>
      </c>
      <c r="I22" s="509">
        <f t="shared" si="8"/>
        <v>7</v>
      </c>
      <c r="J22" s="509">
        <f t="shared" si="9"/>
        <v>7</v>
      </c>
      <c r="L22" s="505">
        <f t="shared" si="10"/>
        <v>10</v>
      </c>
      <c r="M22" s="505">
        <f t="shared" si="11"/>
        <v>40</v>
      </c>
      <c r="N22" s="505">
        <f t="shared" si="12"/>
        <v>7200</v>
      </c>
      <c r="O22" s="505">
        <f t="shared" si="13"/>
        <v>1</v>
      </c>
      <c r="P22" s="505" t="str">
        <f t="shared" si="14"/>
        <v/>
      </c>
      <c r="Q22" s="505" t="str">
        <f t="shared" si="15"/>
        <v/>
      </c>
      <c r="R22" s="505" t="str">
        <f t="shared" si="16"/>
        <v/>
      </c>
      <c r="T22" s="508">
        <f t="shared" si="17"/>
        <v>0.20546875000000001</v>
      </c>
      <c r="U22" s="508">
        <f t="shared" si="18"/>
        <v>0.81523437499999996</v>
      </c>
      <c r="V22" s="508">
        <f t="shared" si="19"/>
        <v>512</v>
      </c>
      <c r="W22" s="508">
        <f t="shared" si="20"/>
        <v>198.8</v>
      </c>
      <c r="X22" s="508">
        <f t="shared" si="21"/>
        <v>31.65</v>
      </c>
      <c r="Y22" s="508">
        <f t="shared" si="22"/>
        <v>31.65</v>
      </c>
      <c r="Z22" s="508">
        <f t="shared" si="23"/>
        <v>2.5244444444444443</v>
      </c>
      <c r="AB22" s="508">
        <f t="shared" si="24"/>
        <v>198.8</v>
      </c>
      <c r="AC22" s="508">
        <f t="shared" si="25"/>
        <v>2.5244444444444443</v>
      </c>
      <c r="AD22" s="508">
        <f t="shared" si="26"/>
        <v>201.32444444444445</v>
      </c>
      <c r="AE22" s="508">
        <f t="shared" si="27"/>
        <v>32.465234375000001</v>
      </c>
      <c r="AF22" s="508">
        <f t="shared" si="28"/>
        <v>231.26523437500001</v>
      </c>
      <c r="AG22" s="508">
        <f t="shared" si="29"/>
        <v>34.989678819444443</v>
      </c>
      <c r="AH22" s="508">
        <f t="shared" si="30"/>
        <v>233.78967881944445</v>
      </c>
      <c r="AI22" s="508">
        <f t="shared" si="31"/>
        <v>0.20546875000000001</v>
      </c>
      <c r="AJ22" s="508">
        <f t="shared" si="32"/>
        <v>199.00546875000001</v>
      </c>
      <c r="AK22" s="508">
        <f t="shared" si="33"/>
        <v>2.7299131944444444</v>
      </c>
      <c r="AL22" s="508">
        <f t="shared" si="34"/>
        <v>201.52991319444445</v>
      </c>
      <c r="AM22" s="508">
        <f t="shared" si="35"/>
        <v>32.670703125000003</v>
      </c>
      <c r="AN22" s="508">
        <f t="shared" si="36"/>
        <v>231.470703125</v>
      </c>
      <c r="AO22" s="508">
        <f t="shared" si="37"/>
        <v>35.195147569444444</v>
      </c>
      <c r="AP22" s="508">
        <f t="shared" si="38"/>
        <v>233.99514756944444</v>
      </c>
      <c r="AQ22" s="508">
        <f t="shared" si="39"/>
        <v>512</v>
      </c>
      <c r="AR22" s="508">
        <f t="shared" si="40"/>
        <v>710.8</v>
      </c>
      <c r="AS22" s="508">
        <f t="shared" si="41"/>
        <v>514.5244444444445</v>
      </c>
      <c r="AT22" s="508">
        <f t="shared" si="42"/>
        <v>713.32444444444445</v>
      </c>
      <c r="AU22" s="508">
        <f t="shared" si="43"/>
        <v>544.46523437500002</v>
      </c>
      <c r="AV22" s="508">
        <f t="shared" si="44"/>
        <v>743.26523437500009</v>
      </c>
      <c r="AW22" s="508">
        <f t="shared" si="45"/>
        <v>546.98967881944452</v>
      </c>
      <c r="AX22" s="508">
        <f t="shared" si="46"/>
        <v>745.78967881944459</v>
      </c>
      <c r="AY22" s="508">
        <f t="shared" si="47"/>
        <v>512.20546875000002</v>
      </c>
      <c r="AZ22" s="508">
        <f t="shared" si="48"/>
        <v>711.00546875000009</v>
      </c>
      <c r="BA22" s="508">
        <f t="shared" si="49"/>
        <v>514.72991319444452</v>
      </c>
      <c r="BB22" s="508">
        <f t="shared" si="50"/>
        <v>713.52991319444459</v>
      </c>
      <c r="BC22" s="508">
        <f t="shared" si="51"/>
        <v>544.67070312500005</v>
      </c>
      <c r="BD22" s="508">
        <f t="shared" si="52"/>
        <v>743.470703125</v>
      </c>
      <c r="BE22" s="508">
        <f t="shared" si="53"/>
        <v>547.19514756944454</v>
      </c>
      <c r="BF22" s="508">
        <f t="shared" si="54"/>
        <v>745.9951475694445</v>
      </c>
    </row>
    <row r="23" spans="1:58">
      <c r="A23" s="505" t="s">
        <v>8453</v>
      </c>
      <c r="B23" s="505">
        <v>556985849</v>
      </c>
      <c r="C23" s="505" t="s">
        <v>12</v>
      </c>
      <c r="D23" s="505">
        <v>3600</v>
      </c>
      <c r="F23" s="509" t="str">
        <f t="shared" si="5"/>
        <v>N1+3600</v>
      </c>
      <c r="G23" s="510">
        <f t="shared" si="6"/>
        <v>556984316</v>
      </c>
      <c r="H23" s="510">
        <f t="shared" si="7"/>
        <v>557237286</v>
      </c>
      <c r="I23" s="509">
        <f t="shared" si="8"/>
        <v>8</v>
      </c>
      <c r="J23" s="509">
        <f t="shared" si="9"/>
        <v>6</v>
      </c>
      <c r="L23" s="505">
        <f t="shared" si="10"/>
        <v>3600</v>
      </c>
      <c r="M23" s="505">
        <f t="shared" si="11"/>
        <v>40</v>
      </c>
      <c r="N23" s="505">
        <f t="shared" si="12"/>
        <v>7200</v>
      </c>
      <c r="O23" s="505">
        <f t="shared" si="13"/>
        <v>1</v>
      </c>
      <c r="P23" s="505" t="str">
        <f t="shared" si="14"/>
        <v/>
      </c>
      <c r="Q23" s="505" t="str">
        <f t="shared" si="15"/>
        <v/>
      </c>
      <c r="R23" s="505" t="str">
        <f t="shared" si="16"/>
        <v/>
      </c>
      <c r="T23" s="508">
        <f t="shared" si="17"/>
        <v>0.20546875000000001</v>
      </c>
      <c r="U23" s="508">
        <f t="shared" si="18"/>
        <v>0.81523437499999996</v>
      </c>
      <c r="V23" s="508">
        <f t="shared" si="19"/>
        <v>512</v>
      </c>
      <c r="W23" s="508">
        <f t="shared" si="20"/>
        <v>0.55222222222222217</v>
      </c>
      <c r="X23" s="508">
        <f t="shared" si="21"/>
        <v>31.65</v>
      </c>
      <c r="Y23" s="508">
        <f t="shared" si="22"/>
        <v>31.65</v>
      </c>
      <c r="Z23" s="508">
        <f t="shared" si="23"/>
        <v>2.5244444444444443</v>
      </c>
      <c r="AB23" s="508">
        <f t="shared" si="24"/>
        <v>0.55222222222222217</v>
      </c>
      <c r="AC23" s="508">
        <f t="shared" si="25"/>
        <v>2.5244444444444443</v>
      </c>
      <c r="AD23" s="508">
        <f t="shared" si="26"/>
        <v>3.0766666666666662</v>
      </c>
      <c r="AE23" s="508">
        <f t="shared" si="27"/>
        <v>32.465234375000001</v>
      </c>
      <c r="AF23" s="508">
        <f t="shared" si="28"/>
        <v>33.017456597222221</v>
      </c>
      <c r="AG23" s="508">
        <f t="shared" si="29"/>
        <v>34.989678819444443</v>
      </c>
      <c r="AH23" s="508">
        <f t="shared" si="30"/>
        <v>35.541901041666662</v>
      </c>
      <c r="AI23" s="508">
        <f t="shared" si="31"/>
        <v>0.20546875000000001</v>
      </c>
      <c r="AJ23" s="508">
        <f t="shared" si="32"/>
        <v>0.75769097222222215</v>
      </c>
      <c r="AK23" s="508">
        <f t="shared" si="33"/>
        <v>2.7299131944444444</v>
      </c>
      <c r="AL23" s="508">
        <f t="shared" si="34"/>
        <v>3.2821354166666667</v>
      </c>
      <c r="AM23" s="508">
        <f t="shared" si="35"/>
        <v>32.670703125000003</v>
      </c>
      <c r="AN23" s="508">
        <f t="shared" si="36"/>
        <v>33.222925347222223</v>
      </c>
      <c r="AO23" s="508">
        <f t="shared" si="37"/>
        <v>35.195147569444444</v>
      </c>
      <c r="AP23" s="508">
        <f t="shared" si="38"/>
        <v>35.747369791666664</v>
      </c>
      <c r="AQ23" s="508">
        <f t="shared" si="39"/>
        <v>512</v>
      </c>
      <c r="AR23" s="508">
        <f t="shared" si="40"/>
        <v>512.55222222222221</v>
      </c>
      <c r="AS23" s="508">
        <f t="shared" si="41"/>
        <v>514.5244444444445</v>
      </c>
      <c r="AT23" s="508">
        <f t="shared" si="42"/>
        <v>515.07666666666671</v>
      </c>
      <c r="AU23" s="508">
        <f t="shared" si="43"/>
        <v>544.46523437500002</v>
      </c>
      <c r="AV23" s="508">
        <f t="shared" si="44"/>
        <v>545.01745659722224</v>
      </c>
      <c r="AW23" s="508">
        <f t="shared" si="45"/>
        <v>546.98967881944452</v>
      </c>
      <c r="AX23" s="508">
        <f t="shared" si="46"/>
        <v>547.54190104166673</v>
      </c>
      <c r="AY23" s="508">
        <f t="shared" si="47"/>
        <v>512.20546875000002</v>
      </c>
      <c r="AZ23" s="508">
        <f t="shared" si="48"/>
        <v>512.75769097222224</v>
      </c>
      <c r="BA23" s="508">
        <f t="shared" si="49"/>
        <v>514.72991319444452</v>
      </c>
      <c r="BB23" s="508">
        <f t="shared" si="50"/>
        <v>515.28213541666673</v>
      </c>
      <c r="BC23" s="508">
        <f t="shared" si="51"/>
        <v>544.67070312500005</v>
      </c>
      <c r="BD23" s="508">
        <f t="shared" si="52"/>
        <v>545.22292534722226</v>
      </c>
      <c r="BE23" s="508">
        <f t="shared" si="53"/>
        <v>547.19514756944454</v>
      </c>
      <c r="BF23" s="508">
        <f t="shared" si="54"/>
        <v>547.74736979166676</v>
      </c>
    </row>
    <row r="24" spans="1:58">
      <c r="A24" s="505" t="s">
        <v>8455</v>
      </c>
      <c r="B24" s="505">
        <v>556985850</v>
      </c>
      <c r="C24" s="505" t="s">
        <v>8411</v>
      </c>
      <c r="D24" s="505">
        <v>300</v>
      </c>
      <c r="F24" s="509" t="str">
        <f t="shared" si="5"/>
        <v>STAT+300</v>
      </c>
      <c r="G24" s="510">
        <f t="shared" si="6"/>
        <v>556984316</v>
      </c>
      <c r="H24" s="510">
        <f t="shared" si="7"/>
        <v>557237286</v>
      </c>
      <c r="I24" s="509">
        <f t="shared" si="8"/>
        <v>9</v>
      </c>
      <c r="J24" s="509">
        <f t="shared" si="9"/>
        <v>5</v>
      </c>
      <c r="L24" s="505">
        <f t="shared" si="10"/>
        <v>3600</v>
      </c>
      <c r="M24" s="505">
        <f t="shared" si="11"/>
        <v>40</v>
      </c>
      <c r="N24" s="505">
        <f t="shared" si="12"/>
        <v>7200</v>
      </c>
      <c r="O24" s="505">
        <f t="shared" si="13"/>
        <v>300</v>
      </c>
      <c r="P24" s="505" t="str">
        <f t="shared" si="14"/>
        <v/>
      </c>
      <c r="Q24" s="505" t="str">
        <f t="shared" si="15"/>
        <v/>
      </c>
      <c r="R24" s="505" t="str">
        <f t="shared" si="16"/>
        <v/>
      </c>
      <c r="T24" s="508">
        <f t="shared" si="17"/>
        <v>0.20546875000000001</v>
      </c>
      <c r="U24" s="508">
        <f t="shared" si="18"/>
        <v>0.81523437499999996</v>
      </c>
      <c r="V24" s="508">
        <f t="shared" si="19"/>
        <v>1.7066666666666668</v>
      </c>
      <c r="W24" s="508">
        <f t="shared" si="20"/>
        <v>0.55222222222222217</v>
      </c>
      <c r="X24" s="508">
        <f t="shared" si="21"/>
        <v>31.65</v>
      </c>
      <c r="Y24" s="508">
        <f t="shared" si="22"/>
        <v>31.65</v>
      </c>
      <c r="Z24" s="508">
        <f t="shared" si="23"/>
        <v>2.5244444444444443</v>
      </c>
      <c r="AB24" s="508">
        <f t="shared" si="24"/>
        <v>0.55222222222222217</v>
      </c>
      <c r="AC24" s="508">
        <f t="shared" si="25"/>
        <v>2.5244444444444443</v>
      </c>
      <c r="AD24" s="508">
        <f t="shared" si="26"/>
        <v>3.0766666666666662</v>
      </c>
      <c r="AE24" s="508">
        <f t="shared" si="27"/>
        <v>32.465234375000001</v>
      </c>
      <c r="AF24" s="508">
        <f t="shared" si="28"/>
        <v>33.017456597222221</v>
      </c>
      <c r="AG24" s="508">
        <f t="shared" si="29"/>
        <v>34.989678819444443</v>
      </c>
      <c r="AH24" s="508">
        <f t="shared" si="30"/>
        <v>35.541901041666662</v>
      </c>
      <c r="AI24" s="508">
        <f t="shared" si="31"/>
        <v>0.20546875000000001</v>
      </c>
      <c r="AJ24" s="508">
        <f t="shared" si="32"/>
        <v>0.75769097222222215</v>
      </c>
      <c r="AK24" s="508">
        <f t="shared" si="33"/>
        <v>2.7299131944444444</v>
      </c>
      <c r="AL24" s="508">
        <f t="shared" si="34"/>
        <v>3.2821354166666667</v>
      </c>
      <c r="AM24" s="508">
        <f t="shared" si="35"/>
        <v>32.670703125000003</v>
      </c>
      <c r="AN24" s="508">
        <f t="shared" si="36"/>
        <v>33.222925347222223</v>
      </c>
      <c r="AO24" s="508">
        <f t="shared" si="37"/>
        <v>35.195147569444444</v>
      </c>
      <c r="AP24" s="508">
        <f t="shared" si="38"/>
        <v>35.747369791666664</v>
      </c>
      <c r="AQ24" s="508">
        <f t="shared" si="39"/>
        <v>1.7066666666666668</v>
      </c>
      <c r="AR24" s="508">
        <f t="shared" si="40"/>
        <v>2.2588888888888889</v>
      </c>
      <c r="AS24" s="508">
        <f t="shared" si="41"/>
        <v>4.2311111111111108</v>
      </c>
      <c r="AT24" s="508">
        <f t="shared" si="42"/>
        <v>4.7833333333333332</v>
      </c>
      <c r="AU24" s="508">
        <f t="shared" si="43"/>
        <v>34.171901041666665</v>
      </c>
      <c r="AV24" s="508">
        <f t="shared" si="44"/>
        <v>34.724123263888885</v>
      </c>
      <c r="AW24" s="508">
        <f t="shared" si="45"/>
        <v>36.696345486111106</v>
      </c>
      <c r="AX24" s="508">
        <f t="shared" si="46"/>
        <v>37.248567708333326</v>
      </c>
      <c r="AY24" s="508">
        <f t="shared" si="47"/>
        <v>1.9121354166666669</v>
      </c>
      <c r="AZ24" s="508">
        <f t="shared" si="48"/>
        <v>2.464357638888889</v>
      </c>
      <c r="BA24" s="508">
        <f t="shared" si="49"/>
        <v>4.4365798611111114</v>
      </c>
      <c r="BB24" s="508">
        <f t="shared" si="50"/>
        <v>4.9888020833333337</v>
      </c>
      <c r="BC24" s="508">
        <f t="shared" si="51"/>
        <v>34.377369791666666</v>
      </c>
      <c r="BD24" s="508">
        <f t="shared" si="52"/>
        <v>34.929592013888886</v>
      </c>
      <c r="BE24" s="508">
        <f t="shared" si="53"/>
        <v>36.901814236111107</v>
      </c>
      <c r="BF24" s="508">
        <f t="shared" si="54"/>
        <v>37.454036458333327</v>
      </c>
    </row>
    <row r="25" spans="1:58">
      <c r="A25" s="505" t="s">
        <v>8453</v>
      </c>
      <c r="B25" s="505">
        <v>556986166</v>
      </c>
      <c r="C25" s="505" t="s">
        <v>776</v>
      </c>
      <c r="D25" s="505">
        <v>100</v>
      </c>
      <c r="F25" s="509" t="str">
        <f t="shared" si="5"/>
        <v>N2+100</v>
      </c>
      <c r="G25" s="510">
        <f t="shared" si="6"/>
        <v>556984316</v>
      </c>
      <c r="H25" s="510">
        <f t="shared" si="7"/>
        <v>557237286</v>
      </c>
      <c r="I25" s="509">
        <f t="shared" si="8"/>
        <v>10</v>
      </c>
      <c r="J25" s="509">
        <f t="shared" si="9"/>
        <v>4</v>
      </c>
      <c r="L25" s="505">
        <f t="shared" si="10"/>
        <v>3600</v>
      </c>
      <c r="M25" s="505">
        <f t="shared" si="11"/>
        <v>100</v>
      </c>
      <c r="N25" s="505">
        <f t="shared" si="12"/>
        <v>7200</v>
      </c>
      <c r="O25" s="505">
        <f t="shared" si="13"/>
        <v>300</v>
      </c>
      <c r="P25" s="505" t="str">
        <f t="shared" si="14"/>
        <v/>
      </c>
      <c r="Q25" s="505" t="str">
        <f t="shared" si="15"/>
        <v/>
      </c>
      <c r="R25" s="505" t="str">
        <f t="shared" si="16"/>
        <v/>
      </c>
      <c r="T25" s="508">
        <f t="shared" si="17"/>
        <v>8.2187499999999997E-2</v>
      </c>
      <c r="U25" s="508">
        <f t="shared" si="18"/>
        <v>0.32609375000000002</v>
      </c>
      <c r="V25" s="508">
        <f t="shared" si="19"/>
        <v>1.7066666666666668</v>
      </c>
      <c r="W25" s="508">
        <f t="shared" si="20"/>
        <v>0.55222222222222217</v>
      </c>
      <c r="X25" s="508">
        <f t="shared" si="21"/>
        <v>12.66</v>
      </c>
      <c r="Y25" s="508">
        <f t="shared" si="22"/>
        <v>12.66</v>
      </c>
      <c r="Z25" s="508">
        <f t="shared" si="23"/>
        <v>2.5244444444444443</v>
      </c>
      <c r="AB25" s="508">
        <f t="shared" si="24"/>
        <v>0.55222222222222217</v>
      </c>
      <c r="AC25" s="508">
        <f t="shared" si="25"/>
        <v>2.5244444444444443</v>
      </c>
      <c r="AD25" s="508">
        <f t="shared" si="26"/>
        <v>3.0766666666666662</v>
      </c>
      <c r="AE25" s="508">
        <f t="shared" si="27"/>
        <v>12.98609375</v>
      </c>
      <c r="AF25" s="508">
        <f t="shared" si="28"/>
        <v>13.538315972222222</v>
      </c>
      <c r="AG25" s="508">
        <f t="shared" si="29"/>
        <v>15.510538194444445</v>
      </c>
      <c r="AH25" s="508">
        <f t="shared" si="30"/>
        <v>16.062760416666666</v>
      </c>
      <c r="AI25" s="508">
        <f t="shared" si="31"/>
        <v>8.2187499999999997E-2</v>
      </c>
      <c r="AJ25" s="508">
        <f t="shared" si="32"/>
        <v>0.63440972222222214</v>
      </c>
      <c r="AK25" s="508">
        <f t="shared" si="33"/>
        <v>2.6066319444444441</v>
      </c>
      <c r="AL25" s="508">
        <f t="shared" si="34"/>
        <v>3.1588541666666661</v>
      </c>
      <c r="AM25" s="508">
        <f t="shared" si="35"/>
        <v>13.06828125</v>
      </c>
      <c r="AN25" s="508">
        <f t="shared" si="36"/>
        <v>13.620503472222222</v>
      </c>
      <c r="AO25" s="508">
        <f t="shared" si="37"/>
        <v>15.592725694444445</v>
      </c>
      <c r="AP25" s="508">
        <f t="shared" si="38"/>
        <v>16.144947916666666</v>
      </c>
      <c r="AQ25" s="508">
        <f t="shared" si="39"/>
        <v>1.7066666666666668</v>
      </c>
      <c r="AR25" s="508">
        <f t="shared" si="40"/>
        <v>2.2588888888888889</v>
      </c>
      <c r="AS25" s="508">
        <f t="shared" si="41"/>
        <v>4.2311111111111108</v>
      </c>
      <c r="AT25" s="508">
        <f t="shared" si="42"/>
        <v>4.7833333333333332</v>
      </c>
      <c r="AU25" s="508">
        <f t="shared" si="43"/>
        <v>14.692760416666667</v>
      </c>
      <c r="AV25" s="508">
        <f t="shared" si="44"/>
        <v>15.244982638888889</v>
      </c>
      <c r="AW25" s="508">
        <f t="shared" si="45"/>
        <v>17.21720486111111</v>
      </c>
      <c r="AX25" s="508">
        <f t="shared" si="46"/>
        <v>17.769427083333333</v>
      </c>
      <c r="AY25" s="508">
        <f t="shared" si="47"/>
        <v>1.7888541666666669</v>
      </c>
      <c r="AZ25" s="508">
        <f t="shared" si="48"/>
        <v>2.3410763888888892</v>
      </c>
      <c r="BA25" s="508">
        <f t="shared" si="49"/>
        <v>4.3132986111111116</v>
      </c>
      <c r="BB25" s="508">
        <f t="shared" si="50"/>
        <v>4.865520833333334</v>
      </c>
      <c r="BC25" s="508">
        <f t="shared" si="51"/>
        <v>14.774947916666667</v>
      </c>
      <c r="BD25" s="508">
        <f t="shared" si="52"/>
        <v>15.327170138888889</v>
      </c>
      <c r="BE25" s="508">
        <f t="shared" si="53"/>
        <v>17.29939236111111</v>
      </c>
      <c r="BF25" s="508">
        <f t="shared" si="54"/>
        <v>17.851614583333333</v>
      </c>
    </row>
    <row r="26" spans="1:58">
      <c r="A26" s="505" t="s">
        <v>8453</v>
      </c>
      <c r="B26" s="505">
        <v>556986169</v>
      </c>
      <c r="C26" s="505" t="s">
        <v>12</v>
      </c>
      <c r="D26" s="505">
        <v>100</v>
      </c>
      <c r="F26" s="509" t="str">
        <f t="shared" si="5"/>
        <v>N1+100</v>
      </c>
      <c r="G26" s="510">
        <f t="shared" si="6"/>
        <v>556984316</v>
      </c>
      <c r="H26" s="510">
        <f t="shared" si="7"/>
        <v>557237286</v>
      </c>
      <c r="I26" s="509">
        <f t="shared" si="8"/>
        <v>11</v>
      </c>
      <c r="J26" s="509">
        <f t="shared" si="9"/>
        <v>3</v>
      </c>
      <c r="L26" s="505">
        <f t="shared" si="10"/>
        <v>100</v>
      </c>
      <c r="M26" s="505">
        <f t="shared" si="11"/>
        <v>100</v>
      </c>
      <c r="N26" s="505">
        <f t="shared" si="12"/>
        <v>7200</v>
      </c>
      <c r="O26" s="505">
        <f t="shared" si="13"/>
        <v>300</v>
      </c>
      <c r="P26" s="505" t="str">
        <f t="shared" si="14"/>
        <v/>
      </c>
      <c r="Q26" s="505" t="str">
        <f t="shared" si="15"/>
        <v/>
      </c>
      <c r="R26" s="505" t="str">
        <f t="shared" si="16"/>
        <v/>
      </c>
      <c r="T26" s="508">
        <f t="shared" si="17"/>
        <v>8.2187499999999997E-2</v>
      </c>
      <c r="U26" s="508">
        <f t="shared" si="18"/>
        <v>0.32609375000000002</v>
      </c>
      <c r="V26" s="508">
        <f t="shared" si="19"/>
        <v>1.7066666666666668</v>
      </c>
      <c r="W26" s="508">
        <f t="shared" si="20"/>
        <v>19.88</v>
      </c>
      <c r="X26" s="508">
        <f t="shared" si="21"/>
        <v>12.66</v>
      </c>
      <c r="Y26" s="508">
        <f t="shared" si="22"/>
        <v>12.66</v>
      </c>
      <c r="Z26" s="508">
        <f t="shared" si="23"/>
        <v>2.5244444444444443</v>
      </c>
      <c r="AB26" s="508">
        <f t="shared" si="24"/>
        <v>19.88</v>
      </c>
      <c r="AC26" s="508">
        <f t="shared" si="25"/>
        <v>2.5244444444444443</v>
      </c>
      <c r="AD26" s="508">
        <f t="shared" si="26"/>
        <v>22.404444444444444</v>
      </c>
      <c r="AE26" s="508">
        <f t="shared" si="27"/>
        <v>12.98609375</v>
      </c>
      <c r="AF26" s="508">
        <f t="shared" si="28"/>
        <v>32.866093749999997</v>
      </c>
      <c r="AG26" s="508">
        <f t="shared" si="29"/>
        <v>15.510538194444445</v>
      </c>
      <c r="AH26" s="508">
        <f t="shared" si="30"/>
        <v>35.390538194444446</v>
      </c>
      <c r="AI26" s="508">
        <f t="shared" si="31"/>
        <v>8.2187499999999997E-2</v>
      </c>
      <c r="AJ26" s="508">
        <f t="shared" si="32"/>
        <v>19.962187499999999</v>
      </c>
      <c r="AK26" s="508">
        <f t="shared" si="33"/>
        <v>2.6066319444444441</v>
      </c>
      <c r="AL26" s="508">
        <f t="shared" si="34"/>
        <v>22.486631944444444</v>
      </c>
      <c r="AM26" s="508">
        <f t="shared" si="35"/>
        <v>13.06828125</v>
      </c>
      <c r="AN26" s="508">
        <f t="shared" si="36"/>
        <v>32.948281250000001</v>
      </c>
      <c r="AO26" s="508">
        <f t="shared" si="37"/>
        <v>15.592725694444445</v>
      </c>
      <c r="AP26" s="508">
        <f t="shared" si="38"/>
        <v>35.472725694444442</v>
      </c>
      <c r="AQ26" s="508">
        <f t="shared" si="39"/>
        <v>1.7066666666666668</v>
      </c>
      <c r="AR26" s="508">
        <f t="shared" si="40"/>
        <v>21.586666666666666</v>
      </c>
      <c r="AS26" s="508">
        <f t="shared" si="41"/>
        <v>4.2311111111111108</v>
      </c>
      <c r="AT26" s="508">
        <f t="shared" si="42"/>
        <v>24.111111111111111</v>
      </c>
      <c r="AU26" s="508">
        <f t="shared" si="43"/>
        <v>14.692760416666667</v>
      </c>
      <c r="AV26" s="508">
        <f t="shared" si="44"/>
        <v>34.572760416666668</v>
      </c>
      <c r="AW26" s="508">
        <f t="shared" si="45"/>
        <v>17.21720486111111</v>
      </c>
      <c r="AX26" s="508">
        <f t="shared" si="46"/>
        <v>37.097204861111109</v>
      </c>
      <c r="AY26" s="508">
        <f t="shared" si="47"/>
        <v>1.7888541666666669</v>
      </c>
      <c r="AZ26" s="508">
        <f t="shared" si="48"/>
        <v>21.668854166666666</v>
      </c>
      <c r="BA26" s="508">
        <f t="shared" si="49"/>
        <v>4.3132986111111116</v>
      </c>
      <c r="BB26" s="508">
        <f t="shared" si="50"/>
        <v>24.193298611111111</v>
      </c>
      <c r="BC26" s="508">
        <f t="shared" si="51"/>
        <v>14.774947916666667</v>
      </c>
      <c r="BD26" s="508">
        <f t="shared" si="52"/>
        <v>34.654947916666664</v>
      </c>
      <c r="BE26" s="508">
        <f t="shared" si="53"/>
        <v>17.29939236111111</v>
      </c>
      <c r="BF26" s="508">
        <f t="shared" si="54"/>
        <v>37.179392361111113</v>
      </c>
    </row>
    <row r="27" spans="1:58">
      <c r="A27" s="505" t="s">
        <v>8453</v>
      </c>
      <c r="B27" s="505">
        <v>556986172</v>
      </c>
      <c r="C27" s="505" t="s">
        <v>773</v>
      </c>
      <c r="D27" s="505">
        <v>7200</v>
      </c>
      <c r="F27" s="509" t="str">
        <f t="shared" si="5"/>
        <v>N3+7200</v>
      </c>
      <c r="G27" s="510">
        <f t="shared" si="6"/>
        <v>556984316</v>
      </c>
      <c r="H27" s="510">
        <f t="shared" si="7"/>
        <v>557237286</v>
      </c>
      <c r="I27" s="509">
        <f t="shared" si="8"/>
        <v>12</v>
      </c>
      <c r="J27" s="509">
        <f t="shared" si="9"/>
        <v>2</v>
      </c>
      <c r="L27" s="505">
        <f t="shared" si="10"/>
        <v>100</v>
      </c>
      <c r="M27" s="505">
        <f t="shared" si="11"/>
        <v>100</v>
      </c>
      <c r="N27" s="505">
        <f t="shared" si="12"/>
        <v>7200</v>
      </c>
      <c r="O27" s="505">
        <f t="shared" si="13"/>
        <v>300</v>
      </c>
      <c r="P27" s="505" t="str">
        <f t="shared" si="14"/>
        <v/>
      </c>
      <c r="Q27" s="505" t="str">
        <f t="shared" si="15"/>
        <v/>
      </c>
      <c r="R27" s="505" t="str">
        <f t="shared" si="16"/>
        <v/>
      </c>
      <c r="T27" s="508">
        <f t="shared" si="17"/>
        <v>8.2187499999999997E-2</v>
      </c>
      <c r="U27" s="508">
        <f t="shared" si="18"/>
        <v>0.32609375000000002</v>
      </c>
      <c r="V27" s="508">
        <f t="shared" si="19"/>
        <v>1.7066666666666668</v>
      </c>
      <c r="W27" s="508">
        <f t="shared" si="20"/>
        <v>19.88</v>
      </c>
      <c r="X27" s="508">
        <f t="shared" si="21"/>
        <v>12.66</v>
      </c>
      <c r="Y27" s="508">
        <f t="shared" si="22"/>
        <v>12.66</v>
      </c>
      <c r="Z27" s="508">
        <f t="shared" si="23"/>
        <v>2.5244444444444443</v>
      </c>
      <c r="AB27" s="508">
        <f t="shared" si="24"/>
        <v>19.88</v>
      </c>
      <c r="AC27" s="508">
        <f t="shared" si="25"/>
        <v>2.5244444444444443</v>
      </c>
      <c r="AD27" s="508">
        <f t="shared" si="26"/>
        <v>22.404444444444444</v>
      </c>
      <c r="AE27" s="508">
        <f t="shared" si="27"/>
        <v>12.98609375</v>
      </c>
      <c r="AF27" s="508">
        <f t="shared" si="28"/>
        <v>32.866093749999997</v>
      </c>
      <c r="AG27" s="508">
        <f t="shared" si="29"/>
        <v>15.510538194444445</v>
      </c>
      <c r="AH27" s="508">
        <f t="shared" si="30"/>
        <v>35.390538194444446</v>
      </c>
      <c r="AI27" s="508">
        <f t="shared" si="31"/>
        <v>8.2187499999999997E-2</v>
      </c>
      <c r="AJ27" s="508">
        <f t="shared" si="32"/>
        <v>19.962187499999999</v>
      </c>
      <c r="AK27" s="508">
        <f t="shared" si="33"/>
        <v>2.6066319444444441</v>
      </c>
      <c r="AL27" s="508">
        <f t="shared" si="34"/>
        <v>22.486631944444444</v>
      </c>
      <c r="AM27" s="508">
        <f t="shared" si="35"/>
        <v>13.06828125</v>
      </c>
      <c r="AN27" s="508">
        <f t="shared" si="36"/>
        <v>32.948281250000001</v>
      </c>
      <c r="AO27" s="508">
        <f t="shared" si="37"/>
        <v>15.592725694444445</v>
      </c>
      <c r="AP27" s="508">
        <f t="shared" si="38"/>
        <v>35.472725694444442</v>
      </c>
      <c r="AQ27" s="508">
        <f t="shared" si="39"/>
        <v>1.7066666666666668</v>
      </c>
      <c r="AR27" s="508">
        <f t="shared" si="40"/>
        <v>21.586666666666666</v>
      </c>
      <c r="AS27" s="508">
        <f t="shared" si="41"/>
        <v>4.2311111111111108</v>
      </c>
      <c r="AT27" s="508">
        <f t="shared" si="42"/>
        <v>24.111111111111111</v>
      </c>
      <c r="AU27" s="508">
        <f t="shared" si="43"/>
        <v>14.692760416666667</v>
      </c>
      <c r="AV27" s="508">
        <f t="shared" si="44"/>
        <v>34.572760416666668</v>
      </c>
      <c r="AW27" s="508">
        <f t="shared" si="45"/>
        <v>17.21720486111111</v>
      </c>
      <c r="AX27" s="508">
        <f t="shared" si="46"/>
        <v>37.097204861111109</v>
      </c>
      <c r="AY27" s="508">
        <f t="shared" si="47"/>
        <v>1.7888541666666669</v>
      </c>
      <c r="AZ27" s="508">
        <f t="shared" si="48"/>
        <v>21.668854166666666</v>
      </c>
      <c r="BA27" s="508">
        <f t="shared" si="49"/>
        <v>4.3132986111111116</v>
      </c>
      <c r="BB27" s="508">
        <f t="shared" si="50"/>
        <v>24.193298611111111</v>
      </c>
      <c r="BC27" s="508">
        <f t="shared" si="51"/>
        <v>14.774947916666667</v>
      </c>
      <c r="BD27" s="508">
        <f t="shared" si="52"/>
        <v>34.654947916666664</v>
      </c>
      <c r="BE27" s="508">
        <f t="shared" si="53"/>
        <v>17.29939236111111</v>
      </c>
      <c r="BF27" s="508">
        <f t="shared" si="54"/>
        <v>37.179392361111113</v>
      </c>
    </row>
    <row r="28" spans="1:58">
      <c r="A28" s="505" t="s">
        <v>8455</v>
      </c>
      <c r="B28" s="505">
        <v>556986175</v>
      </c>
      <c r="C28" s="505" t="s">
        <v>8411</v>
      </c>
      <c r="D28" s="505">
        <v>1800</v>
      </c>
      <c r="F28" s="509" t="str">
        <f t="shared" si="5"/>
        <v>STAT+1800</v>
      </c>
      <c r="G28" s="510">
        <f t="shared" si="6"/>
        <v>556984316</v>
      </c>
      <c r="H28" s="510">
        <f t="shared" si="7"/>
        <v>557237286</v>
      </c>
      <c r="I28" s="509">
        <f t="shared" si="8"/>
        <v>13</v>
      </c>
      <c r="J28" s="509">
        <f t="shared" si="9"/>
        <v>1</v>
      </c>
      <c r="L28" s="505">
        <f t="shared" si="10"/>
        <v>100</v>
      </c>
      <c r="M28" s="505">
        <f t="shared" si="11"/>
        <v>100</v>
      </c>
      <c r="N28" s="505">
        <f t="shared" si="12"/>
        <v>7200</v>
      </c>
      <c r="O28" s="505">
        <f t="shared" si="13"/>
        <v>1800</v>
      </c>
      <c r="P28" s="505" t="str">
        <f t="shared" si="14"/>
        <v/>
      </c>
      <c r="Q28" s="505" t="str">
        <f t="shared" si="15"/>
        <v/>
      </c>
      <c r="R28" s="505" t="str">
        <f t="shared" si="16"/>
        <v/>
      </c>
      <c r="T28" s="508">
        <f t="shared" si="17"/>
        <v>8.2187499999999997E-2</v>
      </c>
      <c r="U28" s="508">
        <f t="shared" si="18"/>
        <v>0.32609375000000002</v>
      </c>
      <c r="V28" s="508">
        <f t="shared" si="19"/>
        <v>0.28444444444444444</v>
      </c>
      <c r="W28" s="508">
        <f t="shared" si="20"/>
        <v>19.88</v>
      </c>
      <c r="X28" s="508">
        <f t="shared" si="21"/>
        <v>12.66</v>
      </c>
      <c r="Y28" s="508">
        <f t="shared" si="22"/>
        <v>12.66</v>
      </c>
      <c r="Z28" s="508">
        <f t="shared" si="23"/>
        <v>2.5244444444444443</v>
      </c>
      <c r="AB28" s="508">
        <f t="shared" si="24"/>
        <v>19.88</v>
      </c>
      <c r="AC28" s="508">
        <f t="shared" si="25"/>
        <v>2.5244444444444443</v>
      </c>
      <c r="AD28" s="508">
        <f t="shared" si="26"/>
        <v>22.404444444444444</v>
      </c>
      <c r="AE28" s="508">
        <f t="shared" si="27"/>
        <v>12.98609375</v>
      </c>
      <c r="AF28" s="508">
        <f t="shared" si="28"/>
        <v>32.866093749999997</v>
      </c>
      <c r="AG28" s="508">
        <f t="shared" si="29"/>
        <v>15.510538194444445</v>
      </c>
      <c r="AH28" s="508">
        <f t="shared" si="30"/>
        <v>35.390538194444446</v>
      </c>
      <c r="AI28" s="508">
        <f t="shared" si="31"/>
        <v>8.2187499999999997E-2</v>
      </c>
      <c r="AJ28" s="508">
        <f t="shared" si="32"/>
        <v>19.962187499999999</v>
      </c>
      <c r="AK28" s="508">
        <f t="shared" si="33"/>
        <v>2.6066319444444441</v>
      </c>
      <c r="AL28" s="508">
        <f t="shared" si="34"/>
        <v>22.486631944444444</v>
      </c>
      <c r="AM28" s="508">
        <f t="shared" si="35"/>
        <v>13.06828125</v>
      </c>
      <c r="AN28" s="508">
        <f t="shared" si="36"/>
        <v>32.948281250000001</v>
      </c>
      <c r="AO28" s="508">
        <f t="shared" si="37"/>
        <v>15.592725694444445</v>
      </c>
      <c r="AP28" s="508">
        <f t="shared" si="38"/>
        <v>35.472725694444442</v>
      </c>
      <c r="AQ28" s="508">
        <f t="shared" si="39"/>
        <v>0.28444444444444444</v>
      </c>
      <c r="AR28" s="508">
        <f t="shared" si="40"/>
        <v>20.164444444444442</v>
      </c>
      <c r="AS28" s="508">
        <f t="shared" si="41"/>
        <v>2.8088888888888888</v>
      </c>
      <c r="AT28" s="508">
        <f t="shared" si="42"/>
        <v>22.688888888888886</v>
      </c>
      <c r="AU28" s="508">
        <f t="shared" si="43"/>
        <v>13.270538194444445</v>
      </c>
      <c r="AV28" s="508">
        <f t="shared" si="44"/>
        <v>33.150538194444444</v>
      </c>
      <c r="AW28" s="508">
        <f t="shared" si="45"/>
        <v>15.794982638888889</v>
      </c>
      <c r="AX28" s="508">
        <f t="shared" si="46"/>
        <v>35.674982638888892</v>
      </c>
      <c r="AY28" s="508">
        <f t="shared" si="47"/>
        <v>0.36663194444444447</v>
      </c>
      <c r="AZ28" s="508">
        <f t="shared" si="48"/>
        <v>20.246631944444445</v>
      </c>
      <c r="BA28" s="508">
        <f t="shared" si="49"/>
        <v>2.8910763888888886</v>
      </c>
      <c r="BB28" s="508">
        <f t="shared" si="50"/>
        <v>22.771076388888886</v>
      </c>
      <c r="BC28" s="508">
        <f t="shared" si="51"/>
        <v>13.352725694444445</v>
      </c>
      <c r="BD28" s="508">
        <f t="shared" si="52"/>
        <v>33.23272569444444</v>
      </c>
      <c r="BE28" s="508">
        <f t="shared" si="53"/>
        <v>15.877170138888889</v>
      </c>
      <c r="BF28" s="508">
        <f t="shared" si="54"/>
        <v>35.757170138888888</v>
      </c>
    </row>
    <row r="29" spans="1:58">
      <c r="A29" s="505" t="s">
        <v>8449</v>
      </c>
      <c r="B29" s="505">
        <v>557237286</v>
      </c>
      <c r="C29" s="505" t="s">
        <v>8469</v>
      </c>
      <c r="F29" s="509" t="str">
        <f t="shared" si="5"/>
        <v>OFF</v>
      </c>
      <c r="G29" s="510">
        <f t="shared" si="6"/>
        <v>556984316</v>
      </c>
      <c r="H29" s="510">
        <f t="shared" si="7"/>
        <v>557237286</v>
      </c>
      <c r="I29" s="509">
        <f t="shared" si="8"/>
        <v>14</v>
      </c>
      <c r="J29" s="509">
        <f t="shared" si="9"/>
        <v>0</v>
      </c>
      <c r="L29" s="505">
        <f t="shared" si="10"/>
        <v>100</v>
      </c>
      <c r="M29" s="505">
        <f t="shared" si="11"/>
        <v>100</v>
      </c>
      <c r="N29" s="505">
        <f t="shared" si="12"/>
        <v>7200</v>
      </c>
      <c r="O29" s="505">
        <f t="shared" si="13"/>
        <v>1800</v>
      </c>
      <c r="P29" s="505" t="str">
        <f t="shared" si="14"/>
        <v/>
      </c>
      <c r="Q29" s="505" t="str">
        <f t="shared" si="15"/>
        <v/>
      </c>
      <c r="R29" s="505" t="str">
        <f t="shared" si="16"/>
        <v/>
      </c>
      <c r="T29" s="508">
        <f t="shared" si="17"/>
        <v>8.2187499999999997E-2</v>
      </c>
      <c r="U29" s="508">
        <f t="shared" si="18"/>
        <v>0.32609375000000002</v>
      </c>
      <c r="V29" s="508">
        <f t="shared" si="19"/>
        <v>0.28444444444444444</v>
      </c>
      <c r="W29" s="508">
        <f t="shared" si="20"/>
        <v>19.88</v>
      </c>
      <c r="X29" s="508">
        <f t="shared" si="21"/>
        <v>12.66</v>
      </c>
      <c r="Y29" s="508">
        <f t="shared" si="22"/>
        <v>12.66</v>
      </c>
      <c r="Z29" s="508">
        <f t="shared" si="23"/>
        <v>2.5244444444444443</v>
      </c>
      <c r="AB29" s="508">
        <f t="shared" si="24"/>
        <v>19.88</v>
      </c>
      <c r="AC29" s="508">
        <f t="shared" si="25"/>
        <v>2.5244444444444443</v>
      </c>
      <c r="AD29" s="508">
        <f t="shared" si="26"/>
        <v>22.404444444444444</v>
      </c>
      <c r="AE29" s="508">
        <f t="shared" si="27"/>
        <v>12.98609375</v>
      </c>
      <c r="AF29" s="508">
        <f t="shared" si="28"/>
        <v>32.866093749999997</v>
      </c>
      <c r="AG29" s="508">
        <f t="shared" si="29"/>
        <v>15.510538194444445</v>
      </c>
      <c r="AH29" s="508">
        <f t="shared" si="30"/>
        <v>35.390538194444446</v>
      </c>
      <c r="AI29" s="508">
        <f t="shared" si="31"/>
        <v>8.2187499999999997E-2</v>
      </c>
      <c r="AJ29" s="508">
        <f t="shared" si="32"/>
        <v>19.962187499999999</v>
      </c>
      <c r="AK29" s="508">
        <f t="shared" si="33"/>
        <v>2.6066319444444441</v>
      </c>
      <c r="AL29" s="508">
        <f t="shared" si="34"/>
        <v>22.486631944444444</v>
      </c>
      <c r="AM29" s="508">
        <f t="shared" si="35"/>
        <v>13.06828125</v>
      </c>
      <c r="AN29" s="508">
        <f t="shared" si="36"/>
        <v>32.948281250000001</v>
      </c>
      <c r="AO29" s="508">
        <f t="shared" si="37"/>
        <v>15.592725694444445</v>
      </c>
      <c r="AP29" s="508">
        <f t="shared" si="38"/>
        <v>35.472725694444442</v>
      </c>
      <c r="AQ29" s="508">
        <f t="shared" si="39"/>
        <v>0.28444444444444444</v>
      </c>
      <c r="AR29" s="508">
        <f t="shared" si="40"/>
        <v>20.164444444444442</v>
      </c>
      <c r="AS29" s="508">
        <f t="shared" si="41"/>
        <v>2.8088888888888888</v>
      </c>
      <c r="AT29" s="508">
        <f t="shared" si="42"/>
        <v>22.688888888888886</v>
      </c>
      <c r="AU29" s="508">
        <f t="shared" si="43"/>
        <v>13.270538194444445</v>
      </c>
      <c r="AV29" s="508">
        <f t="shared" si="44"/>
        <v>33.150538194444444</v>
      </c>
      <c r="AW29" s="508">
        <f t="shared" si="45"/>
        <v>15.794982638888889</v>
      </c>
      <c r="AX29" s="508">
        <f t="shared" si="46"/>
        <v>35.674982638888892</v>
      </c>
      <c r="AY29" s="508">
        <f t="shared" si="47"/>
        <v>0.36663194444444447</v>
      </c>
      <c r="AZ29" s="508">
        <f t="shared" si="48"/>
        <v>20.246631944444445</v>
      </c>
      <c r="BA29" s="508">
        <f t="shared" si="49"/>
        <v>2.8910763888888886</v>
      </c>
      <c r="BB29" s="508">
        <f t="shared" si="50"/>
        <v>22.771076388888886</v>
      </c>
      <c r="BC29" s="508">
        <f t="shared" si="51"/>
        <v>13.352725694444445</v>
      </c>
      <c r="BD29" s="508">
        <f t="shared" si="52"/>
        <v>33.23272569444444</v>
      </c>
      <c r="BE29" s="508">
        <f t="shared" si="53"/>
        <v>15.877170138888889</v>
      </c>
      <c r="BF29" s="508">
        <f t="shared" si="54"/>
        <v>35.757170138888888</v>
      </c>
    </row>
    <row r="30" spans="1:58">
      <c r="A30" s="505" t="s">
        <v>8449</v>
      </c>
      <c r="B30" s="505">
        <v>557332916</v>
      </c>
      <c r="C30" s="505" t="s">
        <v>1148</v>
      </c>
      <c r="F30" s="509" t="str">
        <f t="shared" si="5"/>
        <v>ON</v>
      </c>
      <c r="G30" s="510">
        <f t="shared" si="6"/>
        <v>557332916</v>
      </c>
      <c r="H30" s="510">
        <f t="shared" si="7"/>
        <v>557490486</v>
      </c>
      <c r="I30" s="509">
        <f t="shared" si="8"/>
        <v>0</v>
      </c>
      <c r="J30" s="509">
        <f t="shared" si="9"/>
        <v>14</v>
      </c>
      <c r="L30" s="505" t="str">
        <f t="shared" si="10"/>
        <v/>
      </c>
      <c r="M30" s="505" t="str">
        <f t="shared" si="11"/>
        <v/>
      </c>
      <c r="N30" s="505" t="str">
        <f t="shared" si="12"/>
        <v/>
      </c>
      <c r="O30" s="505" t="str">
        <f t="shared" si="13"/>
        <v/>
      </c>
      <c r="P30" s="505" t="str">
        <f t="shared" si="14"/>
        <v/>
      </c>
      <c r="Q30" s="505" t="str">
        <f t="shared" si="15"/>
        <v/>
      </c>
      <c r="R30" s="505" t="str">
        <f t="shared" si="16"/>
        <v/>
      </c>
      <c r="T30" s="508">
        <f t="shared" si="17"/>
        <v>0</v>
      </c>
      <c r="U30" s="508">
        <f t="shared" si="18"/>
        <v>0</v>
      </c>
      <c r="V30" s="508">
        <f t="shared" si="19"/>
        <v>0</v>
      </c>
      <c r="W30" s="508">
        <f t="shared" si="20"/>
        <v>0</v>
      </c>
      <c r="X30" s="508">
        <f t="shared" si="21"/>
        <v>0</v>
      </c>
      <c r="Y30" s="508">
        <f t="shared" si="22"/>
        <v>0</v>
      </c>
      <c r="Z30" s="508">
        <f t="shared" si="23"/>
        <v>0</v>
      </c>
      <c r="AB30" s="508">
        <f t="shared" si="24"/>
        <v>0</v>
      </c>
      <c r="AC30" s="508">
        <f t="shared" si="25"/>
        <v>0</v>
      </c>
      <c r="AD30" s="508">
        <f t="shared" si="26"/>
        <v>0</v>
      </c>
      <c r="AE30" s="508">
        <f t="shared" si="27"/>
        <v>0</v>
      </c>
      <c r="AF30" s="508">
        <f t="shared" si="28"/>
        <v>0</v>
      </c>
      <c r="AG30" s="508">
        <f t="shared" si="29"/>
        <v>0</v>
      </c>
      <c r="AH30" s="508">
        <f t="shared" si="30"/>
        <v>0</v>
      </c>
      <c r="AI30" s="508">
        <f t="shared" si="31"/>
        <v>0</v>
      </c>
      <c r="AJ30" s="508">
        <f t="shared" si="32"/>
        <v>0</v>
      </c>
      <c r="AK30" s="508">
        <f t="shared" si="33"/>
        <v>0</v>
      </c>
      <c r="AL30" s="508">
        <f t="shared" si="34"/>
        <v>0</v>
      </c>
      <c r="AM30" s="508">
        <f t="shared" si="35"/>
        <v>0</v>
      </c>
      <c r="AN30" s="508">
        <f t="shared" si="36"/>
        <v>0</v>
      </c>
      <c r="AO30" s="508">
        <f t="shared" si="37"/>
        <v>0</v>
      </c>
      <c r="AP30" s="508">
        <f t="shared" si="38"/>
        <v>0</v>
      </c>
      <c r="AQ30" s="508">
        <f t="shared" si="39"/>
        <v>0</v>
      </c>
      <c r="AR30" s="508">
        <f t="shared" si="40"/>
        <v>0</v>
      </c>
      <c r="AS30" s="508">
        <f t="shared" si="41"/>
        <v>0</v>
      </c>
      <c r="AT30" s="508">
        <f t="shared" si="42"/>
        <v>0</v>
      </c>
      <c r="AU30" s="508">
        <f t="shared" si="43"/>
        <v>0</v>
      </c>
      <c r="AV30" s="508">
        <f t="shared" si="44"/>
        <v>0</v>
      </c>
      <c r="AW30" s="508">
        <f t="shared" si="45"/>
        <v>0</v>
      </c>
      <c r="AX30" s="508">
        <f t="shared" si="46"/>
        <v>0</v>
      </c>
      <c r="AY30" s="508">
        <f t="shared" si="47"/>
        <v>0</v>
      </c>
      <c r="AZ30" s="508">
        <f t="shared" si="48"/>
        <v>0</v>
      </c>
      <c r="BA30" s="508">
        <f t="shared" si="49"/>
        <v>0</v>
      </c>
      <c r="BB30" s="508">
        <f t="shared" si="50"/>
        <v>0</v>
      </c>
      <c r="BC30" s="508">
        <f t="shared" si="51"/>
        <v>0</v>
      </c>
      <c r="BD30" s="508">
        <f t="shared" si="52"/>
        <v>0</v>
      </c>
      <c r="BE30" s="508">
        <f t="shared" si="53"/>
        <v>0</v>
      </c>
      <c r="BF30" s="508">
        <f t="shared" si="54"/>
        <v>0</v>
      </c>
    </row>
    <row r="31" spans="1:58">
      <c r="A31" s="505" t="s">
        <v>8451</v>
      </c>
      <c r="B31" s="505">
        <v>557332961</v>
      </c>
      <c r="C31" s="505" t="s">
        <v>8412</v>
      </c>
      <c r="D31" s="505">
        <v>10</v>
      </c>
      <c r="F31" s="509" t="str">
        <f t="shared" si="5"/>
        <v>MAC+10</v>
      </c>
      <c r="G31" s="510">
        <f t="shared" si="6"/>
        <v>557332916</v>
      </c>
      <c r="H31" s="510">
        <f t="shared" si="7"/>
        <v>557490486</v>
      </c>
      <c r="I31" s="509">
        <f t="shared" si="8"/>
        <v>1</v>
      </c>
      <c r="J31" s="509">
        <f t="shared" si="9"/>
        <v>13</v>
      </c>
      <c r="L31" s="505" t="str">
        <f t="shared" si="10"/>
        <v/>
      </c>
      <c r="M31" s="505" t="str">
        <f t="shared" si="11"/>
        <v/>
      </c>
      <c r="N31" s="505" t="str">
        <f t="shared" si="12"/>
        <v/>
      </c>
      <c r="O31" s="505" t="str">
        <f t="shared" si="13"/>
        <v/>
      </c>
      <c r="P31" s="505" t="str">
        <f t="shared" si="14"/>
        <v/>
      </c>
      <c r="Q31" s="505" t="str">
        <f t="shared" si="15"/>
        <v/>
      </c>
      <c r="R31" s="505" t="str">
        <f t="shared" si="16"/>
        <v/>
      </c>
      <c r="T31" s="508">
        <f t="shared" si="17"/>
        <v>0</v>
      </c>
      <c r="U31" s="508">
        <f t="shared" si="18"/>
        <v>0</v>
      </c>
      <c r="V31" s="508">
        <f t="shared" si="19"/>
        <v>0</v>
      </c>
      <c r="W31" s="508">
        <f t="shared" si="20"/>
        <v>0</v>
      </c>
      <c r="X31" s="508">
        <f t="shared" si="21"/>
        <v>0</v>
      </c>
      <c r="Y31" s="508">
        <f t="shared" si="22"/>
        <v>0</v>
      </c>
      <c r="Z31" s="508">
        <f t="shared" si="23"/>
        <v>0</v>
      </c>
      <c r="AB31" s="508">
        <f t="shared" si="24"/>
        <v>0</v>
      </c>
      <c r="AC31" s="508">
        <f t="shared" si="25"/>
        <v>0</v>
      </c>
      <c r="AD31" s="508">
        <f t="shared" si="26"/>
        <v>0</v>
      </c>
      <c r="AE31" s="508">
        <f t="shared" si="27"/>
        <v>0</v>
      </c>
      <c r="AF31" s="508">
        <f t="shared" si="28"/>
        <v>0</v>
      </c>
      <c r="AG31" s="508">
        <f t="shared" si="29"/>
        <v>0</v>
      </c>
      <c r="AH31" s="508">
        <f t="shared" si="30"/>
        <v>0</v>
      </c>
      <c r="AI31" s="508">
        <f t="shared" si="31"/>
        <v>0</v>
      </c>
      <c r="AJ31" s="508">
        <f t="shared" si="32"/>
        <v>0</v>
      </c>
      <c r="AK31" s="508">
        <f t="shared" si="33"/>
        <v>0</v>
      </c>
      <c r="AL31" s="508">
        <f t="shared" si="34"/>
        <v>0</v>
      </c>
      <c r="AM31" s="508">
        <f t="shared" si="35"/>
        <v>0</v>
      </c>
      <c r="AN31" s="508">
        <f t="shared" si="36"/>
        <v>0</v>
      </c>
      <c r="AO31" s="508">
        <f t="shared" si="37"/>
        <v>0</v>
      </c>
      <c r="AP31" s="508">
        <f t="shared" si="38"/>
        <v>0</v>
      </c>
      <c r="AQ31" s="508">
        <f t="shared" si="39"/>
        <v>0</v>
      </c>
      <c r="AR31" s="508">
        <f t="shared" si="40"/>
        <v>0</v>
      </c>
      <c r="AS31" s="508">
        <f t="shared" si="41"/>
        <v>0</v>
      </c>
      <c r="AT31" s="508">
        <f t="shared" si="42"/>
        <v>0</v>
      </c>
      <c r="AU31" s="508">
        <f t="shared" si="43"/>
        <v>0</v>
      </c>
      <c r="AV31" s="508">
        <f t="shared" si="44"/>
        <v>0</v>
      </c>
      <c r="AW31" s="508">
        <f t="shared" si="45"/>
        <v>0</v>
      </c>
      <c r="AX31" s="508">
        <f t="shared" si="46"/>
        <v>0</v>
      </c>
      <c r="AY31" s="508">
        <f t="shared" si="47"/>
        <v>0</v>
      </c>
      <c r="AZ31" s="508">
        <f t="shared" si="48"/>
        <v>0</v>
      </c>
      <c r="BA31" s="508">
        <f t="shared" si="49"/>
        <v>0</v>
      </c>
      <c r="BB31" s="508">
        <f t="shared" si="50"/>
        <v>0</v>
      </c>
      <c r="BC31" s="508">
        <f t="shared" si="51"/>
        <v>0</v>
      </c>
      <c r="BD31" s="508">
        <f t="shared" si="52"/>
        <v>0</v>
      </c>
      <c r="BE31" s="508">
        <f t="shared" si="53"/>
        <v>0</v>
      </c>
      <c r="BF31" s="508">
        <f t="shared" si="54"/>
        <v>0</v>
      </c>
    </row>
    <row r="32" spans="1:58">
      <c r="A32" s="505" t="s">
        <v>8453</v>
      </c>
      <c r="B32" s="505">
        <v>557332961</v>
      </c>
      <c r="C32" s="505" t="s">
        <v>776</v>
      </c>
      <c r="D32" s="505">
        <v>10</v>
      </c>
      <c r="F32" s="509" t="str">
        <f t="shared" si="5"/>
        <v>N2+10</v>
      </c>
      <c r="G32" s="510">
        <f t="shared" si="6"/>
        <v>557332916</v>
      </c>
      <c r="H32" s="510">
        <f t="shared" si="7"/>
        <v>557490486</v>
      </c>
      <c r="I32" s="509">
        <f t="shared" si="8"/>
        <v>2</v>
      </c>
      <c r="J32" s="509">
        <f t="shared" si="9"/>
        <v>12</v>
      </c>
      <c r="L32" s="505" t="str">
        <f t="shared" si="10"/>
        <v/>
      </c>
      <c r="M32" s="505">
        <f t="shared" si="11"/>
        <v>10</v>
      </c>
      <c r="N32" s="505" t="str">
        <f t="shared" si="12"/>
        <v/>
      </c>
      <c r="O32" s="505" t="str">
        <f t="shared" si="13"/>
        <v/>
      </c>
      <c r="P32" s="505" t="str">
        <f t="shared" si="14"/>
        <v/>
      </c>
      <c r="Q32" s="505" t="str">
        <f t="shared" si="15"/>
        <v/>
      </c>
      <c r="R32" s="505" t="str">
        <f t="shared" si="16"/>
        <v/>
      </c>
      <c r="T32" s="508">
        <f t="shared" si="17"/>
        <v>0.82187500000000002</v>
      </c>
      <c r="U32" s="508">
        <f t="shared" si="18"/>
        <v>3.2609374999999998</v>
      </c>
      <c r="V32" s="508">
        <f t="shared" si="19"/>
        <v>0</v>
      </c>
      <c r="W32" s="508">
        <f t="shared" si="20"/>
        <v>0</v>
      </c>
      <c r="X32" s="508">
        <f t="shared" si="21"/>
        <v>126.6</v>
      </c>
      <c r="Y32" s="508">
        <f t="shared" si="22"/>
        <v>126.6</v>
      </c>
      <c r="Z32" s="508">
        <f t="shared" si="23"/>
        <v>0</v>
      </c>
      <c r="AB32" s="508">
        <f t="shared" si="24"/>
        <v>0</v>
      </c>
      <c r="AC32" s="508">
        <f t="shared" si="25"/>
        <v>0</v>
      </c>
      <c r="AD32" s="508">
        <f t="shared" si="26"/>
        <v>0</v>
      </c>
      <c r="AE32" s="508">
        <f t="shared" si="27"/>
        <v>129.86093750000001</v>
      </c>
      <c r="AF32" s="508">
        <f t="shared" si="28"/>
        <v>129.86093750000001</v>
      </c>
      <c r="AG32" s="508">
        <f t="shared" si="29"/>
        <v>129.86093750000001</v>
      </c>
      <c r="AH32" s="508">
        <f t="shared" si="30"/>
        <v>129.86093750000001</v>
      </c>
      <c r="AI32" s="508">
        <f t="shared" si="31"/>
        <v>0.82187500000000002</v>
      </c>
      <c r="AJ32" s="508">
        <f t="shared" si="32"/>
        <v>0.82187500000000002</v>
      </c>
      <c r="AK32" s="508">
        <f t="shared" si="33"/>
        <v>0.82187500000000002</v>
      </c>
      <c r="AL32" s="508">
        <f t="shared" si="34"/>
        <v>0.82187500000000002</v>
      </c>
      <c r="AM32" s="508">
        <f t="shared" si="35"/>
        <v>130.68281250000001</v>
      </c>
      <c r="AN32" s="508">
        <f t="shared" si="36"/>
        <v>130.68281250000001</v>
      </c>
      <c r="AO32" s="508">
        <f t="shared" si="37"/>
        <v>130.68281250000001</v>
      </c>
      <c r="AP32" s="508">
        <f t="shared" si="38"/>
        <v>130.68281250000001</v>
      </c>
      <c r="AQ32" s="508">
        <f t="shared" si="39"/>
        <v>0</v>
      </c>
      <c r="AR32" s="508">
        <f t="shared" si="40"/>
        <v>0</v>
      </c>
      <c r="AS32" s="508">
        <f t="shared" si="41"/>
        <v>0</v>
      </c>
      <c r="AT32" s="508">
        <f t="shared" si="42"/>
        <v>0</v>
      </c>
      <c r="AU32" s="508">
        <f t="shared" si="43"/>
        <v>129.86093750000001</v>
      </c>
      <c r="AV32" s="508">
        <f t="shared" si="44"/>
        <v>129.86093750000001</v>
      </c>
      <c r="AW32" s="508">
        <f t="shared" si="45"/>
        <v>129.86093750000001</v>
      </c>
      <c r="AX32" s="508">
        <f t="shared" si="46"/>
        <v>129.86093750000001</v>
      </c>
      <c r="AY32" s="508">
        <f t="shared" si="47"/>
        <v>0.82187500000000002</v>
      </c>
      <c r="AZ32" s="508">
        <f t="shared" si="48"/>
        <v>0.82187500000000002</v>
      </c>
      <c r="BA32" s="508">
        <f t="shared" si="49"/>
        <v>0.82187500000000002</v>
      </c>
      <c r="BB32" s="508">
        <f t="shared" si="50"/>
        <v>0.82187500000000002</v>
      </c>
      <c r="BC32" s="508">
        <f t="shared" si="51"/>
        <v>130.68281250000001</v>
      </c>
      <c r="BD32" s="508">
        <f t="shared" si="52"/>
        <v>130.68281250000001</v>
      </c>
      <c r="BE32" s="508">
        <f t="shared" si="53"/>
        <v>130.68281250000001</v>
      </c>
      <c r="BF32" s="508">
        <f t="shared" si="54"/>
        <v>130.68281250000001</v>
      </c>
    </row>
    <row r="33" spans="1:58">
      <c r="A33" s="505" t="s">
        <v>8453</v>
      </c>
      <c r="B33" s="505">
        <v>557332962</v>
      </c>
      <c r="C33" s="505" t="s">
        <v>773</v>
      </c>
      <c r="D33" s="505">
        <v>300</v>
      </c>
      <c r="F33" s="509" t="str">
        <f t="shared" si="5"/>
        <v>N3+300</v>
      </c>
      <c r="G33" s="510">
        <f t="shared" si="6"/>
        <v>557332916</v>
      </c>
      <c r="H33" s="510">
        <f t="shared" si="7"/>
        <v>557490486</v>
      </c>
      <c r="I33" s="509">
        <f t="shared" si="8"/>
        <v>3</v>
      </c>
      <c r="J33" s="509">
        <f t="shared" si="9"/>
        <v>11</v>
      </c>
      <c r="L33" s="505" t="str">
        <f t="shared" si="10"/>
        <v/>
      </c>
      <c r="M33" s="505">
        <f t="shared" si="11"/>
        <v>10</v>
      </c>
      <c r="N33" s="505">
        <f t="shared" si="12"/>
        <v>300</v>
      </c>
      <c r="O33" s="505" t="str">
        <f t="shared" si="13"/>
        <v/>
      </c>
      <c r="P33" s="505" t="str">
        <f t="shared" si="14"/>
        <v/>
      </c>
      <c r="Q33" s="505" t="str">
        <f t="shared" si="15"/>
        <v/>
      </c>
      <c r="R33" s="505" t="str">
        <f t="shared" si="16"/>
        <v/>
      </c>
      <c r="T33" s="508">
        <f t="shared" si="17"/>
        <v>0.82187500000000002</v>
      </c>
      <c r="U33" s="508">
        <f t="shared" si="18"/>
        <v>3.2609374999999998</v>
      </c>
      <c r="V33" s="508">
        <f t="shared" si="19"/>
        <v>0</v>
      </c>
      <c r="W33" s="508">
        <f t="shared" si="20"/>
        <v>0</v>
      </c>
      <c r="X33" s="508">
        <f t="shared" si="21"/>
        <v>126.6</v>
      </c>
      <c r="Y33" s="508">
        <f t="shared" si="22"/>
        <v>126.6</v>
      </c>
      <c r="Z33" s="508">
        <f t="shared" si="23"/>
        <v>60.586666666666666</v>
      </c>
      <c r="AB33" s="508">
        <f t="shared" si="24"/>
        <v>0</v>
      </c>
      <c r="AC33" s="508">
        <f t="shared" si="25"/>
        <v>60.586666666666666</v>
      </c>
      <c r="AD33" s="508">
        <f t="shared" si="26"/>
        <v>60.586666666666666</v>
      </c>
      <c r="AE33" s="508">
        <f t="shared" si="27"/>
        <v>129.86093750000001</v>
      </c>
      <c r="AF33" s="508">
        <f t="shared" si="28"/>
        <v>129.86093750000001</v>
      </c>
      <c r="AG33" s="508">
        <f t="shared" si="29"/>
        <v>190.44760416666668</v>
      </c>
      <c r="AH33" s="508">
        <f t="shared" si="30"/>
        <v>190.44760416666668</v>
      </c>
      <c r="AI33" s="508">
        <f t="shared" si="31"/>
        <v>0.82187500000000002</v>
      </c>
      <c r="AJ33" s="508">
        <f t="shared" si="32"/>
        <v>0.82187500000000002</v>
      </c>
      <c r="AK33" s="508">
        <f t="shared" si="33"/>
        <v>61.408541666666665</v>
      </c>
      <c r="AL33" s="508">
        <f t="shared" si="34"/>
        <v>61.408541666666665</v>
      </c>
      <c r="AM33" s="508">
        <f t="shared" si="35"/>
        <v>130.68281250000001</v>
      </c>
      <c r="AN33" s="508">
        <f t="shared" si="36"/>
        <v>130.68281250000001</v>
      </c>
      <c r="AO33" s="508">
        <f t="shared" si="37"/>
        <v>191.26947916666668</v>
      </c>
      <c r="AP33" s="508">
        <f t="shared" si="38"/>
        <v>191.26947916666668</v>
      </c>
      <c r="AQ33" s="508">
        <f t="shared" si="39"/>
        <v>0</v>
      </c>
      <c r="AR33" s="508">
        <f t="shared" si="40"/>
        <v>0</v>
      </c>
      <c r="AS33" s="508">
        <f t="shared" si="41"/>
        <v>60.586666666666666</v>
      </c>
      <c r="AT33" s="508">
        <f t="shared" si="42"/>
        <v>60.586666666666666</v>
      </c>
      <c r="AU33" s="508">
        <f t="shared" si="43"/>
        <v>129.86093750000001</v>
      </c>
      <c r="AV33" s="508">
        <f t="shared" si="44"/>
        <v>129.86093750000001</v>
      </c>
      <c r="AW33" s="508">
        <f t="shared" si="45"/>
        <v>190.44760416666668</v>
      </c>
      <c r="AX33" s="508">
        <f t="shared" si="46"/>
        <v>190.44760416666668</v>
      </c>
      <c r="AY33" s="508">
        <f t="shared" si="47"/>
        <v>0.82187500000000002</v>
      </c>
      <c r="AZ33" s="508">
        <f t="shared" si="48"/>
        <v>0.82187500000000002</v>
      </c>
      <c r="BA33" s="508">
        <f t="shared" si="49"/>
        <v>61.408541666666665</v>
      </c>
      <c r="BB33" s="508">
        <f t="shared" si="50"/>
        <v>61.408541666666665</v>
      </c>
      <c r="BC33" s="508">
        <f t="shared" si="51"/>
        <v>130.68281250000001</v>
      </c>
      <c r="BD33" s="508">
        <f t="shared" si="52"/>
        <v>130.68281250000001</v>
      </c>
      <c r="BE33" s="508">
        <f t="shared" si="53"/>
        <v>191.26947916666668</v>
      </c>
      <c r="BF33" s="508">
        <f t="shared" si="54"/>
        <v>191.26947916666668</v>
      </c>
    </row>
    <row r="34" spans="1:58">
      <c r="A34" s="505" t="s">
        <v>8453</v>
      </c>
      <c r="B34" s="505">
        <v>557332963</v>
      </c>
      <c r="C34" s="505" t="s">
        <v>12</v>
      </c>
      <c r="D34" s="505">
        <v>10</v>
      </c>
      <c r="F34" s="509" t="str">
        <f t="shared" si="5"/>
        <v>N1+10</v>
      </c>
      <c r="G34" s="510">
        <f t="shared" si="6"/>
        <v>557332916</v>
      </c>
      <c r="H34" s="510">
        <f t="shared" si="7"/>
        <v>557490486</v>
      </c>
      <c r="I34" s="509">
        <f t="shared" si="8"/>
        <v>4</v>
      </c>
      <c r="J34" s="509">
        <f t="shared" si="9"/>
        <v>10</v>
      </c>
      <c r="L34" s="505">
        <f t="shared" si="10"/>
        <v>10</v>
      </c>
      <c r="M34" s="505">
        <f t="shared" si="11"/>
        <v>10</v>
      </c>
      <c r="N34" s="505">
        <f t="shared" si="12"/>
        <v>300</v>
      </c>
      <c r="O34" s="505" t="str">
        <f t="shared" si="13"/>
        <v/>
      </c>
      <c r="P34" s="505" t="str">
        <f t="shared" si="14"/>
        <v/>
      </c>
      <c r="Q34" s="505" t="str">
        <f t="shared" si="15"/>
        <v/>
      </c>
      <c r="R34" s="505" t="str">
        <f t="shared" si="16"/>
        <v/>
      </c>
      <c r="T34" s="508">
        <f t="shared" si="17"/>
        <v>0.82187500000000002</v>
      </c>
      <c r="U34" s="508">
        <f t="shared" si="18"/>
        <v>3.2609374999999998</v>
      </c>
      <c r="V34" s="508">
        <f t="shared" si="19"/>
        <v>0</v>
      </c>
      <c r="W34" s="508">
        <f t="shared" si="20"/>
        <v>198.8</v>
      </c>
      <c r="X34" s="508">
        <f t="shared" si="21"/>
        <v>126.6</v>
      </c>
      <c r="Y34" s="508">
        <f t="shared" si="22"/>
        <v>126.6</v>
      </c>
      <c r="Z34" s="508">
        <f t="shared" si="23"/>
        <v>60.586666666666666</v>
      </c>
      <c r="AB34" s="508">
        <f t="shared" si="24"/>
        <v>198.8</v>
      </c>
      <c r="AC34" s="508">
        <f t="shared" si="25"/>
        <v>60.586666666666666</v>
      </c>
      <c r="AD34" s="508">
        <f t="shared" si="26"/>
        <v>259.38666666666666</v>
      </c>
      <c r="AE34" s="508">
        <f t="shared" si="27"/>
        <v>129.86093750000001</v>
      </c>
      <c r="AF34" s="508">
        <f t="shared" si="28"/>
        <v>328.66093750000005</v>
      </c>
      <c r="AG34" s="508">
        <f t="shared" si="29"/>
        <v>190.44760416666668</v>
      </c>
      <c r="AH34" s="508">
        <f t="shared" si="30"/>
        <v>389.24760416666669</v>
      </c>
      <c r="AI34" s="508">
        <f t="shared" si="31"/>
        <v>0.82187500000000002</v>
      </c>
      <c r="AJ34" s="508">
        <f t="shared" si="32"/>
        <v>199.62187500000002</v>
      </c>
      <c r="AK34" s="508">
        <f t="shared" si="33"/>
        <v>61.408541666666665</v>
      </c>
      <c r="AL34" s="508">
        <f t="shared" si="34"/>
        <v>260.20854166666669</v>
      </c>
      <c r="AM34" s="508">
        <f t="shared" si="35"/>
        <v>130.68281250000001</v>
      </c>
      <c r="AN34" s="508">
        <f t="shared" si="36"/>
        <v>329.48281250000002</v>
      </c>
      <c r="AO34" s="508">
        <f t="shared" si="37"/>
        <v>191.26947916666668</v>
      </c>
      <c r="AP34" s="508">
        <f t="shared" si="38"/>
        <v>390.06947916666672</v>
      </c>
      <c r="AQ34" s="508">
        <f t="shared" si="39"/>
        <v>0</v>
      </c>
      <c r="AR34" s="508">
        <f t="shared" si="40"/>
        <v>198.8</v>
      </c>
      <c r="AS34" s="508">
        <f t="shared" si="41"/>
        <v>60.586666666666666</v>
      </c>
      <c r="AT34" s="508">
        <f t="shared" si="42"/>
        <v>259.38666666666666</v>
      </c>
      <c r="AU34" s="508">
        <f t="shared" si="43"/>
        <v>129.86093750000001</v>
      </c>
      <c r="AV34" s="508">
        <f t="shared" si="44"/>
        <v>328.66093750000005</v>
      </c>
      <c r="AW34" s="508">
        <f t="shared" si="45"/>
        <v>190.44760416666668</v>
      </c>
      <c r="AX34" s="508">
        <f t="shared" si="46"/>
        <v>389.24760416666669</v>
      </c>
      <c r="AY34" s="508">
        <f t="shared" si="47"/>
        <v>0.82187500000000002</v>
      </c>
      <c r="AZ34" s="508">
        <f t="shared" si="48"/>
        <v>199.62187500000002</v>
      </c>
      <c r="BA34" s="508">
        <f t="shared" si="49"/>
        <v>61.408541666666665</v>
      </c>
      <c r="BB34" s="508">
        <f t="shared" si="50"/>
        <v>260.20854166666669</v>
      </c>
      <c r="BC34" s="508">
        <f t="shared" si="51"/>
        <v>130.68281250000001</v>
      </c>
      <c r="BD34" s="508">
        <f t="shared" si="52"/>
        <v>329.48281250000002</v>
      </c>
      <c r="BE34" s="508">
        <f t="shared" si="53"/>
        <v>191.26947916666668</v>
      </c>
      <c r="BF34" s="508">
        <f t="shared" si="54"/>
        <v>390.06947916666672</v>
      </c>
    </row>
    <row r="35" spans="1:58">
      <c r="A35" s="505" t="s">
        <v>8455</v>
      </c>
      <c r="B35" s="505">
        <v>557332964</v>
      </c>
      <c r="C35" s="505" t="s">
        <v>8411</v>
      </c>
      <c r="D35" s="505">
        <v>1</v>
      </c>
      <c r="F35" s="509" t="str">
        <f t="shared" si="5"/>
        <v>STAT+1</v>
      </c>
      <c r="G35" s="510">
        <f t="shared" si="6"/>
        <v>557332916</v>
      </c>
      <c r="H35" s="510">
        <f t="shared" si="7"/>
        <v>557490486</v>
      </c>
      <c r="I35" s="509">
        <f t="shared" si="8"/>
        <v>5</v>
      </c>
      <c r="J35" s="509">
        <f t="shared" si="9"/>
        <v>9</v>
      </c>
      <c r="L35" s="505">
        <f t="shared" si="10"/>
        <v>10</v>
      </c>
      <c r="M35" s="505">
        <f t="shared" si="11"/>
        <v>10</v>
      </c>
      <c r="N35" s="505">
        <f t="shared" si="12"/>
        <v>300</v>
      </c>
      <c r="O35" s="505">
        <f t="shared" si="13"/>
        <v>1</v>
      </c>
      <c r="P35" s="505" t="str">
        <f t="shared" si="14"/>
        <v/>
      </c>
      <c r="Q35" s="505" t="str">
        <f t="shared" si="15"/>
        <v/>
      </c>
      <c r="R35" s="505" t="str">
        <f t="shared" si="16"/>
        <v/>
      </c>
      <c r="T35" s="508">
        <f t="shared" si="17"/>
        <v>0.82187500000000002</v>
      </c>
      <c r="U35" s="508">
        <f t="shared" si="18"/>
        <v>3.2609374999999998</v>
      </c>
      <c r="V35" s="508">
        <f t="shared" si="19"/>
        <v>512</v>
      </c>
      <c r="W35" s="508">
        <f t="shared" si="20"/>
        <v>198.8</v>
      </c>
      <c r="X35" s="508">
        <f t="shared" si="21"/>
        <v>126.6</v>
      </c>
      <c r="Y35" s="508">
        <f t="shared" si="22"/>
        <v>126.6</v>
      </c>
      <c r="Z35" s="508">
        <f t="shared" si="23"/>
        <v>60.586666666666666</v>
      </c>
      <c r="AB35" s="508">
        <f t="shared" si="24"/>
        <v>198.8</v>
      </c>
      <c r="AC35" s="508">
        <f t="shared" si="25"/>
        <v>60.586666666666666</v>
      </c>
      <c r="AD35" s="508">
        <f t="shared" si="26"/>
        <v>259.38666666666666</v>
      </c>
      <c r="AE35" s="508">
        <f t="shared" si="27"/>
        <v>129.86093750000001</v>
      </c>
      <c r="AF35" s="508">
        <f t="shared" si="28"/>
        <v>328.66093750000005</v>
      </c>
      <c r="AG35" s="508">
        <f t="shared" si="29"/>
        <v>190.44760416666668</v>
      </c>
      <c r="AH35" s="508">
        <f t="shared" si="30"/>
        <v>389.24760416666669</v>
      </c>
      <c r="AI35" s="508">
        <f t="shared" si="31"/>
        <v>0.82187500000000002</v>
      </c>
      <c r="AJ35" s="508">
        <f t="shared" si="32"/>
        <v>199.62187500000002</v>
      </c>
      <c r="AK35" s="508">
        <f t="shared" si="33"/>
        <v>61.408541666666665</v>
      </c>
      <c r="AL35" s="508">
        <f t="shared" si="34"/>
        <v>260.20854166666669</v>
      </c>
      <c r="AM35" s="508">
        <f t="shared" si="35"/>
        <v>130.68281250000001</v>
      </c>
      <c r="AN35" s="508">
        <f t="shared" si="36"/>
        <v>329.48281250000002</v>
      </c>
      <c r="AO35" s="508">
        <f t="shared" si="37"/>
        <v>191.26947916666668</v>
      </c>
      <c r="AP35" s="508">
        <f t="shared" si="38"/>
        <v>390.06947916666672</v>
      </c>
      <c r="AQ35" s="508">
        <f t="shared" si="39"/>
        <v>512</v>
      </c>
      <c r="AR35" s="508">
        <f t="shared" si="40"/>
        <v>710.8</v>
      </c>
      <c r="AS35" s="508">
        <f t="shared" si="41"/>
        <v>572.5866666666667</v>
      </c>
      <c r="AT35" s="508">
        <f t="shared" si="42"/>
        <v>771.38666666666677</v>
      </c>
      <c r="AU35" s="508">
        <f t="shared" si="43"/>
        <v>641.86093749999998</v>
      </c>
      <c r="AV35" s="508">
        <f t="shared" si="44"/>
        <v>840.66093750000005</v>
      </c>
      <c r="AW35" s="508">
        <f t="shared" si="45"/>
        <v>702.44760416666668</v>
      </c>
      <c r="AX35" s="508">
        <f t="shared" si="46"/>
        <v>901.24760416666663</v>
      </c>
      <c r="AY35" s="508">
        <f t="shared" si="47"/>
        <v>512.82187499999998</v>
      </c>
      <c r="AZ35" s="508">
        <f t="shared" si="48"/>
        <v>711.62187500000005</v>
      </c>
      <c r="BA35" s="508">
        <f t="shared" si="49"/>
        <v>573.40854166666668</v>
      </c>
      <c r="BB35" s="508">
        <f t="shared" si="50"/>
        <v>772.20854166666663</v>
      </c>
      <c r="BC35" s="508">
        <f t="shared" si="51"/>
        <v>642.68281249999995</v>
      </c>
      <c r="BD35" s="508">
        <f t="shared" si="52"/>
        <v>841.48281249999991</v>
      </c>
      <c r="BE35" s="508">
        <f t="shared" si="53"/>
        <v>703.26947916666666</v>
      </c>
      <c r="BF35" s="508">
        <f t="shared" si="54"/>
        <v>902.06947916666672</v>
      </c>
    </row>
    <row r="36" spans="1:58">
      <c r="A36" s="505" t="s">
        <v>8453</v>
      </c>
      <c r="B36" s="505">
        <v>557334447</v>
      </c>
      <c r="C36" s="505" t="s">
        <v>776</v>
      </c>
      <c r="D36" s="505">
        <v>40</v>
      </c>
      <c r="F36" s="509" t="str">
        <f t="shared" si="5"/>
        <v>N2+40</v>
      </c>
      <c r="G36" s="510">
        <f t="shared" si="6"/>
        <v>557332916</v>
      </c>
      <c r="H36" s="510">
        <f t="shared" si="7"/>
        <v>557490486</v>
      </c>
      <c r="I36" s="509">
        <f t="shared" si="8"/>
        <v>6</v>
      </c>
      <c r="J36" s="509">
        <f t="shared" si="9"/>
        <v>8</v>
      </c>
      <c r="L36" s="505">
        <f t="shared" si="10"/>
        <v>10</v>
      </c>
      <c r="M36" s="505">
        <f t="shared" si="11"/>
        <v>40</v>
      </c>
      <c r="N36" s="505">
        <f t="shared" si="12"/>
        <v>300</v>
      </c>
      <c r="O36" s="505">
        <f t="shared" si="13"/>
        <v>1</v>
      </c>
      <c r="P36" s="505" t="str">
        <f t="shared" si="14"/>
        <v/>
      </c>
      <c r="Q36" s="505" t="str">
        <f t="shared" si="15"/>
        <v/>
      </c>
      <c r="R36" s="505" t="str">
        <f t="shared" si="16"/>
        <v/>
      </c>
      <c r="T36" s="508">
        <f t="shared" si="17"/>
        <v>0.20546875000000001</v>
      </c>
      <c r="U36" s="508">
        <f t="shared" si="18"/>
        <v>0.81523437499999996</v>
      </c>
      <c r="V36" s="508">
        <f t="shared" si="19"/>
        <v>512</v>
      </c>
      <c r="W36" s="508">
        <f t="shared" si="20"/>
        <v>198.8</v>
      </c>
      <c r="X36" s="508">
        <f t="shared" si="21"/>
        <v>31.65</v>
      </c>
      <c r="Y36" s="508">
        <f t="shared" si="22"/>
        <v>31.65</v>
      </c>
      <c r="Z36" s="508">
        <f t="shared" si="23"/>
        <v>60.586666666666666</v>
      </c>
      <c r="AB36" s="508">
        <f t="shared" si="24"/>
        <v>198.8</v>
      </c>
      <c r="AC36" s="508">
        <f t="shared" si="25"/>
        <v>60.586666666666666</v>
      </c>
      <c r="AD36" s="508">
        <f t="shared" si="26"/>
        <v>259.38666666666666</v>
      </c>
      <c r="AE36" s="508">
        <f t="shared" si="27"/>
        <v>32.465234375000001</v>
      </c>
      <c r="AF36" s="508">
        <f t="shared" si="28"/>
        <v>231.26523437500001</v>
      </c>
      <c r="AG36" s="508">
        <f t="shared" si="29"/>
        <v>93.051901041666667</v>
      </c>
      <c r="AH36" s="508">
        <f t="shared" si="30"/>
        <v>291.85190104166668</v>
      </c>
      <c r="AI36" s="508">
        <f t="shared" si="31"/>
        <v>0.20546875000000001</v>
      </c>
      <c r="AJ36" s="508">
        <f t="shared" si="32"/>
        <v>199.00546875000001</v>
      </c>
      <c r="AK36" s="508">
        <f t="shared" si="33"/>
        <v>60.792135416666667</v>
      </c>
      <c r="AL36" s="508">
        <f t="shared" si="34"/>
        <v>259.59213541666668</v>
      </c>
      <c r="AM36" s="508">
        <f t="shared" si="35"/>
        <v>32.670703125000003</v>
      </c>
      <c r="AN36" s="508">
        <f t="shared" si="36"/>
        <v>231.470703125</v>
      </c>
      <c r="AO36" s="508">
        <f t="shared" si="37"/>
        <v>93.257369791666662</v>
      </c>
      <c r="AP36" s="508">
        <f t="shared" si="38"/>
        <v>292.0573697916667</v>
      </c>
      <c r="AQ36" s="508">
        <f t="shared" si="39"/>
        <v>512</v>
      </c>
      <c r="AR36" s="508">
        <f t="shared" si="40"/>
        <v>710.8</v>
      </c>
      <c r="AS36" s="508">
        <f t="shared" si="41"/>
        <v>572.5866666666667</v>
      </c>
      <c r="AT36" s="508">
        <f t="shared" si="42"/>
        <v>771.38666666666677</v>
      </c>
      <c r="AU36" s="508">
        <f t="shared" si="43"/>
        <v>544.46523437500002</v>
      </c>
      <c r="AV36" s="508">
        <f t="shared" si="44"/>
        <v>743.26523437500009</v>
      </c>
      <c r="AW36" s="508">
        <f t="shared" si="45"/>
        <v>605.05190104166672</v>
      </c>
      <c r="AX36" s="508">
        <f t="shared" si="46"/>
        <v>803.85190104166668</v>
      </c>
      <c r="AY36" s="508">
        <f t="shared" si="47"/>
        <v>512.20546875000002</v>
      </c>
      <c r="AZ36" s="508">
        <f t="shared" si="48"/>
        <v>711.00546875000009</v>
      </c>
      <c r="BA36" s="508">
        <f t="shared" si="49"/>
        <v>572.79213541666672</v>
      </c>
      <c r="BB36" s="508">
        <f t="shared" si="50"/>
        <v>771.59213541666668</v>
      </c>
      <c r="BC36" s="508">
        <f t="shared" si="51"/>
        <v>544.67070312500005</v>
      </c>
      <c r="BD36" s="508">
        <f t="shared" si="52"/>
        <v>743.470703125</v>
      </c>
      <c r="BE36" s="508">
        <f t="shared" si="53"/>
        <v>605.25736979166675</v>
      </c>
      <c r="BF36" s="508">
        <f t="shared" si="54"/>
        <v>804.05736979166682</v>
      </c>
    </row>
    <row r="37" spans="1:58">
      <c r="A37" s="505" t="s">
        <v>8453</v>
      </c>
      <c r="B37" s="505">
        <v>557334448</v>
      </c>
      <c r="C37" s="505" t="s">
        <v>773</v>
      </c>
      <c r="D37" s="505">
        <v>7200</v>
      </c>
      <c r="F37" s="509" t="str">
        <f t="shared" si="5"/>
        <v>N3+7200</v>
      </c>
      <c r="G37" s="510">
        <f t="shared" si="6"/>
        <v>557332916</v>
      </c>
      <c r="H37" s="510">
        <f t="shared" si="7"/>
        <v>557490486</v>
      </c>
      <c r="I37" s="509">
        <f t="shared" si="8"/>
        <v>7</v>
      </c>
      <c r="J37" s="509">
        <f t="shared" si="9"/>
        <v>7</v>
      </c>
      <c r="L37" s="505">
        <f t="shared" si="10"/>
        <v>10</v>
      </c>
      <c r="M37" s="505">
        <f t="shared" si="11"/>
        <v>40</v>
      </c>
      <c r="N37" s="505">
        <f t="shared" si="12"/>
        <v>7200</v>
      </c>
      <c r="O37" s="505">
        <f t="shared" si="13"/>
        <v>1</v>
      </c>
      <c r="P37" s="505" t="str">
        <f t="shared" si="14"/>
        <v/>
      </c>
      <c r="Q37" s="505" t="str">
        <f t="shared" si="15"/>
        <v/>
      </c>
      <c r="R37" s="505" t="str">
        <f t="shared" si="16"/>
        <v/>
      </c>
      <c r="T37" s="508">
        <f t="shared" si="17"/>
        <v>0.20546875000000001</v>
      </c>
      <c r="U37" s="508">
        <f t="shared" si="18"/>
        <v>0.81523437499999996</v>
      </c>
      <c r="V37" s="508">
        <f t="shared" si="19"/>
        <v>512</v>
      </c>
      <c r="W37" s="508">
        <f t="shared" si="20"/>
        <v>198.8</v>
      </c>
      <c r="X37" s="508">
        <f t="shared" si="21"/>
        <v>31.65</v>
      </c>
      <c r="Y37" s="508">
        <f t="shared" si="22"/>
        <v>31.65</v>
      </c>
      <c r="Z37" s="508">
        <f t="shared" si="23"/>
        <v>2.5244444444444443</v>
      </c>
      <c r="AB37" s="508">
        <f t="shared" si="24"/>
        <v>198.8</v>
      </c>
      <c r="AC37" s="508">
        <f t="shared" si="25"/>
        <v>2.5244444444444443</v>
      </c>
      <c r="AD37" s="508">
        <f t="shared" si="26"/>
        <v>201.32444444444445</v>
      </c>
      <c r="AE37" s="508">
        <f t="shared" si="27"/>
        <v>32.465234375000001</v>
      </c>
      <c r="AF37" s="508">
        <f t="shared" si="28"/>
        <v>231.26523437500001</v>
      </c>
      <c r="AG37" s="508">
        <f t="shared" si="29"/>
        <v>34.989678819444443</v>
      </c>
      <c r="AH37" s="508">
        <f t="shared" si="30"/>
        <v>233.78967881944445</v>
      </c>
      <c r="AI37" s="508">
        <f t="shared" si="31"/>
        <v>0.20546875000000001</v>
      </c>
      <c r="AJ37" s="508">
        <f t="shared" si="32"/>
        <v>199.00546875000001</v>
      </c>
      <c r="AK37" s="508">
        <f t="shared" si="33"/>
        <v>2.7299131944444444</v>
      </c>
      <c r="AL37" s="508">
        <f t="shared" si="34"/>
        <v>201.52991319444445</v>
      </c>
      <c r="AM37" s="508">
        <f t="shared" si="35"/>
        <v>32.670703125000003</v>
      </c>
      <c r="AN37" s="508">
        <f t="shared" si="36"/>
        <v>231.470703125</v>
      </c>
      <c r="AO37" s="508">
        <f t="shared" si="37"/>
        <v>35.195147569444444</v>
      </c>
      <c r="AP37" s="508">
        <f t="shared" si="38"/>
        <v>233.99514756944444</v>
      </c>
      <c r="AQ37" s="508">
        <f t="shared" si="39"/>
        <v>512</v>
      </c>
      <c r="AR37" s="508">
        <f t="shared" si="40"/>
        <v>710.8</v>
      </c>
      <c r="AS37" s="508">
        <f t="shared" si="41"/>
        <v>514.5244444444445</v>
      </c>
      <c r="AT37" s="508">
        <f t="shared" si="42"/>
        <v>713.32444444444445</v>
      </c>
      <c r="AU37" s="508">
        <f t="shared" si="43"/>
        <v>544.46523437500002</v>
      </c>
      <c r="AV37" s="508">
        <f t="shared" si="44"/>
        <v>743.26523437500009</v>
      </c>
      <c r="AW37" s="508">
        <f t="shared" si="45"/>
        <v>546.98967881944452</v>
      </c>
      <c r="AX37" s="508">
        <f t="shared" si="46"/>
        <v>745.78967881944459</v>
      </c>
      <c r="AY37" s="508">
        <f t="shared" si="47"/>
        <v>512.20546875000002</v>
      </c>
      <c r="AZ37" s="508">
        <f t="shared" si="48"/>
        <v>711.00546875000009</v>
      </c>
      <c r="BA37" s="508">
        <f t="shared" si="49"/>
        <v>514.72991319444452</v>
      </c>
      <c r="BB37" s="508">
        <f t="shared" si="50"/>
        <v>713.52991319444459</v>
      </c>
      <c r="BC37" s="508">
        <f t="shared" si="51"/>
        <v>544.67070312500005</v>
      </c>
      <c r="BD37" s="508">
        <f t="shared" si="52"/>
        <v>743.470703125</v>
      </c>
      <c r="BE37" s="508">
        <f t="shared" si="53"/>
        <v>547.19514756944454</v>
      </c>
      <c r="BF37" s="508">
        <f t="shared" si="54"/>
        <v>745.9951475694445</v>
      </c>
    </row>
    <row r="38" spans="1:58">
      <c r="A38" s="505" t="s">
        <v>8453</v>
      </c>
      <c r="B38" s="505">
        <v>557334449</v>
      </c>
      <c r="C38" s="505" t="s">
        <v>12</v>
      </c>
      <c r="D38" s="505">
        <v>3600</v>
      </c>
      <c r="F38" s="509" t="str">
        <f t="shared" si="5"/>
        <v>N1+3600</v>
      </c>
      <c r="G38" s="510">
        <f t="shared" si="6"/>
        <v>557332916</v>
      </c>
      <c r="H38" s="510">
        <f t="shared" si="7"/>
        <v>557490486</v>
      </c>
      <c r="I38" s="509">
        <f t="shared" si="8"/>
        <v>8</v>
      </c>
      <c r="J38" s="509">
        <f t="shared" si="9"/>
        <v>6</v>
      </c>
      <c r="L38" s="505">
        <f t="shared" si="10"/>
        <v>3600</v>
      </c>
      <c r="M38" s="505">
        <f t="shared" si="11"/>
        <v>40</v>
      </c>
      <c r="N38" s="505">
        <f t="shared" si="12"/>
        <v>7200</v>
      </c>
      <c r="O38" s="505">
        <f t="shared" si="13"/>
        <v>1</v>
      </c>
      <c r="P38" s="505" t="str">
        <f t="shared" si="14"/>
        <v/>
      </c>
      <c r="Q38" s="505" t="str">
        <f t="shared" si="15"/>
        <v/>
      </c>
      <c r="R38" s="505" t="str">
        <f t="shared" si="16"/>
        <v/>
      </c>
      <c r="T38" s="508">
        <f t="shared" si="17"/>
        <v>0.20546875000000001</v>
      </c>
      <c r="U38" s="508">
        <f t="shared" si="18"/>
        <v>0.81523437499999996</v>
      </c>
      <c r="V38" s="508">
        <f t="shared" si="19"/>
        <v>512</v>
      </c>
      <c r="W38" s="508">
        <f t="shared" si="20"/>
        <v>0.55222222222222217</v>
      </c>
      <c r="X38" s="508">
        <f t="shared" si="21"/>
        <v>31.65</v>
      </c>
      <c r="Y38" s="508">
        <f t="shared" si="22"/>
        <v>31.65</v>
      </c>
      <c r="Z38" s="508">
        <f t="shared" si="23"/>
        <v>2.5244444444444443</v>
      </c>
      <c r="AB38" s="508">
        <f t="shared" si="24"/>
        <v>0.55222222222222217</v>
      </c>
      <c r="AC38" s="508">
        <f t="shared" si="25"/>
        <v>2.5244444444444443</v>
      </c>
      <c r="AD38" s="508">
        <f t="shared" si="26"/>
        <v>3.0766666666666662</v>
      </c>
      <c r="AE38" s="508">
        <f t="shared" si="27"/>
        <v>32.465234375000001</v>
      </c>
      <c r="AF38" s="508">
        <f t="shared" si="28"/>
        <v>33.017456597222221</v>
      </c>
      <c r="AG38" s="508">
        <f t="shared" si="29"/>
        <v>34.989678819444443</v>
      </c>
      <c r="AH38" s="508">
        <f t="shared" si="30"/>
        <v>35.541901041666662</v>
      </c>
      <c r="AI38" s="508">
        <f t="shared" si="31"/>
        <v>0.20546875000000001</v>
      </c>
      <c r="AJ38" s="508">
        <f t="shared" si="32"/>
        <v>0.75769097222222215</v>
      </c>
      <c r="AK38" s="508">
        <f t="shared" si="33"/>
        <v>2.7299131944444444</v>
      </c>
      <c r="AL38" s="508">
        <f t="shared" si="34"/>
        <v>3.2821354166666667</v>
      </c>
      <c r="AM38" s="508">
        <f t="shared" si="35"/>
        <v>32.670703125000003</v>
      </c>
      <c r="AN38" s="508">
        <f t="shared" si="36"/>
        <v>33.222925347222223</v>
      </c>
      <c r="AO38" s="508">
        <f t="shared" si="37"/>
        <v>35.195147569444444</v>
      </c>
      <c r="AP38" s="508">
        <f t="shared" si="38"/>
        <v>35.747369791666664</v>
      </c>
      <c r="AQ38" s="508">
        <f t="shared" si="39"/>
        <v>512</v>
      </c>
      <c r="AR38" s="508">
        <f t="shared" si="40"/>
        <v>512.55222222222221</v>
      </c>
      <c r="AS38" s="508">
        <f t="shared" si="41"/>
        <v>514.5244444444445</v>
      </c>
      <c r="AT38" s="508">
        <f t="shared" si="42"/>
        <v>515.07666666666671</v>
      </c>
      <c r="AU38" s="508">
        <f t="shared" si="43"/>
        <v>544.46523437500002</v>
      </c>
      <c r="AV38" s="508">
        <f t="shared" si="44"/>
        <v>545.01745659722224</v>
      </c>
      <c r="AW38" s="508">
        <f t="shared" si="45"/>
        <v>546.98967881944452</v>
      </c>
      <c r="AX38" s="508">
        <f t="shared" si="46"/>
        <v>547.54190104166673</v>
      </c>
      <c r="AY38" s="508">
        <f t="shared" si="47"/>
        <v>512.20546875000002</v>
      </c>
      <c r="AZ38" s="508">
        <f t="shared" si="48"/>
        <v>512.75769097222224</v>
      </c>
      <c r="BA38" s="508">
        <f t="shared" si="49"/>
        <v>514.72991319444452</v>
      </c>
      <c r="BB38" s="508">
        <f t="shared" si="50"/>
        <v>515.28213541666673</v>
      </c>
      <c r="BC38" s="508">
        <f t="shared" si="51"/>
        <v>544.67070312500005</v>
      </c>
      <c r="BD38" s="508">
        <f t="shared" si="52"/>
        <v>545.22292534722226</v>
      </c>
      <c r="BE38" s="508">
        <f t="shared" si="53"/>
        <v>547.19514756944454</v>
      </c>
      <c r="BF38" s="508">
        <f t="shared" si="54"/>
        <v>547.74736979166676</v>
      </c>
    </row>
    <row r="39" spans="1:58">
      <c r="A39" s="505" t="s">
        <v>8455</v>
      </c>
      <c r="B39" s="505">
        <v>557334450</v>
      </c>
      <c r="C39" s="505" t="s">
        <v>8411</v>
      </c>
      <c r="D39" s="505">
        <v>300</v>
      </c>
      <c r="F39" s="509" t="str">
        <f t="shared" si="5"/>
        <v>STAT+300</v>
      </c>
      <c r="G39" s="510">
        <f t="shared" si="6"/>
        <v>557332916</v>
      </c>
      <c r="H39" s="510">
        <f t="shared" si="7"/>
        <v>557490486</v>
      </c>
      <c r="I39" s="509">
        <f t="shared" si="8"/>
        <v>9</v>
      </c>
      <c r="J39" s="509">
        <f t="shared" si="9"/>
        <v>5</v>
      </c>
      <c r="L39" s="505">
        <f t="shared" si="10"/>
        <v>3600</v>
      </c>
      <c r="M39" s="505">
        <f t="shared" si="11"/>
        <v>40</v>
      </c>
      <c r="N39" s="505">
        <f t="shared" si="12"/>
        <v>7200</v>
      </c>
      <c r="O39" s="505">
        <f t="shared" si="13"/>
        <v>300</v>
      </c>
      <c r="P39" s="505" t="str">
        <f t="shared" si="14"/>
        <v/>
      </c>
      <c r="Q39" s="505" t="str">
        <f t="shared" si="15"/>
        <v/>
      </c>
      <c r="R39" s="505" t="str">
        <f t="shared" si="16"/>
        <v/>
      </c>
      <c r="T39" s="508">
        <f t="shared" si="17"/>
        <v>0.20546875000000001</v>
      </c>
      <c r="U39" s="508">
        <f t="shared" si="18"/>
        <v>0.81523437499999996</v>
      </c>
      <c r="V39" s="508">
        <f t="shared" si="19"/>
        <v>1.7066666666666668</v>
      </c>
      <c r="W39" s="508">
        <f t="shared" si="20"/>
        <v>0.55222222222222217</v>
      </c>
      <c r="X39" s="508">
        <f t="shared" si="21"/>
        <v>31.65</v>
      </c>
      <c r="Y39" s="508">
        <f t="shared" si="22"/>
        <v>31.65</v>
      </c>
      <c r="Z39" s="508">
        <f t="shared" si="23"/>
        <v>2.5244444444444443</v>
      </c>
      <c r="AB39" s="508">
        <f t="shared" si="24"/>
        <v>0.55222222222222217</v>
      </c>
      <c r="AC39" s="508">
        <f t="shared" si="25"/>
        <v>2.5244444444444443</v>
      </c>
      <c r="AD39" s="508">
        <f t="shared" si="26"/>
        <v>3.0766666666666662</v>
      </c>
      <c r="AE39" s="508">
        <f t="shared" si="27"/>
        <v>32.465234375000001</v>
      </c>
      <c r="AF39" s="508">
        <f t="shared" si="28"/>
        <v>33.017456597222221</v>
      </c>
      <c r="AG39" s="508">
        <f t="shared" si="29"/>
        <v>34.989678819444443</v>
      </c>
      <c r="AH39" s="508">
        <f t="shared" si="30"/>
        <v>35.541901041666662</v>
      </c>
      <c r="AI39" s="508">
        <f t="shared" si="31"/>
        <v>0.20546875000000001</v>
      </c>
      <c r="AJ39" s="508">
        <f t="shared" si="32"/>
        <v>0.75769097222222215</v>
      </c>
      <c r="AK39" s="508">
        <f t="shared" si="33"/>
        <v>2.7299131944444444</v>
      </c>
      <c r="AL39" s="508">
        <f t="shared" si="34"/>
        <v>3.2821354166666667</v>
      </c>
      <c r="AM39" s="508">
        <f t="shared" si="35"/>
        <v>32.670703125000003</v>
      </c>
      <c r="AN39" s="508">
        <f t="shared" si="36"/>
        <v>33.222925347222223</v>
      </c>
      <c r="AO39" s="508">
        <f t="shared" si="37"/>
        <v>35.195147569444444</v>
      </c>
      <c r="AP39" s="508">
        <f t="shared" si="38"/>
        <v>35.747369791666664</v>
      </c>
      <c r="AQ39" s="508">
        <f t="shared" si="39"/>
        <v>1.7066666666666668</v>
      </c>
      <c r="AR39" s="508">
        <f t="shared" si="40"/>
        <v>2.2588888888888889</v>
      </c>
      <c r="AS39" s="508">
        <f t="shared" si="41"/>
        <v>4.2311111111111108</v>
      </c>
      <c r="AT39" s="508">
        <f t="shared" si="42"/>
        <v>4.7833333333333332</v>
      </c>
      <c r="AU39" s="508">
        <f t="shared" si="43"/>
        <v>34.171901041666665</v>
      </c>
      <c r="AV39" s="508">
        <f t="shared" si="44"/>
        <v>34.724123263888885</v>
      </c>
      <c r="AW39" s="508">
        <f t="shared" si="45"/>
        <v>36.696345486111106</v>
      </c>
      <c r="AX39" s="508">
        <f t="shared" si="46"/>
        <v>37.248567708333326</v>
      </c>
      <c r="AY39" s="508">
        <f t="shared" si="47"/>
        <v>1.9121354166666669</v>
      </c>
      <c r="AZ39" s="508">
        <f t="shared" si="48"/>
        <v>2.464357638888889</v>
      </c>
      <c r="BA39" s="508">
        <f t="shared" si="49"/>
        <v>4.4365798611111114</v>
      </c>
      <c r="BB39" s="508">
        <f t="shared" si="50"/>
        <v>4.9888020833333337</v>
      </c>
      <c r="BC39" s="508">
        <f t="shared" si="51"/>
        <v>34.377369791666666</v>
      </c>
      <c r="BD39" s="508">
        <f t="shared" si="52"/>
        <v>34.929592013888886</v>
      </c>
      <c r="BE39" s="508">
        <f t="shared" si="53"/>
        <v>36.901814236111107</v>
      </c>
      <c r="BF39" s="508">
        <f t="shared" si="54"/>
        <v>37.454036458333327</v>
      </c>
    </row>
    <row r="40" spans="1:58">
      <c r="A40" s="505" t="s">
        <v>8453</v>
      </c>
      <c r="B40" s="505">
        <v>557334766</v>
      </c>
      <c r="C40" s="505" t="s">
        <v>776</v>
      </c>
      <c r="D40" s="505">
        <v>100</v>
      </c>
      <c r="F40" s="509" t="str">
        <f t="shared" si="5"/>
        <v>N2+100</v>
      </c>
      <c r="G40" s="510">
        <f t="shared" si="6"/>
        <v>557332916</v>
      </c>
      <c r="H40" s="510">
        <f t="shared" si="7"/>
        <v>557490486</v>
      </c>
      <c r="I40" s="509">
        <f t="shared" si="8"/>
        <v>10</v>
      </c>
      <c r="J40" s="509">
        <f t="shared" si="9"/>
        <v>4</v>
      </c>
      <c r="L40" s="505">
        <f t="shared" si="10"/>
        <v>3600</v>
      </c>
      <c r="M40" s="505">
        <f t="shared" si="11"/>
        <v>100</v>
      </c>
      <c r="N40" s="505">
        <f t="shared" si="12"/>
        <v>7200</v>
      </c>
      <c r="O40" s="505">
        <f t="shared" si="13"/>
        <v>300</v>
      </c>
      <c r="P40" s="505" t="str">
        <f t="shared" si="14"/>
        <v/>
      </c>
      <c r="Q40" s="505" t="str">
        <f t="shared" si="15"/>
        <v/>
      </c>
      <c r="R40" s="505" t="str">
        <f t="shared" si="16"/>
        <v/>
      </c>
      <c r="T40" s="508">
        <f t="shared" si="17"/>
        <v>8.2187499999999997E-2</v>
      </c>
      <c r="U40" s="508">
        <f t="shared" si="18"/>
        <v>0.32609375000000002</v>
      </c>
      <c r="V40" s="508">
        <f t="shared" si="19"/>
        <v>1.7066666666666668</v>
      </c>
      <c r="W40" s="508">
        <f t="shared" si="20"/>
        <v>0.55222222222222217</v>
      </c>
      <c r="X40" s="508">
        <f t="shared" si="21"/>
        <v>12.66</v>
      </c>
      <c r="Y40" s="508">
        <f t="shared" si="22"/>
        <v>12.66</v>
      </c>
      <c r="Z40" s="508">
        <f t="shared" si="23"/>
        <v>2.5244444444444443</v>
      </c>
      <c r="AB40" s="508">
        <f t="shared" si="24"/>
        <v>0.55222222222222217</v>
      </c>
      <c r="AC40" s="508">
        <f t="shared" si="25"/>
        <v>2.5244444444444443</v>
      </c>
      <c r="AD40" s="508">
        <f t="shared" si="26"/>
        <v>3.0766666666666662</v>
      </c>
      <c r="AE40" s="508">
        <f t="shared" si="27"/>
        <v>12.98609375</v>
      </c>
      <c r="AF40" s="508">
        <f t="shared" si="28"/>
        <v>13.538315972222222</v>
      </c>
      <c r="AG40" s="508">
        <f t="shared" si="29"/>
        <v>15.510538194444445</v>
      </c>
      <c r="AH40" s="508">
        <f t="shared" si="30"/>
        <v>16.062760416666666</v>
      </c>
      <c r="AI40" s="508">
        <f t="shared" si="31"/>
        <v>8.2187499999999997E-2</v>
      </c>
      <c r="AJ40" s="508">
        <f t="shared" si="32"/>
        <v>0.63440972222222214</v>
      </c>
      <c r="AK40" s="508">
        <f t="shared" si="33"/>
        <v>2.6066319444444441</v>
      </c>
      <c r="AL40" s="508">
        <f t="shared" si="34"/>
        <v>3.1588541666666661</v>
      </c>
      <c r="AM40" s="508">
        <f t="shared" si="35"/>
        <v>13.06828125</v>
      </c>
      <c r="AN40" s="508">
        <f t="shared" si="36"/>
        <v>13.620503472222222</v>
      </c>
      <c r="AO40" s="508">
        <f t="shared" si="37"/>
        <v>15.592725694444445</v>
      </c>
      <c r="AP40" s="508">
        <f t="shared" si="38"/>
        <v>16.144947916666666</v>
      </c>
      <c r="AQ40" s="508">
        <f t="shared" si="39"/>
        <v>1.7066666666666668</v>
      </c>
      <c r="AR40" s="508">
        <f t="shared" si="40"/>
        <v>2.2588888888888889</v>
      </c>
      <c r="AS40" s="508">
        <f t="shared" si="41"/>
        <v>4.2311111111111108</v>
      </c>
      <c r="AT40" s="508">
        <f t="shared" si="42"/>
        <v>4.7833333333333332</v>
      </c>
      <c r="AU40" s="508">
        <f t="shared" si="43"/>
        <v>14.692760416666667</v>
      </c>
      <c r="AV40" s="508">
        <f t="shared" si="44"/>
        <v>15.244982638888889</v>
      </c>
      <c r="AW40" s="508">
        <f t="shared" si="45"/>
        <v>17.21720486111111</v>
      </c>
      <c r="AX40" s="508">
        <f t="shared" si="46"/>
        <v>17.769427083333333</v>
      </c>
      <c r="AY40" s="508">
        <f t="shared" si="47"/>
        <v>1.7888541666666669</v>
      </c>
      <c r="AZ40" s="508">
        <f t="shared" si="48"/>
        <v>2.3410763888888892</v>
      </c>
      <c r="BA40" s="508">
        <f t="shared" si="49"/>
        <v>4.3132986111111116</v>
      </c>
      <c r="BB40" s="508">
        <f t="shared" si="50"/>
        <v>4.865520833333334</v>
      </c>
      <c r="BC40" s="508">
        <f t="shared" si="51"/>
        <v>14.774947916666667</v>
      </c>
      <c r="BD40" s="508">
        <f t="shared" si="52"/>
        <v>15.327170138888889</v>
      </c>
      <c r="BE40" s="508">
        <f t="shared" si="53"/>
        <v>17.29939236111111</v>
      </c>
      <c r="BF40" s="508">
        <f t="shared" si="54"/>
        <v>17.851614583333333</v>
      </c>
    </row>
    <row r="41" spans="1:58">
      <c r="A41" s="505" t="s">
        <v>8453</v>
      </c>
      <c r="B41" s="505">
        <v>557334769</v>
      </c>
      <c r="C41" s="505" t="s">
        <v>12</v>
      </c>
      <c r="D41" s="505">
        <v>100</v>
      </c>
      <c r="F41" s="509" t="str">
        <f t="shared" si="5"/>
        <v>N1+100</v>
      </c>
      <c r="G41" s="510">
        <f t="shared" si="6"/>
        <v>557332916</v>
      </c>
      <c r="H41" s="510">
        <f t="shared" si="7"/>
        <v>557490486</v>
      </c>
      <c r="I41" s="509">
        <f t="shared" si="8"/>
        <v>11</v>
      </c>
      <c r="J41" s="509">
        <f t="shared" si="9"/>
        <v>3</v>
      </c>
      <c r="L41" s="505">
        <f t="shared" si="10"/>
        <v>100</v>
      </c>
      <c r="M41" s="505">
        <f t="shared" si="11"/>
        <v>100</v>
      </c>
      <c r="N41" s="505">
        <f t="shared" si="12"/>
        <v>7200</v>
      </c>
      <c r="O41" s="505">
        <f t="shared" si="13"/>
        <v>300</v>
      </c>
      <c r="P41" s="505" t="str">
        <f t="shared" si="14"/>
        <v/>
      </c>
      <c r="Q41" s="505" t="str">
        <f t="shared" si="15"/>
        <v/>
      </c>
      <c r="R41" s="505" t="str">
        <f t="shared" si="16"/>
        <v/>
      </c>
      <c r="T41" s="508">
        <f t="shared" si="17"/>
        <v>8.2187499999999997E-2</v>
      </c>
      <c r="U41" s="508">
        <f t="shared" si="18"/>
        <v>0.32609375000000002</v>
      </c>
      <c r="V41" s="508">
        <f t="shared" si="19"/>
        <v>1.7066666666666668</v>
      </c>
      <c r="W41" s="508">
        <f t="shared" si="20"/>
        <v>19.88</v>
      </c>
      <c r="X41" s="508">
        <f t="shared" si="21"/>
        <v>12.66</v>
      </c>
      <c r="Y41" s="508">
        <f t="shared" si="22"/>
        <v>12.66</v>
      </c>
      <c r="Z41" s="508">
        <f t="shared" si="23"/>
        <v>2.5244444444444443</v>
      </c>
      <c r="AB41" s="508">
        <f t="shared" si="24"/>
        <v>19.88</v>
      </c>
      <c r="AC41" s="508">
        <f t="shared" si="25"/>
        <v>2.5244444444444443</v>
      </c>
      <c r="AD41" s="508">
        <f t="shared" si="26"/>
        <v>22.404444444444444</v>
      </c>
      <c r="AE41" s="508">
        <f t="shared" si="27"/>
        <v>12.98609375</v>
      </c>
      <c r="AF41" s="508">
        <f t="shared" si="28"/>
        <v>32.866093749999997</v>
      </c>
      <c r="AG41" s="508">
        <f t="shared" si="29"/>
        <v>15.510538194444445</v>
      </c>
      <c r="AH41" s="508">
        <f t="shared" si="30"/>
        <v>35.390538194444446</v>
      </c>
      <c r="AI41" s="508">
        <f t="shared" si="31"/>
        <v>8.2187499999999997E-2</v>
      </c>
      <c r="AJ41" s="508">
        <f t="shared" si="32"/>
        <v>19.962187499999999</v>
      </c>
      <c r="AK41" s="508">
        <f t="shared" si="33"/>
        <v>2.6066319444444441</v>
      </c>
      <c r="AL41" s="508">
        <f t="shared" si="34"/>
        <v>22.486631944444444</v>
      </c>
      <c r="AM41" s="508">
        <f t="shared" si="35"/>
        <v>13.06828125</v>
      </c>
      <c r="AN41" s="508">
        <f t="shared" si="36"/>
        <v>32.948281250000001</v>
      </c>
      <c r="AO41" s="508">
        <f t="shared" si="37"/>
        <v>15.592725694444445</v>
      </c>
      <c r="AP41" s="508">
        <f t="shared" si="38"/>
        <v>35.472725694444442</v>
      </c>
      <c r="AQ41" s="508">
        <f t="shared" si="39"/>
        <v>1.7066666666666668</v>
      </c>
      <c r="AR41" s="508">
        <f t="shared" si="40"/>
        <v>21.586666666666666</v>
      </c>
      <c r="AS41" s="508">
        <f t="shared" si="41"/>
        <v>4.2311111111111108</v>
      </c>
      <c r="AT41" s="508">
        <f t="shared" si="42"/>
        <v>24.111111111111111</v>
      </c>
      <c r="AU41" s="508">
        <f t="shared" si="43"/>
        <v>14.692760416666667</v>
      </c>
      <c r="AV41" s="508">
        <f t="shared" si="44"/>
        <v>34.572760416666668</v>
      </c>
      <c r="AW41" s="508">
        <f t="shared" si="45"/>
        <v>17.21720486111111</v>
      </c>
      <c r="AX41" s="508">
        <f t="shared" si="46"/>
        <v>37.097204861111109</v>
      </c>
      <c r="AY41" s="508">
        <f t="shared" si="47"/>
        <v>1.7888541666666669</v>
      </c>
      <c r="AZ41" s="508">
        <f t="shared" si="48"/>
        <v>21.668854166666666</v>
      </c>
      <c r="BA41" s="508">
        <f t="shared" si="49"/>
        <v>4.3132986111111116</v>
      </c>
      <c r="BB41" s="508">
        <f t="shared" si="50"/>
        <v>24.193298611111111</v>
      </c>
      <c r="BC41" s="508">
        <f t="shared" si="51"/>
        <v>14.774947916666667</v>
      </c>
      <c r="BD41" s="508">
        <f t="shared" si="52"/>
        <v>34.654947916666664</v>
      </c>
      <c r="BE41" s="508">
        <f t="shared" si="53"/>
        <v>17.29939236111111</v>
      </c>
      <c r="BF41" s="508">
        <f t="shared" si="54"/>
        <v>37.179392361111113</v>
      </c>
    </row>
    <row r="42" spans="1:58">
      <c r="A42" s="505" t="s">
        <v>8453</v>
      </c>
      <c r="B42" s="505">
        <v>557334772</v>
      </c>
      <c r="C42" s="505" t="s">
        <v>773</v>
      </c>
      <c r="D42" s="505">
        <v>7200</v>
      </c>
      <c r="F42" s="509" t="str">
        <f t="shared" si="5"/>
        <v>N3+7200</v>
      </c>
      <c r="G42" s="510">
        <f t="shared" si="6"/>
        <v>557332916</v>
      </c>
      <c r="H42" s="510">
        <f t="shared" si="7"/>
        <v>557490486</v>
      </c>
      <c r="I42" s="509">
        <f t="shared" si="8"/>
        <v>12</v>
      </c>
      <c r="J42" s="509">
        <f t="shared" si="9"/>
        <v>2</v>
      </c>
      <c r="L42" s="505">
        <f t="shared" si="10"/>
        <v>100</v>
      </c>
      <c r="M42" s="505">
        <f t="shared" si="11"/>
        <v>100</v>
      </c>
      <c r="N42" s="505">
        <f t="shared" si="12"/>
        <v>7200</v>
      </c>
      <c r="O42" s="505">
        <f t="shared" si="13"/>
        <v>300</v>
      </c>
      <c r="P42" s="505" t="str">
        <f t="shared" si="14"/>
        <v/>
      </c>
      <c r="Q42" s="505" t="str">
        <f t="shared" si="15"/>
        <v/>
      </c>
      <c r="R42" s="505" t="str">
        <f t="shared" si="16"/>
        <v/>
      </c>
      <c r="T42" s="508">
        <f t="shared" si="17"/>
        <v>8.2187499999999997E-2</v>
      </c>
      <c r="U42" s="508">
        <f t="shared" si="18"/>
        <v>0.32609375000000002</v>
      </c>
      <c r="V42" s="508">
        <f t="shared" si="19"/>
        <v>1.7066666666666668</v>
      </c>
      <c r="W42" s="508">
        <f t="shared" si="20"/>
        <v>19.88</v>
      </c>
      <c r="X42" s="508">
        <f t="shared" si="21"/>
        <v>12.66</v>
      </c>
      <c r="Y42" s="508">
        <f t="shared" si="22"/>
        <v>12.66</v>
      </c>
      <c r="Z42" s="508">
        <f t="shared" si="23"/>
        <v>2.5244444444444443</v>
      </c>
      <c r="AB42" s="508">
        <f t="shared" si="24"/>
        <v>19.88</v>
      </c>
      <c r="AC42" s="508">
        <f t="shared" si="25"/>
        <v>2.5244444444444443</v>
      </c>
      <c r="AD42" s="508">
        <f t="shared" si="26"/>
        <v>22.404444444444444</v>
      </c>
      <c r="AE42" s="508">
        <f t="shared" si="27"/>
        <v>12.98609375</v>
      </c>
      <c r="AF42" s="508">
        <f t="shared" si="28"/>
        <v>32.866093749999997</v>
      </c>
      <c r="AG42" s="508">
        <f t="shared" si="29"/>
        <v>15.510538194444445</v>
      </c>
      <c r="AH42" s="508">
        <f t="shared" si="30"/>
        <v>35.390538194444446</v>
      </c>
      <c r="AI42" s="508">
        <f t="shared" si="31"/>
        <v>8.2187499999999997E-2</v>
      </c>
      <c r="AJ42" s="508">
        <f t="shared" si="32"/>
        <v>19.962187499999999</v>
      </c>
      <c r="AK42" s="508">
        <f t="shared" si="33"/>
        <v>2.6066319444444441</v>
      </c>
      <c r="AL42" s="508">
        <f t="shared" si="34"/>
        <v>22.486631944444444</v>
      </c>
      <c r="AM42" s="508">
        <f t="shared" si="35"/>
        <v>13.06828125</v>
      </c>
      <c r="AN42" s="508">
        <f t="shared" si="36"/>
        <v>32.948281250000001</v>
      </c>
      <c r="AO42" s="508">
        <f t="shared" si="37"/>
        <v>15.592725694444445</v>
      </c>
      <c r="AP42" s="508">
        <f t="shared" si="38"/>
        <v>35.472725694444442</v>
      </c>
      <c r="AQ42" s="508">
        <f t="shared" si="39"/>
        <v>1.7066666666666668</v>
      </c>
      <c r="AR42" s="508">
        <f t="shared" si="40"/>
        <v>21.586666666666666</v>
      </c>
      <c r="AS42" s="508">
        <f t="shared" si="41"/>
        <v>4.2311111111111108</v>
      </c>
      <c r="AT42" s="508">
        <f t="shared" si="42"/>
        <v>24.111111111111111</v>
      </c>
      <c r="AU42" s="508">
        <f t="shared" si="43"/>
        <v>14.692760416666667</v>
      </c>
      <c r="AV42" s="508">
        <f t="shared" si="44"/>
        <v>34.572760416666668</v>
      </c>
      <c r="AW42" s="508">
        <f t="shared" si="45"/>
        <v>17.21720486111111</v>
      </c>
      <c r="AX42" s="508">
        <f t="shared" si="46"/>
        <v>37.097204861111109</v>
      </c>
      <c r="AY42" s="508">
        <f t="shared" si="47"/>
        <v>1.7888541666666669</v>
      </c>
      <c r="AZ42" s="508">
        <f t="shared" si="48"/>
        <v>21.668854166666666</v>
      </c>
      <c r="BA42" s="508">
        <f t="shared" si="49"/>
        <v>4.3132986111111116</v>
      </c>
      <c r="BB42" s="508">
        <f t="shared" si="50"/>
        <v>24.193298611111111</v>
      </c>
      <c r="BC42" s="508">
        <f t="shared" si="51"/>
        <v>14.774947916666667</v>
      </c>
      <c r="BD42" s="508">
        <f t="shared" si="52"/>
        <v>34.654947916666664</v>
      </c>
      <c r="BE42" s="508">
        <f t="shared" si="53"/>
        <v>17.29939236111111</v>
      </c>
      <c r="BF42" s="508">
        <f t="shared" si="54"/>
        <v>37.179392361111113</v>
      </c>
    </row>
    <row r="43" spans="1:58">
      <c r="A43" s="505" t="s">
        <v>8455</v>
      </c>
      <c r="B43" s="505">
        <v>557334775</v>
      </c>
      <c r="C43" s="505" t="s">
        <v>8411</v>
      </c>
      <c r="D43" s="505">
        <v>1800</v>
      </c>
      <c r="F43" s="509" t="str">
        <f t="shared" si="5"/>
        <v>STAT+1800</v>
      </c>
      <c r="G43" s="510">
        <f t="shared" si="6"/>
        <v>557332916</v>
      </c>
      <c r="H43" s="510">
        <f t="shared" si="7"/>
        <v>557490486</v>
      </c>
      <c r="I43" s="509">
        <f t="shared" si="8"/>
        <v>13</v>
      </c>
      <c r="J43" s="509">
        <f t="shared" si="9"/>
        <v>1</v>
      </c>
      <c r="L43" s="505">
        <f t="shared" si="10"/>
        <v>100</v>
      </c>
      <c r="M43" s="505">
        <f t="shared" si="11"/>
        <v>100</v>
      </c>
      <c r="N43" s="505">
        <f t="shared" si="12"/>
        <v>7200</v>
      </c>
      <c r="O43" s="505">
        <f t="shared" si="13"/>
        <v>1800</v>
      </c>
      <c r="P43" s="505" t="str">
        <f t="shared" si="14"/>
        <v/>
      </c>
      <c r="Q43" s="505" t="str">
        <f t="shared" si="15"/>
        <v/>
      </c>
      <c r="R43" s="505" t="str">
        <f t="shared" si="16"/>
        <v/>
      </c>
      <c r="T43" s="508">
        <f t="shared" si="17"/>
        <v>8.2187499999999997E-2</v>
      </c>
      <c r="U43" s="508">
        <f t="shared" si="18"/>
        <v>0.32609375000000002</v>
      </c>
      <c r="V43" s="508">
        <f t="shared" si="19"/>
        <v>0.28444444444444444</v>
      </c>
      <c r="W43" s="508">
        <f t="shared" si="20"/>
        <v>19.88</v>
      </c>
      <c r="X43" s="508">
        <f t="shared" si="21"/>
        <v>12.66</v>
      </c>
      <c r="Y43" s="508">
        <f t="shared" si="22"/>
        <v>12.66</v>
      </c>
      <c r="Z43" s="508">
        <f t="shared" si="23"/>
        <v>2.5244444444444443</v>
      </c>
      <c r="AB43" s="508">
        <f t="shared" si="24"/>
        <v>19.88</v>
      </c>
      <c r="AC43" s="508">
        <f t="shared" si="25"/>
        <v>2.5244444444444443</v>
      </c>
      <c r="AD43" s="508">
        <f t="shared" si="26"/>
        <v>22.404444444444444</v>
      </c>
      <c r="AE43" s="508">
        <f t="shared" si="27"/>
        <v>12.98609375</v>
      </c>
      <c r="AF43" s="508">
        <f t="shared" si="28"/>
        <v>32.866093749999997</v>
      </c>
      <c r="AG43" s="508">
        <f t="shared" si="29"/>
        <v>15.510538194444445</v>
      </c>
      <c r="AH43" s="508">
        <f t="shared" si="30"/>
        <v>35.390538194444446</v>
      </c>
      <c r="AI43" s="508">
        <f t="shared" si="31"/>
        <v>8.2187499999999997E-2</v>
      </c>
      <c r="AJ43" s="508">
        <f t="shared" si="32"/>
        <v>19.962187499999999</v>
      </c>
      <c r="AK43" s="508">
        <f t="shared" si="33"/>
        <v>2.6066319444444441</v>
      </c>
      <c r="AL43" s="508">
        <f t="shared" si="34"/>
        <v>22.486631944444444</v>
      </c>
      <c r="AM43" s="508">
        <f t="shared" si="35"/>
        <v>13.06828125</v>
      </c>
      <c r="AN43" s="508">
        <f t="shared" si="36"/>
        <v>32.948281250000001</v>
      </c>
      <c r="AO43" s="508">
        <f t="shared" si="37"/>
        <v>15.592725694444445</v>
      </c>
      <c r="AP43" s="508">
        <f t="shared" si="38"/>
        <v>35.472725694444442</v>
      </c>
      <c r="AQ43" s="508">
        <f t="shared" si="39"/>
        <v>0.28444444444444444</v>
      </c>
      <c r="AR43" s="508">
        <f t="shared" si="40"/>
        <v>20.164444444444442</v>
      </c>
      <c r="AS43" s="508">
        <f t="shared" si="41"/>
        <v>2.8088888888888888</v>
      </c>
      <c r="AT43" s="508">
        <f t="shared" si="42"/>
        <v>22.688888888888886</v>
      </c>
      <c r="AU43" s="508">
        <f t="shared" si="43"/>
        <v>13.270538194444445</v>
      </c>
      <c r="AV43" s="508">
        <f t="shared" si="44"/>
        <v>33.150538194444444</v>
      </c>
      <c r="AW43" s="508">
        <f t="shared" si="45"/>
        <v>15.794982638888889</v>
      </c>
      <c r="AX43" s="508">
        <f t="shared" si="46"/>
        <v>35.674982638888892</v>
      </c>
      <c r="AY43" s="508">
        <f t="shared" si="47"/>
        <v>0.36663194444444447</v>
      </c>
      <c r="AZ43" s="508">
        <f t="shared" si="48"/>
        <v>20.246631944444445</v>
      </c>
      <c r="BA43" s="508">
        <f t="shared" si="49"/>
        <v>2.8910763888888886</v>
      </c>
      <c r="BB43" s="508">
        <f t="shared" si="50"/>
        <v>22.771076388888886</v>
      </c>
      <c r="BC43" s="508">
        <f t="shared" si="51"/>
        <v>13.352725694444445</v>
      </c>
      <c r="BD43" s="508">
        <f t="shared" si="52"/>
        <v>33.23272569444444</v>
      </c>
      <c r="BE43" s="508">
        <f t="shared" si="53"/>
        <v>15.877170138888889</v>
      </c>
      <c r="BF43" s="508">
        <f t="shared" si="54"/>
        <v>35.757170138888888</v>
      </c>
    </row>
    <row r="44" spans="1:58">
      <c r="A44" s="505" t="s">
        <v>8449</v>
      </c>
      <c r="B44" s="505">
        <v>557490486</v>
      </c>
      <c r="C44" s="505" t="s">
        <v>8469</v>
      </c>
      <c r="F44" s="509" t="str">
        <f t="shared" si="5"/>
        <v>OFF</v>
      </c>
      <c r="G44" s="510">
        <f t="shared" si="6"/>
        <v>557332916</v>
      </c>
      <c r="H44" s="510">
        <f t="shared" si="7"/>
        <v>557490486</v>
      </c>
      <c r="I44" s="509">
        <f t="shared" si="8"/>
        <v>14</v>
      </c>
      <c r="J44" s="509">
        <f t="shared" si="9"/>
        <v>0</v>
      </c>
      <c r="L44" s="505">
        <f t="shared" si="10"/>
        <v>100</v>
      </c>
      <c r="M44" s="505">
        <f t="shared" si="11"/>
        <v>100</v>
      </c>
      <c r="N44" s="505">
        <f t="shared" si="12"/>
        <v>7200</v>
      </c>
      <c r="O44" s="505">
        <f t="shared" si="13"/>
        <v>1800</v>
      </c>
      <c r="P44" s="505" t="str">
        <f t="shared" si="14"/>
        <v/>
      </c>
      <c r="Q44" s="505" t="str">
        <f t="shared" si="15"/>
        <v/>
      </c>
      <c r="R44" s="505" t="str">
        <f t="shared" si="16"/>
        <v/>
      </c>
      <c r="T44" s="508">
        <f t="shared" si="17"/>
        <v>8.2187499999999997E-2</v>
      </c>
      <c r="U44" s="508">
        <f t="shared" si="18"/>
        <v>0.32609375000000002</v>
      </c>
      <c r="V44" s="508">
        <f t="shared" si="19"/>
        <v>0.28444444444444444</v>
      </c>
      <c r="W44" s="508">
        <f t="shared" si="20"/>
        <v>19.88</v>
      </c>
      <c r="X44" s="508">
        <f t="shared" si="21"/>
        <v>12.66</v>
      </c>
      <c r="Y44" s="508">
        <f t="shared" si="22"/>
        <v>12.66</v>
      </c>
      <c r="Z44" s="508">
        <f t="shared" si="23"/>
        <v>2.5244444444444443</v>
      </c>
      <c r="AB44" s="508">
        <f t="shared" si="24"/>
        <v>19.88</v>
      </c>
      <c r="AC44" s="508">
        <f t="shared" si="25"/>
        <v>2.5244444444444443</v>
      </c>
      <c r="AD44" s="508">
        <f t="shared" si="26"/>
        <v>22.404444444444444</v>
      </c>
      <c r="AE44" s="508">
        <f t="shared" si="27"/>
        <v>12.98609375</v>
      </c>
      <c r="AF44" s="508">
        <f t="shared" si="28"/>
        <v>32.866093749999997</v>
      </c>
      <c r="AG44" s="508">
        <f t="shared" si="29"/>
        <v>15.510538194444445</v>
      </c>
      <c r="AH44" s="508">
        <f t="shared" si="30"/>
        <v>35.390538194444446</v>
      </c>
      <c r="AI44" s="508">
        <f t="shared" si="31"/>
        <v>8.2187499999999997E-2</v>
      </c>
      <c r="AJ44" s="508">
        <f t="shared" si="32"/>
        <v>19.962187499999999</v>
      </c>
      <c r="AK44" s="508">
        <f t="shared" si="33"/>
        <v>2.6066319444444441</v>
      </c>
      <c r="AL44" s="508">
        <f t="shared" si="34"/>
        <v>22.486631944444444</v>
      </c>
      <c r="AM44" s="508">
        <f t="shared" si="35"/>
        <v>13.06828125</v>
      </c>
      <c r="AN44" s="508">
        <f t="shared" si="36"/>
        <v>32.948281250000001</v>
      </c>
      <c r="AO44" s="508">
        <f t="shared" si="37"/>
        <v>15.592725694444445</v>
      </c>
      <c r="AP44" s="508">
        <f t="shared" si="38"/>
        <v>35.472725694444442</v>
      </c>
      <c r="AQ44" s="508">
        <f t="shared" si="39"/>
        <v>0.28444444444444444</v>
      </c>
      <c r="AR44" s="508">
        <f t="shared" si="40"/>
        <v>20.164444444444442</v>
      </c>
      <c r="AS44" s="508">
        <f t="shared" si="41"/>
        <v>2.8088888888888888</v>
      </c>
      <c r="AT44" s="508">
        <f t="shared" si="42"/>
        <v>22.688888888888886</v>
      </c>
      <c r="AU44" s="508">
        <f t="shared" si="43"/>
        <v>13.270538194444445</v>
      </c>
      <c r="AV44" s="508">
        <f t="shared" si="44"/>
        <v>33.150538194444444</v>
      </c>
      <c r="AW44" s="508">
        <f t="shared" si="45"/>
        <v>15.794982638888889</v>
      </c>
      <c r="AX44" s="508">
        <f t="shared" si="46"/>
        <v>35.674982638888892</v>
      </c>
      <c r="AY44" s="508">
        <f t="shared" si="47"/>
        <v>0.36663194444444447</v>
      </c>
      <c r="AZ44" s="508">
        <f t="shared" si="48"/>
        <v>20.246631944444445</v>
      </c>
      <c r="BA44" s="508">
        <f t="shared" si="49"/>
        <v>2.8910763888888886</v>
      </c>
      <c r="BB44" s="508">
        <f t="shared" si="50"/>
        <v>22.771076388888886</v>
      </c>
      <c r="BC44" s="508">
        <f t="shared" si="51"/>
        <v>13.352725694444445</v>
      </c>
      <c r="BD44" s="508">
        <f t="shared" si="52"/>
        <v>33.23272569444444</v>
      </c>
      <c r="BE44" s="508">
        <f t="shared" si="53"/>
        <v>15.877170138888889</v>
      </c>
      <c r="BF44" s="508">
        <f t="shared" si="54"/>
        <v>35.757170138888888</v>
      </c>
    </row>
    <row r="45" spans="1:58">
      <c r="A45" s="505" t="s">
        <v>8449</v>
      </c>
      <c r="B45" s="505">
        <v>557794316</v>
      </c>
      <c r="C45" s="505" t="s">
        <v>1148</v>
      </c>
      <c r="F45" s="509" t="str">
        <f t="shared" si="5"/>
        <v>ON</v>
      </c>
      <c r="G45" s="510">
        <f t="shared" si="6"/>
        <v>557794316</v>
      </c>
      <c r="H45" s="510">
        <f t="shared" si="7"/>
        <v>558078186</v>
      </c>
      <c r="I45" s="509">
        <f t="shared" si="8"/>
        <v>0</v>
      </c>
      <c r="J45" s="509">
        <f t="shared" si="9"/>
        <v>14</v>
      </c>
      <c r="L45" s="505" t="str">
        <f t="shared" si="10"/>
        <v/>
      </c>
      <c r="M45" s="505" t="str">
        <f t="shared" si="11"/>
        <v/>
      </c>
      <c r="N45" s="505" t="str">
        <f t="shared" si="12"/>
        <v/>
      </c>
      <c r="O45" s="505" t="str">
        <f t="shared" si="13"/>
        <v/>
      </c>
      <c r="P45" s="505" t="str">
        <f t="shared" si="14"/>
        <v/>
      </c>
      <c r="Q45" s="505" t="str">
        <f t="shared" si="15"/>
        <v/>
      </c>
      <c r="R45" s="505" t="str">
        <f t="shared" si="16"/>
        <v/>
      </c>
      <c r="T45" s="508">
        <f t="shared" si="17"/>
        <v>0</v>
      </c>
      <c r="U45" s="508">
        <f t="shared" si="18"/>
        <v>0</v>
      </c>
      <c r="V45" s="508">
        <f t="shared" si="19"/>
        <v>0</v>
      </c>
      <c r="W45" s="508">
        <f t="shared" si="20"/>
        <v>0</v>
      </c>
      <c r="X45" s="508">
        <f t="shared" si="21"/>
        <v>0</v>
      </c>
      <c r="Y45" s="508">
        <f t="shared" si="22"/>
        <v>0</v>
      </c>
      <c r="Z45" s="508">
        <f t="shared" si="23"/>
        <v>0</v>
      </c>
      <c r="AB45" s="508">
        <f t="shared" si="24"/>
        <v>0</v>
      </c>
      <c r="AC45" s="508">
        <f t="shared" si="25"/>
        <v>0</v>
      </c>
      <c r="AD45" s="508">
        <f t="shared" si="26"/>
        <v>0</v>
      </c>
      <c r="AE45" s="508">
        <f t="shared" si="27"/>
        <v>0</v>
      </c>
      <c r="AF45" s="508">
        <f t="shared" si="28"/>
        <v>0</v>
      </c>
      <c r="AG45" s="508">
        <f t="shared" si="29"/>
        <v>0</v>
      </c>
      <c r="AH45" s="508">
        <f t="shared" si="30"/>
        <v>0</v>
      </c>
      <c r="AI45" s="508">
        <f t="shared" si="31"/>
        <v>0</v>
      </c>
      <c r="AJ45" s="508">
        <f t="shared" si="32"/>
        <v>0</v>
      </c>
      <c r="AK45" s="508">
        <f t="shared" si="33"/>
        <v>0</v>
      </c>
      <c r="AL45" s="508">
        <f t="shared" si="34"/>
        <v>0</v>
      </c>
      <c r="AM45" s="508">
        <f t="shared" si="35"/>
        <v>0</v>
      </c>
      <c r="AN45" s="508">
        <f t="shared" si="36"/>
        <v>0</v>
      </c>
      <c r="AO45" s="508">
        <f t="shared" si="37"/>
        <v>0</v>
      </c>
      <c r="AP45" s="508">
        <f t="shared" si="38"/>
        <v>0</v>
      </c>
      <c r="AQ45" s="508">
        <f t="shared" si="39"/>
        <v>0</v>
      </c>
      <c r="AR45" s="508">
        <f t="shared" si="40"/>
        <v>0</v>
      </c>
      <c r="AS45" s="508">
        <f t="shared" si="41"/>
        <v>0</v>
      </c>
      <c r="AT45" s="508">
        <f t="shared" si="42"/>
        <v>0</v>
      </c>
      <c r="AU45" s="508">
        <f t="shared" si="43"/>
        <v>0</v>
      </c>
      <c r="AV45" s="508">
        <f t="shared" si="44"/>
        <v>0</v>
      </c>
      <c r="AW45" s="508">
        <f t="shared" si="45"/>
        <v>0</v>
      </c>
      <c r="AX45" s="508">
        <f t="shared" si="46"/>
        <v>0</v>
      </c>
      <c r="AY45" s="508">
        <f t="shared" si="47"/>
        <v>0</v>
      </c>
      <c r="AZ45" s="508">
        <f t="shared" si="48"/>
        <v>0</v>
      </c>
      <c r="BA45" s="508">
        <f t="shared" si="49"/>
        <v>0</v>
      </c>
      <c r="BB45" s="508">
        <f t="shared" si="50"/>
        <v>0</v>
      </c>
      <c r="BC45" s="508">
        <f t="shared" si="51"/>
        <v>0</v>
      </c>
      <c r="BD45" s="508">
        <f t="shared" si="52"/>
        <v>0</v>
      </c>
      <c r="BE45" s="508">
        <f t="shared" si="53"/>
        <v>0</v>
      </c>
      <c r="BF45" s="508">
        <f t="shared" si="54"/>
        <v>0</v>
      </c>
    </row>
    <row r="46" spans="1:58">
      <c r="A46" s="505" t="s">
        <v>8451</v>
      </c>
      <c r="B46" s="505">
        <v>557794361</v>
      </c>
      <c r="C46" s="505" t="s">
        <v>8412</v>
      </c>
      <c r="D46" s="505">
        <v>10</v>
      </c>
      <c r="F46" s="509" t="str">
        <f t="shared" ref="F46:F77" si="55">_xlfn.TEXTJOIN("+",TRUE,$C46:$D46)</f>
        <v>MAC+10</v>
      </c>
      <c r="G46" s="510">
        <f t="shared" ref="G46:G77" si="56">IF($C46="ON",$B46,IF(G45="MET Start","",G45))</f>
        <v>557794316</v>
      </c>
      <c r="H46" s="510">
        <f t="shared" ref="H46:H77" si="57">IF($C46="OFF",$B46,IF($B47="",$B46+31500000,IF($F47="MAC+111",$B47,H47)))</f>
        <v>558078186</v>
      </c>
      <c r="I46" s="509">
        <f t="shared" ref="I46:I77" si="58">IF(OR($C46="ON",$F46="MAC+111"),0,IF(OR(I45="",I45="Offset fr Start"),"",I45+1))</f>
        <v>1</v>
      </c>
      <c r="J46" s="509">
        <f t="shared" ref="J46:J77" si="59">IF($C46="OFF",0,IF($I47&lt;&gt;0,J47+1,1))</f>
        <v>13</v>
      </c>
      <c r="L46" s="505" t="str">
        <f t="shared" ref="L46:L77" si="60">IF($C46="ON","",IF($C46="N1",$D46,IF(L45="N1","",L45)))</f>
        <v/>
      </c>
      <c r="M46" s="505" t="str">
        <f t="shared" ref="M46:M77" si="61">IF($C46="ON","",IF($C46="N2",$D46,IF($F46="MAC+103",3,IF($F46="MAC+104",2,IF(M45="N2","",M45)))))</f>
        <v/>
      </c>
      <c r="N46" s="505" t="str">
        <f t="shared" ref="N46:N77" si="62">IF($C46="ON","",IF($C46="N3",$D46,IF(N45="N3","",N45)))</f>
        <v/>
      </c>
      <c r="O46" s="505" t="str">
        <f t="shared" ref="O46:O77" si="63">IF($C46="ON","",IF($C46="STAT",$D46,IF(O45="STAT","",O45)))</f>
        <v/>
      </c>
      <c r="P46" s="505" t="str">
        <f t="shared" ref="P46:P77" si="64">IF($C46="ON","",IF(AND($C46="MAC",105&lt;=$D46,$D46&lt;=110),"",IF(AND($C46="MAC",103&lt;=$D46,$D46&lt;=104),"disabled",IF(P45="N2 disabled","",P45))))</f>
        <v/>
      </c>
      <c r="Q46" s="505" t="str">
        <f t="shared" ref="Q46:Q77" si="65">IF(F46="ON","",IF($F46="MAC+105",300,IF($F46="MAC+106",600,IF($F46="MAC+107",840,IF($F46="MAC+108",1200,IF($F46="MAC+109",1800,IF($F46="MAC+110",43200,IF(LEFT(Q45,4)="105-","",Q45))))))))</f>
        <v/>
      </c>
      <c r="R46" s="505" t="str">
        <f t="shared" ref="R46:R77" si="66">IF($C46="ON","",IF($F46="MAC+102","102",IF(RIGHT(R45,1)="?","",R45)))</f>
        <v/>
      </c>
      <c r="T46" s="508">
        <f t="shared" ref="T46:T77" si="67">IF($M46="",0,T$1/64/$M46)</f>
        <v>0</v>
      </c>
      <c r="U46" s="508">
        <f t="shared" ref="U46:U77" si="68">IF($M46="",0,U$1/64/$M46)</f>
        <v>0</v>
      </c>
      <c r="V46" s="508">
        <f t="shared" ref="V46:V77" si="69">IF($O46="",0,V$1/$O46)</f>
        <v>0</v>
      </c>
      <c r="W46" s="508">
        <f t="shared" ref="W46:W77" si="70">IF($L46="",0,W$1/$L46)</f>
        <v>0</v>
      </c>
      <c r="X46" s="508">
        <f t="shared" ref="X46:X77" si="71">IF(OR($M46="",$P46&lt;&gt;""),0,X$1/$M46)</f>
        <v>0</v>
      </c>
      <c r="Y46" s="508">
        <f t="shared" ref="Y46:Y77" si="72">IF($M46="",0,IF($Q46="",1,Q46/43200)*X46)</f>
        <v>0</v>
      </c>
      <c r="Z46" s="508">
        <f t="shared" ref="Z46:Z77" si="73">IF($N46="",0,Z$1/$N46)</f>
        <v>0</v>
      </c>
      <c r="AB46" s="508">
        <f t="shared" ref="AB46:AB77" si="74">IF(AB$3&lt;&gt;"",$V46,0)+IF(AB$4&lt;&gt;"",$T46,0)+IF(AB$5&lt;&gt;"",$Y46+IF($R46&lt;&gt;"102",$U46,0),0)+IF(AB$6&lt;&gt;"",$Z46+IF($R46="102",$U46,0),0)+IF(AB$7&lt;&gt;"",$W46,0)</f>
        <v>0</v>
      </c>
      <c r="AC46" s="508">
        <f t="shared" ref="AC46:AC77" si="75">IF(AC$3&lt;&gt;"",$V46,0)+IF(AC$4&lt;&gt;"",$T46,0)+IF(AC$5&lt;&gt;"",$Y46+IF($R46&lt;&gt;"102",$U46,0),0)+IF(AC$6&lt;&gt;"",$Z46+IF($R46="102",$U46,0),0)+IF(AC$7&lt;&gt;"",$W46,0)</f>
        <v>0</v>
      </c>
      <c r="AD46" s="508">
        <f t="shared" ref="AD46:AD77" si="76">IF(AD$3&lt;&gt;"",$V46,0)+IF(AD$4&lt;&gt;"",$T46,0)+IF(AD$5&lt;&gt;"",$Y46+IF($R46&lt;&gt;"102",$U46,0),0)+IF(AD$6&lt;&gt;"",$Z46+IF($R46="102",$U46,0),0)+IF(AD$7&lt;&gt;"",$W46,0)</f>
        <v>0</v>
      </c>
      <c r="AE46" s="508">
        <f t="shared" ref="AE46:AE77" si="77">IF(AE$3&lt;&gt;"",$V46,0)+IF(AE$4&lt;&gt;"",$T46,0)+IF(AE$5&lt;&gt;"",$Y46+IF($R46&lt;&gt;"102",$U46,0),0)+IF(AE$6&lt;&gt;"",$Z46+IF($R46="102",$U46,0),0)+IF(AE$7&lt;&gt;"",$W46,0)</f>
        <v>0</v>
      </c>
      <c r="AF46" s="508">
        <f t="shared" ref="AF46:AF77" si="78">IF(AF$3&lt;&gt;"",$V46,0)+IF(AF$4&lt;&gt;"",$T46,0)+IF(AF$5&lt;&gt;"",$Y46+IF($R46&lt;&gt;"102",$U46,0),0)+IF(AF$6&lt;&gt;"",$Z46+IF($R46="102",$U46,0),0)+IF(AF$7&lt;&gt;"",$W46,0)</f>
        <v>0</v>
      </c>
      <c r="AG46" s="508">
        <f t="shared" ref="AG46:AG77" si="79">IF(AG$3&lt;&gt;"",$V46,0)+IF(AG$4&lt;&gt;"",$T46,0)+IF(AG$5&lt;&gt;"",$Y46+IF($R46&lt;&gt;"102",$U46,0),0)+IF(AG$6&lt;&gt;"",$Z46+IF($R46="102",$U46,0),0)+IF(AG$7&lt;&gt;"",$W46,0)</f>
        <v>0</v>
      </c>
      <c r="AH46" s="508">
        <f t="shared" ref="AH46:AH77" si="80">IF(AH$3&lt;&gt;"",$V46,0)+IF(AH$4&lt;&gt;"",$T46,0)+IF(AH$5&lt;&gt;"",$Y46+IF($R46&lt;&gt;"102",$U46,0),0)+IF(AH$6&lt;&gt;"",$Z46+IF($R46="102",$U46,0),0)+IF(AH$7&lt;&gt;"",$W46,0)</f>
        <v>0</v>
      </c>
      <c r="AI46" s="508">
        <f t="shared" ref="AI46:AI77" si="81">IF(AI$3&lt;&gt;"",$V46,0)+IF(AI$4&lt;&gt;"",$T46,0)+IF(AI$5&lt;&gt;"",$Y46+IF($R46&lt;&gt;"102",$U46,0),0)+IF(AI$6&lt;&gt;"",$Z46+IF($R46="102",$U46,0),0)+IF(AI$7&lt;&gt;"",$W46,0)</f>
        <v>0</v>
      </c>
      <c r="AJ46" s="508">
        <f t="shared" ref="AJ46:AJ77" si="82">IF(AJ$3&lt;&gt;"",$V46,0)+IF(AJ$4&lt;&gt;"",$T46,0)+IF(AJ$5&lt;&gt;"",$Y46+IF($R46&lt;&gt;"102",$U46,0),0)+IF(AJ$6&lt;&gt;"",$Z46+IF($R46="102",$U46,0),0)+IF(AJ$7&lt;&gt;"",$W46,0)</f>
        <v>0</v>
      </c>
      <c r="AK46" s="508">
        <f t="shared" ref="AK46:AK77" si="83">IF(AK$3&lt;&gt;"",$V46,0)+IF(AK$4&lt;&gt;"",$T46,0)+IF(AK$5&lt;&gt;"",$Y46+IF($R46&lt;&gt;"102",$U46,0),0)+IF(AK$6&lt;&gt;"",$Z46+IF($R46="102",$U46,0),0)+IF(AK$7&lt;&gt;"",$W46,0)</f>
        <v>0</v>
      </c>
      <c r="AL46" s="508">
        <f t="shared" ref="AL46:AL77" si="84">IF(AL$3&lt;&gt;"",$V46,0)+IF(AL$4&lt;&gt;"",$T46,0)+IF(AL$5&lt;&gt;"",$Y46+IF($R46&lt;&gt;"102",$U46,0),0)+IF(AL$6&lt;&gt;"",$Z46+IF($R46="102",$U46,0),0)+IF(AL$7&lt;&gt;"",$W46,0)</f>
        <v>0</v>
      </c>
      <c r="AM46" s="508">
        <f t="shared" ref="AM46:AM77" si="85">IF(AM$3&lt;&gt;"",$V46,0)+IF(AM$4&lt;&gt;"",$T46,0)+IF(AM$5&lt;&gt;"",$Y46+IF($R46&lt;&gt;"102",$U46,0),0)+IF(AM$6&lt;&gt;"",$Z46+IF($R46="102",$U46,0),0)+IF(AM$7&lt;&gt;"",$W46,0)</f>
        <v>0</v>
      </c>
      <c r="AN46" s="508">
        <f t="shared" ref="AN46:AN77" si="86">IF(AN$3&lt;&gt;"",$V46,0)+IF(AN$4&lt;&gt;"",$T46,0)+IF(AN$5&lt;&gt;"",$Y46+IF($R46&lt;&gt;"102",$U46,0),0)+IF(AN$6&lt;&gt;"",$Z46+IF($R46="102",$U46,0),0)+IF(AN$7&lt;&gt;"",$W46,0)</f>
        <v>0</v>
      </c>
      <c r="AO46" s="508">
        <f t="shared" ref="AO46:AO77" si="87">IF(AO$3&lt;&gt;"",$V46,0)+IF(AO$4&lt;&gt;"",$T46,0)+IF(AO$5&lt;&gt;"",$Y46+IF($R46&lt;&gt;"102",$U46,0),0)+IF(AO$6&lt;&gt;"",$Z46+IF($R46="102",$U46,0),0)+IF(AO$7&lt;&gt;"",$W46,0)</f>
        <v>0</v>
      </c>
      <c r="AP46" s="508">
        <f t="shared" ref="AP46:AP77" si="88">IF(AP$3&lt;&gt;"",$V46,0)+IF(AP$4&lt;&gt;"",$T46,0)+IF(AP$5&lt;&gt;"",$Y46+IF($R46&lt;&gt;"102",$U46,0),0)+IF(AP$6&lt;&gt;"",$Z46+IF($R46="102",$U46,0),0)+IF(AP$7&lt;&gt;"",$W46,0)</f>
        <v>0</v>
      </c>
      <c r="AQ46" s="508">
        <f t="shared" ref="AQ46:AQ77" si="89">IF(AQ$3&lt;&gt;"",$V46,0)+IF(AQ$4&lt;&gt;"",$T46,0)+IF(AQ$5&lt;&gt;"",$Y46+IF($R46&lt;&gt;"102",$U46,0),0)+IF(AQ$6&lt;&gt;"",$Z46+IF($R46="102",$U46,0),0)+IF(AQ$7&lt;&gt;"",$W46,0)</f>
        <v>0</v>
      </c>
      <c r="AR46" s="508">
        <f t="shared" ref="AR46:AR77" si="90">IF(AR$3&lt;&gt;"",$V46,0)+IF(AR$4&lt;&gt;"",$T46,0)+IF(AR$5&lt;&gt;"",$Y46+IF($R46&lt;&gt;"102",$U46,0),0)+IF(AR$6&lt;&gt;"",$Z46+IF($R46="102",$U46,0),0)+IF(AR$7&lt;&gt;"",$W46,0)</f>
        <v>0</v>
      </c>
      <c r="AS46" s="508">
        <f t="shared" ref="AS46:AS77" si="91">IF(AS$3&lt;&gt;"",$V46,0)+IF(AS$4&lt;&gt;"",$T46,0)+IF(AS$5&lt;&gt;"",$Y46+IF($R46&lt;&gt;"102",$U46,0),0)+IF(AS$6&lt;&gt;"",$Z46+IF($R46="102",$U46,0),0)+IF(AS$7&lt;&gt;"",$W46,0)</f>
        <v>0</v>
      </c>
      <c r="AT46" s="508">
        <f t="shared" ref="AT46:AT77" si="92">IF(AT$3&lt;&gt;"",$V46,0)+IF(AT$4&lt;&gt;"",$T46,0)+IF(AT$5&lt;&gt;"",$Y46+IF($R46&lt;&gt;"102",$U46,0),0)+IF(AT$6&lt;&gt;"",$Z46+IF($R46="102",$U46,0),0)+IF(AT$7&lt;&gt;"",$W46,0)</f>
        <v>0</v>
      </c>
      <c r="AU46" s="508">
        <f t="shared" ref="AU46:AU77" si="93">IF(AU$3&lt;&gt;"",$V46,0)+IF(AU$4&lt;&gt;"",$T46,0)+IF(AU$5&lt;&gt;"",$Y46+IF($R46&lt;&gt;"102",$U46,0),0)+IF(AU$6&lt;&gt;"",$Z46+IF($R46="102",$U46,0),0)+IF(AU$7&lt;&gt;"",$W46,0)</f>
        <v>0</v>
      </c>
      <c r="AV46" s="508">
        <f t="shared" ref="AV46:AV77" si="94">IF(AV$3&lt;&gt;"",$V46,0)+IF(AV$4&lt;&gt;"",$T46,0)+IF(AV$5&lt;&gt;"",$Y46+IF($R46&lt;&gt;"102",$U46,0),0)+IF(AV$6&lt;&gt;"",$Z46+IF($R46="102",$U46,0),0)+IF(AV$7&lt;&gt;"",$W46,0)</f>
        <v>0</v>
      </c>
      <c r="AW46" s="508">
        <f t="shared" ref="AW46:AW77" si="95">IF(AW$3&lt;&gt;"",$V46,0)+IF(AW$4&lt;&gt;"",$T46,0)+IF(AW$5&lt;&gt;"",$Y46+IF($R46&lt;&gt;"102",$U46,0),0)+IF(AW$6&lt;&gt;"",$Z46+IF($R46="102",$U46,0),0)+IF(AW$7&lt;&gt;"",$W46,0)</f>
        <v>0</v>
      </c>
      <c r="AX46" s="508">
        <f t="shared" ref="AX46:AX77" si="96">IF(AX$3&lt;&gt;"",$V46,0)+IF(AX$4&lt;&gt;"",$T46,0)+IF(AX$5&lt;&gt;"",$Y46+IF($R46&lt;&gt;"102",$U46,0),0)+IF(AX$6&lt;&gt;"",$Z46+IF($R46="102",$U46,0),0)+IF(AX$7&lt;&gt;"",$W46,0)</f>
        <v>0</v>
      </c>
      <c r="AY46" s="508">
        <f t="shared" ref="AY46:AY77" si="97">IF(AY$3&lt;&gt;"",$V46,0)+IF(AY$4&lt;&gt;"",$T46,0)+IF(AY$5&lt;&gt;"",$Y46+IF($R46&lt;&gt;"102",$U46,0),0)+IF(AY$6&lt;&gt;"",$Z46+IF($R46="102",$U46,0),0)+IF(AY$7&lt;&gt;"",$W46,0)</f>
        <v>0</v>
      </c>
      <c r="AZ46" s="508">
        <f t="shared" ref="AZ46:AZ77" si="98">IF(AZ$3&lt;&gt;"",$V46,0)+IF(AZ$4&lt;&gt;"",$T46,0)+IF(AZ$5&lt;&gt;"",$Y46+IF($R46&lt;&gt;"102",$U46,0),0)+IF(AZ$6&lt;&gt;"",$Z46+IF($R46="102",$U46,0),0)+IF(AZ$7&lt;&gt;"",$W46,0)</f>
        <v>0</v>
      </c>
      <c r="BA46" s="508">
        <f t="shared" ref="BA46:BA77" si="99">IF(BA$3&lt;&gt;"",$V46,0)+IF(BA$4&lt;&gt;"",$T46,0)+IF(BA$5&lt;&gt;"",$Y46+IF($R46&lt;&gt;"102",$U46,0),0)+IF(BA$6&lt;&gt;"",$Z46+IF($R46="102",$U46,0),0)+IF(BA$7&lt;&gt;"",$W46,0)</f>
        <v>0</v>
      </c>
      <c r="BB46" s="508">
        <f t="shared" ref="BB46:BB77" si="100">IF(BB$3&lt;&gt;"",$V46,0)+IF(BB$4&lt;&gt;"",$T46,0)+IF(BB$5&lt;&gt;"",$Y46+IF($R46&lt;&gt;"102",$U46,0),0)+IF(BB$6&lt;&gt;"",$Z46+IF($R46="102",$U46,0),0)+IF(BB$7&lt;&gt;"",$W46,0)</f>
        <v>0</v>
      </c>
      <c r="BC46" s="508">
        <f t="shared" ref="BC46:BC77" si="101">IF(BC$3&lt;&gt;"",$V46,0)+IF(BC$4&lt;&gt;"",$T46,0)+IF(BC$5&lt;&gt;"",$Y46+IF($R46&lt;&gt;"102",$U46,0),0)+IF(BC$6&lt;&gt;"",$Z46+IF($R46="102",$U46,0),0)+IF(BC$7&lt;&gt;"",$W46,0)</f>
        <v>0</v>
      </c>
      <c r="BD46" s="508">
        <f t="shared" ref="BD46:BD77" si="102">IF(BD$3&lt;&gt;"",$V46,0)+IF(BD$4&lt;&gt;"",$T46,0)+IF(BD$5&lt;&gt;"",$Y46+IF($R46&lt;&gt;"102",$U46,0),0)+IF(BD$6&lt;&gt;"",$Z46+IF($R46="102",$U46,0),0)+IF(BD$7&lt;&gt;"",$W46,0)</f>
        <v>0</v>
      </c>
      <c r="BE46" s="508">
        <f t="shared" ref="BE46:BE77" si="103">IF(BE$3&lt;&gt;"",$V46,0)+IF(BE$4&lt;&gt;"",$T46,0)+IF(BE$5&lt;&gt;"",$Y46+IF($R46&lt;&gt;"102",$U46,0),0)+IF(BE$6&lt;&gt;"",$Z46+IF($R46="102",$U46,0),0)+IF(BE$7&lt;&gt;"",$W46,0)</f>
        <v>0</v>
      </c>
      <c r="BF46" s="508">
        <f t="shared" ref="BF46:BF77" si="104">IF(BF$3&lt;&gt;"",$V46,0)+IF(BF$4&lt;&gt;"",$T46,0)+IF(BF$5&lt;&gt;"",$Y46+IF($R46&lt;&gt;"102",$U46,0),0)+IF(BF$6&lt;&gt;"",$Z46+IF($R46="102",$U46,0),0)+IF(BF$7&lt;&gt;"",$W46,0)</f>
        <v>0</v>
      </c>
    </row>
    <row r="47" spans="1:58">
      <c r="A47" s="505" t="s">
        <v>8453</v>
      </c>
      <c r="B47" s="505">
        <v>557794361</v>
      </c>
      <c r="C47" s="505" t="s">
        <v>776</v>
      </c>
      <c r="D47" s="505">
        <v>10</v>
      </c>
      <c r="F47" s="509" t="str">
        <f t="shared" si="55"/>
        <v>N2+10</v>
      </c>
      <c r="G47" s="510">
        <f t="shared" si="56"/>
        <v>557794316</v>
      </c>
      <c r="H47" s="510">
        <f t="shared" si="57"/>
        <v>558078186</v>
      </c>
      <c r="I47" s="509">
        <f t="shared" si="58"/>
        <v>2</v>
      </c>
      <c r="J47" s="509">
        <f t="shared" si="59"/>
        <v>12</v>
      </c>
      <c r="L47" s="505" t="str">
        <f t="shared" si="60"/>
        <v/>
      </c>
      <c r="M47" s="505">
        <f t="shared" si="61"/>
        <v>10</v>
      </c>
      <c r="N47" s="505" t="str">
        <f t="shared" si="62"/>
        <v/>
      </c>
      <c r="O47" s="505" t="str">
        <f t="shared" si="63"/>
        <v/>
      </c>
      <c r="P47" s="505" t="str">
        <f t="shared" si="64"/>
        <v/>
      </c>
      <c r="Q47" s="505" t="str">
        <f t="shared" si="65"/>
        <v/>
      </c>
      <c r="R47" s="505" t="str">
        <f t="shared" si="66"/>
        <v/>
      </c>
      <c r="T47" s="508">
        <f t="shared" si="67"/>
        <v>0.82187500000000002</v>
      </c>
      <c r="U47" s="508">
        <f t="shared" si="68"/>
        <v>3.2609374999999998</v>
      </c>
      <c r="V47" s="508">
        <f t="shared" si="69"/>
        <v>0</v>
      </c>
      <c r="W47" s="508">
        <f t="shared" si="70"/>
        <v>0</v>
      </c>
      <c r="X47" s="508">
        <f t="shared" si="71"/>
        <v>126.6</v>
      </c>
      <c r="Y47" s="508">
        <f t="shared" si="72"/>
        <v>126.6</v>
      </c>
      <c r="Z47" s="508">
        <f t="shared" si="73"/>
        <v>0</v>
      </c>
      <c r="AB47" s="508">
        <f t="shared" si="74"/>
        <v>0</v>
      </c>
      <c r="AC47" s="508">
        <f t="shared" si="75"/>
        <v>0</v>
      </c>
      <c r="AD47" s="508">
        <f t="shared" si="76"/>
        <v>0</v>
      </c>
      <c r="AE47" s="508">
        <f t="shared" si="77"/>
        <v>129.86093750000001</v>
      </c>
      <c r="AF47" s="508">
        <f t="shared" si="78"/>
        <v>129.86093750000001</v>
      </c>
      <c r="AG47" s="508">
        <f t="shared" si="79"/>
        <v>129.86093750000001</v>
      </c>
      <c r="AH47" s="508">
        <f t="shared" si="80"/>
        <v>129.86093750000001</v>
      </c>
      <c r="AI47" s="508">
        <f t="shared" si="81"/>
        <v>0.82187500000000002</v>
      </c>
      <c r="AJ47" s="508">
        <f t="shared" si="82"/>
        <v>0.82187500000000002</v>
      </c>
      <c r="AK47" s="508">
        <f t="shared" si="83"/>
        <v>0.82187500000000002</v>
      </c>
      <c r="AL47" s="508">
        <f t="shared" si="84"/>
        <v>0.82187500000000002</v>
      </c>
      <c r="AM47" s="508">
        <f t="shared" si="85"/>
        <v>130.68281250000001</v>
      </c>
      <c r="AN47" s="508">
        <f t="shared" si="86"/>
        <v>130.68281250000001</v>
      </c>
      <c r="AO47" s="508">
        <f t="shared" si="87"/>
        <v>130.68281250000001</v>
      </c>
      <c r="AP47" s="508">
        <f t="shared" si="88"/>
        <v>130.68281250000001</v>
      </c>
      <c r="AQ47" s="508">
        <f t="shared" si="89"/>
        <v>0</v>
      </c>
      <c r="AR47" s="508">
        <f t="shared" si="90"/>
        <v>0</v>
      </c>
      <c r="AS47" s="508">
        <f t="shared" si="91"/>
        <v>0</v>
      </c>
      <c r="AT47" s="508">
        <f t="shared" si="92"/>
        <v>0</v>
      </c>
      <c r="AU47" s="508">
        <f t="shared" si="93"/>
        <v>129.86093750000001</v>
      </c>
      <c r="AV47" s="508">
        <f t="shared" si="94"/>
        <v>129.86093750000001</v>
      </c>
      <c r="AW47" s="508">
        <f t="shared" si="95"/>
        <v>129.86093750000001</v>
      </c>
      <c r="AX47" s="508">
        <f t="shared" si="96"/>
        <v>129.86093750000001</v>
      </c>
      <c r="AY47" s="508">
        <f t="shared" si="97"/>
        <v>0.82187500000000002</v>
      </c>
      <c r="AZ47" s="508">
        <f t="shared" si="98"/>
        <v>0.82187500000000002</v>
      </c>
      <c r="BA47" s="508">
        <f t="shared" si="99"/>
        <v>0.82187500000000002</v>
      </c>
      <c r="BB47" s="508">
        <f t="shared" si="100"/>
        <v>0.82187500000000002</v>
      </c>
      <c r="BC47" s="508">
        <f t="shared" si="101"/>
        <v>130.68281250000001</v>
      </c>
      <c r="BD47" s="508">
        <f t="shared" si="102"/>
        <v>130.68281250000001</v>
      </c>
      <c r="BE47" s="508">
        <f t="shared" si="103"/>
        <v>130.68281250000001</v>
      </c>
      <c r="BF47" s="508">
        <f t="shared" si="104"/>
        <v>130.68281250000001</v>
      </c>
    </row>
    <row r="48" spans="1:58">
      <c r="A48" s="505" t="s">
        <v>8453</v>
      </c>
      <c r="B48" s="505">
        <v>557794362</v>
      </c>
      <c r="C48" s="505" t="s">
        <v>773</v>
      </c>
      <c r="D48" s="505">
        <v>300</v>
      </c>
      <c r="F48" s="509" t="str">
        <f t="shared" si="55"/>
        <v>N3+300</v>
      </c>
      <c r="G48" s="510">
        <f t="shared" si="56"/>
        <v>557794316</v>
      </c>
      <c r="H48" s="510">
        <f t="shared" si="57"/>
        <v>558078186</v>
      </c>
      <c r="I48" s="509">
        <f t="shared" si="58"/>
        <v>3</v>
      </c>
      <c r="J48" s="509">
        <f t="shared" si="59"/>
        <v>11</v>
      </c>
      <c r="L48" s="505" t="str">
        <f t="shared" si="60"/>
        <v/>
      </c>
      <c r="M48" s="505">
        <f t="shared" si="61"/>
        <v>10</v>
      </c>
      <c r="N48" s="505">
        <f t="shared" si="62"/>
        <v>300</v>
      </c>
      <c r="O48" s="505" t="str">
        <f t="shared" si="63"/>
        <v/>
      </c>
      <c r="P48" s="505" t="str">
        <f t="shared" si="64"/>
        <v/>
      </c>
      <c r="Q48" s="505" t="str">
        <f t="shared" si="65"/>
        <v/>
      </c>
      <c r="R48" s="505" t="str">
        <f t="shared" si="66"/>
        <v/>
      </c>
      <c r="T48" s="508">
        <f t="shared" si="67"/>
        <v>0.82187500000000002</v>
      </c>
      <c r="U48" s="508">
        <f t="shared" si="68"/>
        <v>3.2609374999999998</v>
      </c>
      <c r="V48" s="508">
        <f t="shared" si="69"/>
        <v>0</v>
      </c>
      <c r="W48" s="508">
        <f t="shared" si="70"/>
        <v>0</v>
      </c>
      <c r="X48" s="508">
        <f t="shared" si="71"/>
        <v>126.6</v>
      </c>
      <c r="Y48" s="508">
        <f t="shared" si="72"/>
        <v>126.6</v>
      </c>
      <c r="Z48" s="508">
        <f t="shared" si="73"/>
        <v>60.586666666666666</v>
      </c>
      <c r="AB48" s="508">
        <f t="shared" si="74"/>
        <v>0</v>
      </c>
      <c r="AC48" s="508">
        <f t="shared" si="75"/>
        <v>60.586666666666666</v>
      </c>
      <c r="AD48" s="508">
        <f t="shared" si="76"/>
        <v>60.586666666666666</v>
      </c>
      <c r="AE48" s="508">
        <f t="shared" si="77"/>
        <v>129.86093750000001</v>
      </c>
      <c r="AF48" s="508">
        <f t="shared" si="78"/>
        <v>129.86093750000001</v>
      </c>
      <c r="AG48" s="508">
        <f t="shared" si="79"/>
        <v>190.44760416666668</v>
      </c>
      <c r="AH48" s="508">
        <f t="shared" si="80"/>
        <v>190.44760416666668</v>
      </c>
      <c r="AI48" s="508">
        <f t="shared" si="81"/>
        <v>0.82187500000000002</v>
      </c>
      <c r="AJ48" s="508">
        <f t="shared" si="82"/>
        <v>0.82187500000000002</v>
      </c>
      <c r="AK48" s="508">
        <f t="shared" si="83"/>
        <v>61.408541666666665</v>
      </c>
      <c r="AL48" s="508">
        <f t="shared" si="84"/>
        <v>61.408541666666665</v>
      </c>
      <c r="AM48" s="508">
        <f t="shared" si="85"/>
        <v>130.68281250000001</v>
      </c>
      <c r="AN48" s="508">
        <f t="shared" si="86"/>
        <v>130.68281250000001</v>
      </c>
      <c r="AO48" s="508">
        <f t="shared" si="87"/>
        <v>191.26947916666668</v>
      </c>
      <c r="AP48" s="508">
        <f t="shared" si="88"/>
        <v>191.26947916666668</v>
      </c>
      <c r="AQ48" s="508">
        <f t="shared" si="89"/>
        <v>0</v>
      </c>
      <c r="AR48" s="508">
        <f t="shared" si="90"/>
        <v>0</v>
      </c>
      <c r="AS48" s="508">
        <f t="shared" si="91"/>
        <v>60.586666666666666</v>
      </c>
      <c r="AT48" s="508">
        <f t="shared" si="92"/>
        <v>60.586666666666666</v>
      </c>
      <c r="AU48" s="508">
        <f t="shared" si="93"/>
        <v>129.86093750000001</v>
      </c>
      <c r="AV48" s="508">
        <f t="shared" si="94"/>
        <v>129.86093750000001</v>
      </c>
      <c r="AW48" s="508">
        <f t="shared" si="95"/>
        <v>190.44760416666668</v>
      </c>
      <c r="AX48" s="508">
        <f t="shared" si="96"/>
        <v>190.44760416666668</v>
      </c>
      <c r="AY48" s="508">
        <f t="shared" si="97"/>
        <v>0.82187500000000002</v>
      </c>
      <c r="AZ48" s="508">
        <f t="shared" si="98"/>
        <v>0.82187500000000002</v>
      </c>
      <c r="BA48" s="508">
        <f t="shared" si="99"/>
        <v>61.408541666666665</v>
      </c>
      <c r="BB48" s="508">
        <f t="shared" si="100"/>
        <v>61.408541666666665</v>
      </c>
      <c r="BC48" s="508">
        <f t="shared" si="101"/>
        <v>130.68281250000001</v>
      </c>
      <c r="BD48" s="508">
        <f t="shared" si="102"/>
        <v>130.68281250000001</v>
      </c>
      <c r="BE48" s="508">
        <f t="shared" si="103"/>
        <v>191.26947916666668</v>
      </c>
      <c r="BF48" s="508">
        <f t="shared" si="104"/>
        <v>191.26947916666668</v>
      </c>
    </row>
    <row r="49" spans="1:58">
      <c r="A49" s="505" t="s">
        <v>8453</v>
      </c>
      <c r="B49" s="505">
        <v>557794363</v>
      </c>
      <c r="C49" s="505" t="s">
        <v>12</v>
      </c>
      <c r="D49" s="505">
        <v>10</v>
      </c>
      <c r="F49" s="509" t="str">
        <f t="shared" si="55"/>
        <v>N1+10</v>
      </c>
      <c r="G49" s="510">
        <f t="shared" si="56"/>
        <v>557794316</v>
      </c>
      <c r="H49" s="510">
        <f t="shared" si="57"/>
        <v>558078186</v>
      </c>
      <c r="I49" s="509">
        <f t="shared" si="58"/>
        <v>4</v>
      </c>
      <c r="J49" s="509">
        <f t="shared" si="59"/>
        <v>10</v>
      </c>
      <c r="L49" s="505">
        <f t="shared" si="60"/>
        <v>10</v>
      </c>
      <c r="M49" s="505">
        <f t="shared" si="61"/>
        <v>10</v>
      </c>
      <c r="N49" s="505">
        <f t="shared" si="62"/>
        <v>300</v>
      </c>
      <c r="O49" s="505" t="str">
        <f t="shared" si="63"/>
        <v/>
      </c>
      <c r="P49" s="505" t="str">
        <f t="shared" si="64"/>
        <v/>
      </c>
      <c r="Q49" s="505" t="str">
        <f t="shared" si="65"/>
        <v/>
      </c>
      <c r="R49" s="505" t="str">
        <f t="shared" si="66"/>
        <v/>
      </c>
      <c r="T49" s="508">
        <f t="shared" si="67"/>
        <v>0.82187500000000002</v>
      </c>
      <c r="U49" s="508">
        <f t="shared" si="68"/>
        <v>3.2609374999999998</v>
      </c>
      <c r="V49" s="508">
        <f t="shared" si="69"/>
        <v>0</v>
      </c>
      <c r="W49" s="508">
        <f t="shared" si="70"/>
        <v>198.8</v>
      </c>
      <c r="X49" s="508">
        <f t="shared" si="71"/>
        <v>126.6</v>
      </c>
      <c r="Y49" s="508">
        <f t="shared" si="72"/>
        <v>126.6</v>
      </c>
      <c r="Z49" s="508">
        <f t="shared" si="73"/>
        <v>60.586666666666666</v>
      </c>
      <c r="AB49" s="508">
        <f t="shared" si="74"/>
        <v>198.8</v>
      </c>
      <c r="AC49" s="508">
        <f t="shared" si="75"/>
        <v>60.586666666666666</v>
      </c>
      <c r="AD49" s="508">
        <f t="shared" si="76"/>
        <v>259.38666666666666</v>
      </c>
      <c r="AE49" s="508">
        <f t="shared" si="77"/>
        <v>129.86093750000001</v>
      </c>
      <c r="AF49" s="508">
        <f t="shared" si="78"/>
        <v>328.66093750000005</v>
      </c>
      <c r="AG49" s="508">
        <f t="shared" si="79"/>
        <v>190.44760416666668</v>
      </c>
      <c r="AH49" s="508">
        <f t="shared" si="80"/>
        <v>389.24760416666669</v>
      </c>
      <c r="AI49" s="508">
        <f t="shared" si="81"/>
        <v>0.82187500000000002</v>
      </c>
      <c r="AJ49" s="508">
        <f t="shared" si="82"/>
        <v>199.62187500000002</v>
      </c>
      <c r="AK49" s="508">
        <f t="shared" si="83"/>
        <v>61.408541666666665</v>
      </c>
      <c r="AL49" s="508">
        <f t="shared" si="84"/>
        <v>260.20854166666669</v>
      </c>
      <c r="AM49" s="508">
        <f t="shared" si="85"/>
        <v>130.68281250000001</v>
      </c>
      <c r="AN49" s="508">
        <f t="shared" si="86"/>
        <v>329.48281250000002</v>
      </c>
      <c r="AO49" s="508">
        <f t="shared" si="87"/>
        <v>191.26947916666668</v>
      </c>
      <c r="AP49" s="508">
        <f t="shared" si="88"/>
        <v>390.06947916666672</v>
      </c>
      <c r="AQ49" s="508">
        <f t="shared" si="89"/>
        <v>0</v>
      </c>
      <c r="AR49" s="508">
        <f t="shared" si="90"/>
        <v>198.8</v>
      </c>
      <c r="AS49" s="508">
        <f t="shared" si="91"/>
        <v>60.586666666666666</v>
      </c>
      <c r="AT49" s="508">
        <f t="shared" si="92"/>
        <v>259.38666666666666</v>
      </c>
      <c r="AU49" s="508">
        <f t="shared" si="93"/>
        <v>129.86093750000001</v>
      </c>
      <c r="AV49" s="508">
        <f t="shared" si="94"/>
        <v>328.66093750000005</v>
      </c>
      <c r="AW49" s="508">
        <f t="shared" si="95"/>
        <v>190.44760416666668</v>
      </c>
      <c r="AX49" s="508">
        <f t="shared" si="96"/>
        <v>389.24760416666669</v>
      </c>
      <c r="AY49" s="508">
        <f t="shared" si="97"/>
        <v>0.82187500000000002</v>
      </c>
      <c r="AZ49" s="508">
        <f t="shared" si="98"/>
        <v>199.62187500000002</v>
      </c>
      <c r="BA49" s="508">
        <f t="shared" si="99"/>
        <v>61.408541666666665</v>
      </c>
      <c r="BB49" s="508">
        <f t="shared" si="100"/>
        <v>260.20854166666669</v>
      </c>
      <c r="BC49" s="508">
        <f t="shared" si="101"/>
        <v>130.68281250000001</v>
      </c>
      <c r="BD49" s="508">
        <f t="shared" si="102"/>
        <v>329.48281250000002</v>
      </c>
      <c r="BE49" s="508">
        <f t="shared" si="103"/>
        <v>191.26947916666668</v>
      </c>
      <c r="BF49" s="508">
        <f t="shared" si="104"/>
        <v>390.06947916666672</v>
      </c>
    </row>
    <row r="50" spans="1:58">
      <c r="A50" s="505" t="s">
        <v>8455</v>
      </c>
      <c r="B50" s="505">
        <v>557794364</v>
      </c>
      <c r="C50" s="505" t="s">
        <v>8411</v>
      </c>
      <c r="D50" s="505">
        <v>1</v>
      </c>
      <c r="F50" s="509" t="str">
        <f t="shared" si="55"/>
        <v>STAT+1</v>
      </c>
      <c r="G50" s="510">
        <f t="shared" si="56"/>
        <v>557794316</v>
      </c>
      <c r="H50" s="510">
        <f t="shared" si="57"/>
        <v>558078186</v>
      </c>
      <c r="I50" s="509">
        <f t="shared" si="58"/>
        <v>5</v>
      </c>
      <c r="J50" s="509">
        <f t="shared" si="59"/>
        <v>9</v>
      </c>
      <c r="L50" s="505">
        <f t="shared" si="60"/>
        <v>10</v>
      </c>
      <c r="M50" s="505">
        <f t="shared" si="61"/>
        <v>10</v>
      </c>
      <c r="N50" s="505">
        <f t="shared" si="62"/>
        <v>300</v>
      </c>
      <c r="O50" s="505">
        <f t="shared" si="63"/>
        <v>1</v>
      </c>
      <c r="P50" s="505" t="str">
        <f t="shared" si="64"/>
        <v/>
      </c>
      <c r="Q50" s="505" t="str">
        <f t="shared" si="65"/>
        <v/>
      </c>
      <c r="R50" s="505" t="str">
        <f t="shared" si="66"/>
        <v/>
      </c>
      <c r="T50" s="508">
        <f t="shared" si="67"/>
        <v>0.82187500000000002</v>
      </c>
      <c r="U50" s="508">
        <f t="shared" si="68"/>
        <v>3.2609374999999998</v>
      </c>
      <c r="V50" s="508">
        <f t="shared" si="69"/>
        <v>512</v>
      </c>
      <c r="W50" s="508">
        <f t="shared" si="70"/>
        <v>198.8</v>
      </c>
      <c r="X50" s="508">
        <f t="shared" si="71"/>
        <v>126.6</v>
      </c>
      <c r="Y50" s="508">
        <f t="shared" si="72"/>
        <v>126.6</v>
      </c>
      <c r="Z50" s="508">
        <f t="shared" si="73"/>
        <v>60.586666666666666</v>
      </c>
      <c r="AB50" s="508">
        <f t="shared" si="74"/>
        <v>198.8</v>
      </c>
      <c r="AC50" s="508">
        <f t="shared" si="75"/>
        <v>60.586666666666666</v>
      </c>
      <c r="AD50" s="508">
        <f t="shared" si="76"/>
        <v>259.38666666666666</v>
      </c>
      <c r="AE50" s="508">
        <f t="shared" si="77"/>
        <v>129.86093750000001</v>
      </c>
      <c r="AF50" s="508">
        <f t="shared" si="78"/>
        <v>328.66093750000005</v>
      </c>
      <c r="AG50" s="508">
        <f t="shared" si="79"/>
        <v>190.44760416666668</v>
      </c>
      <c r="AH50" s="508">
        <f t="shared" si="80"/>
        <v>389.24760416666669</v>
      </c>
      <c r="AI50" s="508">
        <f t="shared" si="81"/>
        <v>0.82187500000000002</v>
      </c>
      <c r="AJ50" s="508">
        <f t="shared" si="82"/>
        <v>199.62187500000002</v>
      </c>
      <c r="AK50" s="508">
        <f t="shared" si="83"/>
        <v>61.408541666666665</v>
      </c>
      <c r="AL50" s="508">
        <f t="shared" si="84"/>
        <v>260.20854166666669</v>
      </c>
      <c r="AM50" s="508">
        <f t="shared" si="85"/>
        <v>130.68281250000001</v>
      </c>
      <c r="AN50" s="508">
        <f t="shared" si="86"/>
        <v>329.48281250000002</v>
      </c>
      <c r="AO50" s="508">
        <f t="shared" si="87"/>
        <v>191.26947916666668</v>
      </c>
      <c r="AP50" s="508">
        <f t="shared" si="88"/>
        <v>390.06947916666672</v>
      </c>
      <c r="AQ50" s="508">
        <f t="shared" si="89"/>
        <v>512</v>
      </c>
      <c r="AR50" s="508">
        <f t="shared" si="90"/>
        <v>710.8</v>
      </c>
      <c r="AS50" s="508">
        <f t="shared" si="91"/>
        <v>572.5866666666667</v>
      </c>
      <c r="AT50" s="508">
        <f t="shared" si="92"/>
        <v>771.38666666666677</v>
      </c>
      <c r="AU50" s="508">
        <f t="shared" si="93"/>
        <v>641.86093749999998</v>
      </c>
      <c r="AV50" s="508">
        <f t="shared" si="94"/>
        <v>840.66093750000005</v>
      </c>
      <c r="AW50" s="508">
        <f t="shared" si="95"/>
        <v>702.44760416666668</v>
      </c>
      <c r="AX50" s="508">
        <f t="shared" si="96"/>
        <v>901.24760416666663</v>
      </c>
      <c r="AY50" s="508">
        <f t="shared" si="97"/>
        <v>512.82187499999998</v>
      </c>
      <c r="AZ50" s="508">
        <f t="shared" si="98"/>
        <v>711.62187500000005</v>
      </c>
      <c r="BA50" s="508">
        <f t="shared" si="99"/>
        <v>573.40854166666668</v>
      </c>
      <c r="BB50" s="508">
        <f t="shared" si="100"/>
        <v>772.20854166666663</v>
      </c>
      <c r="BC50" s="508">
        <f t="shared" si="101"/>
        <v>642.68281249999995</v>
      </c>
      <c r="BD50" s="508">
        <f t="shared" si="102"/>
        <v>841.48281249999991</v>
      </c>
      <c r="BE50" s="508">
        <f t="shared" si="103"/>
        <v>703.26947916666666</v>
      </c>
      <c r="BF50" s="508">
        <f t="shared" si="104"/>
        <v>902.06947916666672</v>
      </c>
    </row>
    <row r="51" spans="1:58">
      <c r="A51" s="505" t="s">
        <v>8453</v>
      </c>
      <c r="B51" s="505">
        <v>557795847</v>
      </c>
      <c r="C51" s="505" t="s">
        <v>776</v>
      </c>
      <c r="D51" s="505">
        <v>40</v>
      </c>
      <c r="F51" s="509" t="str">
        <f t="shared" si="55"/>
        <v>N2+40</v>
      </c>
      <c r="G51" s="510">
        <f t="shared" si="56"/>
        <v>557794316</v>
      </c>
      <c r="H51" s="510">
        <f t="shared" si="57"/>
        <v>558078186</v>
      </c>
      <c r="I51" s="509">
        <f t="shared" si="58"/>
        <v>6</v>
      </c>
      <c r="J51" s="509">
        <f t="shared" si="59"/>
        <v>8</v>
      </c>
      <c r="L51" s="505">
        <f t="shared" si="60"/>
        <v>10</v>
      </c>
      <c r="M51" s="505">
        <f t="shared" si="61"/>
        <v>40</v>
      </c>
      <c r="N51" s="505">
        <f t="shared" si="62"/>
        <v>300</v>
      </c>
      <c r="O51" s="505">
        <f t="shared" si="63"/>
        <v>1</v>
      </c>
      <c r="P51" s="505" t="str">
        <f t="shared" si="64"/>
        <v/>
      </c>
      <c r="Q51" s="505" t="str">
        <f t="shared" si="65"/>
        <v/>
      </c>
      <c r="R51" s="505" t="str">
        <f t="shared" si="66"/>
        <v/>
      </c>
      <c r="T51" s="508">
        <f t="shared" si="67"/>
        <v>0.20546875000000001</v>
      </c>
      <c r="U51" s="508">
        <f t="shared" si="68"/>
        <v>0.81523437499999996</v>
      </c>
      <c r="V51" s="508">
        <f t="shared" si="69"/>
        <v>512</v>
      </c>
      <c r="W51" s="508">
        <f t="shared" si="70"/>
        <v>198.8</v>
      </c>
      <c r="X51" s="508">
        <f t="shared" si="71"/>
        <v>31.65</v>
      </c>
      <c r="Y51" s="508">
        <f t="shared" si="72"/>
        <v>31.65</v>
      </c>
      <c r="Z51" s="508">
        <f t="shared" si="73"/>
        <v>60.586666666666666</v>
      </c>
      <c r="AB51" s="508">
        <f t="shared" si="74"/>
        <v>198.8</v>
      </c>
      <c r="AC51" s="508">
        <f t="shared" si="75"/>
        <v>60.586666666666666</v>
      </c>
      <c r="AD51" s="508">
        <f t="shared" si="76"/>
        <v>259.38666666666666</v>
      </c>
      <c r="AE51" s="508">
        <f t="shared" si="77"/>
        <v>32.465234375000001</v>
      </c>
      <c r="AF51" s="508">
        <f t="shared" si="78"/>
        <v>231.26523437500001</v>
      </c>
      <c r="AG51" s="508">
        <f t="shared" si="79"/>
        <v>93.051901041666667</v>
      </c>
      <c r="AH51" s="508">
        <f t="shared" si="80"/>
        <v>291.85190104166668</v>
      </c>
      <c r="AI51" s="508">
        <f t="shared" si="81"/>
        <v>0.20546875000000001</v>
      </c>
      <c r="AJ51" s="508">
        <f t="shared" si="82"/>
        <v>199.00546875000001</v>
      </c>
      <c r="AK51" s="508">
        <f t="shared" si="83"/>
        <v>60.792135416666667</v>
      </c>
      <c r="AL51" s="508">
        <f t="shared" si="84"/>
        <v>259.59213541666668</v>
      </c>
      <c r="AM51" s="508">
        <f t="shared" si="85"/>
        <v>32.670703125000003</v>
      </c>
      <c r="AN51" s="508">
        <f t="shared" si="86"/>
        <v>231.470703125</v>
      </c>
      <c r="AO51" s="508">
        <f t="shared" si="87"/>
        <v>93.257369791666662</v>
      </c>
      <c r="AP51" s="508">
        <f t="shared" si="88"/>
        <v>292.0573697916667</v>
      </c>
      <c r="AQ51" s="508">
        <f t="shared" si="89"/>
        <v>512</v>
      </c>
      <c r="AR51" s="508">
        <f t="shared" si="90"/>
        <v>710.8</v>
      </c>
      <c r="AS51" s="508">
        <f t="shared" si="91"/>
        <v>572.5866666666667</v>
      </c>
      <c r="AT51" s="508">
        <f t="shared" si="92"/>
        <v>771.38666666666677</v>
      </c>
      <c r="AU51" s="508">
        <f t="shared" si="93"/>
        <v>544.46523437500002</v>
      </c>
      <c r="AV51" s="508">
        <f t="shared" si="94"/>
        <v>743.26523437500009</v>
      </c>
      <c r="AW51" s="508">
        <f t="shared" si="95"/>
        <v>605.05190104166672</v>
      </c>
      <c r="AX51" s="508">
        <f t="shared" si="96"/>
        <v>803.85190104166668</v>
      </c>
      <c r="AY51" s="508">
        <f t="shared" si="97"/>
        <v>512.20546875000002</v>
      </c>
      <c r="AZ51" s="508">
        <f t="shared" si="98"/>
        <v>711.00546875000009</v>
      </c>
      <c r="BA51" s="508">
        <f t="shared" si="99"/>
        <v>572.79213541666672</v>
      </c>
      <c r="BB51" s="508">
        <f t="shared" si="100"/>
        <v>771.59213541666668</v>
      </c>
      <c r="BC51" s="508">
        <f t="shared" si="101"/>
        <v>544.67070312500005</v>
      </c>
      <c r="BD51" s="508">
        <f t="shared" si="102"/>
        <v>743.470703125</v>
      </c>
      <c r="BE51" s="508">
        <f t="shared" si="103"/>
        <v>605.25736979166675</v>
      </c>
      <c r="BF51" s="508">
        <f t="shared" si="104"/>
        <v>804.05736979166682</v>
      </c>
    </row>
    <row r="52" spans="1:58">
      <c r="A52" s="505" t="s">
        <v>8453</v>
      </c>
      <c r="B52" s="505">
        <v>557795848</v>
      </c>
      <c r="C52" s="505" t="s">
        <v>773</v>
      </c>
      <c r="D52" s="505">
        <v>7200</v>
      </c>
      <c r="F52" s="509" t="str">
        <f t="shared" si="55"/>
        <v>N3+7200</v>
      </c>
      <c r="G52" s="510">
        <f t="shared" si="56"/>
        <v>557794316</v>
      </c>
      <c r="H52" s="510">
        <f t="shared" si="57"/>
        <v>558078186</v>
      </c>
      <c r="I52" s="509">
        <f t="shared" si="58"/>
        <v>7</v>
      </c>
      <c r="J52" s="509">
        <f t="shared" si="59"/>
        <v>7</v>
      </c>
      <c r="L52" s="505">
        <f t="shared" si="60"/>
        <v>10</v>
      </c>
      <c r="M52" s="505">
        <f t="shared" si="61"/>
        <v>40</v>
      </c>
      <c r="N52" s="505">
        <f t="shared" si="62"/>
        <v>7200</v>
      </c>
      <c r="O52" s="505">
        <f t="shared" si="63"/>
        <v>1</v>
      </c>
      <c r="P52" s="505" t="str">
        <f t="shared" si="64"/>
        <v/>
      </c>
      <c r="Q52" s="505" t="str">
        <f t="shared" si="65"/>
        <v/>
      </c>
      <c r="R52" s="505" t="str">
        <f t="shared" si="66"/>
        <v/>
      </c>
      <c r="T52" s="508">
        <f t="shared" si="67"/>
        <v>0.20546875000000001</v>
      </c>
      <c r="U52" s="508">
        <f t="shared" si="68"/>
        <v>0.81523437499999996</v>
      </c>
      <c r="V52" s="508">
        <f t="shared" si="69"/>
        <v>512</v>
      </c>
      <c r="W52" s="508">
        <f t="shared" si="70"/>
        <v>198.8</v>
      </c>
      <c r="X52" s="508">
        <f t="shared" si="71"/>
        <v>31.65</v>
      </c>
      <c r="Y52" s="508">
        <f t="shared" si="72"/>
        <v>31.65</v>
      </c>
      <c r="Z52" s="508">
        <f t="shared" si="73"/>
        <v>2.5244444444444443</v>
      </c>
      <c r="AB52" s="508">
        <f t="shared" si="74"/>
        <v>198.8</v>
      </c>
      <c r="AC52" s="508">
        <f t="shared" si="75"/>
        <v>2.5244444444444443</v>
      </c>
      <c r="AD52" s="508">
        <f t="shared" si="76"/>
        <v>201.32444444444445</v>
      </c>
      <c r="AE52" s="508">
        <f t="shared" si="77"/>
        <v>32.465234375000001</v>
      </c>
      <c r="AF52" s="508">
        <f t="shared" si="78"/>
        <v>231.26523437500001</v>
      </c>
      <c r="AG52" s="508">
        <f t="shared" si="79"/>
        <v>34.989678819444443</v>
      </c>
      <c r="AH52" s="508">
        <f t="shared" si="80"/>
        <v>233.78967881944445</v>
      </c>
      <c r="AI52" s="508">
        <f t="shared" si="81"/>
        <v>0.20546875000000001</v>
      </c>
      <c r="AJ52" s="508">
        <f t="shared" si="82"/>
        <v>199.00546875000001</v>
      </c>
      <c r="AK52" s="508">
        <f t="shared" si="83"/>
        <v>2.7299131944444444</v>
      </c>
      <c r="AL52" s="508">
        <f t="shared" si="84"/>
        <v>201.52991319444445</v>
      </c>
      <c r="AM52" s="508">
        <f t="shared" si="85"/>
        <v>32.670703125000003</v>
      </c>
      <c r="AN52" s="508">
        <f t="shared" si="86"/>
        <v>231.470703125</v>
      </c>
      <c r="AO52" s="508">
        <f t="shared" si="87"/>
        <v>35.195147569444444</v>
      </c>
      <c r="AP52" s="508">
        <f t="shared" si="88"/>
        <v>233.99514756944444</v>
      </c>
      <c r="AQ52" s="508">
        <f t="shared" si="89"/>
        <v>512</v>
      </c>
      <c r="AR52" s="508">
        <f t="shared" si="90"/>
        <v>710.8</v>
      </c>
      <c r="AS52" s="508">
        <f t="shared" si="91"/>
        <v>514.5244444444445</v>
      </c>
      <c r="AT52" s="508">
        <f t="shared" si="92"/>
        <v>713.32444444444445</v>
      </c>
      <c r="AU52" s="508">
        <f t="shared" si="93"/>
        <v>544.46523437500002</v>
      </c>
      <c r="AV52" s="508">
        <f t="shared" si="94"/>
        <v>743.26523437500009</v>
      </c>
      <c r="AW52" s="508">
        <f t="shared" si="95"/>
        <v>546.98967881944452</v>
      </c>
      <c r="AX52" s="508">
        <f t="shared" si="96"/>
        <v>745.78967881944459</v>
      </c>
      <c r="AY52" s="508">
        <f t="shared" si="97"/>
        <v>512.20546875000002</v>
      </c>
      <c r="AZ52" s="508">
        <f t="shared" si="98"/>
        <v>711.00546875000009</v>
      </c>
      <c r="BA52" s="508">
        <f t="shared" si="99"/>
        <v>514.72991319444452</v>
      </c>
      <c r="BB52" s="508">
        <f t="shared" si="100"/>
        <v>713.52991319444459</v>
      </c>
      <c r="BC52" s="508">
        <f t="shared" si="101"/>
        <v>544.67070312500005</v>
      </c>
      <c r="BD52" s="508">
        <f t="shared" si="102"/>
        <v>743.470703125</v>
      </c>
      <c r="BE52" s="508">
        <f t="shared" si="103"/>
        <v>547.19514756944454</v>
      </c>
      <c r="BF52" s="508">
        <f t="shared" si="104"/>
        <v>745.9951475694445</v>
      </c>
    </row>
    <row r="53" spans="1:58">
      <c r="A53" s="505" t="s">
        <v>8453</v>
      </c>
      <c r="B53" s="505">
        <v>557795849</v>
      </c>
      <c r="C53" s="505" t="s">
        <v>12</v>
      </c>
      <c r="D53" s="505">
        <v>3600</v>
      </c>
      <c r="F53" s="509" t="str">
        <f t="shared" si="55"/>
        <v>N1+3600</v>
      </c>
      <c r="G53" s="510">
        <f t="shared" si="56"/>
        <v>557794316</v>
      </c>
      <c r="H53" s="510">
        <f t="shared" si="57"/>
        <v>558078186</v>
      </c>
      <c r="I53" s="509">
        <f t="shared" si="58"/>
        <v>8</v>
      </c>
      <c r="J53" s="509">
        <f t="shared" si="59"/>
        <v>6</v>
      </c>
      <c r="L53" s="505">
        <f t="shared" si="60"/>
        <v>3600</v>
      </c>
      <c r="M53" s="505">
        <f t="shared" si="61"/>
        <v>40</v>
      </c>
      <c r="N53" s="505">
        <f t="shared" si="62"/>
        <v>7200</v>
      </c>
      <c r="O53" s="505">
        <f t="shared" si="63"/>
        <v>1</v>
      </c>
      <c r="P53" s="505" t="str">
        <f t="shared" si="64"/>
        <v/>
      </c>
      <c r="Q53" s="505" t="str">
        <f t="shared" si="65"/>
        <v/>
      </c>
      <c r="R53" s="505" t="str">
        <f t="shared" si="66"/>
        <v/>
      </c>
      <c r="T53" s="508">
        <f t="shared" si="67"/>
        <v>0.20546875000000001</v>
      </c>
      <c r="U53" s="508">
        <f t="shared" si="68"/>
        <v>0.81523437499999996</v>
      </c>
      <c r="V53" s="508">
        <f t="shared" si="69"/>
        <v>512</v>
      </c>
      <c r="W53" s="508">
        <f t="shared" si="70"/>
        <v>0.55222222222222217</v>
      </c>
      <c r="X53" s="508">
        <f t="shared" si="71"/>
        <v>31.65</v>
      </c>
      <c r="Y53" s="508">
        <f t="shared" si="72"/>
        <v>31.65</v>
      </c>
      <c r="Z53" s="508">
        <f t="shared" si="73"/>
        <v>2.5244444444444443</v>
      </c>
      <c r="AB53" s="508">
        <f t="shared" si="74"/>
        <v>0.55222222222222217</v>
      </c>
      <c r="AC53" s="508">
        <f t="shared" si="75"/>
        <v>2.5244444444444443</v>
      </c>
      <c r="AD53" s="508">
        <f t="shared" si="76"/>
        <v>3.0766666666666662</v>
      </c>
      <c r="AE53" s="508">
        <f t="shared" si="77"/>
        <v>32.465234375000001</v>
      </c>
      <c r="AF53" s="508">
        <f t="shared" si="78"/>
        <v>33.017456597222221</v>
      </c>
      <c r="AG53" s="508">
        <f t="shared" si="79"/>
        <v>34.989678819444443</v>
      </c>
      <c r="AH53" s="508">
        <f t="shared" si="80"/>
        <v>35.541901041666662</v>
      </c>
      <c r="AI53" s="508">
        <f t="shared" si="81"/>
        <v>0.20546875000000001</v>
      </c>
      <c r="AJ53" s="508">
        <f t="shared" si="82"/>
        <v>0.75769097222222215</v>
      </c>
      <c r="AK53" s="508">
        <f t="shared" si="83"/>
        <v>2.7299131944444444</v>
      </c>
      <c r="AL53" s="508">
        <f t="shared" si="84"/>
        <v>3.2821354166666667</v>
      </c>
      <c r="AM53" s="508">
        <f t="shared" si="85"/>
        <v>32.670703125000003</v>
      </c>
      <c r="AN53" s="508">
        <f t="shared" si="86"/>
        <v>33.222925347222223</v>
      </c>
      <c r="AO53" s="508">
        <f t="shared" si="87"/>
        <v>35.195147569444444</v>
      </c>
      <c r="AP53" s="508">
        <f t="shared" si="88"/>
        <v>35.747369791666664</v>
      </c>
      <c r="AQ53" s="508">
        <f t="shared" si="89"/>
        <v>512</v>
      </c>
      <c r="AR53" s="508">
        <f t="shared" si="90"/>
        <v>512.55222222222221</v>
      </c>
      <c r="AS53" s="508">
        <f t="shared" si="91"/>
        <v>514.5244444444445</v>
      </c>
      <c r="AT53" s="508">
        <f t="shared" si="92"/>
        <v>515.07666666666671</v>
      </c>
      <c r="AU53" s="508">
        <f t="shared" si="93"/>
        <v>544.46523437500002</v>
      </c>
      <c r="AV53" s="508">
        <f t="shared" si="94"/>
        <v>545.01745659722224</v>
      </c>
      <c r="AW53" s="508">
        <f t="shared" si="95"/>
        <v>546.98967881944452</v>
      </c>
      <c r="AX53" s="508">
        <f t="shared" si="96"/>
        <v>547.54190104166673</v>
      </c>
      <c r="AY53" s="508">
        <f t="shared" si="97"/>
        <v>512.20546875000002</v>
      </c>
      <c r="AZ53" s="508">
        <f t="shared" si="98"/>
        <v>512.75769097222224</v>
      </c>
      <c r="BA53" s="508">
        <f t="shared" si="99"/>
        <v>514.72991319444452</v>
      </c>
      <c r="BB53" s="508">
        <f t="shared" si="100"/>
        <v>515.28213541666673</v>
      </c>
      <c r="BC53" s="508">
        <f t="shared" si="101"/>
        <v>544.67070312500005</v>
      </c>
      <c r="BD53" s="508">
        <f t="shared" si="102"/>
        <v>545.22292534722226</v>
      </c>
      <c r="BE53" s="508">
        <f t="shared" si="103"/>
        <v>547.19514756944454</v>
      </c>
      <c r="BF53" s="508">
        <f t="shared" si="104"/>
        <v>547.74736979166676</v>
      </c>
    </row>
    <row r="54" spans="1:58">
      <c r="A54" s="505" t="s">
        <v>8455</v>
      </c>
      <c r="B54" s="505">
        <v>557795850</v>
      </c>
      <c r="C54" s="505" t="s">
        <v>8411</v>
      </c>
      <c r="D54" s="505">
        <v>300</v>
      </c>
      <c r="F54" s="509" t="str">
        <f t="shared" si="55"/>
        <v>STAT+300</v>
      </c>
      <c r="G54" s="510">
        <f t="shared" si="56"/>
        <v>557794316</v>
      </c>
      <c r="H54" s="510">
        <f t="shared" si="57"/>
        <v>558078186</v>
      </c>
      <c r="I54" s="509">
        <f t="shared" si="58"/>
        <v>9</v>
      </c>
      <c r="J54" s="509">
        <f t="shared" si="59"/>
        <v>5</v>
      </c>
      <c r="L54" s="505">
        <f t="shared" si="60"/>
        <v>3600</v>
      </c>
      <c r="M54" s="505">
        <f t="shared" si="61"/>
        <v>40</v>
      </c>
      <c r="N54" s="505">
        <f t="shared" si="62"/>
        <v>7200</v>
      </c>
      <c r="O54" s="505">
        <f t="shared" si="63"/>
        <v>300</v>
      </c>
      <c r="P54" s="505" t="str">
        <f t="shared" si="64"/>
        <v/>
      </c>
      <c r="Q54" s="505" t="str">
        <f t="shared" si="65"/>
        <v/>
      </c>
      <c r="R54" s="505" t="str">
        <f t="shared" si="66"/>
        <v/>
      </c>
      <c r="T54" s="508">
        <f t="shared" si="67"/>
        <v>0.20546875000000001</v>
      </c>
      <c r="U54" s="508">
        <f t="shared" si="68"/>
        <v>0.81523437499999996</v>
      </c>
      <c r="V54" s="508">
        <f t="shared" si="69"/>
        <v>1.7066666666666668</v>
      </c>
      <c r="W54" s="508">
        <f t="shared" si="70"/>
        <v>0.55222222222222217</v>
      </c>
      <c r="X54" s="508">
        <f t="shared" si="71"/>
        <v>31.65</v>
      </c>
      <c r="Y54" s="508">
        <f t="shared" si="72"/>
        <v>31.65</v>
      </c>
      <c r="Z54" s="508">
        <f t="shared" si="73"/>
        <v>2.5244444444444443</v>
      </c>
      <c r="AB54" s="508">
        <f t="shared" si="74"/>
        <v>0.55222222222222217</v>
      </c>
      <c r="AC54" s="508">
        <f t="shared" si="75"/>
        <v>2.5244444444444443</v>
      </c>
      <c r="AD54" s="508">
        <f t="shared" si="76"/>
        <v>3.0766666666666662</v>
      </c>
      <c r="AE54" s="508">
        <f t="shared" si="77"/>
        <v>32.465234375000001</v>
      </c>
      <c r="AF54" s="508">
        <f t="shared" si="78"/>
        <v>33.017456597222221</v>
      </c>
      <c r="AG54" s="508">
        <f t="shared" si="79"/>
        <v>34.989678819444443</v>
      </c>
      <c r="AH54" s="508">
        <f t="shared" si="80"/>
        <v>35.541901041666662</v>
      </c>
      <c r="AI54" s="508">
        <f t="shared" si="81"/>
        <v>0.20546875000000001</v>
      </c>
      <c r="AJ54" s="508">
        <f t="shared" si="82"/>
        <v>0.75769097222222215</v>
      </c>
      <c r="AK54" s="508">
        <f t="shared" si="83"/>
        <v>2.7299131944444444</v>
      </c>
      <c r="AL54" s="508">
        <f t="shared" si="84"/>
        <v>3.2821354166666667</v>
      </c>
      <c r="AM54" s="508">
        <f t="shared" si="85"/>
        <v>32.670703125000003</v>
      </c>
      <c r="AN54" s="508">
        <f t="shared" si="86"/>
        <v>33.222925347222223</v>
      </c>
      <c r="AO54" s="508">
        <f t="shared" si="87"/>
        <v>35.195147569444444</v>
      </c>
      <c r="AP54" s="508">
        <f t="shared" si="88"/>
        <v>35.747369791666664</v>
      </c>
      <c r="AQ54" s="508">
        <f t="shared" si="89"/>
        <v>1.7066666666666668</v>
      </c>
      <c r="AR54" s="508">
        <f t="shared" si="90"/>
        <v>2.2588888888888889</v>
      </c>
      <c r="AS54" s="508">
        <f t="shared" si="91"/>
        <v>4.2311111111111108</v>
      </c>
      <c r="AT54" s="508">
        <f t="shared" si="92"/>
        <v>4.7833333333333332</v>
      </c>
      <c r="AU54" s="508">
        <f t="shared" si="93"/>
        <v>34.171901041666665</v>
      </c>
      <c r="AV54" s="508">
        <f t="shared" si="94"/>
        <v>34.724123263888885</v>
      </c>
      <c r="AW54" s="508">
        <f t="shared" si="95"/>
        <v>36.696345486111106</v>
      </c>
      <c r="AX54" s="508">
        <f t="shared" si="96"/>
        <v>37.248567708333326</v>
      </c>
      <c r="AY54" s="508">
        <f t="shared" si="97"/>
        <v>1.9121354166666669</v>
      </c>
      <c r="AZ54" s="508">
        <f t="shared" si="98"/>
        <v>2.464357638888889</v>
      </c>
      <c r="BA54" s="508">
        <f t="shared" si="99"/>
        <v>4.4365798611111114</v>
      </c>
      <c r="BB54" s="508">
        <f t="shared" si="100"/>
        <v>4.9888020833333337</v>
      </c>
      <c r="BC54" s="508">
        <f t="shared" si="101"/>
        <v>34.377369791666666</v>
      </c>
      <c r="BD54" s="508">
        <f t="shared" si="102"/>
        <v>34.929592013888886</v>
      </c>
      <c r="BE54" s="508">
        <f t="shared" si="103"/>
        <v>36.901814236111107</v>
      </c>
      <c r="BF54" s="508">
        <f t="shared" si="104"/>
        <v>37.454036458333327</v>
      </c>
    </row>
    <row r="55" spans="1:58">
      <c r="A55" s="505" t="s">
        <v>8453</v>
      </c>
      <c r="B55" s="505">
        <v>557796166</v>
      </c>
      <c r="C55" s="505" t="s">
        <v>776</v>
      </c>
      <c r="D55" s="505">
        <v>100</v>
      </c>
      <c r="F55" s="509" t="str">
        <f t="shared" si="55"/>
        <v>N2+100</v>
      </c>
      <c r="G55" s="510">
        <f t="shared" si="56"/>
        <v>557794316</v>
      </c>
      <c r="H55" s="510">
        <f t="shared" si="57"/>
        <v>558078186</v>
      </c>
      <c r="I55" s="509">
        <f t="shared" si="58"/>
        <v>10</v>
      </c>
      <c r="J55" s="509">
        <f t="shared" si="59"/>
        <v>4</v>
      </c>
      <c r="L55" s="505">
        <f t="shared" si="60"/>
        <v>3600</v>
      </c>
      <c r="M55" s="505">
        <f t="shared" si="61"/>
        <v>100</v>
      </c>
      <c r="N55" s="505">
        <f t="shared" si="62"/>
        <v>7200</v>
      </c>
      <c r="O55" s="505">
        <f t="shared" si="63"/>
        <v>300</v>
      </c>
      <c r="P55" s="505" t="str">
        <f t="shared" si="64"/>
        <v/>
      </c>
      <c r="Q55" s="505" t="str">
        <f t="shared" si="65"/>
        <v/>
      </c>
      <c r="R55" s="505" t="str">
        <f t="shared" si="66"/>
        <v/>
      </c>
      <c r="T55" s="508">
        <f t="shared" si="67"/>
        <v>8.2187499999999997E-2</v>
      </c>
      <c r="U55" s="508">
        <f t="shared" si="68"/>
        <v>0.32609375000000002</v>
      </c>
      <c r="V55" s="508">
        <f t="shared" si="69"/>
        <v>1.7066666666666668</v>
      </c>
      <c r="W55" s="508">
        <f t="shared" si="70"/>
        <v>0.55222222222222217</v>
      </c>
      <c r="X55" s="508">
        <f t="shared" si="71"/>
        <v>12.66</v>
      </c>
      <c r="Y55" s="508">
        <f t="shared" si="72"/>
        <v>12.66</v>
      </c>
      <c r="Z55" s="508">
        <f t="shared" si="73"/>
        <v>2.5244444444444443</v>
      </c>
      <c r="AB55" s="508">
        <f t="shared" si="74"/>
        <v>0.55222222222222217</v>
      </c>
      <c r="AC55" s="508">
        <f t="shared" si="75"/>
        <v>2.5244444444444443</v>
      </c>
      <c r="AD55" s="508">
        <f t="shared" si="76"/>
        <v>3.0766666666666662</v>
      </c>
      <c r="AE55" s="508">
        <f t="shared" si="77"/>
        <v>12.98609375</v>
      </c>
      <c r="AF55" s="508">
        <f t="shared" si="78"/>
        <v>13.538315972222222</v>
      </c>
      <c r="AG55" s="508">
        <f t="shared" si="79"/>
        <v>15.510538194444445</v>
      </c>
      <c r="AH55" s="508">
        <f t="shared" si="80"/>
        <v>16.062760416666666</v>
      </c>
      <c r="AI55" s="508">
        <f t="shared" si="81"/>
        <v>8.2187499999999997E-2</v>
      </c>
      <c r="AJ55" s="508">
        <f t="shared" si="82"/>
        <v>0.63440972222222214</v>
      </c>
      <c r="AK55" s="508">
        <f t="shared" si="83"/>
        <v>2.6066319444444441</v>
      </c>
      <c r="AL55" s="508">
        <f t="shared" si="84"/>
        <v>3.1588541666666661</v>
      </c>
      <c r="AM55" s="508">
        <f t="shared" si="85"/>
        <v>13.06828125</v>
      </c>
      <c r="AN55" s="508">
        <f t="shared" si="86"/>
        <v>13.620503472222222</v>
      </c>
      <c r="AO55" s="508">
        <f t="shared" si="87"/>
        <v>15.592725694444445</v>
      </c>
      <c r="AP55" s="508">
        <f t="shared" si="88"/>
        <v>16.144947916666666</v>
      </c>
      <c r="AQ55" s="508">
        <f t="shared" si="89"/>
        <v>1.7066666666666668</v>
      </c>
      <c r="AR55" s="508">
        <f t="shared" si="90"/>
        <v>2.2588888888888889</v>
      </c>
      <c r="AS55" s="508">
        <f t="shared" si="91"/>
        <v>4.2311111111111108</v>
      </c>
      <c r="AT55" s="508">
        <f t="shared" si="92"/>
        <v>4.7833333333333332</v>
      </c>
      <c r="AU55" s="508">
        <f t="shared" si="93"/>
        <v>14.692760416666667</v>
      </c>
      <c r="AV55" s="508">
        <f t="shared" si="94"/>
        <v>15.244982638888889</v>
      </c>
      <c r="AW55" s="508">
        <f t="shared" si="95"/>
        <v>17.21720486111111</v>
      </c>
      <c r="AX55" s="508">
        <f t="shared" si="96"/>
        <v>17.769427083333333</v>
      </c>
      <c r="AY55" s="508">
        <f t="shared" si="97"/>
        <v>1.7888541666666669</v>
      </c>
      <c r="AZ55" s="508">
        <f t="shared" si="98"/>
        <v>2.3410763888888892</v>
      </c>
      <c r="BA55" s="508">
        <f t="shared" si="99"/>
        <v>4.3132986111111116</v>
      </c>
      <c r="BB55" s="508">
        <f t="shared" si="100"/>
        <v>4.865520833333334</v>
      </c>
      <c r="BC55" s="508">
        <f t="shared" si="101"/>
        <v>14.774947916666667</v>
      </c>
      <c r="BD55" s="508">
        <f t="shared" si="102"/>
        <v>15.327170138888889</v>
      </c>
      <c r="BE55" s="508">
        <f t="shared" si="103"/>
        <v>17.29939236111111</v>
      </c>
      <c r="BF55" s="508">
        <f t="shared" si="104"/>
        <v>17.851614583333333</v>
      </c>
    </row>
    <row r="56" spans="1:58">
      <c r="A56" s="505" t="s">
        <v>8453</v>
      </c>
      <c r="B56" s="505">
        <v>557796169</v>
      </c>
      <c r="C56" s="505" t="s">
        <v>12</v>
      </c>
      <c r="D56" s="505">
        <v>100</v>
      </c>
      <c r="F56" s="509" t="str">
        <f t="shared" si="55"/>
        <v>N1+100</v>
      </c>
      <c r="G56" s="510">
        <f t="shared" si="56"/>
        <v>557794316</v>
      </c>
      <c r="H56" s="510">
        <f t="shared" si="57"/>
        <v>558078186</v>
      </c>
      <c r="I56" s="509">
        <f t="shared" si="58"/>
        <v>11</v>
      </c>
      <c r="J56" s="509">
        <f t="shared" si="59"/>
        <v>3</v>
      </c>
      <c r="L56" s="505">
        <f t="shared" si="60"/>
        <v>100</v>
      </c>
      <c r="M56" s="505">
        <f t="shared" si="61"/>
        <v>100</v>
      </c>
      <c r="N56" s="505">
        <f t="shared" si="62"/>
        <v>7200</v>
      </c>
      <c r="O56" s="505">
        <f t="shared" si="63"/>
        <v>300</v>
      </c>
      <c r="P56" s="505" t="str">
        <f t="shared" si="64"/>
        <v/>
      </c>
      <c r="Q56" s="505" t="str">
        <f t="shared" si="65"/>
        <v/>
      </c>
      <c r="R56" s="505" t="str">
        <f t="shared" si="66"/>
        <v/>
      </c>
      <c r="T56" s="508">
        <f t="shared" si="67"/>
        <v>8.2187499999999997E-2</v>
      </c>
      <c r="U56" s="508">
        <f t="shared" si="68"/>
        <v>0.32609375000000002</v>
      </c>
      <c r="V56" s="508">
        <f t="shared" si="69"/>
        <v>1.7066666666666668</v>
      </c>
      <c r="W56" s="508">
        <f t="shared" si="70"/>
        <v>19.88</v>
      </c>
      <c r="X56" s="508">
        <f t="shared" si="71"/>
        <v>12.66</v>
      </c>
      <c r="Y56" s="508">
        <f t="shared" si="72"/>
        <v>12.66</v>
      </c>
      <c r="Z56" s="508">
        <f t="shared" si="73"/>
        <v>2.5244444444444443</v>
      </c>
      <c r="AB56" s="508">
        <f t="shared" si="74"/>
        <v>19.88</v>
      </c>
      <c r="AC56" s="508">
        <f t="shared" si="75"/>
        <v>2.5244444444444443</v>
      </c>
      <c r="AD56" s="508">
        <f t="shared" si="76"/>
        <v>22.404444444444444</v>
      </c>
      <c r="AE56" s="508">
        <f t="shared" si="77"/>
        <v>12.98609375</v>
      </c>
      <c r="AF56" s="508">
        <f t="shared" si="78"/>
        <v>32.866093749999997</v>
      </c>
      <c r="AG56" s="508">
        <f t="shared" si="79"/>
        <v>15.510538194444445</v>
      </c>
      <c r="AH56" s="508">
        <f t="shared" si="80"/>
        <v>35.390538194444446</v>
      </c>
      <c r="AI56" s="508">
        <f t="shared" si="81"/>
        <v>8.2187499999999997E-2</v>
      </c>
      <c r="AJ56" s="508">
        <f t="shared" si="82"/>
        <v>19.962187499999999</v>
      </c>
      <c r="AK56" s="508">
        <f t="shared" si="83"/>
        <v>2.6066319444444441</v>
      </c>
      <c r="AL56" s="508">
        <f t="shared" si="84"/>
        <v>22.486631944444444</v>
      </c>
      <c r="AM56" s="508">
        <f t="shared" si="85"/>
        <v>13.06828125</v>
      </c>
      <c r="AN56" s="508">
        <f t="shared" si="86"/>
        <v>32.948281250000001</v>
      </c>
      <c r="AO56" s="508">
        <f t="shared" si="87"/>
        <v>15.592725694444445</v>
      </c>
      <c r="AP56" s="508">
        <f t="shared" si="88"/>
        <v>35.472725694444442</v>
      </c>
      <c r="AQ56" s="508">
        <f t="shared" si="89"/>
        <v>1.7066666666666668</v>
      </c>
      <c r="AR56" s="508">
        <f t="shared" si="90"/>
        <v>21.586666666666666</v>
      </c>
      <c r="AS56" s="508">
        <f t="shared" si="91"/>
        <v>4.2311111111111108</v>
      </c>
      <c r="AT56" s="508">
        <f t="shared" si="92"/>
        <v>24.111111111111111</v>
      </c>
      <c r="AU56" s="508">
        <f t="shared" si="93"/>
        <v>14.692760416666667</v>
      </c>
      <c r="AV56" s="508">
        <f t="shared" si="94"/>
        <v>34.572760416666668</v>
      </c>
      <c r="AW56" s="508">
        <f t="shared" si="95"/>
        <v>17.21720486111111</v>
      </c>
      <c r="AX56" s="508">
        <f t="shared" si="96"/>
        <v>37.097204861111109</v>
      </c>
      <c r="AY56" s="508">
        <f t="shared" si="97"/>
        <v>1.7888541666666669</v>
      </c>
      <c r="AZ56" s="508">
        <f t="shared" si="98"/>
        <v>21.668854166666666</v>
      </c>
      <c r="BA56" s="508">
        <f t="shared" si="99"/>
        <v>4.3132986111111116</v>
      </c>
      <c r="BB56" s="508">
        <f t="shared" si="100"/>
        <v>24.193298611111111</v>
      </c>
      <c r="BC56" s="508">
        <f t="shared" si="101"/>
        <v>14.774947916666667</v>
      </c>
      <c r="BD56" s="508">
        <f t="shared" si="102"/>
        <v>34.654947916666664</v>
      </c>
      <c r="BE56" s="508">
        <f t="shared" si="103"/>
        <v>17.29939236111111</v>
      </c>
      <c r="BF56" s="508">
        <f t="shared" si="104"/>
        <v>37.179392361111113</v>
      </c>
    </row>
    <row r="57" spans="1:58">
      <c r="A57" s="505" t="s">
        <v>8453</v>
      </c>
      <c r="B57" s="505">
        <v>557796172</v>
      </c>
      <c r="C57" s="505" t="s">
        <v>773</v>
      </c>
      <c r="D57" s="505">
        <v>7200</v>
      </c>
      <c r="F57" s="509" t="str">
        <f t="shared" si="55"/>
        <v>N3+7200</v>
      </c>
      <c r="G57" s="510">
        <f t="shared" si="56"/>
        <v>557794316</v>
      </c>
      <c r="H57" s="510">
        <f t="shared" si="57"/>
        <v>558078186</v>
      </c>
      <c r="I57" s="509">
        <f t="shared" si="58"/>
        <v>12</v>
      </c>
      <c r="J57" s="509">
        <f t="shared" si="59"/>
        <v>2</v>
      </c>
      <c r="L57" s="505">
        <f t="shared" si="60"/>
        <v>100</v>
      </c>
      <c r="M57" s="505">
        <f t="shared" si="61"/>
        <v>100</v>
      </c>
      <c r="N57" s="505">
        <f t="shared" si="62"/>
        <v>7200</v>
      </c>
      <c r="O57" s="505">
        <f t="shared" si="63"/>
        <v>300</v>
      </c>
      <c r="P57" s="505" t="str">
        <f t="shared" si="64"/>
        <v/>
      </c>
      <c r="Q57" s="505" t="str">
        <f t="shared" si="65"/>
        <v/>
      </c>
      <c r="R57" s="505" t="str">
        <f t="shared" si="66"/>
        <v/>
      </c>
      <c r="T57" s="508">
        <f t="shared" si="67"/>
        <v>8.2187499999999997E-2</v>
      </c>
      <c r="U57" s="508">
        <f t="shared" si="68"/>
        <v>0.32609375000000002</v>
      </c>
      <c r="V57" s="508">
        <f t="shared" si="69"/>
        <v>1.7066666666666668</v>
      </c>
      <c r="W57" s="508">
        <f t="shared" si="70"/>
        <v>19.88</v>
      </c>
      <c r="X57" s="508">
        <f t="shared" si="71"/>
        <v>12.66</v>
      </c>
      <c r="Y57" s="508">
        <f t="shared" si="72"/>
        <v>12.66</v>
      </c>
      <c r="Z57" s="508">
        <f t="shared" si="73"/>
        <v>2.5244444444444443</v>
      </c>
      <c r="AB57" s="508">
        <f t="shared" si="74"/>
        <v>19.88</v>
      </c>
      <c r="AC57" s="508">
        <f t="shared" si="75"/>
        <v>2.5244444444444443</v>
      </c>
      <c r="AD57" s="508">
        <f t="shared" si="76"/>
        <v>22.404444444444444</v>
      </c>
      <c r="AE57" s="508">
        <f t="shared" si="77"/>
        <v>12.98609375</v>
      </c>
      <c r="AF57" s="508">
        <f t="shared" si="78"/>
        <v>32.866093749999997</v>
      </c>
      <c r="AG57" s="508">
        <f t="shared" si="79"/>
        <v>15.510538194444445</v>
      </c>
      <c r="AH57" s="508">
        <f t="shared" si="80"/>
        <v>35.390538194444446</v>
      </c>
      <c r="AI57" s="508">
        <f t="shared" si="81"/>
        <v>8.2187499999999997E-2</v>
      </c>
      <c r="AJ57" s="508">
        <f t="shared" si="82"/>
        <v>19.962187499999999</v>
      </c>
      <c r="AK57" s="508">
        <f t="shared" si="83"/>
        <v>2.6066319444444441</v>
      </c>
      <c r="AL57" s="508">
        <f t="shared" si="84"/>
        <v>22.486631944444444</v>
      </c>
      <c r="AM57" s="508">
        <f t="shared" si="85"/>
        <v>13.06828125</v>
      </c>
      <c r="AN57" s="508">
        <f t="shared" si="86"/>
        <v>32.948281250000001</v>
      </c>
      <c r="AO57" s="508">
        <f t="shared" si="87"/>
        <v>15.592725694444445</v>
      </c>
      <c r="AP57" s="508">
        <f t="shared" si="88"/>
        <v>35.472725694444442</v>
      </c>
      <c r="AQ57" s="508">
        <f t="shared" si="89"/>
        <v>1.7066666666666668</v>
      </c>
      <c r="AR57" s="508">
        <f t="shared" si="90"/>
        <v>21.586666666666666</v>
      </c>
      <c r="AS57" s="508">
        <f t="shared" si="91"/>
        <v>4.2311111111111108</v>
      </c>
      <c r="AT57" s="508">
        <f t="shared" si="92"/>
        <v>24.111111111111111</v>
      </c>
      <c r="AU57" s="508">
        <f t="shared" si="93"/>
        <v>14.692760416666667</v>
      </c>
      <c r="AV57" s="508">
        <f t="shared" si="94"/>
        <v>34.572760416666668</v>
      </c>
      <c r="AW57" s="508">
        <f t="shared" si="95"/>
        <v>17.21720486111111</v>
      </c>
      <c r="AX57" s="508">
        <f t="shared" si="96"/>
        <v>37.097204861111109</v>
      </c>
      <c r="AY57" s="508">
        <f t="shared" si="97"/>
        <v>1.7888541666666669</v>
      </c>
      <c r="AZ57" s="508">
        <f t="shared" si="98"/>
        <v>21.668854166666666</v>
      </c>
      <c r="BA57" s="508">
        <f t="shared" si="99"/>
        <v>4.3132986111111116</v>
      </c>
      <c r="BB57" s="508">
        <f t="shared" si="100"/>
        <v>24.193298611111111</v>
      </c>
      <c r="BC57" s="508">
        <f t="shared" si="101"/>
        <v>14.774947916666667</v>
      </c>
      <c r="BD57" s="508">
        <f t="shared" si="102"/>
        <v>34.654947916666664</v>
      </c>
      <c r="BE57" s="508">
        <f t="shared" si="103"/>
        <v>17.29939236111111</v>
      </c>
      <c r="BF57" s="508">
        <f t="shared" si="104"/>
        <v>37.179392361111113</v>
      </c>
    </row>
    <row r="58" spans="1:58">
      <c r="A58" s="505" t="s">
        <v>8455</v>
      </c>
      <c r="B58" s="505">
        <v>557796175</v>
      </c>
      <c r="C58" s="505" t="s">
        <v>8411</v>
      </c>
      <c r="D58" s="505">
        <v>1800</v>
      </c>
      <c r="F58" s="509" t="str">
        <f t="shared" si="55"/>
        <v>STAT+1800</v>
      </c>
      <c r="G58" s="510">
        <f t="shared" si="56"/>
        <v>557794316</v>
      </c>
      <c r="H58" s="510">
        <f t="shared" si="57"/>
        <v>558078186</v>
      </c>
      <c r="I58" s="509">
        <f t="shared" si="58"/>
        <v>13</v>
      </c>
      <c r="J58" s="509">
        <f t="shared" si="59"/>
        <v>1</v>
      </c>
      <c r="L58" s="505">
        <f t="shared" si="60"/>
        <v>100</v>
      </c>
      <c r="M58" s="505">
        <f t="shared" si="61"/>
        <v>100</v>
      </c>
      <c r="N58" s="505">
        <f t="shared" si="62"/>
        <v>7200</v>
      </c>
      <c r="O58" s="505">
        <f t="shared" si="63"/>
        <v>1800</v>
      </c>
      <c r="P58" s="505" t="str">
        <f t="shared" si="64"/>
        <v/>
      </c>
      <c r="Q58" s="505" t="str">
        <f t="shared" si="65"/>
        <v/>
      </c>
      <c r="R58" s="505" t="str">
        <f t="shared" si="66"/>
        <v/>
      </c>
      <c r="T58" s="508">
        <f t="shared" si="67"/>
        <v>8.2187499999999997E-2</v>
      </c>
      <c r="U58" s="508">
        <f t="shared" si="68"/>
        <v>0.32609375000000002</v>
      </c>
      <c r="V58" s="508">
        <f t="shared" si="69"/>
        <v>0.28444444444444444</v>
      </c>
      <c r="W58" s="508">
        <f t="shared" si="70"/>
        <v>19.88</v>
      </c>
      <c r="X58" s="508">
        <f t="shared" si="71"/>
        <v>12.66</v>
      </c>
      <c r="Y58" s="508">
        <f t="shared" si="72"/>
        <v>12.66</v>
      </c>
      <c r="Z58" s="508">
        <f t="shared" si="73"/>
        <v>2.5244444444444443</v>
      </c>
      <c r="AB58" s="508">
        <f t="shared" si="74"/>
        <v>19.88</v>
      </c>
      <c r="AC58" s="508">
        <f t="shared" si="75"/>
        <v>2.5244444444444443</v>
      </c>
      <c r="AD58" s="508">
        <f t="shared" si="76"/>
        <v>22.404444444444444</v>
      </c>
      <c r="AE58" s="508">
        <f t="shared" si="77"/>
        <v>12.98609375</v>
      </c>
      <c r="AF58" s="508">
        <f t="shared" si="78"/>
        <v>32.866093749999997</v>
      </c>
      <c r="AG58" s="508">
        <f t="shared" si="79"/>
        <v>15.510538194444445</v>
      </c>
      <c r="AH58" s="508">
        <f t="shared" si="80"/>
        <v>35.390538194444446</v>
      </c>
      <c r="AI58" s="508">
        <f t="shared" si="81"/>
        <v>8.2187499999999997E-2</v>
      </c>
      <c r="AJ58" s="508">
        <f t="shared" si="82"/>
        <v>19.962187499999999</v>
      </c>
      <c r="AK58" s="508">
        <f t="shared" si="83"/>
        <v>2.6066319444444441</v>
      </c>
      <c r="AL58" s="508">
        <f t="shared" si="84"/>
        <v>22.486631944444444</v>
      </c>
      <c r="AM58" s="508">
        <f t="shared" si="85"/>
        <v>13.06828125</v>
      </c>
      <c r="AN58" s="508">
        <f t="shared" si="86"/>
        <v>32.948281250000001</v>
      </c>
      <c r="AO58" s="508">
        <f t="shared" si="87"/>
        <v>15.592725694444445</v>
      </c>
      <c r="AP58" s="508">
        <f t="shared" si="88"/>
        <v>35.472725694444442</v>
      </c>
      <c r="AQ58" s="508">
        <f t="shared" si="89"/>
        <v>0.28444444444444444</v>
      </c>
      <c r="AR58" s="508">
        <f t="shared" si="90"/>
        <v>20.164444444444442</v>
      </c>
      <c r="AS58" s="508">
        <f t="shared" si="91"/>
        <v>2.8088888888888888</v>
      </c>
      <c r="AT58" s="508">
        <f t="shared" si="92"/>
        <v>22.688888888888886</v>
      </c>
      <c r="AU58" s="508">
        <f t="shared" si="93"/>
        <v>13.270538194444445</v>
      </c>
      <c r="AV58" s="508">
        <f t="shared" si="94"/>
        <v>33.150538194444444</v>
      </c>
      <c r="AW58" s="508">
        <f t="shared" si="95"/>
        <v>15.794982638888889</v>
      </c>
      <c r="AX58" s="508">
        <f t="shared" si="96"/>
        <v>35.674982638888892</v>
      </c>
      <c r="AY58" s="508">
        <f t="shared" si="97"/>
        <v>0.36663194444444447</v>
      </c>
      <c r="AZ58" s="508">
        <f t="shared" si="98"/>
        <v>20.246631944444445</v>
      </c>
      <c r="BA58" s="508">
        <f t="shared" si="99"/>
        <v>2.8910763888888886</v>
      </c>
      <c r="BB58" s="508">
        <f t="shared" si="100"/>
        <v>22.771076388888886</v>
      </c>
      <c r="BC58" s="508">
        <f t="shared" si="101"/>
        <v>13.352725694444445</v>
      </c>
      <c r="BD58" s="508">
        <f t="shared" si="102"/>
        <v>33.23272569444444</v>
      </c>
      <c r="BE58" s="508">
        <f t="shared" si="103"/>
        <v>15.877170138888889</v>
      </c>
      <c r="BF58" s="508">
        <f t="shared" si="104"/>
        <v>35.757170138888888</v>
      </c>
    </row>
    <row r="59" spans="1:58">
      <c r="A59" s="505" t="s">
        <v>8449</v>
      </c>
      <c r="B59" s="505">
        <v>558078186</v>
      </c>
      <c r="C59" s="505" t="s">
        <v>8469</v>
      </c>
      <c r="F59" s="509" t="str">
        <f t="shared" si="55"/>
        <v>OFF</v>
      </c>
      <c r="G59" s="510">
        <f t="shared" si="56"/>
        <v>557794316</v>
      </c>
      <c r="H59" s="510">
        <f t="shared" si="57"/>
        <v>558078186</v>
      </c>
      <c r="I59" s="509">
        <f t="shared" si="58"/>
        <v>14</v>
      </c>
      <c r="J59" s="509">
        <f t="shared" si="59"/>
        <v>0</v>
      </c>
      <c r="L59" s="505">
        <f t="shared" si="60"/>
        <v>100</v>
      </c>
      <c r="M59" s="505">
        <f t="shared" si="61"/>
        <v>100</v>
      </c>
      <c r="N59" s="505">
        <f t="shared" si="62"/>
        <v>7200</v>
      </c>
      <c r="O59" s="505">
        <f t="shared" si="63"/>
        <v>1800</v>
      </c>
      <c r="P59" s="505" t="str">
        <f t="shared" si="64"/>
        <v/>
      </c>
      <c r="Q59" s="505" t="str">
        <f t="shared" si="65"/>
        <v/>
      </c>
      <c r="R59" s="505" t="str">
        <f t="shared" si="66"/>
        <v/>
      </c>
      <c r="T59" s="508">
        <f t="shared" si="67"/>
        <v>8.2187499999999997E-2</v>
      </c>
      <c r="U59" s="508">
        <f t="shared" si="68"/>
        <v>0.32609375000000002</v>
      </c>
      <c r="V59" s="508">
        <f t="shared" si="69"/>
        <v>0.28444444444444444</v>
      </c>
      <c r="W59" s="508">
        <f t="shared" si="70"/>
        <v>19.88</v>
      </c>
      <c r="X59" s="508">
        <f t="shared" si="71"/>
        <v>12.66</v>
      </c>
      <c r="Y59" s="508">
        <f t="shared" si="72"/>
        <v>12.66</v>
      </c>
      <c r="Z59" s="508">
        <f t="shared" si="73"/>
        <v>2.5244444444444443</v>
      </c>
      <c r="AB59" s="508">
        <f t="shared" si="74"/>
        <v>19.88</v>
      </c>
      <c r="AC59" s="508">
        <f t="shared" si="75"/>
        <v>2.5244444444444443</v>
      </c>
      <c r="AD59" s="508">
        <f t="shared" si="76"/>
        <v>22.404444444444444</v>
      </c>
      <c r="AE59" s="508">
        <f t="shared" si="77"/>
        <v>12.98609375</v>
      </c>
      <c r="AF59" s="508">
        <f t="shared" si="78"/>
        <v>32.866093749999997</v>
      </c>
      <c r="AG59" s="508">
        <f t="shared" si="79"/>
        <v>15.510538194444445</v>
      </c>
      <c r="AH59" s="508">
        <f t="shared" si="80"/>
        <v>35.390538194444446</v>
      </c>
      <c r="AI59" s="508">
        <f t="shared" si="81"/>
        <v>8.2187499999999997E-2</v>
      </c>
      <c r="AJ59" s="508">
        <f t="shared" si="82"/>
        <v>19.962187499999999</v>
      </c>
      <c r="AK59" s="508">
        <f t="shared" si="83"/>
        <v>2.6066319444444441</v>
      </c>
      <c r="AL59" s="508">
        <f t="shared" si="84"/>
        <v>22.486631944444444</v>
      </c>
      <c r="AM59" s="508">
        <f t="shared" si="85"/>
        <v>13.06828125</v>
      </c>
      <c r="AN59" s="508">
        <f t="shared" si="86"/>
        <v>32.948281250000001</v>
      </c>
      <c r="AO59" s="508">
        <f t="shared" si="87"/>
        <v>15.592725694444445</v>
      </c>
      <c r="AP59" s="508">
        <f t="shared" si="88"/>
        <v>35.472725694444442</v>
      </c>
      <c r="AQ59" s="508">
        <f t="shared" si="89"/>
        <v>0.28444444444444444</v>
      </c>
      <c r="AR59" s="508">
        <f t="shared" si="90"/>
        <v>20.164444444444442</v>
      </c>
      <c r="AS59" s="508">
        <f t="shared" si="91"/>
        <v>2.8088888888888888</v>
      </c>
      <c r="AT59" s="508">
        <f t="shared" si="92"/>
        <v>22.688888888888886</v>
      </c>
      <c r="AU59" s="508">
        <f t="shared" si="93"/>
        <v>13.270538194444445</v>
      </c>
      <c r="AV59" s="508">
        <f t="shared" si="94"/>
        <v>33.150538194444444</v>
      </c>
      <c r="AW59" s="508">
        <f t="shared" si="95"/>
        <v>15.794982638888889</v>
      </c>
      <c r="AX59" s="508">
        <f t="shared" si="96"/>
        <v>35.674982638888892</v>
      </c>
      <c r="AY59" s="508">
        <f t="shared" si="97"/>
        <v>0.36663194444444447</v>
      </c>
      <c r="AZ59" s="508">
        <f t="shared" si="98"/>
        <v>20.246631944444445</v>
      </c>
      <c r="BA59" s="508">
        <f t="shared" si="99"/>
        <v>2.8910763888888886</v>
      </c>
      <c r="BB59" s="508">
        <f t="shared" si="100"/>
        <v>22.771076388888886</v>
      </c>
      <c r="BC59" s="508">
        <f t="shared" si="101"/>
        <v>13.352725694444445</v>
      </c>
      <c r="BD59" s="508">
        <f t="shared" si="102"/>
        <v>33.23272569444444</v>
      </c>
      <c r="BE59" s="508">
        <f t="shared" si="103"/>
        <v>15.877170138888889</v>
      </c>
      <c r="BF59" s="508">
        <f t="shared" si="104"/>
        <v>35.757170138888888</v>
      </c>
    </row>
    <row r="60" spans="1:58">
      <c r="A60" s="505" t="s">
        <v>8449</v>
      </c>
      <c r="B60" s="505">
        <v>558108416</v>
      </c>
      <c r="C60" s="505" t="s">
        <v>1148</v>
      </c>
      <c r="F60" s="509" t="str">
        <f t="shared" si="55"/>
        <v>ON</v>
      </c>
      <c r="G60" s="510">
        <f t="shared" si="56"/>
        <v>558108416</v>
      </c>
      <c r="H60" s="510">
        <f t="shared" si="57"/>
        <v>646883515</v>
      </c>
      <c r="I60" s="509">
        <f t="shared" si="58"/>
        <v>0</v>
      </c>
      <c r="J60" s="509">
        <f t="shared" si="59"/>
        <v>14</v>
      </c>
      <c r="L60" s="505" t="str">
        <f t="shared" si="60"/>
        <v/>
      </c>
      <c r="M60" s="505" t="str">
        <f t="shared" si="61"/>
        <v/>
      </c>
      <c r="N60" s="505" t="str">
        <f t="shared" si="62"/>
        <v/>
      </c>
      <c r="O60" s="505" t="str">
        <f t="shared" si="63"/>
        <v/>
      </c>
      <c r="P60" s="505" t="str">
        <f t="shared" si="64"/>
        <v/>
      </c>
      <c r="Q60" s="505" t="str">
        <f t="shared" si="65"/>
        <v/>
      </c>
      <c r="R60" s="505" t="str">
        <f t="shared" si="66"/>
        <v/>
      </c>
      <c r="T60" s="508">
        <f t="shared" si="67"/>
        <v>0</v>
      </c>
      <c r="U60" s="508">
        <f t="shared" si="68"/>
        <v>0</v>
      </c>
      <c r="V60" s="508">
        <f t="shared" si="69"/>
        <v>0</v>
      </c>
      <c r="W60" s="508">
        <f t="shared" si="70"/>
        <v>0</v>
      </c>
      <c r="X60" s="508">
        <f t="shared" si="71"/>
        <v>0</v>
      </c>
      <c r="Y60" s="508">
        <f t="shared" si="72"/>
        <v>0</v>
      </c>
      <c r="Z60" s="508">
        <f t="shared" si="73"/>
        <v>0</v>
      </c>
      <c r="AB60" s="508">
        <f t="shared" si="74"/>
        <v>0</v>
      </c>
      <c r="AC60" s="508">
        <f t="shared" si="75"/>
        <v>0</v>
      </c>
      <c r="AD60" s="508">
        <f t="shared" si="76"/>
        <v>0</v>
      </c>
      <c r="AE60" s="508">
        <f t="shared" si="77"/>
        <v>0</v>
      </c>
      <c r="AF60" s="508">
        <f t="shared" si="78"/>
        <v>0</v>
      </c>
      <c r="AG60" s="508">
        <f t="shared" si="79"/>
        <v>0</v>
      </c>
      <c r="AH60" s="508">
        <f t="shared" si="80"/>
        <v>0</v>
      </c>
      <c r="AI60" s="508">
        <f t="shared" si="81"/>
        <v>0</v>
      </c>
      <c r="AJ60" s="508">
        <f t="shared" si="82"/>
        <v>0</v>
      </c>
      <c r="AK60" s="508">
        <f t="shared" si="83"/>
        <v>0</v>
      </c>
      <c r="AL60" s="508">
        <f t="shared" si="84"/>
        <v>0</v>
      </c>
      <c r="AM60" s="508">
        <f t="shared" si="85"/>
        <v>0</v>
      </c>
      <c r="AN60" s="508">
        <f t="shared" si="86"/>
        <v>0</v>
      </c>
      <c r="AO60" s="508">
        <f t="shared" si="87"/>
        <v>0</v>
      </c>
      <c r="AP60" s="508">
        <f t="shared" si="88"/>
        <v>0</v>
      </c>
      <c r="AQ60" s="508">
        <f t="shared" si="89"/>
        <v>0</v>
      </c>
      <c r="AR60" s="508">
        <f t="shared" si="90"/>
        <v>0</v>
      </c>
      <c r="AS60" s="508">
        <f t="shared" si="91"/>
        <v>0</v>
      </c>
      <c r="AT60" s="508">
        <f t="shared" si="92"/>
        <v>0</v>
      </c>
      <c r="AU60" s="508">
        <f t="shared" si="93"/>
        <v>0</v>
      </c>
      <c r="AV60" s="508">
        <f t="shared" si="94"/>
        <v>0</v>
      </c>
      <c r="AW60" s="508">
        <f t="shared" si="95"/>
        <v>0</v>
      </c>
      <c r="AX60" s="508">
        <f t="shared" si="96"/>
        <v>0</v>
      </c>
      <c r="AY60" s="508">
        <f t="shared" si="97"/>
        <v>0</v>
      </c>
      <c r="AZ60" s="508">
        <f t="shared" si="98"/>
        <v>0</v>
      </c>
      <c r="BA60" s="508">
        <f t="shared" si="99"/>
        <v>0</v>
      </c>
      <c r="BB60" s="508">
        <f t="shared" si="100"/>
        <v>0</v>
      </c>
      <c r="BC60" s="508">
        <f t="shared" si="101"/>
        <v>0</v>
      </c>
      <c r="BD60" s="508">
        <f t="shared" si="102"/>
        <v>0</v>
      </c>
      <c r="BE60" s="508">
        <f t="shared" si="103"/>
        <v>0</v>
      </c>
      <c r="BF60" s="508">
        <f t="shared" si="104"/>
        <v>0</v>
      </c>
    </row>
    <row r="61" spans="1:58">
      <c r="A61" s="505" t="s">
        <v>8451</v>
      </c>
      <c r="B61" s="505">
        <v>558108461</v>
      </c>
      <c r="C61" s="505" t="s">
        <v>8412</v>
      </c>
      <c r="D61" s="505">
        <v>10</v>
      </c>
      <c r="F61" s="509" t="str">
        <f t="shared" si="55"/>
        <v>MAC+10</v>
      </c>
      <c r="G61" s="510">
        <f t="shared" si="56"/>
        <v>558108416</v>
      </c>
      <c r="H61" s="510">
        <f t="shared" si="57"/>
        <v>646883515</v>
      </c>
      <c r="I61" s="509">
        <f t="shared" si="58"/>
        <v>1</v>
      </c>
      <c r="J61" s="509">
        <f t="shared" si="59"/>
        <v>13</v>
      </c>
      <c r="L61" s="505" t="str">
        <f t="shared" si="60"/>
        <v/>
      </c>
      <c r="M61" s="505" t="str">
        <f t="shared" si="61"/>
        <v/>
      </c>
      <c r="N61" s="505" t="str">
        <f t="shared" si="62"/>
        <v/>
      </c>
      <c r="O61" s="505" t="str">
        <f t="shared" si="63"/>
        <v/>
      </c>
      <c r="P61" s="505" t="str">
        <f t="shared" si="64"/>
        <v/>
      </c>
      <c r="Q61" s="505" t="str">
        <f t="shared" si="65"/>
        <v/>
      </c>
      <c r="R61" s="505" t="str">
        <f t="shared" si="66"/>
        <v/>
      </c>
      <c r="T61" s="508">
        <f t="shared" si="67"/>
        <v>0</v>
      </c>
      <c r="U61" s="508">
        <f t="shared" si="68"/>
        <v>0</v>
      </c>
      <c r="V61" s="508">
        <f t="shared" si="69"/>
        <v>0</v>
      </c>
      <c r="W61" s="508">
        <f t="shared" si="70"/>
        <v>0</v>
      </c>
      <c r="X61" s="508">
        <f t="shared" si="71"/>
        <v>0</v>
      </c>
      <c r="Y61" s="508">
        <f t="shared" si="72"/>
        <v>0</v>
      </c>
      <c r="Z61" s="508">
        <f t="shared" si="73"/>
        <v>0</v>
      </c>
      <c r="AB61" s="508">
        <f t="shared" si="74"/>
        <v>0</v>
      </c>
      <c r="AC61" s="508">
        <f t="shared" si="75"/>
        <v>0</v>
      </c>
      <c r="AD61" s="508">
        <f t="shared" si="76"/>
        <v>0</v>
      </c>
      <c r="AE61" s="508">
        <f t="shared" si="77"/>
        <v>0</v>
      </c>
      <c r="AF61" s="508">
        <f t="shared" si="78"/>
        <v>0</v>
      </c>
      <c r="AG61" s="508">
        <f t="shared" si="79"/>
        <v>0</v>
      </c>
      <c r="AH61" s="508">
        <f t="shared" si="80"/>
        <v>0</v>
      </c>
      <c r="AI61" s="508">
        <f t="shared" si="81"/>
        <v>0</v>
      </c>
      <c r="AJ61" s="508">
        <f t="shared" si="82"/>
        <v>0</v>
      </c>
      <c r="AK61" s="508">
        <f t="shared" si="83"/>
        <v>0</v>
      </c>
      <c r="AL61" s="508">
        <f t="shared" si="84"/>
        <v>0</v>
      </c>
      <c r="AM61" s="508">
        <f t="shared" si="85"/>
        <v>0</v>
      </c>
      <c r="AN61" s="508">
        <f t="shared" si="86"/>
        <v>0</v>
      </c>
      <c r="AO61" s="508">
        <f t="shared" si="87"/>
        <v>0</v>
      </c>
      <c r="AP61" s="508">
        <f t="shared" si="88"/>
        <v>0</v>
      </c>
      <c r="AQ61" s="508">
        <f t="shared" si="89"/>
        <v>0</v>
      </c>
      <c r="AR61" s="508">
        <f t="shared" si="90"/>
        <v>0</v>
      </c>
      <c r="AS61" s="508">
        <f t="shared" si="91"/>
        <v>0</v>
      </c>
      <c r="AT61" s="508">
        <f t="shared" si="92"/>
        <v>0</v>
      </c>
      <c r="AU61" s="508">
        <f t="shared" si="93"/>
        <v>0</v>
      </c>
      <c r="AV61" s="508">
        <f t="shared" si="94"/>
        <v>0</v>
      </c>
      <c r="AW61" s="508">
        <f t="shared" si="95"/>
        <v>0</v>
      </c>
      <c r="AX61" s="508">
        <f t="shared" si="96"/>
        <v>0</v>
      </c>
      <c r="AY61" s="508">
        <f t="shared" si="97"/>
        <v>0</v>
      </c>
      <c r="AZ61" s="508">
        <f t="shared" si="98"/>
        <v>0</v>
      </c>
      <c r="BA61" s="508">
        <f t="shared" si="99"/>
        <v>0</v>
      </c>
      <c r="BB61" s="508">
        <f t="shared" si="100"/>
        <v>0</v>
      </c>
      <c r="BC61" s="508">
        <f t="shared" si="101"/>
        <v>0</v>
      </c>
      <c r="BD61" s="508">
        <f t="shared" si="102"/>
        <v>0</v>
      </c>
      <c r="BE61" s="508">
        <f t="shared" si="103"/>
        <v>0</v>
      </c>
      <c r="BF61" s="508">
        <f t="shared" si="104"/>
        <v>0</v>
      </c>
    </row>
    <row r="62" spans="1:58">
      <c r="A62" s="505" t="s">
        <v>8453</v>
      </c>
      <c r="B62" s="505">
        <v>558108461</v>
      </c>
      <c r="C62" s="505" t="s">
        <v>776</v>
      </c>
      <c r="D62" s="505">
        <v>10</v>
      </c>
      <c r="F62" s="509" t="str">
        <f t="shared" si="55"/>
        <v>N2+10</v>
      </c>
      <c r="G62" s="510">
        <f t="shared" si="56"/>
        <v>558108416</v>
      </c>
      <c r="H62" s="510">
        <f t="shared" si="57"/>
        <v>646883515</v>
      </c>
      <c r="I62" s="509">
        <f t="shared" si="58"/>
        <v>2</v>
      </c>
      <c r="J62" s="509">
        <f t="shared" si="59"/>
        <v>12</v>
      </c>
      <c r="L62" s="505" t="str">
        <f t="shared" si="60"/>
        <v/>
      </c>
      <c r="M62" s="505">
        <f t="shared" si="61"/>
        <v>10</v>
      </c>
      <c r="N62" s="505" t="str">
        <f t="shared" si="62"/>
        <v/>
      </c>
      <c r="O62" s="505" t="str">
        <f t="shared" si="63"/>
        <v/>
      </c>
      <c r="P62" s="505" t="str">
        <f t="shared" si="64"/>
        <v/>
      </c>
      <c r="Q62" s="505" t="str">
        <f t="shared" si="65"/>
        <v/>
      </c>
      <c r="R62" s="505" t="str">
        <f t="shared" si="66"/>
        <v/>
      </c>
      <c r="T62" s="508">
        <f t="shared" si="67"/>
        <v>0.82187500000000002</v>
      </c>
      <c r="U62" s="508">
        <f t="shared" si="68"/>
        <v>3.2609374999999998</v>
      </c>
      <c r="V62" s="508">
        <f t="shared" si="69"/>
        <v>0</v>
      </c>
      <c r="W62" s="508">
        <f t="shared" si="70"/>
        <v>0</v>
      </c>
      <c r="X62" s="508">
        <f t="shared" si="71"/>
        <v>126.6</v>
      </c>
      <c r="Y62" s="508">
        <f t="shared" si="72"/>
        <v>126.6</v>
      </c>
      <c r="Z62" s="508">
        <f t="shared" si="73"/>
        <v>0</v>
      </c>
      <c r="AB62" s="508">
        <f t="shared" si="74"/>
        <v>0</v>
      </c>
      <c r="AC62" s="508">
        <f t="shared" si="75"/>
        <v>0</v>
      </c>
      <c r="AD62" s="508">
        <f t="shared" si="76"/>
        <v>0</v>
      </c>
      <c r="AE62" s="508">
        <f t="shared" si="77"/>
        <v>129.86093750000001</v>
      </c>
      <c r="AF62" s="508">
        <f t="shared" si="78"/>
        <v>129.86093750000001</v>
      </c>
      <c r="AG62" s="508">
        <f t="shared" si="79"/>
        <v>129.86093750000001</v>
      </c>
      <c r="AH62" s="508">
        <f t="shared" si="80"/>
        <v>129.86093750000001</v>
      </c>
      <c r="AI62" s="508">
        <f t="shared" si="81"/>
        <v>0.82187500000000002</v>
      </c>
      <c r="AJ62" s="508">
        <f t="shared" si="82"/>
        <v>0.82187500000000002</v>
      </c>
      <c r="AK62" s="508">
        <f t="shared" si="83"/>
        <v>0.82187500000000002</v>
      </c>
      <c r="AL62" s="508">
        <f t="shared" si="84"/>
        <v>0.82187500000000002</v>
      </c>
      <c r="AM62" s="508">
        <f t="shared" si="85"/>
        <v>130.68281250000001</v>
      </c>
      <c r="AN62" s="508">
        <f t="shared" si="86"/>
        <v>130.68281250000001</v>
      </c>
      <c r="AO62" s="508">
        <f t="shared" si="87"/>
        <v>130.68281250000001</v>
      </c>
      <c r="AP62" s="508">
        <f t="shared" si="88"/>
        <v>130.68281250000001</v>
      </c>
      <c r="AQ62" s="508">
        <f t="shared" si="89"/>
        <v>0</v>
      </c>
      <c r="AR62" s="508">
        <f t="shared" si="90"/>
        <v>0</v>
      </c>
      <c r="AS62" s="508">
        <f t="shared" si="91"/>
        <v>0</v>
      </c>
      <c r="AT62" s="508">
        <f t="shared" si="92"/>
        <v>0</v>
      </c>
      <c r="AU62" s="508">
        <f t="shared" si="93"/>
        <v>129.86093750000001</v>
      </c>
      <c r="AV62" s="508">
        <f t="shared" si="94"/>
        <v>129.86093750000001</v>
      </c>
      <c r="AW62" s="508">
        <f t="shared" si="95"/>
        <v>129.86093750000001</v>
      </c>
      <c r="AX62" s="508">
        <f t="shared" si="96"/>
        <v>129.86093750000001</v>
      </c>
      <c r="AY62" s="508">
        <f t="shared" si="97"/>
        <v>0.82187500000000002</v>
      </c>
      <c r="AZ62" s="508">
        <f t="shared" si="98"/>
        <v>0.82187500000000002</v>
      </c>
      <c r="BA62" s="508">
        <f t="shared" si="99"/>
        <v>0.82187500000000002</v>
      </c>
      <c r="BB62" s="508">
        <f t="shared" si="100"/>
        <v>0.82187500000000002</v>
      </c>
      <c r="BC62" s="508">
        <f t="shared" si="101"/>
        <v>130.68281250000001</v>
      </c>
      <c r="BD62" s="508">
        <f t="shared" si="102"/>
        <v>130.68281250000001</v>
      </c>
      <c r="BE62" s="508">
        <f t="shared" si="103"/>
        <v>130.68281250000001</v>
      </c>
      <c r="BF62" s="508">
        <f t="shared" si="104"/>
        <v>130.68281250000001</v>
      </c>
    </row>
    <row r="63" spans="1:58">
      <c r="A63" s="505" t="s">
        <v>8453</v>
      </c>
      <c r="B63" s="505">
        <v>558108462</v>
      </c>
      <c r="C63" s="505" t="s">
        <v>773</v>
      </c>
      <c r="D63" s="505">
        <v>300</v>
      </c>
      <c r="F63" s="509" t="str">
        <f t="shared" si="55"/>
        <v>N3+300</v>
      </c>
      <c r="G63" s="510">
        <f t="shared" si="56"/>
        <v>558108416</v>
      </c>
      <c r="H63" s="510">
        <f t="shared" si="57"/>
        <v>646883515</v>
      </c>
      <c r="I63" s="509">
        <f t="shared" si="58"/>
        <v>3</v>
      </c>
      <c r="J63" s="509">
        <f t="shared" si="59"/>
        <v>11</v>
      </c>
      <c r="L63" s="505" t="str">
        <f t="shared" si="60"/>
        <v/>
      </c>
      <c r="M63" s="505">
        <f t="shared" si="61"/>
        <v>10</v>
      </c>
      <c r="N63" s="505">
        <f t="shared" si="62"/>
        <v>300</v>
      </c>
      <c r="O63" s="505" t="str">
        <f t="shared" si="63"/>
        <v/>
      </c>
      <c r="P63" s="505" t="str">
        <f t="shared" si="64"/>
        <v/>
      </c>
      <c r="Q63" s="505" t="str">
        <f t="shared" si="65"/>
        <v/>
      </c>
      <c r="R63" s="505" t="str">
        <f t="shared" si="66"/>
        <v/>
      </c>
      <c r="T63" s="508">
        <f t="shared" si="67"/>
        <v>0.82187500000000002</v>
      </c>
      <c r="U63" s="508">
        <f t="shared" si="68"/>
        <v>3.2609374999999998</v>
      </c>
      <c r="V63" s="508">
        <f t="shared" si="69"/>
        <v>0</v>
      </c>
      <c r="W63" s="508">
        <f t="shared" si="70"/>
        <v>0</v>
      </c>
      <c r="X63" s="508">
        <f t="shared" si="71"/>
        <v>126.6</v>
      </c>
      <c r="Y63" s="508">
        <f t="shared" si="72"/>
        <v>126.6</v>
      </c>
      <c r="Z63" s="508">
        <f t="shared" si="73"/>
        <v>60.586666666666666</v>
      </c>
      <c r="AB63" s="508">
        <f t="shared" si="74"/>
        <v>0</v>
      </c>
      <c r="AC63" s="508">
        <f t="shared" si="75"/>
        <v>60.586666666666666</v>
      </c>
      <c r="AD63" s="508">
        <f t="shared" si="76"/>
        <v>60.586666666666666</v>
      </c>
      <c r="AE63" s="508">
        <f t="shared" si="77"/>
        <v>129.86093750000001</v>
      </c>
      <c r="AF63" s="508">
        <f t="shared" si="78"/>
        <v>129.86093750000001</v>
      </c>
      <c r="AG63" s="508">
        <f t="shared" si="79"/>
        <v>190.44760416666668</v>
      </c>
      <c r="AH63" s="508">
        <f t="shared" si="80"/>
        <v>190.44760416666668</v>
      </c>
      <c r="AI63" s="508">
        <f t="shared" si="81"/>
        <v>0.82187500000000002</v>
      </c>
      <c r="AJ63" s="508">
        <f t="shared" si="82"/>
        <v>0.82187500000000002</v>
      </c>
      <c r="AK63" s="508">
        <f t="shared" si="83"/>
        <v>61.408541666666665</v>
      </c>
      <c r="AL63" s="508">
        <f t="shared" si="84"/>
        <v>61.408541666666665</v>
      </c>
      <c r="AM63" s="508">
        <f t="shared" si="85"/>
        <v>130.68281250000001</v>
      </c>
      <c r="AN63" s="508">
        <f t="shared" si="86"/>
        <v>130.68281250000001</v>
      </c>
      <c r="AO63" s="508">
        <f t="shared" si="87"/>
        <v>191.26947916666668</v>
      </c>
      <c r="AP63" s="508">
        <f t="shared" si="88"/>
        <v>191.26947916666668</v>
      </c>
      <c r="AQ63" s="508">
        <f t="shared" si="89"/>
        <v>0</v>
      </c>
      <c r="AR63" s="508">
        <f t="shared" si="90"/>
        <v>0</v>
      </c>
      <c r="AS63" s="508">
        <f t="shared" si="91"/>
        <v>60.586666666666666</v>
      </c>
      <c r="AT63" s="508">
        <f t="shared" si="92"/>
        <v>60.586666666666666</v>
      </c>
      <c r="AU63" s="508">
        <f t="shared" si="93"/>
        <v>129.86093750000001</v>
      </c>
      <c r="AV63" s="508">
        <f t="shared" si="94"/>
        <v>129.86093750000001</v>
      </c>
      <c r="AW63" s="508">
        <f t="shared" si="95"/>
        <v>190.44760416666668</v>
      </c>
      <c r="AX63" s="508">
        <f t="shared" si="96"/>
        <v>190.44760416666668</v>
      </c>
      <c r="AY63" s="508">
        <f t="shared" si="97"/>
        <v>0.82187500000000002</v>
      </c>
      <c r="AZ63" s="508">
        <f t="shared" si="98"/>
        <v>0.82187500000000002</v>
      </c>
      <c r="BA63" s="508">
        <f t="shared" si="99"/>
        <v>61.408541666666665</v>
      </c>
      <c r="BB63" s="508">
        <f t="shared" si="100"/>
        <v>61.408541666666665</v>
      </c>
      <c r="BC63" s="508">
        <f t="shared" si="101"/>
        <v>130.68281250000001</v>
      </c>
      <c r="BD63" s="508">
        <f t="shared" si="102"/>
        <v>130.68281250000001</v>
      </c>
      <c r="BE63" s="508">
        <f t="shared" si="103"/>
        <v>191.26947916666668</v>
      </c>
      <c r="BF63" s="508">
        <f t="shared" si="104"/>
        <v>191.26947916666668</v>
      </c>
    </row>
    <row r="64" spans="1:58">
      <c r="A64" s="505" t="s">
        <v>8453</v>
      </c>
      <c r="B64" s="505">
        <v>558108463</v>
      </c>
      <c r="C64" s="505" t="s">
        <v>12</v>
      </c>
      <c r="D64" s="505">
        <v>10</v>
      </c>
      <c r="F64" s="509" t="str">
        <f t="shared" si="55"/>
        <v>N1+10</v>
      </c>
      <c r="G64" s="510">
        <f t="shared" si="56"/>
        <v>558108416</v>
      </c>
      <c r="H64" s="510">
        <f t="shared" si="57"/>
        <v>646883515</v>
      </c>
      <c r="I64" s="509">
        <f t="shared" si="58"/>
        <v>4</v>
      </c>
      <c r="J64" s="509">
        <f t="shared" si="59"/>
        <v>10</v>
      </c>
      <c r="L64" s="505">
        <f t="shared" si="60"/>
        <v>10</v>
      </c>
      <c r="M64" s="505">
        <f t="shared" si="61"/>
        <v>10</v>
      </c>
      <c r="N64" s="505">
        <f t="shared" si="62"/>
        <v>300</v>
      </c>
      <c r="O64" s="505" t="str">
        <f t="shared" si="63"/>
        <v/>
      </c>
      <c r="P64" s="505" t="str">
        <f t="shared" si="64"/>
        <v/>
      </c>
      <c r="Q64" s="505" t="str">
        <f t="shared" si="65"/>
        <v/>
      </c>
      <c r="R64" s="505" t="str">
        <f t="shared" si="66"/>
        <v/>
      </c>
      <c r="T64" s="508">
        <f t="shared" si="67"/>
        <v>0.82187500000000002</v>
      </c>
      <c r="U64" s="508">
        <f t="shared" si="68"/>
        <v>3.2609374999999998</v>
      </c>
      <c r="V64" s="508">
        <f t="shared" si="69"/>
        <v>0</v>
      </c>
      <c r="W64" s="508">
        <f t="shared" si="70"/>
        <v>198.8</v>
      </c>
      <c r="X64" s="508">
        <f t="shared" si="71"/>
        <v>126.6</v>
      </c>
      <c r="Y64" s="508">
        <f t="shared" si="72"/>
        <v>126.6</v>
      </c>
      <c r="Z64" s="508">
        <f t="shared" si="73"/>
        <v>60.586666666666666</v>
      </c>
      <c r="AB64" s="508">
        <f t="shared" si="74"/>
        <v>198.8</v>
      </c>
      <c r="AC64" s="508">
        <f t="shared" si="75"/>
        <v>60.586666666666666</v>
      </c>
      <c r="AD64" s="508">
        <f t="shared" si="76"/>
        <v>259.38666666666666</v>
      </c>
      <c r="AE64" s="508">
        <f t="shared" si="77"/>
        <v>129.86093750000001</v>
      </c>
      <c r="AF64" s="508">
        <f t="shared" si="78"/>
        <v>328.66093750000005</v>
      </c>
      <c r="AG64" s="508">
        <f t="shared" si="79"/>
        <v>190.44760416666668</v>
      </c>
      <c r="AH64" s="508">
        <f t="shared" si="80"/>
        <v>389.24760416666669</v>
      </c>
      <c r="AI64" s="508">
        <f t="shared" si="81"/>
        <v>0.82187500000000002</v>
      </c>
      <c r="AJ64" s="508">
        <f t="shared" si="82"/>
        <v>199.62187500000002</v>
      </c>
      <c r="AK64" s="508">
        <f t="shared" si="83"/>
        <v>61.408541666666665</v>
      </c>
      <c r="AL64" s="508">
        <f t="shared" si="84"/>
        <v>260.20854166666669</v>
      </c>
      <c r="AM64" s="508">
        <f t="shared" si="85"/>
        <v>130.68281250000001</v>
      </c>
      <c r="AN64" s="508">
        <f t="shared" si="86"/>
        <v>329.48281250000002</v>
      </c>
      <c r="AO64" s="508">
        <f t="shared" si="87"/>
        <v>191.26947916666668</v>
      </c>
      <c r="AP64" s="508">
        <f t="shared" si="88"/>
        <v>390.06947916666672</v>
      </c>
      <c r="AQ64" s="508">
        <f t="shared" si="89"/>
        <v>0</v>
      </c>
      <c r="AR64" s="508">
        <f t="shared" si="90"/>
        <v>198.8</v>
      </c>
      <c r="AS64" s="508">
        <f t="shared" si="91"/>
        <v>60.586666666666666</v>
      </c>
      <c r="AT64" s="508">
        <f t="shared" si="92"/>
        <v>259.38666666666666</v>
      </c>
      <c r="AU64" s="508">
        <f t="shared" si="93"/>
        <v>129.86093750000001</v>
      </c>
      <c r="AV64" s="508">
        <f t="shared" si="94"/>
        <v>328.66093750000005</v>
      </c>
      <c r="AW64" s="508">
        <f t="shared" si="95"/>
        <v>190.44760416666668</v>
      </c>
      <c r="AX64" s="508">
        <f t="shared" si="96"/>
        <v>389.24760416666669</v>
      </c>
      <c r="AY64" s="508">
        <f t="shared" si="97"/>
        <v>0.82187500000000002</v>
      </c>
      <c r="AZ64" s="508">
        <f t="shared" si="98"/>
        <v>199.62187500000002</v>
      </c>
      <c r="BA64" s="508">
        <f t="shared" si="99"/>
        <v>61.408541666666665</v>
      </c>
      <c r="BB64" s="508">
        <f t="shared" si="100"/>
        <v>260.20854166666669</v>
      </c>
      <c r="BC64" s="508">
        <f t="shared" si="101"/>
        <v>130.68281250000001</v>
      </c>
      <c r="BD64" s="508">
        <f t="shared" si="102"/>
        <v>329.48281250000002</v>
      </c>
      <c r="BE64" s="508">
        <f t="shared" si="103"/>
        <v>191.26947916666668</v>
      </c>
      <c r="BF64" s="508">
        <f t="shared" si="104"/>
        <v>390.06947916666672</v>
      </c>
    </row>
    <row r="65" spans="1:58">
      <c r="A65" s="505" t="s">
        <v>8455</v>
      </c>
      <c r="B65" s="505">
        <v>558108464</v>
      </c>
      <c r="C65" s="505" t="s">
        <v>8411</v>
      </c>
      <c r="D65" s="505">
        <v>1</v>
      </c>
      <c r="F65" s="509" t="str">
        <f t="shared" si="55"/>
        <v>STAT+1</v>
      </c>
      <c r="G65" s="510">
        <f t="shared" si="56"/>
        <v>558108416</v>
      </c>
      <c r="H65" s="510">
        <f t="shared" si="57"/>
        <v>646883515</v>
      </c>
      <c r="I65" s="509">
        <f t="shared" si="58"/>
        <v>5</v>
      </c>
      <c r="J65" s="509">
        <f t="shared" si="59"/>
        <v>9</v>
      </c>
      <c r="L65" s="505">
        <f t="shared" si="60"/>
        <v>10</v>
      </c>
      <c r="M65" s="505">
        <f t="shared" si="61"/>
        <v>10</v>
      </c>
      <c r="N65" s="505">
        <f t="shared" si="62"/>
        <v>300</v>
      </c>
      <c r="O65" s="505">
        <f t="shared" si="63"/>
        <v>1</v>
      </c>
      <c r="P65" s="505" t="str">
        <f t="shared" si="64"/>
        <v/>
      </c>
      <c r="Q65" s="505" t="str">
        <f t="shared" si="65"/>
        <v/>
      </c>
      <c r="R65" s="505" t="str">
        <f t="shared" si="66"/>
        <v/>
      </c>
      <c r="T65" s="508">
        <f t="shared" si="67"/>
        <v>0.82187500000000002</v>
      </c>
      <c r="U65" s="508">
        <f t="shared" si="68"/>
        <v>3.2609374999999998</v>
      </c>
      <c r="V65" s="508">
        <f t="shared" si="69"/>
        <v>512</v>
      </c>
      <c r="W65" s="508">
        <f t="shared" si="70"/>
        <v>198.8</v>
      </c>
      <c r="X65" s="508">
        <f t="shared" si="71"/>
        <v>126.6</v>
      </c>
      <c r="Y65" s="508">
        <f t="shared" si="72"/>
        <v>126.6</v>
      </c>
      <c r="Z65" s="508">
        <f t="shared" si="73"/>
        <v>60.586666666666666</v>
      </c>
      <c r="AB65" s="508">
        <f t="shared" si="74"/>
        <v>198.8</v>
      </c>
      <c r="AC65" s="508">
        <f t="shared" si="75"/>
        <v>60.586666666666666</v>
      </c>
      <c r="AD65" s="508">
        <f t="shared" si="76"/>
        <v>259.38666666666666</v>
      </c>
      <c r="AE65" s="508">
        <f t="shared" si="77"/>
        <v>129.86093750000001</v>
      </c>
      <c r="AF65" s="508">
        <f t="shared" si="78"/>
        <v>328.66093750000005</v>
      </c>
      <c r="AG65" s="508">
        <f t="shared" si="79"/>
        <v>190.44760416666668</v>
      </c>
      <c r="AH65" s="508">
        <f t="shared" si="80"/>
        <v>389.24760416666669</v>
      </c>
      <c r="AI65" s="508">
        <f t="shared" si="81"/>
        <v>0.82187500000000002</v>
      </c>
      <c r="AJ65" s="508">
        <f t="shared" si="82"/>
        <v>199.62187500000002</v>
      </c>
      <c r="AK65" s="508">
        <f t="shared" si="83"/>
        <v>61.408541666666665</v>
      </c>
      <c r="AL65" s="508">
        <f t="shared" si="84"/>
        <v>260.20854166666669</v>
      </c>
      <c r="AM65" s="508">
        <f t="shared" si="85"/>
        <v>130.68281250000001</v>
      </c>
      <c r="AN65" s="508">
        <f t="shared" si="86"/>
        <v>329.48281250000002</v>
      </c>
      <c r="AO65" s="508">
        <f t="shared" si="87"/>
        <v>191.26947916666668</v>
      </c>
      <c r="AP65" s="508">
        <f t="shared" si="88"/>
        <v>390.06947916666672</v>
      </c>
      <c r="AQ65" s="508">
        <f t="shared" si="89"/>
        <v>512</v>
      </c>
      <c r="AR65" s="508">
        <f t="shared" si="90"/>
        <v>710.8</v>
      </c>
      <c r="AS65" s="508">
        <f t="shared" si="91"/>
        <v>572.5866666666667</v>
      </c>
      <c r="AT65" s="508">
        <f t="shared" si="92"/>
        <v>771.38666666666677</v>
      </c>
      <c r="AU65" s="508">
        <f t="shared" si="93"/>
        <v>641.86093749999998</v>
      </c>
      <c r="AV65" s="508">
        <f t="shared" si="94"/>
        <v>840.66093750000005</v>
      </c>
      <c r="AW65" s="508">
        <f t="shared" si="95"/>
        <v>702.44760416666668</v>
      </c>
      <c r="AX65" s="508">
        <f t="shared" si="96"/>
        <v>901.24760416666663</v>
      </c>
      <c r="AY65" s="508">
        <f t="shared" si="97"/>
        <v>512.82187499999998</v>
      </c>
      <c r="AZ65" s="508">
        <f t="shared" si="98"/>
        <v>711.62187500000005</v>
      </c>
      <c r="BA65" s="508">
        <f t="shared" si="99"/>
        <v>573.40854166666668</v>
      </c>
      <c r="BB65" s="508">
        <f t="shared" si="100"/>
        <v>772.20854166666663</v>
      </c>
      <c r="BC65" s="508">
        <f t="shared" si="101"/>
        <v>642.68281249999995</v>
      </c>
      <c r="BD65" s="508">
        <f t="shared" si="102"/>
        <v>841.48281249999991</v>
      </c>
      <c r="BE65" s="508">
        <f t="shared" si="103"/>
        <v>703.26947916666666</v>
      </c>
      <c r="BF65" s="508">
        <f t="shared" si="104"/>
        <v>902.06947916666672</v>
      </c>
    </row>
    <row r="66" spans="1:58">
      <c r="A66" s="505" t="s">
        <v>8453</v>
      </c>
      <c r="B66" s="505">
        <v>558109947</v>
      </c>
      <c r="C66" s="505" t="s">
        <v>776</v>
      </c>
      <c r="D66" s="505">
        <v>40</v>
      </c>
      <c r="F66" s="509" t="str">
        <f t="shared" si="55"/>
        <v>N2+40</v>
      </c>
      <c r="G66" s="510">
        <f t="shared" si="56"/>
        <v>558108416</v>
      </c>
      <c r="H66" s="510">
        <f t="shared" si="57"/>
        <v>646883515</v>
      </c>
      <c r="I66" s="509">
        <f t="shared" si="58"/>
        <v>6</v>
      </c>
      <c r="J66" s="509">
        <f t="shared" si="59"/>
        <v>8</v>
      </c>
      <c r="L66" s="505">
        <f t="shared" si="60"/>
        <v>10</v>
      </c>
      <c r="M66" s="505">
        <f t="shared" si="61"/>
        <v>40</v>
      </c>
      <c r="N66" s="505">
        <f t="shared" si="62"/>
        <v>300</v>
      </c>
      <c r="O66" s="505">
        <f t="shared" si="63"/>
        <v>1</v>
      </c>
      <c r="P66" s="505" t="str">
        <f t="shared" si="64"/>
        <v/>
      </c>
      <c r="Q66" s="505" t="str">
        <f t="shared" si="65"/>
        <v/>
      </c>
      <c r="R66" s="505" t="str">
        <f t="shared" si="66"/>
        <v/>
      </c>
      <c r="T66" s="508">
        <f t="shared" si="67"/>
        <v>0.20546875000000001</v>
      </c>
      <c r="U66" s="508">
        <f t="shared" si="68"/>
        <v>0.81523437499999996</v>
      </c>
      <c r="V66" s="508">
        <f t="shared" si="69"/>
        <v>512</v>
      </c>
      <c r="W66" s="508">
        <f t="shared" si="70"/>
        <v>198.8</v>
      </c>
      <c r="X66" s="508">
        <f t="shared" si="71"/>
        <v>31.65</v>
      </c>
      <c r="Y66" s="508">
        <f t="shared" si="72"/>
        <v>31.65</v>
      </c>
      <c r="Z66" s="508">
        <f t="shared" si="73"/>
        <v>60.586666666666666</v>
      </c>
      <c r="AB66" s="508">
        <f t="shared" si="74"/>
        <v>198.8</v>
      </c>
      <c r="AC66" s="508">
        <f t="shared" si="75"/>
        <v>60.586666666666666</v>
      </c>
      <c r="AD66" s="508">
        <f t="shared" si="76"/>
        <v>259.38666666666666</v>
      </c>
      <c r="AE66" s="508">
        <f t="shared" si="77"/>
        <v>32.465234375000001</v>
      </c>
      <c r="AF66" s="508">
        <f t="shared" si="78"/>
        <v>231.26523437500001</v>
      </c>
      <c r="AG66" s="508">
        <f t="shared" si="79"/>
        <v>93.051901041666667</v>
      </c>
      <c r="AH66" s="508">
        <f t="shared" si="80"/>
        <v>291.85190104166668</v>
      </c>
      <c r="AI66" s="508">
        <f t="shared" si="81"/>
        <v>0.20546875000000001</v>
      </c>
      <c r="AJ66" s="508">
        <f t="shared" si="82"/>
        <v>199.00546875000001</v>
      </c>
      <c r="AK66" s="508">
        <f t="shared" si="83"/>
        <v>60.792135416666667</v>
      </c>
      <c r="AL66" s="508">
        <f t="shared" si="84"/>
        <v>259.59213541666668</v>
      </c>
      <c r="AM66" s="508">
        <f t="shared" si="85"/>
        <v>32.670703125000003</v>
      </c>
      <c r="AN66" s="508">
        <f t="shared" si="86"/>
        <v>231.470703125</v>
      </c>
      <c r="AO66" s="508">
        <f t="shared" si="87"/>
        <v>93.257369791666662</v>
      </c>
      <c r="AP66" s="508">
        <f t="shared" si="88"/>
        <v>292.0573697916667</v>
      </c>
      <c r="AQ66" s="508">
        <f t="shared" si="89"/>
        <v>512</v>
      </c>
      <c r="AR66" s="508">
        <f t="shared" si="90"/>
        <v>710.8</v>
      </c>
      <c r="AS66" s="508">
        <f t="shared" si="91"/>
        <v>572.5866666666667</v>
      </c>
      <c r="AT66" s="508">
        <f t="shared" si="92"/>
        <v>771.38666666666677</v>
      </c>
      <c r="AU66" s="508">
        <f t="shared" si="93"/>
        <v>544.46523437500002</v>
      </c>
      <c r="AV66" s="508">
        <f t="shared" si="94"/>
        <v>743.26523437500009</v>
      </c>
      <c r="AW66" s="508">
        <f t="shared" si="95"/>
        <v>605.05190104166672</v>
      </c>
      <c r="AX66" s="508">
        <f t="shared" si="96"/>
        <v>803.85190104166668</v>
      </c>
      <c r="AY66" s="508">
        <f t="shared" si="97"/>
        <v>512.20546875000002</v>
      </c>
      <c r="AZ66" s="508">
        <f t="shared" si="98"/>
        <v>711.00546875000009</v>
      </c>
      <c r="BA66" s="508">
        <f t="shared" si="99"/>
        <v>572.79213541666672</v>
      </c>
      <c r="BB66" s="508">
        <f t="shared" si="100"/>
        <v>771.59213541666668</v>
      </c>
      <c r="BC66" s="508">
        <f t="shared" si="101"/>
        <v>544.67070312500005</v>
      </c>
      <c r="BD66" s="508">
        <f t="shared" si="102"/>
        <v>743.470703125</v>
      </c>
      <c r="BE66" s="508">
        <f t="shared" si="103"/>
        <v>605.25736979166675</v>
      </c>
      <c r="BF66" s="508">
        <f t="shared" si="104"/>
        <v>804.05736979166682</v>
      </c>
    </row>
    <row r="67" spans="1:58">
      <c r="A67" s="505" t="s">
        <v>8453</v>
      </c>
      <c r="B67" s="505">
        <v>558109948</v>
      </c>
      <c r="C67" s="505" t="s">
        <v>773</v>
      </c>
      <c r="D67" s="505">
        <v>7200</v>
      </c>
      <c r="F67" s="509" t="str">
        <f t="shared" si="55"/>
        <v>N3+7200</v>
      </c>
      <c r="G67" s="510">
        <f t="shared" si="56"/>
        <v>558108416</v>
      </c>
      <c r="H67" s="510">
        <f t="shared" si="57"/>
        <v>646883515</v>
      </c>
      <c r="I67" s="509">
        <f t="shared" si="58"/>
        <v>7</v>
      </c>
      <c r="J67" s="509">
        <f t="shared" si="59"/>
        <v>7</v>
      </c>
      <c r="L67" s="505">
        <f t="shared" si="60"/>
        <v>10</v>
      </c>
      <c r="M67" s="505">
        <f t="shared" si="61"/>
        <v>40</v>
      </c>
      <c r="N67" s="505">
        <f t="shared" si="62"/>
        <v>7200</v>
      </c>
      <c r="O67" s="505">
        <f t="shared" si="63"/>
        <v>1</v>
      </c>
      <c r="P67" s="505" t="str">
        <f t="shared" si="64"/>
        <v/>
      </c>
      <c r="Q67" s="505" t="str">
        <f t="shared" si="65"/>
        <v/>
      </c>
      <c r="R67" s="505" t="str">
        <f t="shared" si="66"/>
        <v/>
      </c>
      <c r="T67" s="508">
        <f t="shared" si="67"/>
        <v>0.20546875000000001</v>
      </c>
      <c r="U67" s="508">
        <f t="shared" si="68"/>
        <v>0.81523437499999996</v>
      </c>
      <c r="V67" s="508">
        <f t="shared" si="69"/>
        <v>512</v>
      </c>
      <c r="W67" s="508">
        <f t="shared" si="70"/>
        <v>198.8</v>
      </c>
      <c r="X67" s="508">
        <f t="shared" si="71"/>
        <v>31.65</v>
      </c>
      <c r="Y67" s="508">
        <f t="shared" si="72"/>
        <v>31.65</v>
      </c>
      <c r="Z67" s="508">
        <f t="shared" si="73"/>
        <v>2.5244444444444443</v>
      </c>
      <c r="AB67" s="508">
        <f t="shared" si="74"/>
        <v>198.8</v>
      </c>
      <c r="AC67" s="508">
        <f t="shared" si="75"/>
        <v>2.5244444444444443</v>
      </c>
      <c r="AD67" s="508">
        <f t="shared" si="76"/>
        <v>201.32444444444445</v>
      </c>
      <c r="AE67" s="508">
        <f t="shared" si="77"/>
        <v>32.465234375000001</v>
      </c>
      <c r="AF67" s="508">
        <f t="shared" si="78"/>
        <v>231.26523437500001</v>
      </c>
      <c r="AG67" s="508">
        <f t="shared" si="79"/>
        <v>34.989678819444443</v>
      </c>
      <c r="AH67" s="508">
        <f t="shared" si="80"/>
        <v>233.78967881944445</v>
      </c>
      <c r="AI67" s="508">
        <f t="shared" si="81"/>
        <v>0.20546875000000001</v>
      </c>
      <c r="AJ67" s="508">
        <f t="shared" si="82"/>
        <v>199.00546875000001</v>
      </c>
      <c r="AK67" s="508">
        <f t="shared" si="83"/>
        <v>2.7299131944444444</v>
      </c>
      <c r="AL67" s="508">
        <f t="shared" si="84"/>
        <v>201.52991319444445</v>
      </c>
      <c r="AM67" s="508">
        <f t="shared" si="85"/>
        <v>32.670703125000003</v>
      </c>
      <c r="AN67" s="508">
        <f t="shared" si="86"/>
        <v>231.470703125</v>
      </c>
      <c r="AO67" s="508">
        <f t="shared" si="87"/>
        <v>35.195147569444444</v>
      </c>
      <c r="AP67" s="508">
        <f t="shared" si="88"/>
        <v>233.99514756944444</v>
      </c>
      <c r="AQ67" s="508">
        <f t="shared" si="89"/>
        <v>512</v>
      </c>
      <c r="AR67" s="508">
        <f t="shared" si="90"/>
        <v>710.8</v>
      </c>
      <c r="AS67" s="508">
        <f t="shared" si="91"/>
        <v>514.5244444444445</v>
      </c>
      <c r="AT67" s="508">
        <f t="shared" si="92"/>
        <v>713.32444444444445</v>
      </c>
      <c r="AU67" s="508">
        <f t="shared" si="93"/>
        <v>544.46523437500002</v>
      </c>
      <c r="AV67" s="508">
        <f t="shared" si="94"/>
        <v>743.26523437500009</v>
      </c>
      <c r="AW67" s="508">
        <f t="shared" si="95"/>
        <v>546.98967881944452</v>
      </c>
      <c r="AX67" s="508">
        <f t="shared" si="96"/>
        <v>745.78967881944459</v>
      </c>
      <c r="AY67" s="508">
        <f t="shared" si="97"/>
        <v>512.20546875000002</v>
      </c>
      <c r="AZ67" s="508">
        <f t="shared" si="98"/>
        <v>711.00546875000009</v>
      </c>
      <c r="BA67" s="508">
        <f t="shared" si="99"/>
        <v>514.72991319444452</v>
      </c>
      <c r="BB67" s="508">
        <f t="shared" si="100"/>
        <v>713.52991319444459</v>
      </c>
      <c r="BC67" s="508">
        <f t="shared" si="101"/>
        <v>544.67070312500005</v>
      </c>
      <c r="BD67" s="508">
        <f t="shared" si="102"/>
        <v>743.470703125</v>
      </c>
      <c r="BE67" s="508">
        <f t="shared" si="103"/>
        <v>547.19514756944454</v>
      </c>
      <c r="BF67" s="508">
        <f t="shared" si="104"/>
        <v>745.9951475694445</v>
      </c>
    </row>
    <row r="68" spans="1:58">
      <c r="A68" s="505" t="s">
        <v>8453</v>
      </c>
      <c r="B68" s="505">
        <v>558109949</v>
      </c>
      <c r="C68" s="505" t="s">
        <v>12</v>
      </c>
      <c r="D68" s="505">
        <v>3600</v>
      </c>
      <c r="F68" s="509" t="str">
        <f t="shared" si="55"/>
        <v>N1+3600</v>
      </c>
      <c r="G68" s="510">
        <f t="shared" si="56"/>
        <v>558108416</v>
      </c>
      <c r="H68" s="510">
        <f t="shared" si="57"/>
        <v>646883515</v>
      </c>
      <c r="I68" s="509">
        <f t="shared" si="58"/>
        <v>8</v>
      </c>
      <c r="J68" s="509">
        <f t="shared" si="59"/>
        <v>6</v>
      </c>
      <c r="L68" s="505">
        <f t="shared" si="60"/>
        <v>3600</v>
      </c>
      <c r="M68" s="505">
        <f t="shared" si="61"/>
        <v>40</v>
      </c>
      <c r="N68" s="505">
        <f t="shared" si="62"/>
        <v>7200</v>
      </c>
      <c r="O68" s="505">
        <f t="shared" si="63"/>
        <v>1</v>
      </c>
      <c r="P68" s="505" t="str">
        <f t="shared" si="64"/>
        <v/>
      </c>
      <c r="Q68" s="505" t="str">
        <f t="shared" si="65"/>
        <v/>
      </c>
      <c r="R68" s="505" t="str">
        <f t="shared" si="66"/>
        <v/>
      </c>
      <c r="T68" s="508">
        <f t="shared" si="67"/>
        <v>0.20546875000000001</v>
      </c>
      <c r="U68" s="508">
        <f t="shared" si="68"/>
        <v>0.81523437499999996</v>
      </c>
      <c r="V68" s="508">
        <f t="shared" si="69"/>
        <v>512</v>
      </c>
      <c r="W68" s="508">
        <f t="shared" si="70"/>
        <v>0.55222222222222217</v>
      </c>
      <c r="X68" s="508">
        <f t="shared" si="71"/>
        <v>31.65</v>
      </c>
      <c r="Y68" s="508">
        <f t="shared" si="72"/>
        <v>31.65</v>
      </c>
      <c r="Z68" s="508">
        <f t="shared" si="73"/>
        <v>2.5244444444444443</v>
      </c>
      <c r="AB68" s="508">
        <f t="shared" si="74"/>
        <v>0.55222222222222217</v>
      </c>
      <c r="AC68" s="508">
        <f t="shared" si="75"/>
        <v>2.5244444444444443</v>
      </c>
      <c r="AD68" s="508">
        <f t="shared" si="76"/>
        <v>3.0766666666666662</v>
      </c>
      <c r="AE68" s="508">
        <f t="shared" si="77"/>
        <v>32.465234375000001</v>
      </c>
      <c r="AF68" s="508">
        <f t="shared" si="78"/>
        <v>33.017456597222221</v>
      </c>
      <c r="AG68" s="508">
        <f t="shared" si="79"/>
        <v>34.989678819444443</v>
      </c>
      <c r="AH68" s="508">
        <f t="shared" si="80"/>
        <v>35.541901041666662</v>
      </c>
      <c r="AI68" s="508">
        <f t="shared" si="81"/>
        <v>0.20546875000000001</v>
      </c>
      <c r="AJ68" s="508">
        <f t="shared" si="82"/>
        <v>0.75769097222222215</v>
      </c>
      <c r="AK68" s="508">
        <f t="shared" si="83"/>
        <v>2.7299131944444444</v>
      </c>
      <c r="AL68" s="508">
        <f t="shared" si="84"/>
        <v>3.2821354166666667</v>
      </c>
      <c r="AM68" s="508">
        <f t="shared" si="85"/>
        <v>32.670703125000003</v>
      </c>
      <c r="AN68" s="508">
        <f t="shared" si="86"/>
        <v>33.222925347222223</v>
      </c>
      <c r="AO68" s="508">
        <f t="shared" si="87"/>
        <v>35.195147569444444</v>
      </c>
      <c r="AP68" s="508">
        <f t="shared" si="88"/>
        <v>35.747369791666664</v>
      </c>
      <c r="AQ68" s="508">
        <f t="shared" si="89"/>
        <v>512</v>
      </c>
      <c r="AR68" s="508">
        <f t="shared" si="90"/>
        <v>512.55222222222221</v>
      </c>
      <c r="AS68" s="508">
        <f t="shared" si="91"/>
        <v>514.5244444444445</v>
      </c>
      <c r="AT68" s="508">
        <f t="shared" si="92"/>
        <v>515.07666666666671</v>
      </c>
      <c r="AU68" s="508">
        <f t="shared" si="93"/>
        <v>544.46523437500002</v>
      </c>
      <c r="AV68" s="508">
        <f t="shared" si="94"/>
        <v>545.01745659722224</v>
      </c>
      <c r="AW68" s="508">
        <f t="shared" si="95"/>
        <v>546.98967881944452</v>
      </c>
      <c r="AX68" s="508">
        <f t="shared" si="96"/>
        <v>547.54190104166673</v>
      </c>
      <c r="AY68" s="508">
        <f t="shared" si="97"/>
        <v>512.20546875000002</v>
      </c>
      <c r="AZ68" s="508">
        <f t="shared" si="98"/>
        <v>512.75769097222224</v>
      </c>
      <c r="BA68" s="508">
        <f t="shared" si="99"/>
        <v>514.72991319444452</v>
      </c>
      <c r="BB68" s="508">
        <f t="shared" si="100"/>
        <v>515.28213541666673</v>
      </c>
      <c r="BC68" s="508">
        <f t="shared" si="101"/>
        <v>544.67070312500005</v>
      </c>
      <c r="BD68" s="508">
        <f t="shared" si="102"/>
        <v>545.22292534722226</v>
      </c>
      <c r="BE68" s="508">
        <f t="shared" si="103"/>
        <v>547.19514756944454</v>
      </c>
      <c r="BF68" s="508">
        <f t="shared" si="104"/>
        <v>547.74736979166676</v>
      </c>
    </row>
    <row r="69" spans="1:58">
      <c r="A69" s="505" t="s">
        <v>8455</v>
      </c>
      <c r="B69" s="505">
        <v>558109950</v>
      </c>
      <c r="C69" s="505" t="s">
        <v>8411</v>
      </c>
      <c r="D69" s="505">
        <v>300</v>
      </c>
      <c r="F69" s="509" t="str">
        <f t="shared" si="55"/>
        <v>STAT+300</v>
      </c>
      <c r="G69" s="510">
        <f t="shared" si="56"/>
        <v>558108416</v>
      </c>
      <c r="H69" s="510">
        <f t="shared" si="57"/>
        <v>646883515</v>
      </c>
      <c r="I69" s="509">
        <f t="shared" si="58"/>
        <v>9</v>
      </c>
      <c r="J69" s="509">
        <f t="shared" si="59"/>
        <v>5</v>
      </c>
      <c r="L69" s="505">
        <f t="shared" si="60"/>
        <v>3600</v>
      </c>
      <c r="M69" s="505">
        <f t="shared" si="61"/>
        <v>40</v>
      </c>
      <c r="N69" s="505">
        <f t="shared" si="62"/>
        <v>7200</v>
      </c>
      <c r="O69" s="505">
        <f t="shared" si="63"/>
        <v>300</v>
      </c>
      <c r="P69" s="505" t="str">
        <f t="shared" si="64"/>
        <v/>
      </c>
      <c r="Q69" s="505" t="str">
        <f t="shared" si="65"/>
        <v/>
      </c>
      <c r="R69" s="505" t="str">
        <f t="shared" si="66"/>
        <v/>
      </c>
      <c r="T69" s="508">
        <f t="shared" si="67"/>
        <v>0.20546875000000001</v>
      </c>
      <c r="U69" s="508">
        <f t="shared" si="68"/>
        <v>0.81523437499999996</v>
      </c>
      <c r="V69" s="508">
        <f t="shared" si="69"/>
        <v>1.7066666666666668</v>
      </c>
      <c r="W69" s="508">
        <f t="shared" si="70"/>
        <v>0.55222222222222217</v>
      </c>
      <c r="X69" s="508">
        <f t="shared" si="71"/>
        <v>31.65</v>
      </c>
      <c r="Y69" s="508">
        <f t="shared" si="72"/>
        <v>31.65</v>
      </c>
      <c r="Z69" s="508">
        <f t="shared" si="73"/>
        <v>2.5244444444444443</v>
      </c>
      <c r="AB69" s="508">
        <f t="shared" si="74"/>
        <v>0.55222222222222217</v>
      </c>
      <c r="AC69" s="508">
        <f t="shared" si="75"/>
        <v>2.5244444444444443</v>
      </c>
      <c r="AD69" s="508">
        <f t="shared" si="76"/>
        <v>3.0766666666666662</v>
      </c>
      <c r="AE69" s="508">
        <f t="shared" si="77"/>
        <v>32.465234375000001</v>
      </c>
      <c r="AF69" s="508">
        <f t="shared" si="78"/>
        <v>33.017456597222221</v>
      </c>
      <c r="AG69" s="508">
        <f t="shared" si="79"/>
        <v>34.989678819444443</v>
      </c>
      <c r="AH69" s="508">
        <f t="shared" si="80"/>
        <v>35.541901041666662</v>
      </c>
      <c r="AI69" s="508">
        <f t="shared" si="81"/>
        <v>0.20546875000000001</v>
      </c>
      <c r="AJ69" s="508">
        <f t="shared" si="82"/>
        <v>0.75769097222222215</v>
      </c>
      <c r="AK69" s="508">
        <f t="shared" si="83"/>
        <v>2.7299131944444444</v>
      </c>
      <c r="AL69" s="508">
        <f t="shared" si="84"/>
        <v>3.2821354166666667</v>
      </c>
      <c r="AM69" s="508">
        <f t="shared" si="85"/>
        <v>32.670703125000003</v>
      </c>
      <c r="AN69" s="508">
        <f t="shared" si="86"/>
        <v>33.222925347222223</v>
      </c>
      <c r="AO69" s="508">
        <f t="shared" si="87"/>
        <v>35.195147569444444</v>
      </c>
      <c r="AP69" s="508">
        <f t="shared" si="88"/>
        <v>35.747369791666664</v>
      </c>
      <c r="AQ69" s="508">
        <f t="shared" si="89"/>
        <v>1.7066666666666668</v>
      </c>
      <c r="AR69" s="508">
        <f t="shared" si="90"/>
        <v>2.2588888888888889</v>
      </c>
      <c r="AS69" s="508">
        <f t="shared" si="91"/>
        <v>4.2311111111111108</v>
      </c>
      <c r="AT69" s="508">
        <f t="shared" si="92"/>
        <v>4.7833333333333332</v>
      </c>
      <c r="AU69" s="508">
        <f t="shared" si="93"/>
        <v>34.171901041666665</v>
      </c>
      <c r="AV69" s="508">
        <f t="shared" si="94"/>
        <v>34.724123263888885</v>
      </c>
      <c r="AW69" s="508">
        <f t="shared" si="95"/>
        <v>36.696345486111106</v>
      </c>
      <c r="AX69" s="508">
        <f t="shared" si="96"/>
        <v>37.248567708333326</v>
      </c>
      <c r="AY69" s="508">
        <f t="shared" si="97"/>
        <v>1.9121354166666669</v>
      </c>
      <c r="AZ69" s="508">
        <f t="shared" si="98"/>
        <v>2.464357638888889</v>
      </c>
      <c r="BA69" s="508">
        <f t="shared" si="99"/>
        <v>4.4365798611111114</v>
      </c>
      <c r="BB69" s="508">
        <f t="shared" si="100"/>
        <v>4.9888020833333337</v>
      </c>
      <c r="BC69" s="508">
        <f t="shared" si="101"/>
        <v>34.377369791666666</v>
      </c>
      <c r="BD69" s="508">
        <f t="shared" si="102"/>
        <v>34.929592013888886</v>
      </c>
      <c r="BE69" s="508">
        <f t="shared" si="103"/>
        <v>36.901814236111107</v>
      </c>
      <c r="BF69" s="508">
        <f t="shared" si="104"/>
        <v>37.454036458333327</v>
      </c>
    </row>
    <row r="70" spans="1:58">
      <c r="A70" s="505" t="s">
        <v>8453</v>
      </c>
      <c r="B70" s="505">
        <v>558110266</v>
      </c>
      <c r="C70" s="505" t="s">
        <v>776</v>
      </c>
      <c r="D70" s="505">
        <v>100</v>
      </c>
      <c r="F70" s="509" t="str">
        <f t="shared" si="55"/>
        <v>N2+100</v>
      </c>
      <c r="G70" s="510">
        <f t="shared" si="56"/>
        <v>558108416</v>
      </c>
      <c r="H70" s="510">
        <f t="shared" si="57"/>
        <v>646883515</v>
      </c>
      <c r="I70" s="509">
        <f t="shared" si="58"/>
        <v>10</v>
      </c>
      <c r="J70" s="509">
        <f t="shared" si="59"/>
        <v>4</v>
      </c>
      <c r="L70" s="505">
        <f t="shared" si="60"/>
        <v>3600</v>
      </c>
      <c r="M70" s="505">
        <f t="shared" si="61"/>
        <v>100</v>
      </c>
      <c r="N70" s="505">
        <f t="shared" si="62"/>
        <v>7200</v>
      </c>
      <c r="O70" s="505">
        <f t="shared" si="63"/>
        <v>300</v>
      </c>
      <c r="P70" s="505" t="str">
        <f t="shared" si="64"/>
        <v/>
      </c>
      <c r="Q70" s="505" t="str">
        <f t="shared" si="65"/>
        <v/>
      </c>
      <c r="R70" s="505" t="str">
        <f t="shared" si="66"/>
        <v/>
      </c>
      <c r="T70" s="508">
        <f t="shared" si="67"/>
        <v>8.2187499999999997E-2</v>
      </c>
      <c r="U70" s="508">
        <f t="shared" si="68"/>
        <v>0.32609375000000002</v>
      </c>
      <c r="V70" s="508">
        <f t="shared" si="69"/>
        <v>1.7066666666666668</v>
      </c>
      <c r="W70" s="508">
        <f t="shared" si="70"/>
        <v>0.55222222222222217</v>
      </c>
      <c r="X70" s="508">
        <f t="shared" si="71"/>
        <v>12.66</v>
      </c>
      <c r="Y70" s="508">
        <f t="shared" si="72"/>
        <v>12.66</v>
      </c>
      <c r="Z70" s="508">
        <f t="shared" si="73"/>
        <v>2.5244444444444443</v>
      </c>
      <c r="AB70" s="508">
        <f t="shared" si="74"/>
        <v>0.55222222222222217</v>
      </c>
      <c r="AC70" s="508">
        <f t="shared" si="75"/>
        <v>2.5244444444444443</v>
      </c>
      <c r="AD70" s="508">
        <f t="shared" si="76"/>
        <v>3.0766666666666662</v>
      </c>
      <c r="AE70" s="508">
        <f t="shared" si="77"/>
        <v>12.98609375</v>
      </c>
      <c r="AF70" s="508">
        <f t="shared" si="78"/>
        <v>13.538315972222222</v>
      </c>
      <c r="AG70" s="508">
        <f t="shared" si="79"/>
        <v>15.510538194444445</v>
      </c>
      <c r="AH70" s="508">
        <f t="shared" si="80"/>
        <v>16.062760416666666</v>
      </c>
      <c r="AI70" s="508">
        <f t="shared" si="81"/>
        <v>8.2187499999999997E-2</v>
      </c>
      <c r="AJ70" s="508">
        <f t="shared" si="82"/>
        <v>0.63440972222222214</v>
      </c>
      <c r="AK70" s="508">
        <f t="shared" si="83"/>
        <v>2.6066319444444441</v>
      </c>
      <c r="AL70" s="508">
        <f t="shared" si="84"/>
        <v>3.1588541666666661</v>
      </c>
      <c r="AM70" s="508">
        <f t="shared" si="85"/>
        <v>13.06828125</v>
      </c>
      <c r="AN70" s="508">
        <f t="shared" si="86"/>
        <v>13.620503472222222</v>
      </c>
      <c r="AO70" s="508">
        <f t="shared" si="87"/>
        <v>15.592725694444445</v>
      </c>
      <c r="AP70" s="508">
        <f t="shared" si="88"/>
        <v>16.144947916666666</v>
      </c>
      <c r="AQ70" s="508">
        <f t="shared" si="89"/>
        <v>1.7066666666666668</v>
      </c>
      <c r="AR70" s="508">
        <f t="shared" si="90"/>
        <v>2.2588888888888889</v>
      </c>
      <c r="AS70" s="508">
        <f t="shared" si="91"/>
        <v>4.2311111111111108</v>
      </c>
      <c r="AT70" s="508">
        <f t="shared" si="92"/>
        <v>4.7833333333333332</v>
      </c>
      <c r="AU70" s="508">
        <f t="shared" si="93"/>
        <v>14.692760416666667</v>
      </c>
      <c r="AV70" s="508">
        <f t="shared" si="94"/>
        <v>15.244982638888889</v>
      </c>
      <c r="AW70" s="508">
        <f t="shared" si="95"/>
        <v>17.21720486111111</v>
      </c>
      <c r="AX70" s="508">
        <f t="shared" si="96"/>
        <v>17.769427083333333</v>
      </c>
      <c r="AY70" s="508">
        <f t="shared" si="97"/>
        <v>1.7888541666666669</v>
      </c>
      <c r="AZ70" s="508">
        <f t="shared" si="98"/>
        <v>2.3410763888888892</v>
      </c>
      <c r="BA70" s="508">
        <f t="shared" si="99"/>
        <v>4.3132986111111116</v>
      </c>
      <c r="BB70" s="508">
        <f t="shared" si="100"/>
        <v>4.865520833333334</v>
      </c>
      <c r="BC70" s="508">
        <f t="shared" si="101"/>
        <v>14.774947916666667</v>
      </c>
      <c r="BD70" s="508">
        <f t="shared" si="102"/>
        <v>15.327170138888889</v>
      </c>
      <c r="BE70" s="508">
        <f t="shared" si="103"/>
        <v>17.29939236111111</v>
      </c>
      <c r="BF70" s="508">
        <f t="shared" si="104"/>
        <v>17.851614583333333</v>
      </c>
    </row>
    <row r="71" spans="1:58">
      <c r="A71" s="505" t="s">
        <v>8453</v>
      </c>
      <c r="B71" s="505">
        <v>558110269</v>
      </c>
      <c r="C71" s="505" t="s">
        <v>12</v>
      </c>
      <c r="D71" s="505">
        <v>100</v>
      </c>
      <c r="F71" s="509" t="str">
        <f t="shared" si="55"/>
        <v>N1+100</v>
      </c>
      <c r="G71" s="510">
        <f t="shared" si="56"/>
        <v>558108416</v>
      </c>
      <c r="H71" s="510">
        <f t="shared" si="57"/>
        <v>646883515</v>
      </c>
      <c r="I71" s="509">
        <f t="shared" si="58"/>
        <v>11</v>
      </c>
      <c r="J71" s="509">
        <f t="shared" si="59"/>
        <v>3</v>
      </c>
      <c r="L71" s="505">
        <f t="shared" si="60"/>
        <v>100</v>
      </c>
      <c r="M71" s="505">
        <f t="shared" si="61"/>
        <v>100</v>
      </c>
      <c r="N71" s="505">
        <f t="shared" si="62"/>
        <v>7200</v>
      </c>
      <c r="O71" s="505">
        <f t="shared" si="63"/>
        <v>300</v>
      </c>
      <c r="P71" s="505" t="str">
        <f t="shared" si="64"/>
        <v/>
      </c>
      <c r="Q71" s="505" t="str">
        <f t="shared" si="65"/>
        <v/>
      </c>
      <c r="R71" s="505" t="str">
        <f t="shared" si="66"/>
        <v/>
      </c>
      <c r="T71" s="508">
        <f t="shared" si="67"/>
        <v>8.2187499999999997E-2</v>
      </c>
      <c r="U71" s="508">
        <f t="shared" si="68"/>
        <v>0.32609375000000002</v>
      </c>
      <c r="V71" s="508">
        <f t="shared" si="69"/>
        <v>1.7066666666666668</v>
      </c>
      <c r="W71" s="508">
        <f t="shared" si="70"/>
        <v>19.88</v>
      </c>
      <c r="X71" s="508">
        <f t="shared" si="71"/>
        <v>12.66</v>
      </c>
      <c r="Y71" s="508">
        <f t="shared" si="72"/>
        <v>12.66</v>
      </c>
      <c r="Z71" s="508">
        <f t="shared" si="73"/>
        <v>2.5244444444444443</v>
      </c>
      <c r="AB71" s="508">
        <f t="shared" si="74"/>
        <v>19.88</v>
      </c>
      <c r="AC71" s="508">
        <f t="shared" si="75"/>
        <v>2.5244444444444443</v>
      </c>
      <c r="AD71" s="508">
        <f t="shared" si="76"/>
        <v>22.404444444444444</v>
      </c>
      <c r="AE71" s="508">
        <f t="shared" si="77"/>
        <v>12.98609375</v>
      </c>
      <c r="AF71" s="508">
        <f t="shared" si="78"/>
        <v>32.866093749999997</v>
      </c>
      <c r="AG71" s="508">
        <f t="shared" si="79"/>
        <v>15.510538194444445</v>
      </c>
      <c r="AH71" s="508">
        <f t="shared" si="80"/>
        <v>35.390538194444446</v>
      </c>
      <c r="AI71" s="508">
        <f t="shared" si="81"/>
        <v>8.2187499999999997E-2</v>
      </c>
      <c r="AJ71" s="508">
        <f t="shared" si="82"/>
        <v>19.962187499999999</v>
      </c>
      <c r="AK71" s="508">
        <f t="shared" si="83"/>
        <v>2.6066319444444441</v>
      </c>
      <c r="AL71" s="508">
        <f t="shared" si="84"/>
        <v>22.486631944444444</v>
      </c>
      <c r="AM71" s="508">
        <f t="shared" si="85"/>
        <v>13.06828125</v>
      </c>
      <c r="AN71" s="508">
        <f t="shared" si="86"/>
        <v>32.948281250000001</v>
      </c>
      <c r="AO71" s="508">
        <f t="shared" si="87"/>
        <v>15.592725694444445</v>
      </c>
      <c r="AP71" s="508">
        <f t="shared" si="88"/>
        <v>35.472725694444442</v>
      </c>
      <c r="AQ71" s="508">
        <f t="shared" si="89"/>
        <v>1.7066666666666668</v>
      </c>
      <c r="AR71" s="508">
        <f t="shared" si="90"/>
        <v>21.586666666666666</v>
      </c>
      <c r="AS71" s="508">
        <f t="shared" si="91"/>
        <v>4.2311111111111108</v>
      </c>
      <c r="AT71" s="508">
        <f t="shared" si="92"/>
        <v>24.111111111111111</v>
      </c>
      <c r="AU71" s="508">
        <f t="shared" si="93"/>
        <v>14.692760416666667</v>
      </c>
      <c r="AV71" s="508">
        <f t="shared" si="94"/>
        <v>34.572760416666668</v>
      </c>
      <c r="AW71" s="508">
        <f t="shared" si="95"/>
        <v>17.21720486111111</v>
      </c>
      <c r="AX71" s="508">
        <f t="shared" si="96"/>
        <v>37.097204861111109</v>
      </c>
      <c r="AY71" s="508">
        <f t="shared" si="97"/>
        <v>1.7888541666666669</v>
      </c>
      <c r="AZ71" s="508">
        <f t="shared" si="98"/>
        <v>21.668854166666666</v>
      </c>
      <c r="BA71" s="508">
        <f t="shared" si="99"/>
        <v>4.3132986111111116</v>
      </c>
      <c r="BB71" s="508">
        <f t="shared" si="100"/>
        <v>24.193298611111111</v>
      </c>
      <c r="BC71" s="508">
        <f t="shared" si="101"/>
        <v>14.774947916666667</v>
      </c>
      <c r="BD71" s="508">
        <f t="shared" si="102"/>
        <v>34.654947916666664</v>
      </c>
      <c r="BE71" s="508">
        <f t="shared" si="103"/>
        <v>17.29939236111111</v>
      </c>
      <c r="BF71" s="508">
        <f t="shared" si="104"/>
        <v>37.179392361111113</v>
      </c>
    </row>
    <row r="72" spans="1:58">
      <c r="A72" s="505" t="s">
        <v>8453</v>
      </c>
      <c r="B72" s="505">
        <v>558110272</v>
      </c>
      <c r="C72" s="505" t="s">
        <v>773</v>
      </c>
      <c r="D72" s="505">
        <v>7200</v>
      </c>
      <c r="F72" s="509" t="str">
        <f t="shared" si="55"/>
        <v>N3+7200</v>
      </c>
      <c r="G72" s="510">
        <f t="shared" si="56"/>
        <v>558108416</v>
      </c>
      <c r="H72" s="510">
        <f t="shared" si="57"/>
        <v>646883515</v>
      </c>
      <c r="I72" s="509">
        <f t="shared" si="58"/>
        <v>12</v>
      </c>
      <c r="J72" s="509">
        <f t="shared" si="59"/>
        <v>2</v>
      </c>
      <c r="L72" s="505">
        <f t="shared" si="60"/>
        <v>100</v>
      </c>
      <c r="M72" s="505">
        <f t="shared" si="61"/>
        <v>100</v>
      </c>
      <c r="N72" s="505">
        <f t="shared" si="62"/>
        <v>7200</v>
      </c>
      <c r="O72" s="505">
        <f t="shared" si="63"/>
        <v>300</v>
      </c>
      <c r="P72" s="505" t="str">
        <f t="shared" si="64"/>
        <v/>
      </c>
      <c r="Q72" s="505" t="str">
        <f t="shared" si="65"/>
        <v/>
      </c>
      <c r="R72" s="505" t="str">
        <f t="shared" si="66"/>
        <v/>
      </c>
      <c r="T72" s="508">
        <f t="shared" si="67"/>
        <v>8.2187499999999997E-2</v>
      </c>
      <c r="U72" s="508">
        <f t="shared" si="68"/>
        <v>0.32609375000000002</v>
      </c>
      <c r="V72" s="508">
        <f t="shared" si="69"/>
        <v>1.7066666666666668</v>
      </c>
      <c r="W72" s="508">
        <f t="shared" si="70"/>
        <v>19.88</v>
      </c>
      <c r="X72" s="508">
        <f t="shared" si="71"/>
        <v>12.66</v>
      </c>
      <c r="Y72" s="508">
        <f t="shared" si="72"/>
        <v>12.66</v>
      </c>
      <c r="Z72" s="508">
        <f t="shared" si="73"/>
        <v>2.5244444444444443</v>
      </c>
      <c r="AB72" s="508">
        <f t="shared" si="74"/>
        <v>19.88</v>
      </c>
      <c r="AC72" s="508">
        <f t="shared" si="75"/>
        <v>2.5244444444444443</v>
      </c>
      <c r="AD72" s="508">
        <f t="shared" si="76"/>
        <v>22.404444444444444</v>
      </c>
      <c r="AE72" s="508">
        <f t="shared" si="77"/>
        <v>12.98609375</v>
      </c>
      <c r="AF72" s="508">
        <f t="shared" si="78"/>
        <v>32.866093749999997</v>
      </c>
      <c r="AG72" s="508">
        <f t="shared" si="79"/>
        <v>15.510538194444445</v>
      </c>
      <c r="AH72" s="508">
        <f t="shared" si="80"/>
        <v>35.390538194444446</v>
      </c>
      <c r="AI72" s="508">
        <f t="shared" si="81"/>
        <v>8.2187499999999997E-2</v>
      </c>
      <c r="AJ72" s="508">
        <f t="shared" si="82"/>
        <v>19.962187499999999</v>
      </c>
      <c r="AK72" s="508">
        <f t="shared" si="83"/>
        <v>2.6066319444444441</v>
      </c>
      <c r="AL72" s="508">
        <f t="shared" si="84"/>
        <v>22.486631944444444</v>
      </c>
      <c r="AM72" s="508">
        <f t="shared" si="85"/>
        <v>13.06828125</v>
      </c>
      <c r="AN72" s="508">
        <f t="shared" si="86"/>
        <v>32.948281250000001</v>
      </c>
      <c r="AO72" s="508">
        <f t="shared" si="87"/>
        <v>15.592725694444445</v>
      </c>
      <c r="AP72" s="508">
        <f t="shared" si="88"/>
        <v>35.472725694444442</v>
      </c>
      <c r="AQ72" s="508">
        <f t="shared" si="89"/>
        <v>1.7066666666666668</v>
      </c>
      <c r="AR72" s="508">
        <f t="shared" si="90"/>
        <v>21.586666666666666</v>
      </c>
      <c r="AS72" s="508">
        <f t="shared" si="91"/>
        <v>4.2311111111111108</v>
      </c>
      <c r="AT72" s="508">
        <f t="shared" si="92"/>
        <v>24.111111111111111</v>
      </c>
      <c r="AU72" s="508">
        <f t="shared" si="93"/>
        <v>14.692760416666667</v>
      </c>
      <c r="AV72" s="508">
        <f t="shared" si="94"/>
        <v>34.572760416666668</v>
      </c>
      <c r="AW72" s="508">
        <f t="shared" si="95"/>
        <v>17.21720486111111</v>
      </c>
      <c r="AX72" s="508">
        <f t="shared" si="96"/>
        <v>37.097204861111109</v>
      </c>
      <c r="AY72" s="508">
        <f t="shared" si="97"/>
        <v>1.7888541666666669</v>
      </c>
      <c r="AZ72" s="508">
        <f t="shared" si="98"/>
        <v>21.668854166666666</v>
      </c>
      <c r="BA72" s="508">
        <f t="shared" si="99"/>
        <v>4.3132986111111116</v>
      </c>
      <c r="BB72" s="508">
        <f t="shared" si="100"/>
        <v>24.193298611111111</v>
      </c>
      <c r="BC72" s="508">
        <f t="shared" si="101"/>
        <v>14.774947916666667</v>
      </c>
      <c r="BD72" s="508">
        <f t="shared" si="102"/>
        <v>34.654947916666664</v>
      </c>
      <c r="BE72" s="508">
        <f t="shared" si="103"/>
        <v>17.29939236111111</v>
      </c>
      <c r="BF72" s="508">
        <f t="shared" si="104"/>
        <v>37.179392361111113</v>
      </c>
    </row>
    <row r="73" spans="1:58">
      <c r="A73" s="505" t="s">
        <v>8455</v>
      </c>
      <c r="B73" s="505">
        <v>558110275</v>
      </c>
      <c r="C73" s="505" t="s">
        <v>8411</v>
      </c>
      <c r="D73" s="505">
        <v>1800</v>
      </c>
      <c r="F73" s="509" t="str">
        <f t="shared" si="55"/>
        <v>STAT+1800</v>
      </c>
      <c r="G73" s="510">
        <f t="shared" si="56"/>
        <v>558108416</v>
      </c>
      <c r="H73" s="510">
        <f t="shared" si="57"/>
        <v>646883515</v>
      </c>
      <c r="I73" s="509">
        <f t="shared" si="58"/>
        <v>13</v>
      </c>
      <c r="J73" s="509">
        <f t="shared" si="59"/>
        <v>1</v>
      </c>
      <c r="L73" s="505">
        <f t="shared" si="60"/>
        <v>100</v>
      </c>
      <c r="M73" s="505">
        <f t="shared" si="61"/>
        <v>100</v>
      </c>
      <c r="N73" s="505">
        <f t="shared" si="62"/>
        <v>7200</v>
      </c>
      <c r="O73" s="505">
        <f t="shared" si="63"/>
        <v>1800</v>
      </c>
      <c r="P73" s="505" t="str">
        <f t="shared" si="64"/>
        <v/>
      </c>
      <c r="Q73" s="505" t="str">
        <f t="shared" si="65"/>
        <v/>
      </c>
      <c r="R73" s="505" t="str">
        <f t="shared" si="66"/>
        <v/>
      </c>
      <c r="T73" s="508">
        <f t="shared" si="67"/>
        <v>8.2187499999999997E-2</v>
      </c>
      <c r="U73" s="508">
        <f t="shared" si="68"/>
        <v>0.32609375000000002</v>
      </c>
      <c r="V73" s="508">
        <f t="shared" si="69"/>
        <v>0.28444444444444444</v>
      </c>
      <c r="W73" s="508">
        <f t="shared" si="70"/>
        <v>19.88</v>
      </c>
      <c r="X73" s="508">
        <f t="shared" si="71"/>
        <v>12.66</v>
      </c>
      <c r="Y73" s="508">
        <f t="shared" si="72"/>
        <v>12.66</v>
      </c>
      <c r="Z73" s="508">
        <f t="shared" si="73"/>
        <v>2.5244444444444443</v>
      </c>
      <c r="AB73" s="508">
        <f t="shared" si="74"/>
        <v>19.88</v>
      </c>
      <c r="AC73" s="508">
        <f t="shared" si="75"/>
        <v>2.5244444444444443</v>
      </c>
      <c r="AD73" s="508">
        <f t="shared" si="76"/>
        <v>22.404444444444444</v>
      </c>
      <c r="AE73" s="508">
        <f t="shared" si="77"/>
        <v>12.98609375</v>
      </c>
      <c r="AF73" s="508">
        <f t="shared" si="78"/>
        <v>32.866093749999997</v>
      </c>
      <c r="AG73" s="508">
        <f t="shared" si="79"/>
        <v>15.510538194444445</v>
      </c>
      <c r="AH73" s="508">
        <f t="shared" si="80"/>
        <v>35.390538194444446</v>
      </c>
      <c r="AI73" s="508">
        <f t="shared" si="81"/>
        <v>8.2187499999999997E-2</v>
      </c>
      <c r="AJ73" s="508">
        <f t="shared" si="82"/>
        <v>19.962187499999999</v>
      </c>
      <c r="AK73" s="508">
        <f t="shared" si="83"/>
        <v>2.6066319444444441</v>
      </c>
      <c r="AL73" s="508">
        <f t="shared" si="84"/>
        <v>22.486631944444444</v>
      </c>
      <c r="AM73" s="508">
        <f t="shared" si="85"/>
        <v>13.06828125</v>
      </c>
      <c r="AN73" s="508">
        <f t="shared" si="86"/>
        <v>32.948281250000001</v>
      </c>
      <c r="AO73" s="508">
        <f t="shared" si="87"/>
        <v>15.592725694444445</v>
      </c>
      <c r="AP73" s="508">
        <f t="shared" si="88"/>
        <v>35.472725694444442</v>
      </c>
      <c r="AQ73" s="508">
        <f t="shared" si="89"/>
        <v>0.28444444444444444</v>
      </c>
      <c r="AR73" s="508">
        <f t="shared" si="90"/>
        <v>20.164444444444442</v>
      </c>
      <c r="AS73" s="508">
        <f t="shared" si="91"/>
        <v>2.8088888888888888</v>
      </c>
      <c r="AT73" s="508">
        <f t="shared" si="92"/>
        <v>22.688888888888886</v>
      </c>
      <c r="AU73" s="508">
        <f t="shared" si="93"/>
        <v>13.270538194444445</v>
      </c>
      <c r="AV73" s="508">
        <f t="shared" si="94"/>
        <v>33.150538194444444</v>
      </c>
      <c r="AW73" s="508">
        <f t="shared" si="95"/>
        <v>15.794982638888889</v>
      </c>
      <c r="AX73" s="508">
        <f t="shared" si="96"/>
        <v>35.674982638888892</v>
      </c>
      <c r="AY73" s="508">
        <f t="shared" si="97"/>
        <v>0.36663194444444447</v>
      </c>
      <c r="AZ73" s="508">
        <f t="shared" si="98"/>
        <v>20.246631944444445</v>
      </c>
      <c r="BA73" s="508">
        <f t="shared" si="99"/>
        <v>2.8910763888888886</v>
      </c>
      <c r="BB73" s="508">
        <f t="shared" si="100"/>
        <v>22.771076388888886</v>
      </c>
      <c r="BC73" s="508">
        <f t="shared" si="101"/>
        <v>13.352725694444445</v>
      </c>
      <c r="BD73" s="508">
        <f t="shared" si="102"/>
        <v>33.23272569444444</v>
      </c>
      <c r="BE73" s="508">
        <f t="shared" si="103"/>
        <v>15.877170138888889</v>
      </c>
      <c r="BF73" s="508">
        <f t="shared" si="104"/>
        <v>35.757170138888888</v>
      </c>
    </row>
    <row r="74" spans="1:58">
      <c r="A74" s="505" t="s">
        <v>8449</v>
      </c>
      <c r="B74" s="505">
        <v>644923315</v>
      </c>
      <c r="C74" s="505" t="s">
        <v>1148</v>
      </c>
      <c r="F74" s="509" t="str">
        <f t="shared" si="55"/>
        <v>ON</v>
      </c>
      <c r="G74" s="510">
        <f t="shared" si="56"/>
        <v>644923315</v>
      </c>
      <c r="H74" s="510">
        <f t="shared" si="57"/>
        <v>646883515</v>
      </c>
      <c r="I74" s="509">
        <f t="shared" si="58"/>
        <v>0</v>
      </c>
      <c r="J74" s="509">
        <f t="shared" si="59"/>
        <v>17</v>
      </c>
      <c r="L74" s="505" t="str">
        <f t="shared" si="60"/>
        <v/>
      </c>
      <c r="M74" s="505" t="str">
        <f t="shared" si="61"/>
        <v/>
      </c>
      <c r="N74" s="505" t="str">
        <f t="shared" si="62"/>
        <v/>
      </c>
      <c r="O74" s="505" t="str">
        <f t="shared" si="63"/>
        <v/>
      </c>
      <c r="P74" s="505" t="str">
        <f t="shared" si="64"/>
        <v/>
      </c>
      <c r="Q74" s="505" t="str">
        <f t="shared" si="65"/>
        <v/>
      </c>
      <c r="R74" s="505" t="str">
        <f t="shared" si="66"/>
        <v/>
      </c>
      <c r="T74" s="508">
        <f t="shared" si="67"/>
        <v>0</v>
      </c>
      <c r="U74" s="508">
        <f t="shared" si="68"/>
        <v>0</v>
      </c>
      <c r="V74" s="508">
        <f t="shared" si="69"/>
        <v>0</v>
      </c>
      <c r="W74" s="508">
        <f t="shared" si="70"/>
        <v>0</v>
      </c>
      <c r="X74" s="508">
        <f t="shared" si="71"/>
        <v>0</v>
      </c>
      <c r="Y74" s="508">
        <f t="shared" si="72"/>
        <v>0</v>
      </c>
      <c r="Z74" s="508">
        <f t="shared" si="73"/>
        <v>0</v>
      </c>
      <c r="AB74" s="508">
        <f t="shared" si="74"/>
        <v>0</v>
      </c>
      <c r="AC74" s="508">
        <f t="shared" si="75"/>
        <v>0</v>
      </c>
      <c r="AD74" s="508">
        <f t="shared" si="76"/>
        <v>0</v>
      </c>
      <c r="AE74" s="508">
        <f t="shared" si="77"/>
        <v>0</v>
      </c>
      <c r="AF74" s="508">
        <f t="shared" si="78"/>
        <v>0</v>
      </c>
      <c r="AG74" s="508">
        <f t="shared" si="79"/>
        <v>0</v>
      </c>
      <c r="AH74" s="508">
        <f t="shared" si="80"/>
        <v>0</v>
      </c>
      <c r="AI74" s="508">
        <f t="shared" si="81"/>
        <v>0</v>
      </c>
      <c r="AJ74" s="508">
        <f t="shared" si="82"/>
        <v>0</v>
      </c>
      <c r="AK74" s="508">
        <f t="shared" si="83"/>
        <v>0</v>
      </c>
      <c r="AL74" s="508">
        <f t="shared" si="84"/>
        <v>0</v>
      </c>
      <c r="AM74" s="508">
        <f t="shared" si="85"/>
        <v>0</v>
      </c>
      <c r="AN74" s="508">
        <f t="shared" si="86"/>
        <v>0</v>
      </c>
      <c r="AO74" s="508">
        <f t="shared" si="87"/>
        <v>0</v>
      </c>
      <c r="AP74" s="508">
        <f t="shared" si="88"/>
        <v>0</v>
      </c>
      <c r="AQ74" s="508">
        <f t="shared" si="89"/>
        <v>0</v>
      </c>
      <c r="AR74" s="508">
        <f t="shared" si="90"/>
        <v>0</v>
      </c>
      <c r="AS74" s="508">
        <f t="shared" si="91"/>
        <v>0</v>
      </c>
      <c r="AT74" s="508">
        <f t="shared" si="92"/>
        <v>0</v>
      </c>
      <c r="AU74" s="508">
        <f t="shared" si="93"/>
        <v>0</v>
      </c>
      <c r="AV74" s="508">
        <f t="shared" si="94"/>
        <v>0</v>
      </c>
      <c r="AW74" s="508">
        <f t="shared" si="95"/>
        <v>0</v>
      </c>
      <c r="AX74" s="508">
        <f t="shared" si="96"/>
        <v>0</v>
      </c>
      <c r="AY74" s="508">
        <f t="shared" si="97"/>
        <v>0</v>
      </c>
      <c r="AZ74" s="508">
        <f t="shared" si="98"/>
        <v>0</v>
      </c>
      <c r="BA74" s="508">
        <f t="shared" si="99"/>
        <v>0</v>
      </c>
      <c r="BB74" s="508">
        <f t="shared" si="100"/>
        <v>0</v>
      </c>
      <c r="BC74" s="508">
        <f t="shared" si="101"/>
        <v>0</v>
      </c>
      <c r="BD74" s="508">
        <f t="shared" si="102"/>
        <v>0</v>
      </c>
      <c r="BE74" s="508">
        <f t="shared" si="103"/>
        <v>0</v>
      </c>
      <c r="BF74" s="508">
        <f t="shared" si="104"/>
        <v>0</v>
      </c>
    </row>
    <row r="75" spans="1:58">
      <c r="A75" s="505" t="s">
        <v>8451</v>
      </c>
      <c r="B75" s="505">
        <v>644923360</v>
      </c>
      <c r="C75" s="505" t="s">
        <v>8412</v>
      </c>
      <c r="D75" s="505">
        <v>10</v>
      </c>
      <c r="F75" s="509" t="str">
        <f t="shared" si="55"/>
        <v>MAC+10</v>
      </c>
      <c r="G75" s="510">
        <f t="shared" si="56"/>
        <v>644923315</v>
      </c>
      <c r="H75" s="510">
        <f t="shared" si="57"/>
        <v>646883515</v>
      </c>
      <c r="I75" s="509">
        <f t="shared" si="58"/>
        <v>1</v>
      </c>
      <c r="J75" s="509">
        <f t="shared" si="59"/>
        <v>16</v>
      </c>
      <c r="L75" s="505" t="str">
        <f t="shared" si="60"/>
        <v/>
      </c>
      <c r="M75" s="505" t="str">
        <f t="shared" si="61"/>
        <v/>
      </c>
      <c r="N75" s="505" t="str">
        <f t="shared" si="62"/>
        <v/>
      </c>
      <c r="O75" s="505" t="str">
        <f t="shared" si="63"/>
        <v/>
      </c>
      <c r="P75" s="505" t="str">
        <f t="shared" si="64"/>
        <v/>
      </c>
      <c r="Q75" s="505" t="str">
        <f t="shared" si="65"/>
        <v/>
      </c>
      <c r="R75" s="505" t="str">
        <f t="shared" si="66"/>
        <v/>
      </c>
      <c r="T75" s="508">
        <f t="shared" si="67"/>
        <v>0</v>
      </c>
      <c r="U75" s="508">
        <f t="shared" si="68"/>
        <v>0</v>
      </c>
      <c r="V75" s="508">
        <f t="shared" si="69"/>
        <v>0</v>
      </c>
      <c r="W75" s="508">
        <f t="shared" si="70"/>
        <v>0</v>
      </c>
      <c r="X75" s="508">
        <f t="shared" si="71"/>
        <v>0</v>
      </c>
      <c r="Y75" s="508">
        <f t="shared" si="72"/>
        <v>0</v>
      </c>
      <c r="Z75" s="508">
        <f t="shared" si="73"/>
        <v>0</v>
      </c>
      <c r="AB75" s="508">
        <f t="shared" si="74"/>
        <v>0</v>
      </c>
      <c r="AC75" s="508">
        <f t="shared" si="75"/>
        <v>0</v>
      </c>
      <c r="AD75" s="508">
        <f t="shared" si="76"/>
        <v>0</v>
      </c>
      <c r="AE75" s="508">
        <f t="shared" si="77"/>
        <v>0</v>
      </c>
      <c r="AF75" s="508">
        <f t="shared" si="78"/>
        <v>0</v>
      </c>
      <c r="AG75" s="508">
        <f t="shared" si="79"/>
        <v>0</v>
      </c>
      <c r="AH75" s="508">
        <f t="shared" si="80"/>
        <v>0</v>
      </c>
      <c r="AI75" s="508">
        <f t="shared" si="81"/>
        <v>0</v>
      </c>
      <c r="AJ75" s="508">
        <f t="shared" si="82"/>
        <v>0</v>
      </c>
      <c r="AK75" s="508">
        <f t="shared" si="83"/>
        <v>0</v>
      </c>
      <c r="AL75" s="508">
        <f t="shared" si="84"/>
        <v>0</v>
      </c>
      <c r="AM75" s="508">
        <f t="shared" si="85"/>
        <v>0</v>
      </c>
      <c r="AN75" s="508">
        <f t="shared" si="86"/>
        <v>0</v>
      </c>
      <c r="AO75" s="508">
        <f t="shared" si="87"/>
        <v>0</v>
      </c>
      <c r="AP75" s="508">
        <f t="shared" si="88"/>
        <v>0</v>
      </c>
      <c r="AQ75" s="508">
        <f t="shared" si="89"/>
        <v>0</v>
      </c>
      <c r="AR75" s="508">
        <f t="shared" si="90"/>
        <v>0</v>
      </c>
      <c r="AS75" s="508">
        <f t="shared" si="91"/>
        <v>0</v>
      </c>
      <c r="AT75" s="508">
        <f t="shared" si="92"/>
        <v>0</v>
      </c>
      <c r="AU75" s="508">
        <f t="shared" si="93"/>
        <v>0</v>
      </c>
      <c r="AV75" s="508">
        <f t="shared" si="94"/>
        <v>0</v>
      </c>
      <c r="AW75" s="508">
        <f t="shared" si="95"/>
        <v>0</v>
      </c>
      <c r="AX75" s="508">
        <f t="shared" si="96"/>
        <v>0</v>
      </c>
      <c r="AY75" s="508">
        <f t="shared" si="97"/>
        <v>0</v>
      </c>
      <c r="AZ75" s="508">
        <f t="shared" si="98"/>
        <v>0</v>
      </c>
      <c r="BA75" s="508">
        <f t="shared" si="99"/>
        <v>0</v>
      </c>
      <c r="BB75" s="508">
        <f t="shared" si="100"/>
        <v>0</v>
      </c>
      <c r="BC75" s="508">
        <f t="shared" si="101"/>
        <v>0</v>
      </c>
      <c r="BD75" s="508">
        <f t="shared" si="102"/>
        <v>0</v>
      </c>
      <c r="BE75" s="508">
        <f t="shared" si="103"/>
        <v>0</v>
      </c>
      <c r="BF75" s="508">
        <f t="shared" si="104"/>
        <v>0</v>
      </c>
    </row>
    <row r="76" spans="1:58">
      <c r="A76" s="505" t="s">
        <v>8453</v>
      </c>
      <c r="B76" s="505">
        <v>644923360</v>
      </c>
      <c r="C76" s="505" t="s">
        <v>776</v>
      </c>
      <c r="D76" s="505">
        <v>10</v>
      </c>
      <c r="F76" s="509" t="str">
        <f t="shared" si="55"/>
        <v>N2+10</v>
      </c>
      <c r="G76" s="510">
        <f t="shared" si="56"/>
        <v>644923315</v>
      </c>
      <c r="H76" s="510">
        <f t="shared" si="57"/>
        <v>646883515</v>
      </c>
      <c r="I76" s="509">
        <f t="shared" si="58"/>
        <v>2</v>
      </c>
      <c r="J76" s="509">
        <f t="shared" si="59"/>
        <v>15</v>
      </c>
      <c r="L76" s="505" t="str">
        <f t="shared" si="60"/>
        <v/>
      </c>
      <c r="M76" s="505">
        <f t="shared" si="61"/>
        <v>10</v>
      </c>
      <c r="N76" s="505" t="str">
        <f t="shared" si="62"/>
        <v/>
      </c>
      <c r="O76" s="505" t="str">
        <f t="shared" si="63"/>
        <v/>
      </c>
      <c r="P76" s="505" t="str">
        <f t="shared" si="64"/>
        <v/>
      </c>
      <c r="Q76" s="505" t="str">
        <f t="shared" si="65"/>
        <v/>
      </c>
      <c r="R76" s="505" t="str">
        <f t="shared" si="66"/>
        <v/>
      </c>
      <c r="T76" s="508">
        <f t="shared" si="67"/>
        <v>0.82187500000000002</v>
      </c>
      <c r="U76" s="508">
        <f t="shared" si="68"/>
        <v>3.2609374999999998</v>
      </c>
      <c r="V76" s="508">
        <f t="shared" si="69"/>
        <v>0</v>
      </c>
      <c r="W76" s="508">
        <f t="shared" si="70"/>
        <v>0</v>
      </c>
      <c r="X76" s="508">
        <f t="shared" si="71"/>
        <v>126.6</v>
      </c>
      <c r="Y76" s="508">
        <f t="shared" si="72"/>
        <v>126.6</v>
      </c>
      <c r="Z76" s="508">
        <f t="shared" si="73"/>
        <v>0</v>
      </c>
      <c r="AB76" s="508">
        <f t="shared" si="74"/>
        <v>0</v>
      </c>
      <c r="AC76" s="508">
        <f t="shared" si="75"/>
        <v>0</v>
      </c>
      <c r="AD76" s="508">
        <f t="shared" si="76"/>
        <v>0</v>
      </c>
      <c r="AE76" s="508">
        <f t="shared" si="77"/>
        <v>129.86093750000001</v>
      </c>
      <c r="AF76" s="508">
        <f t="shared" si="78"/>
        <v>129.86093750000001</v>
      </c>
      <c r="AG76" s="508">
        <f t="shared" si="79"/>
        <v>129.86093750000001</v>
      </c>
      <c r="AH76" s="508">
        <f t="shared" si="80"/>
        <v>129.86093750000001</v>
      </c>
      <c r="AI76" s="508">
        <f t="shared" si="81"/>
        <v>0.82187500000000002</v>
      </c>
      <c r="AJ76" s="508">
        <f t="shared" si="82"/>
        <v>0.82187500000000002</v>
      </c>
      <c r="AK76" s="508">
        <f t="shared" si="83"/>
        <v>0.82187500000000002</v>
      </c>
      <c r="AL76" s="508">
        <f t="shared" si="84"/>
        <v>0.82187500000000002</v>
      </c>
      <c r="AM76" s="508">
        <f t="shared" si="85"/>
        <v>130.68281250000001</v>
      </c>
      <c r="AN76" s="508">
        <f t="shared" si="86"/>
        <v>130.68281250000001</v>
      </c>
      <c r="AO76" s="508">
        <f t="shared" si="87"/>
        <v>130.68281250000001</v>
      </c>
      <c r="AP76" s="508">
        <f t="shared" si="88"/>
        <v>130.68281250000001</v>
      </c>
      <c r="AQ76" s="508">
        <f t="shared" si="89"/>
        <v>0</v>
      </c>
      <c r="AR76" s="508">
        <f t="shared" si="90"/>
        <v>0</v>
      </c>
      <c r="AS76" s="508">
        <f t="shared" si="91"/>
        <v>0</v>
      </c>
      <c r="AT76" s="508">
        <f t="shared" si="92"/>
        <v>0</v>
      </c>
      <c r="AU76" s="508">
        <f t="shared" si="93"/>
        <v>129.86093750000001</v>
      </c>
      <c r="AV76" s="508">
        <f t="shared" si="94"/>
        <v>129.86093750000001</v>
      </c>
      <c r="AW76" s="508">
        <f t="shared" si="95"/>
        <v>129.86093750000001</v>
      </c>
      <c r="AX76" s="508">
        <f t="shared" si="96"/>
        <v>129.86093750000001</v>
      </c>
      <c r="AY76" s="508">
        <f t="shared" si="97"/>
        <v>0.82187500000000002</v>
      </c>
      <c r="AZ76" s="508">
        <f t="shared" si="98"/>
        <v>0.82187500000000002</v>
      </c>
      <c r="BA76" s="508">
        <f t="shared" si="99"/>
        <v>0.82187500000000002</v>
      </c>
      <c r="BB76" s="508">
        <f t="shared" si="100"/>
        <v>0.82187500000000002</v>
      </c>
      <c r="BC76" s="508">
        <f t="shared" si="101"/>
        <v>130.68281250000001</v>
      </c>
      <c r="BD76" s="508">
        <f t="shared" si="102"/>
        <v>130.68281250000001</v>
      </c>
      <c r="BE76" s="508">
        <f t="shared" si="103"/>
        <v>130.68281250000001</v>
      </c>
      <c r="BF76" s="508">
        <f t="shared" si="104"/>
        <v>130.68281250000001</v>
      </c>
    </row>
    <row r="77" spans="1:58">
      <c r="A77" s="505" t="s">
        <v>8453</v>
      </c>
      <c r="B77" s="505">
        <v>644923361</v>
      </c>
      <c r="C77" s="505" t="s">
        <v>773</v>
      </c>
      <c r="D77" s="505">
        <v>300</v>
      </c>
      <c r="F77" s="509" t="str">
        <f t="shared" si="55"/>
        <v>N3+300</v>
      </c>
      <c r="G77" s="510">
        <f t="shared" si="56"/>
        <v>644923315</v>
      </c>
      <c r="H77" s="510">
        <f t="shared" si="57"/>
        <v>646883515</v>
      </c>
      <c r="I77" s="509">
        <f t="shared" si="58"/>
        <v>3</v>
      </c>
      <c r="J77" s="509">
        <f t="shared" si="59"/>
        <v>14</v>
      </c>
      <c r="L77" s="505" t="str">
        <f t="shared" si="60"/>
        <v/>
      </c>
      <c r="M77" s="505">
        <f t="shared" si="61"/>
        <v>10</v>
      </c>
      <c r="N77" s="505">
        <f t="shared" si="62"/>
        <v>300</v>
      </c>
      <c r="O77" s="505" t="str">
        <f t="shared" si="63"/>
        <v/>
      </c>
      <c r="P77" s="505" t="str">
        <f t="shared" si="64"/>
        <v/>
      </c>
      <c r="Q77" s="505" t="str">
        <f t="shared" si="65"/>
        <v/>
      </c>
      <c r="R77" s="505" t="str">
        <f t="shared" si="66"/>
        <v/>
      </c>
      <c r="T77" s="508">
        <f t="shared" si="67"/>
        <v>0.82187500000000002</v>
      </c>
      <c r="U77" s="508">
        <f t="shared" si="68"/>
        <v>3.2609374999999998</v>
      </c>
      <c r="V77" s="508">
        <f t="shared" si="69"/>
        <v>0</v>
      </c>
      <c r="W77" s="508">
        <f t="shared" si="70"/>
        <v>0</v>
      </c>
      <c r="X77" s="508">
        <f t="shared" si="71"/>
        <v>126.6</v>
      </c>
      <c r="Y77" s="508">
        <f t="shared" si="72"/>
        <v>126.6</v>
      </c>
      <c r="Z77" s="508">
        <f t="shared" si="73"/>
        <v>60.586666666666666</v>
      </c>
      <c r="AB77" s="508">
        <f t="shared" si="74"/>
        <v>0</v>
      </c>
      <c r="AC77" s="508">
        <f t="shared" si="75"/>
        <v>60.586666666666666</v>
      </c>
      <c r="AD77" s="508">
        <f t="shared" si="76"/>
        <v>60.586666666666666</v>
      </c>
      <c r="AE77" s="508">
        <f t="shared" si="77"/>
        <v>129.86093750000001</v>
      </c>
      <c r="AF77" s="508">
        <f t="shared" si="78"/>
        <v>129.86093750000001</v>
      </c>
      <c r="AG77" s="508">
        <f t="shared" si="79"/>
        <v>190.44760416666668</v>
      </c>
      <c r="AH77" s="508">
        <f t="shared" si="80"/>
        <v>190.44760416666668</v>
      </c>
      <c r="AI77" s="508">
        <f t="shared" si="81"/>
        <v>0.82187500000000002</v>
      </c>
      <c r="AJ77" s="508">
        <f t="shared" si="82"/>
        <v>0.82187500000000002</v>
      </c>
      <c r="AK77" s="508">
        <f t="shared" si="83"/>
        <v>61.408541666666665</v>
      </c>
      <c r="AL77" s="508">
        <f t="shared" si="84"/>
        <v>61.408541666666665</v>
      </c>
      <c r="AM77" s="508">
        <f t="shared" si="85"/>
        <v>130.68281250000001</v>
      </c>
      <c r="AN77" s="508">
        <f t="shared" si="86"/>
        <v>130.68281250000001</v>
      </c>
      <c r="AO77" s="508">
        <f t="shared" si="87"/>
        <v>191.26947916666668</v>
      </c>
      <c r="AP77" s="508">
        <f t="shared" si="88"/>
        <v>191.26947916666668</v>
      </c>
      <c r="AQ77" s="508">
        <f t="shared" si="89"/>
        <v>0</v>
      </c>
      <c r="AR77" s="508">
        <f t="shared" si="90"/>
        <v>0</v>
      </c>
      <c r="AS77" s="508">
        <f t="shared" si="91"/>
        <v>60.586666666666666</v>
      </c>
      <c r="AT77" s="508">
        <f t="shared" si="92"/>
        <v>60.586666666666666</v>
      </c>
      <c r="AU77" s="508">
        <f t="shared" si="93"/>
        <v>129.86093750000001</v>
      </c>
      <c r="AV77" s="508">
        <f t="shared" si="94"/>
        <v>129.86093750000001</v>
      </c>
      <c r="AW77" s="508">
        <f t="shared" si="95"/>
        <v>190.44760416666668</v>
      </c>
      <c r="AX77" s="508">
        <f t="shared" si="96"/>
        <v>190.44760416666668</v>
      </c>
      <c r="AY77" s="508">
        <f t="shared" si="97"/>
        <v>0.82187500000000002</v>
      </c>
      <c r="AZ77" s="508">
        <f t="shared" si="98"/>
        <v>0.82187500000000002</v>
      </c>
      <c r="BA77" s="508">
        <f t="shared" si="99"/>
        <v>61.408541666666665</v>
      </c>
      <c r="BB77" s="508">
        <f t="shared" si="100"/>
        <v>61.408541666666665</v>
      </c>
      <c r="BC77" s="508">
        <f t="shared" si="101"/>
        <v>130.68281250000001</v>
      </c>
      <c r="BD77" s="508">
        <f t="shared" si="102"/>
        <v>130.68281250000001</v>
      </c>
      <c r="BE77" s="508">
        <f t="shared" si="103"/>
        <v>191.26947916666668</v>
      </c>
      <c r="BF77" s="508">
        <f t="shared" si="104"/>
        <v>191.26947916666668</v>
      </c>
    </row>
    <row r="78" spans="1:58">
      <c r="A78" s="505" t="s">
        <v>8453</v>
      </c>
      <c r="B78" s="505">
        <v>644923362</v>
      </c>
      <c r="C78" s="505" t="s">
        <v>12</v>
      </c>
      <c r="D78" s="505">
        <v>10</v>
      </c>
      <c r="F78" s="509" t="str">
        <f t="shared" ref="F78:F97" si="105">_xlfn.TEXTJOIN("+",TRUE,$C78:$D78)</f>
        <v>N1+10</v>
      </c>
      <c r="G78" s="510">
        <f t="shared" ref="G78:G97" si="106">IF($C78="ON",$B78,IF(G77="MET Start","",G77))</f>
        <v>644923315</v>
      </c>
      <c r="H78" s="510">
        <f t="shared" ref="H78:H97" si="107">IF($C78="OFF",$B78,IF($B79="",$B78+31500000,IF($F79="MAC+111",$B79,H79)))</f>
        <v>646883515</v>
      </c>
      <c r="I78" s="509">
        <f t="shared" ref="I78:I97" si="108">IF(OR($C78="ON",$F78="MAC+111"),0,IF(OR(I77="",I77="Offset fr Start"),"",I77+1))</f>
        <v>4</v>
      </c>
      <c r="J78" s="509">
        <f t="shared" ref="J78:J97" si="109">IF($C78="OFF",0,IF($I79&lt;&gt;0,J79+1,1))</f>
        <v>13</v>
      </c>
      <c r="L78" s="505">
        <f t="shared" ref="L78:L97" si="110">IF($C78="ON","",IF($C78="N1",$D78,IF(L77="N1","",L77)))</f>
        <v>10</v>
      </c>
      <c r="M78" s="505">
        <f t="shared" ref="M78:M97" si="111">IF($C78="ON","",IF($C78="N2",$D78,IF($F78="MAC+103",3,IF($F78="MAC+104",2,IF(M77="N2","",M77)))))</f>
        <v>10</v>
      </c>
      <c r="N78" s="505">
        <f t="shared" ref="N78:N97" si="112">IF($C78="ON","",IF($C78="N3",$D78,IF(N77="N3","",N77)))</f>
        <v>300</v>
      </c>
      <c r="O78" s="505" t="str">
        <f t="shared" ref="O78:O97" si="113">IF($C78="ON","",IF($C78="STAT",$D78,IF(O77="STAT","",O77)))</f>
        <v/>
      </c>
      <c r="P78" s="505" t="str">
        <f t="shared" ref="P78:P97" si="114">IF($C78="ON","",IF(AND($C78="MAC",105&lt;=$D78,$D78&lt;=110),"",IF(AND($C78="MAC",103&lt;=$D78,$D78&lt;=104),"disabled",IF(P77="N2 disabled","",P77))))</f>
        <v/>
      </c>
      <c r="Q78" s="505" t="str">
        <f t="shared" ref="Q78:Q97" si="115">IF(F78="ON","",IF($F78="MAC+105",300,IF($F78="MAC+106",600,IF($F78="MAC+107",840,IF($F78="MAC+108",1200,IF($F78="MAC+109",1800,IF($F78="MAC+110",43200,IF(LEFT(Q77,4)="105-","",Q77))))))))</f>
        <v/>
      </c>
      <c r="R78" s="505" t="str">
        <f t="shared" ref="R78:R97" si="116">IF($C78="ON","",IF($F78="MAC+102","102",IF(RIGHT(R77,1)="?","",R77)))</f>
        <v/>
      </c>
      <c r="T78" s="508">
        <f t="shared" ref="T78:T97" si="117">IF($M78="",0,T$1/64/$M78)</f>
        <v>0.82187500000000002</v>
      </c>
      <c r="U78" s="508">
        <f t="shared" ref="U78:U97" si="118">IF($M78="",0,U$1/64/$M78)</f>
        <v>3.2609374999999998</v>
      </c>
      <c r="V78" s="508">
        <f t="shared" ref="V78:V97" si="119">IF($O78="",0,V$1/$O78)</f>
        <v>0</v>
      </c>
      <c r="W78" s="508">
        <f t="shared" ref="W78:W97" si="120">IF($L78="",0,W$1/$L78)</f>
        <v>198.8</v>
      </c>
      <c r="X78" s="508">
        <f t="shared" ref="X78:X97" si="121">IF(OR($M78="",$P78&lt;&gt;""),0,X$1/$M78)</f>
        <v>126.6</v>
      </c>
      <c r="Y78" s="508">
        <f t="shared" ref="Y78:Y109" si="122">IF($M78="",0,IF($Q78="",1,Q78/43200)*X78)</f>
        <v>126.6</v>
      </c>
      <c r="Z78" s="508">
        <f t="shared" ref="Z78:Z97" si="123">IF($N78="",0,Z$1/$N78)</f>
        <v>60.586666666666666</v>
      </c>
      <c r="AB78" s="508">
        <f t="shared" ref="AB78:AB97" si="124">IF(AB$3&lt;&gt;"",$V78,0)+IF(AB$4&lt;&gt;"",$T78,0)+IF(AB$5&lt;&gt;"",$Y78+IF($R78&lt;&gt;"102",$U78,0),0)+IF(AB$6&lt;&gt;"",$Z78+IF($R78="102",$U78,0),0)+IF(AB$7&lt;&gt;"",$W78,0)</f>
        <v>198.8</v>
      </c>
      <c r="AC78" s="508">
        <f t="shared" ref="AC78:AC97" si="125">IF(AC$3&lt;&gt;"",$V78,0)+IF(AC$4&lt;&gt;"",$T78,0)+IF(AC$5&lt;&gt;"",$Y78+IF($R78&lt;&gt;"102",$U78,0),0)+IF(AC$6&lt;&gt;"",$Z78+IF($R78="102",$U78,0),0)+IF(AC$7&lt;&gt;"",$W78,0)</f>
        <v>60.586666666666666</v>
      </c>
      <c r="AD78" s="508">
        <f t="shared" ref="AD78:AD97" si="126">IF(AD$3&lt;&gt;"",$V78,0)+IF(AD$4&lt;&gt;"",$T78,0)+IF(AD$5&lt;&gt;"",$Y78+IF($R78&lt;&gt;"102",$U78,0),0)+IF(AD$6&lt;&gt;"",$Z78+IF($R78="102",$U78,0),0)+IF(AD$7&lt;&gt;"",$W78,0)</f>
        <v>259.38666666666666</v>
      </c>
      <c r="AE78" s="508">
        <f t="shared" ref="AE78:AE97" si="127">IF(AE$3&lt;&gt;"",$V78,0)+IF(AE$4&lt;&gt;"",$T78,0)+IF(AE$5&lt;&gt;"",$Y78+IF($R78&lt;&gt;"102",$U78,0),0)+IF(AE$6&lt;&gt;"",$Z78+IF($R78="102",$U78,0),0)+IF(AE$7&lt;&gt;"",$W78,0)</f>
        <v>129.86093750000001</v>
      </c>
      <c r="AF78" s="508">
        <f t="shared" ref="AF78:AF97" si="128">IF(AF$3&lt;&gt;"",$V78,0)+IF(AF$4&lt;&gt;"",$T78,0)+IF(AF$5&lt;&gt;"",$Y78+IF($R78&lt;&gt;"102",$U78,0),0)+IF(AF$6&lt;&gt;"",$Z78+IF($R78="102",$U78,0),0)+IF(AF$7&lt;&gt;"",$W78,0)</f>
        <v>328.66093750000005</v>
      </c>
      <c r="AG78" s="508">
        <f t="shared" ref="AG78:AG97" si="129">IF(AG$3&lt;&gt;"",$V78,0)+IF(AG$4&lt;&gt;"",$T78,0)+IF(AG$5&lt;&gt;"",$Y78+IF($R78&lt;&gt;"102",$U78,0),0)+IF(AG$6&lt;&gt;"",$Z78+IF($R78="102",$U78,0),0)+IF(AG$7&lt;&gt;"",$W78,0)</f>
        <v>190.44760416666668</v>
      </c>
      <c r="AH78" s="508">
        <f t="shared" ref="AH78:AH97" si="130">IF(AH$3&lt;&gt;"",$V78,0)+IF(AH$4&lt;&gt;"",$T78,0)+IF(AH$5&lt;&gt;"",$Y78+IF($R78&lt;&gt;"102",$U78,0),0)+IF(AH$6&lt;&gt;"",$Z78+IF($R78="102",$U78,0),0)+IF(AH$7&lt;&gt;"",$W78,0)</f>
        <v>389.24760416666669</v>
      </c>
      <c r="AI78" s="508">
        <f t="shared" ref="AI78:AI97" si="131">IF(AI$3&lt;&gt;"",$V78,0)+IF(AI$4&lt;&gt;"",$T78,0)+IF(AI$5&lt;&gt;"",$Y78+IF($R78&lt;&gt;"102",$U78,0),0)+IF(AI$6&lt;&gt;"",$Z78+IF($R78="102",$U78,0),0)+IF(AI$7&lt;&gt;"",$W78,0)</f>
        <v>0.82187500000000002</v>
      </c>
      <c r="AJ78" s="508">
        <f t="shared" ref="AJ78:AJ97" si="132">IF(AJ$3&lt;&gt;"",$V78,0)+IF(AJ$4&lt;&gt;"",$T78,0)+IF(AJ$5&lt;&gt;"",$Y78+IF($R78&lt;&gt;"102",$U78,0),0)+IF(AJ$6&lt;&gt;"",$Z78+IF($R78="102",$U78,0),0)+IF(AJ$7&lt;&gt;"",$W78,0)</f>
        <v>199.62187500000002</v>
      </c>
      <c r="AK78" s="508">
        <f t="shared" ref="AK78:AK97" si="133">IF(AK$3&lt;&gt;"",$V78,0)+IF(AK$4&lt;&gt;"",$T78,0)+IF(AK$5&lt;&gt;"",$Y78+IF($R78&lt;&gt;"102",$U78,0),0)+IF(AK$6&lt;&gt;"",$Z78+IF($R78="102",$U78,0),0)+IF(AK$7&lt;&gt;"",$W78,0)</f>
        <v>61.408541666666665</v>
      </c>
      <c r="AL78" s="508">
        <f t="shared" ref="AL78:AL97" si="134">IF(AL$3&lt;&gt;"",$V78,0)+IF(AL$4&lt;&gt;"",$T78,0)+IF(AL$5&lt;&gt;"",$Y78+IF($R78&lt;&gt;"102",$U78,0),0)+IF(AL$6&lt;&gt;"",$Z78+IF($R78="102",$U78,0),0)+IF(AL$7&lt;&gt;"",$W78,0)</f>
        <v>260.20854166666669</v>
      </c>
      <c r="AM78" s="508">
        <f t="shared" ref="AM78:AM97" si="135">IF(AM$3&lt;&gt;"",$V78,0)+IF(AM$4&lt;&gt;"",$T78,0)+IF(AM$5&lt;&gt;"",$Y78+IF($R78&lt;&gt;"102",$U78,0),0)+IF(AM$6&lt;&gt;"",$Z78+IF($R78="102",$U78,0),0)+IF(AM$7&lt;&gt;"",$W78,0)</f>
        <v>130.68281250000001</v>
      </c>
      <c r="AN78" s="508">
        <f t="shared" ref="AN78:AN97" si="136">IF(AN$3&lt;&gt;"",$V78,0)+IF(AN$4&lt;&gt;"",$T78,0)+IF(AN$5&lt;&gt;"",$Y78+IF($R78&lt;&gt;"102",$U78,0),0)+IF(AN$6&lt;&gt;"",$Z78+IF($R78="102",$U78,0),0)+IF(AN$7&lt;&gt;"",$W78,0)</f>
        <v>329.48281250000002</v>
      </c>
      <c r="AO78" s="508">
        <f t="shared" ref="AO78:AO97" si="137">IF(AO$3&lt;&gt;"",$V78,0)+IF(AO$4&lt;&gt;"",$T78,0)+IF(AO$5&lt;&gt;"",$Y78+IF($R78&lt;&gt;"102",$U78,0),0)+IF(AO$6&lt;&gt;"",$Z78+IF($R78="102",$U78,0),0)+IF(AO$7&lt;&gt;"",$W78,0)</f>
        <v>191.26947916666668</v>
      </c>
      <c r="AP78" s="508">
        <f t="shared" ref="AP78:AP97" si="138">IF(AP$3&lt;&gt;"",$V78,0)+IF(AP$4&lt;&gt;"",$T78,0)+IF(AP$5&lt;&gt;"",$Y78+IF($R78&lt;&gt;"102",$U78,0),0)+IF(AP$6&lt;&gt;"",$Z78+IF($R78="102",$U78,0),0)+IF(AP$7&lt;&gt;"",$W78,0)</f>
        <v>390.06947916666672</v>
      </c>
      <c r="AQ78" s="508">
        <f t="shared" ref="AQ78:AQ97" si="139">IF(AQ$3&lt;&gt;"",$V78,0)+IF(AQ$4&lt;&gt;"",$T78,0)+IF(AQ$5&lt;&gt;"",$Y78+IF($R78&lt;&gt;"102",$U78,0),0)+IF(AQ$6&lt;&gt;"",$Z78+IF($R78="102",$U78,0),0)+IF(AQ$7&lt;&gt;"",$W78,0)</f>
        <v>0</v>
      </c>
      <c r="AR78" s="508">
        <f t="shared" ref="AR78:AR97" si="140">IF(AR$3&lt;&gt;"",$V78,0)+IF(AR$4&lt;&gt;"",$T78,0)+IF(AR$5&lt;&gt;"",$Y78+IF($R78&lt;&gt;"102",$U78,0),0)+IF(AR$6&lt;&gt;"",$Z78+IF($R78="102",$U78,0),0)+IF(AR$7&lt;&gt;"",$W78,0)</f>
        <v>198.8</v>
      </c>
      <c r="AS78" s="508">
        <f t="shared" ref="AS78:AS97" si="141">IF(AS$3&lt;&gt;"",$V78,0)+IF(AS$4&lt;&gt;"",$T78,0)+IF(AS$5&lt;&gt;"",$Y78+IF($R78&lt;&gt;"102",$U78,0),0)+IF(AS$6&lt;&gt;"",$Z78+IF($R78="102",$U78,0),0)+IF(AS$7&lt;&gt;"",$W78,0)</f>
        <v>60.586666666666666</v>
      </c>
      <c r="AT78" s="508">
        <f t="shared" ref="AT78:AT97" si="142">IF(AT$3&lt;&gt;"",$V78,0)+IF(AT$4&lt;&gt;"",$T78,0)+IF(AT$5&lt;&gt;"",$Y78+IF($R78&lt;&gt;"102",$U78,0),0)+IF(AT$6&lt;&gt;"",$Z78+IF($R78="102",$U78,0),0)+IF(AT$7&lt;&gt;"",$W78,0)</f>
        <v>259.38666666666666</v>
      </c>
      <c r="AU78" s="508">
        <f t="shared" ref="AU78:AU97" si="143">IF(AU$3&lt;&gt;"",$V78,0)+IF(AU$4&lt;&gt;"",$T78,0)+IF(AU$5&lt;&gt;"",$Y78+IF($R78&lt;&gt;"102",$U78,0),0)+IF(AU$6&lt;&gt;"",$Z78+IF($R78="102",$U78,0),0)+IF(AU$7&lt;&gt;"",$W78,0)</f>
        <v>129.86093750000001</v>
      </c>
      <c r="AV78" s="508">
        <f t="shared" ref="AV78:AV97" si="144">IF(AV$3&lt;&gt;"",$V78,0)+IF(AV$4&lt;&gt;"",$T78,0)+IF(AV$5&lt;&gt;"",$Y78+IF($R78&lt;&gt;"102",$U78,0),0)+IF(AV$6&lt;&gt;"",$Z78+IF($R78="102",$U78,0),0)+IF(AV$7&lt;&gt;"",$W78,0)</f>
        <v>328.66093750000005</v>
      </c>
      <c r="AW78" s="508">
        <f t="shared" ref="AW78:AW97" si="145">IF(AW$3&lt;&gt;"",$V78,0)+IF(AW$4&lt;&gt;"",$T78,0)+IF(AW$5&lt;&gt;"",$Y78+IF($R78&lt;&gt;"102",$U78,0),0)+IF(AW$6&lt;&gt;"",$Z78+IF($R78="102",$U78,0),0)+IF(AW$7&lt;&gt;"",$W78,0)</f>
        <v>190.44760416666668</v>
      </c>
      <c r="AX78" s="508">
        <f t="shared" ref="AX78:AX97" si="146">IF(AX$3&lt;&gt;"",$V78,0)+IF(AX$4&lt;&gt;"",$T78,0)+IF(AX$5&lt;&gt;"",$Y78+IF($R78&lt;&gt;"102",$U78,0),0)+IF(AX$6&lt;&gt;"",$Z78+IF($R78="102",$U78,0),0)+IF(AX$7&lt;&gt;"",$W78,0)</f>
        <v>389.24760416666669</v>
      </c>
      <c r="AY78" s="508">
        <f t="shared" ref="AY78:AY97" si="147">IF(AY$3&lt;&gt;"",$V78,0)+IF(AY$4&lt;&gt;"",$T78,0)+IF(AY$5&lt;&gt;"",$Y78+IF($R78&lt;&gt;"102",$U78,0),0)+IF(AY$6&lt;&gt;"",$Z78+IF($R78="102",$U78,0),0)+IF(AY$7&lt;&gt;"",$W78,0)</f>
        <v>0.82187500000000002</v>
      </c>
      <c r="AZ78" s="508">
        <f t="shared" ref="AZ78:AZ97" si="148">IF(AZ$3&lt;&gt;"",$V78,0)+IF(AZ$4&lt;&gt;"",$T78,0)+IF(AZ$5&lt;&gt;"",$Y78+IF($R78&lt;&gt;"102",$U78,0),0)+IF(AZ$6&lt;&gt;"",$Z78+IF($R78="102",$U78,0),0)+IF(AZ$7&lt;&gt;"",$W78,0)</f>
        <v>199.62187500000002</v>
      </c>
      <c r="BA78" s="508">
        <f t="shared" ref="BA78:BA97" si="149">IF(BA$3&lt;&gt;"",$V78,0)+IF(BA$4&lt;&gt;"",$T78,0)+IF(BA$5&lt;&gt;"",$Y78+IF($R78&lt;&gt;"102",$U78,0),0)+IF(BA$6&lt;&gt;"",$Z78+IF($R78="102",$U78,0),0)+IF(BA$7&lt;&gt;"",$W78,0)</f>
        <v>61.408541666666665</v>
      </c>
      <c r="BB78" s="508">
        <f t="shared" ref="BB78:BB97" si="150">IF(BB$3&lt;&gt;"",$V78,0)+IF(BB$4&lt;&gt;"",$T78,0)+IF(BB$5&lt;&gt;"",$Y78+IF($R78&lt;&gt;"102",$U78,0),0)+IF(BB$6&lt;&gt;"",$Z78+IF($R78="102",$U78,0),0)+IF(BB$7&lt;&gt;"",$W78,0)</f>
        <v>260.20854166666669</v>
      </c>
      <c r="BC78" s="508">
        <f t="shared" ref="BC78:BC97" si="151">IF(BC$3&lt;&gt;"",$V78,0)+IF(BC$4&lt;&gt;"",$T78,0)+IF(BC$5&lt;&gt;"",$Y78+IF($R78&lt;&gt;"102",$U78,0),0)+IF(BC$6&lt;&gt;"",$Z78+IF($R78="102",$U78,0),0)+IF(BC$7&lt;&gt;"",$W78,0)</f>
        <v>130.68281250000001</v>
      </c>
      <c r="BD78" s="508">
        <f t="shared" ref="BD78:BD97" si="152">IF(BD$3&lt;&gt;"",$V78,0)+IF(BD$4&lt;&gt;"",$T78,0)+IF(BD$5&lt;&gt;"",$Y78+IF($R78&lt;&gt;"102",$U78,0),0)+IF(BD$6&lt;&gt;"",$Z78+IF($R78="102",$U78,0),0)+IF(BD$7&lt;&gt;"",$W78,0)</f>
        <v>329.48281250000002</v>
      </c>
      <c r="BE78" s="508">
        <f t="shared" ref="BE78:BE97" si="153">IF(BE$3&lt;&gt;"",$V78,0)+IF(BE$4&lt;&gt;"",$T78,0)+IF(BE$5&lt;&gt;"",$Y78+IF($R78&lt;&gt;"102",$U78,0),0)+IF(BE$6&lt;&gt;"",$Z78+IF($R78="102",$U78,0),0)+IF(BE$7&lt;&gt;"",$W78,0)</f>
        <v>191.26947916666668</v>
      </c>
      <c r="BF78" s="508">
        <f t="shared" ref="BF78:BF97" si="154">IF(BF$3&lt;&gt;"",$V78,0)+IF(BF$4&lt;&gt;"",$T78,0)+IF(BF$5&lt;&gt;"",$Y78+IF($R78&lt;&gt;"102",$U78,0),0)+IF(BF$6&lt;&gt;"",$Z78+IF($R78="102",$U78,0),0)+IF(BF$7&lt;&gt;"",$W78,0)</f>
        <v>390.06947916666672</v>
      </c>
    </row>
    <row r="79" spans="1:58">
      <c r="A79" s="505" t="s">
        <v>8455</v>
      </c>
      <c r="B79" s="505">
        <v>644923363</v>
      </c>
      <c r="C79" s="505" t="s">
        <v>8411</v>
      </c>
      <c r="D79" s="505">
        <v>1</v>
      </c>
      <c r="F79" s="509" t="str">
        <f t="shared" si="105"/>
        <v>STAT+1</v>
      </c>
      <c r="G79" s="510">
        <f t="shared" si="106"/>
        <v>644923315</v>
      </c>
      <c r="H79" s="510">
        <f t="shared" si="107"/>
        <v>646883515</v>
      </c>
      <c r="I79" s="509">
        <f t="shared" si="108"/>
        <v>5</v>
      </c>
      <c r="J79" s="509">
        <f t="shared" si="109"/>
        <v>12</v>
      </c>
      <c r="L79" s="505">
        <f t="shared" si="110"/>
        <v>10</v>
      </c>
      <c r="M79" s="505">
        <f t="shared" si="111"/>
        <v>10</v>
      </c>
      <c r="N79" s="505">
        <f t="shared" si="112"/>
        <v>300</v>
      </c>
      <c r="O79" s="505">
        <f t="shared" si="113"/>
        <v>1</v>
      </c>
      <c r="P79" s="505" t="str">
        <f t="shared" si="114"/>
        <v/>
      </c>
      <c r="Q79" s="505" t="str">
        <f t="shared" si="115"/>
        <v/>
      </c>
      <c r="R79" s="505" t="str">
        <f t="shared" si="116"/>
        <v/>
      </c>
      <c r="T79" s="508">
        <f t="shared" si="117"/>
        <v>0.82187500000000002</v>
      </c>
      <c r="U79" s="508">
        <f t="shared" si="118"/>
        <v>3.2609374999999998</v>
      </c>
      <c r="V79" s="508">
        <f t="shared" si="119"/>
        <v>512</v>
      </c>
      <c r="W79" s="508">
        <f t="shared" si="120"/>
        <v>198.8</v>
      </c>
      <c r="X79" s="508">
        <f t="shared" si="121"/>
        <v>126.6</v>
      </c>
      <c r="Y79" s="508">
        <f t="shared" si="122"/>
        <v>126.6</v>
      </c>
      <c r="Z79" s="508">
        <f t="shared" si="123"/>
        <v>60.586666666666666</v>
      </c>
      <c r="AB79" s="508">
        <f t="shared" si="124"/>
        <v>198.8</v>
      </c>
      <c r="AC79" s="508">
        <f t="shared" si="125"/>
        <v>60.586666666666666</v>
      </c>
      <c r="AD79" s="508">
        <f t="shared" si="126"/>
        <v>259.38666666666666</v>
      </c>
      <c r="AE79" s="508">
        <f t="shared" si="127"/>
        <v>129.86093750000001</v>
      </c>
      <c r="AF79" s="508">
        <f t="shared" si="128"/>
        <v>328.66093750000005</v>
      </c>
      <c r="AG79" s="508">
        <f t="shared" si="129"/>
        <v>190.44760416666668</v>
      </c>
      <c r="AH79" s="508">
        <f t="shared" si="130"/>
        <v>389.24760416666669</v>
      </c>
      <c r="AI79" s="508">
        <f t="shared" si="131"/>
        <v>0.82187500000000002</v>
      </c>
      <c r="AJ79" s="508">
        <f t="shared" si="132"/>
        <v>199.62187500000002</v>
      </c>
      <c r="AK79" s="508">
        <f t="shared" si="133"/>
        <v>61.408541666666665</v>
      </c>
      <c r="AL79" s="508">
        <f t="shared" si="134"/>
        <v>260.20854166666669</v>
      </c>
      <c r="AM79" s="508">
        <f t="shared" si="135"/>
        <v>130.68281250000001</v>
      </c>
      <c r="AN79" s="508">
        <f t="shared" si="136"/>
        <v>329.48281250000002</v>
      </c>
      <c r="AO79" s="508">
        <f t="shared" si="137"/>
        <v>191.26947916666668</v>
      </c>
      <c r="AP79" s="508">
        <f t="shared" si="138"/>
        <v>390.06947916666672</v>
      </c>
      <c r="AQ79" s="508">
        <f t="shared" si="139"/>
        <v>512</v>
      </c>
      <c r="AR79" s="508">
        <f t="shared" si="140"/>
        <v>710.8</v>
      </c>
      <c r="AS79" s="508">
        <f t="shared" si="141"/>
        <v>572.5866666666667</v>
      </c>
      <c r="AT79" s="508">
        <f t="shared" si="142"/>
        <v>771.38666666666677</v>
      </c>
      <c r="AU79" s="508">
        <f t="shared" si="143"/>
        <v>641.86093749999998</v>
      </c>
      <c r="AV79" s="508">
        <f t="shared" si="144"/>
        <v>840.66093750000005</v>
      </c>
      <c r="AW79" s="508">
        <f t="shared" si="145"/>
        <v>702.44760416666668</v>
      </c>
      <c r="AX79" s="508">
        <f t="shared" si="146"/>
        <v>901.24760416666663</v>
      </c>
      <c r="AY79" s="508">
        <f t="shared" si="147"/>
        <v>512.82187499999998</v>
      </c>
      <c r="AZ79" s="508">
        <f t="shared" si="148"/>
        <v>711.62187500000005</v>
      </c>
      <c r="BA79" s="508">
        <f t="shared" si="149"/>
        <v>573.40854166666668</v>
      </c>
      <c r="BB79" s="508">
        <f t="shared" si="150"/>
        <v>772.20854166666663</v>
      </c>
      <c r="BC79" s="508">
        <f t="shared" si="151"/>
        <v>642.68281249999995</v>
      </c>
      <c r="BD79" s="508">
        <f t="shared" si="152"/>
        <v>841.48281249999991</v>
      </c>
      <c r="BE79" s="508">
        <f t="shared" si="153"/>
        <v>703.26947916666666</v>
      </c>
      <c r="BF79" s="508">
        <f t="shared" si="154"/>
        <v>902.06947916666672</v>
      </c>
    </row>
    <row r="80" spans="1:58">
      <c r="A80" s="505" t="s">
        <v>8453</v>
      </c>
      <c r="B80" s="505">
        <v>644924846</v>
      </c>
      <c r="C80" s="505" t="s">
        <v>776</v>
      </c>
      <c r="D80" s="505">
        <v>40</v>
      </c>
      <c r="F80" s="509" t="str">
        <f t="shared" si="105"/>
        <v>N2+40</v>
      </c>
      <c r="G80" s="510">
        <f t="shared" si="106"/>
        <v>644923315</v>
      </c>
      <c r="H80" s="510">
        <f t="shared" si="107"/>
        <v>646883515</v>
      </c>
      <c r="I80" s="509">
        <f t="shared" si="108"/>
        <v>6</v>
      </c>
      <c r="J80" s="509">
        <f t="shared" si="109"/>
        <v>11</v>
      </c>
      <c r="L80" s="505">
        <f t="shared" si="110"/>
        <v>10</v>
      </c>
      <c r="M80" s="505">
        <f t="shared" si="111"/>
        <v>40</v>
      </c>
      <c r="N80" s="505">
        <f t="shared" si="112"/>
        <v>300</v>
      </c>
      <c r="O80" s="505">
        <f t="shared" si="113"/>
        <v>1</v>
      </c>
      <c r="P80" s="505" t="str">
        <f t="shared" si="114"/>
        <v/>
      </c>
      <c r="Q80" s="505" t="str">
        <f t="shared" si="115"/>
        <v/>
      </c>
      <c r="R80" s="505" t="str">
        <f t="shared" si="116"/>
        <v/>
      </c>
      <c r="T80" s="508">
        <f t="shared" si="117"/>
        <v>0.20546875000000001</v>
      </c>
      <c r="U80" s="508">
        <f t="shared" si="118"/>
        <v>0.81523437499999996</v>
      </c>
      <c r="V80" s="508">
        <f t="shared" si="119"/>
        <v>512</v>
      </c>
      <c r="W80" s="508">
        <f t="shared" si="120"/>
        <v>198.8</v>
      </c>
      <c r="X80" s="508">
        <f t="shared" si="121"/>
        <v>31.65</v>
      </c>
      <c r="Y80" s="508">
        <f t="shared" si="122"/>
        <v>31.65</v>
      </c>
      <c r="Z80" s="508">
        <f t="shared" si="123"/>
        <v>60.586666666666666</v>
      </c>
      <c r="AB80" s="508">
        <f t="shared" si="124"/>
        <v>198.8</v>
      </c>
      <c r="AC80" s="508">
        <f t="shared" si="125"/>
        <v>60.586666666666666</v>
      </c>
      <c r="AD80" s="508">
        <f t="shared" si="126"/>
        <v>259.38666666666666</v>
      </c>
      <c r="AE80" s="508">
        <f t="shared" si="127"/>
        <v>32.465234375000001</v>
      </c>
      <c r="AF80" s="508">
        <f t="shared" si="128"/>
        <v>231.26523437500001</v>
      </c>
      <c r="AG80" s="508">
        <f t="shared" si="129"/>
        <v>93.051901041666667</v>
      </c>
      <c r="AH80" s="508">
        <f t="shared" si="130"/>
        <v>291.85190104166668</v>
      </c>
      <c r="AI80" s="508">
        <f t="shared" si="131"/>
        <v>0.20546875000000001</v>
      </c>
      <c r="AJ80" s="508">
        <f t="shared" si="132"/>
        <v>199.00546875000001</v>
      </c>
      <c r="AK80" s="508">
        <f t="shared" si="133"/>
        <v>60.792135416666667</v>
      </c>
      <c r="AL80" s="508">
        <f t="shared" si="134"/>
        <v>259.59213541666668</v>
      </c>
      <c r="AM80" s="508">
        <f t="shared" si="135"/>
        <v>32.670703125000003</v>
      </c>
      <c r="AN80" s="508">
        <f t="shared" si="136"/>
        <v>231.470703125</v>
      </c>
      <c r="AO80" s="508">
        <f t="shared" si="137"/>
        <v>93.257369791666662</v>
      </c>
      <c r="AP80" s="508">
        <f t="shared" si="138"/>
        <v>292.0573697916667</v>
      </c>
      <c r="AQ80" s="508">
        <f t="shared" si="139"/>
        <v>512</v>
      </c>
      <c r="AR80" s="508">
        <f t="shared" si="140"/>
        <v>710.8</v>
      </c>
      <c r="AS80" s="508">
        <f t="shared" si="141"/>
        <v>572.5866666666667</v>
      </c>
      <c r="AT80" s="508">
        <f t="shared" si="142"/>
        <v>771.38666666666677</v>
      </c>
      <c r="AU80" s="508">
        <f t="shared" si="143"/>
        <v>544.46523437500002</v>
      </c>
      <c r="AV80" s="508">
        <f t="shared" si="144"/>
        <v>743.26523437500009</v>
      </c>
      <c r="AW80" s="508">
        <f t="shared" si="145"/>
        <v>605.05190104166672</v>
      </c>
      <c r="AX80" s="508">
        <f t="shared" si="146"/>
        <v>803.85190104166668</v>
      </c>
      <c r="AY80" s="508">
        <f t="shared" si="147"/>
        <v>512.20546875000002</v>
      </c>
      <c r="AZ80" s="508">
        <f t="shared" si="148"/>
        <v>711.00546875000009</v>
      </c>
      <c r="BA80" s="508">
        <f t="shared" si="149"/>
        <v>572.79213541666672</v>
      </c>
      <c r="BB80" s="508">
        <f t="shared" si="150"/>
        <v>771.59213541666668</v>
      </c>
      <c r="BC80" s="508">
        <f t="shared" si="151"/>
        <v>544.67070312500005</v>
      </c>
      <c r="BD80" s="508">
        <f t="shared" si="152"/>
        <v>743.470703125</v>
      </c>
      <c r="BE80" s="508">
        <f t="shared" si="153"/>
        <v>605.25736979166675</v>
      </c>
      <c r="BF80" s="508">
        <f t="shared" si="154"/>
        <v>804.05736979166682</v>
      </c>
    </row>
    <row r="81" spans="1:58">
      <c r="A81" s="505" t="s">
        <v>8453</v>
      </c>
      <c r="B81" s="505">
        <v>644924847</v>
      </c>
      <c r="C81" s="505" t="s">
        <v>773</v>
      </c>
      <c r="D81" s="505">
        <v>7200</v>
      </c>
      <c r="F81" s="509" t="str">
        <f t="shared" si="105"/>
        <v>N3+7200</v>
      </c>
      <c r="G81" s="510">
        <f t="shared" si="106"/>
        <v>644923315</v>
      </c>
      <c r="H81" s="510">
        <f t="shared" si="107"/>
        <v>646883515</v>
      </c>
      <c r="I81" s="509">
        <f t="shared" si="108"/>
        <v>7</v>
      </c>
      <c r="J81" s="509">
        <f t="shared" si="109"/>
        <v>10</v>
      </c>
      <c r="L81" s="505">
        <f t="shared" si="110"/>
        <v>10</v>
      </c>
      <c r="M81" s="505">
        <f t="shared" si="111"/>
        <v>40</v>
      </c>
      <c r="N81" s="505">
        <f t="shared" si="112"/>
        <v>7200</v>
      </c>
      <c r="O81" s="505">
        <f t="shared" si="113"/>
        <v>1</v>
      </c>
      <c r="P81" s="505" t="str">
        <f t="shared" si="114"/>
        <v/>
      </c>
      <c r="Q81" s="505" t="str">
        <f t="shared" si="115"/>
        <v/>
      </c>
      <c r="R81" s="505" t="str">
        <f t="shared" si="116"/>
        <v/>
      </c>
      <c r="T81" s="508">
        <f t="shared" si="117"/>
        <v>0.20546875000000001</v>
      </c>
      <c r="U81" s="508">
        <f t="shared" si="118"/>
        <v>0.81523437499999996</v>
      </c>
      <c r="V81" s="508">
        <f t="shared" si="119"/>
        <v>512</v>
      </c>
      <c r="W81" s="508">
        <f t="shared" si="120"/>
        <v>198.8</v>
      </c>
      <c r="X81" s="508">
        <f t="shared" si="121"/>
        <v>31.65</v>
      </c>
      <c r="Y81" s="508">
        <f t="shared" si="122"/>
        <v>31.65</v>
      </c>
      <c r="Z81" s="508">
        <f t="shared" si="123"/>
        <v>2.5244444444444443</v>
      </c>
      <c r="AB81" s="508">
        <f t="shared" si="124"/>
        <v>198.8</v>
      </c>
      <c r="AC81" s="508">
        <f t="shared" si="125"/>
        <v>2.5244444444444443</v>
      </c>
      <c r="AD81" s="508">
        <f t="shared" si="126"/>
        <v>201.32444444444445</v>
      </c>
      <c r="AE81" s="508">
        <f t="shared" si="127"/>
        <v>32.465234375000001</v>
      </c>
      <c r="AF81" s="508">
        <f t="shared" si="128"/>
        <v>231.26523437500001</v>
      </c>
      <c r="AG81" s="508">
        <f t="shared" si="129"/>
        <v>34.989678819444443</v>
      </c>
      <c r="AH81" s="508">
        <f t="shared" si="130"/>
        <v>233.78967881944445</v>
      </c>
      <c r="AI81" s="508">
        <f t="shared" si="131"/>
        <v>0.20546875000000001</v>
      </c>
      <c r="AJ81" s="508">
        <f t="shared" si="132"/>
        <v>199.00546875000001</v>
      </c>
      <c r="AK81" s="508">
        <f t="shared" si="133"/>
        <v>2.7299131944444444</v>
      </c>
      <c r="AL81" s="508">
        <f t="shared" si="134"/>
        <v>201.52991319444445</v>
      </c>
      <c r="AM81" s="508">
        <f t="shared" si="135"/>
        <v>32.670703125000003</v>
      </c>
      <c r="AN81" s="508">
        <f t="shared" si="136"/>
        <v>231.470703125</v>
      </c>
      <c r="AO81" s="508">
        <f t="shared" si="137"/>
        <v>35.195147569444444</v>
      </c>
      <c r="AP81" s="508">
        <f t="shared" si="138"/>
        <v>233.99514756944444</v>
      </c>
      <c r="AQ81" s="508">
        <f t="shared" si="139"/>
        <v>512</v>
      </c>
      <c r="AR81" s="508">
        <f t="shared" si="140"/>
        <v>710.8</v>
      </c>
      <c r="AS81" s="508">
        <f t="shared" si="141"/>
        <v>514.5244444444445</v>
      </c>
      <c r="AT81" s="508">
        <f t="shared" si="142"/>
        <v>713.32444444444445</v>
      </c>
      <c r="AU81" s="508">
        <f t="shared" si="143"/>
        <v>544.46523437500002</v>
      </c>
      <c r="AV81" s="508">
        <f t="shared" si="144"/>
        <v>743.26523437500009</v>
      </c>
      <c r="AW81" s="508">
        <f t="shared" si="145"/>
        <v>546.98967881944452</v>
      </c>
      <c r="AX81" s="508">
        <f t="shared" si="146"/>
        <v>745.78967881944459</v>
      </c>
      <c r="AY81" s="508">
        <f t="shared" si="147"/>
        <v>512.20546875000002</v>
      </c>
      <c r="AZ81" s="508">
        <f t="shared" si="148"/>
        <v>711.00546875000009</v>
      </c>
      <c r="BA81" s="508">
        <f t="shared" si="149"/>
        <v>514.72991319444452</v>
      </c>
      <c r="BB81" s="508">
        <f t="shared" si="150"/>
        <v>713.52991319444459</v>
      </c>
      <c r="BC81" s="508">
        <f t="shared" si="151"/>
        <v>544.67070312500005</v>
      </c>
      <c r="BD81" s="508">
        <f t="shared" si="152"/>
        <v>743.470703125</v>
      </c>
      <c r="BE81" s="508">
        <f t="shared" si="153"/>
        <v>547.19514756944454</v>
      </c>
      <c r="BF81" s="508">
        <f t="shared" si="154"/>
        <v>745.9951475694445</v>
      </c>
    </row>
    <row r="82" spans="1:58">
      <c r="A82" s="505" t="s">
        <v>8453</v>
      </c>
      <c r="B82" s="505">
        <v>644924848</v>
      </c>
      <c r="C82" s="505" t="s">
        <v>12</v>
      </c>
      <c r="D82" s="505">
        <v>3600</v>
      </c>
      <c r="F82" s="509" t="str">
        <f t="shared" si="105"/>
        <v>N1+3600</v>
      </c>
      <c r="G82" s="510">
        <f t="shared" si="106"/>
        <v>644923315</v>
      </c>
      <c r="H82" s="510">
        <f t="shared" si="107"/>
        <v>646883515</v>
      </c>
      <c r="I82" s="509">
        <f t="shared" si="108"/>
        <v>8</v>
      </c>
      <c r="J82" s="509">
        <f t="shared" si="109"/>
        <v>9</v>
      </c>
      <c r="L82" s="505">
        <f t="shared" si="110"/>
        <v>3600</v>
      </c>
      <c r="M82" s="505">
        <f t="shared" si="111"/>
        <v>40</v>
      </c>
      <c r="N82" s="505">
        <f t="shared" si="112"/>
        <v>7200</v>
      </c>
      <c r="O82" s="505">
        <f t="shared" si="113"/>
        <v>1</v>
      </c>
      <c r="P82" s="505" t="str">
        <f t="shared" si="114"/>
        <v/>
      </c>
      <c r="Q82" s="505" t="str">
        <f t="shared" si="115"/>
        <v/>
      </c>
      <c r="R82" s="505" t="str">
        <f t="shared" si="116"/>
        <v/>
      </c>
      <c r="T82" s="508">
        <f t="shared" si="117"/>
        <v>0.20546875000000001</v>
      </c>
      <c r="U82" s="508">
        <f t="shared" si="118"/>
        <v>0.81523437499999996</v>
      </c>
      <c r="V82" s="508">
        <f t="shared" si="119"/>
        <v>512</v>
      </c>
      <c r="W82" s="508">
        <f t="shared" si="120"/>
        <v>0.55222222222222217</v>
      </c>
      <c r="X82" s="508">
        <f t="shared" si="121"/>
        <v>31.65</v>
      </c>
      <c r="Y82" s="508">
        <f t="shared" si="122"/>
        <v>31.65</v>
      </c>
      <c r="Z82" s="508">
        <f t="shared" si="123"/>
        <v>2.5244444444444443</v>
      </c>
      <c r="AB82" s="508">
        <f t="shared" si="124"/>
        <v>0.55222222222222217</v>
      </c>
      <c r="AC82" s="508">
        <f t="shared" si="125"/>
        <v>2.5244444444444443</v>
      </c>
      <c r="AD82" s="508">
        <f t="shared" si="126"/>
        <v>3.0766666666666662</v>
      </c>
      <c r="AE82" s="508">
        <f t="shared" si="127"/>
        <v>32.465234375000001</v>
      </c>
      <c r="AF82" s="508">
        <f t="shared" si="128"/>
        <v>33.017456597222221</v>
      </c>
      <c r="AG82" s="508">
        <f t="shared" si="129"/>
        <v>34.989678819444443</v>
      </c>
      <c r="AH82" s="508">
        <f t="shared" si="130"/>
        <v>35.541901041666662</v>
      </c>
      <c r="AI82" s="508">
        <f t="shared" si="131"/>
        <v>0.20546875000000001</v>
      </c>
      <c r="AJ82" s="508">
        <f t="shared" si="132"/>
        <v>0.75769097222222215</v>
      </c>
      <c r="AK82" s="508">
        <f t="shared" si="133"/>
        <v>2.7299131944444444</v>
      </c>
      <c r="AL82" s="508">
        <f t="shared" si="134"/>
        <v>3.2821354166666667</v>
      </c>
      <c r="AM82" s="508">
        <f t="shared" si="135"/>
        <v>32.670703125000003</v>
      </c>
      <c r="AN82" s="508">
        <f t="shared" si="136"/>
        <v>33.222925347222223</v>
      </c>
      <c r="AO82" s="508">
        <f t="shared" si="137"/>
        <v>35.195147569444444</v>
      </c>
      <c r="AP82" s="508">
        <f t="shared" si="138"/>
        <v>35.747369791666664</v>
      </c>
      <c r="AQ82" s="508">
        <f t="shared" si="139"/>
        <v>512</v>
      </c>
      <c r="AR82" s="508">
        <f t="shared" si="140"/>
        <v>512.55222222222221</v>
      </c>
      <c r="AS82" s="508">
        <f t="shared" si="141"/>
        <v>514.5244444444445</v>
      </c>
      <c r="AT82" s="508">
        <f t="shared" si="142"/>
        <v>515.07666666666671</v>
      </c>
      <c r="AU82" s="508">
        <f t="shared" si="143"/>
        <v>544.46523437500002</v>
      </c>
      <c r="AV82" s="508">
        <f t="shared" si="144"/>
        <v>545.01745659722224</v>
      </c>
      <c r="AW82" s="508">
        <f t="shared" si="145"/>
        <v>546.98967881944452</v>
      </c>
      <c r="AX82" s="508">
        <f t="shared" si="146"/>
        <v>547.54190104166673</v>
      </c>
      <c r="AY82" s="508">
        <f t="shared" si="147"/>
        <v>512.20546875000002</v>
      </c>
      <c r="AZ82" s="508">
        <f t="shared" si="148"/>
        <v>512.75769097222224</v>
      </c>
      <c r="BA82" s="508">
        <f t="shared" si="149"/>
        <v>514.72991319444452</v>
      </c>
      <c r="BB82" s="508">
        <f t="shared" si="150"/>
        <v>515.28213541666673</v>
      </c>
      <c r="BC82" s="508">
        <f t="shared" si="151"/>
        <v>544.67070312500005</v>
      </c>
      <c r="BD82" s="508">
        <f t="shared" si="152"/>
        <v>545.22292534722226</v>
      </c>
      <c r="BE82" s="508">
        <f t="shared" si="153"/>
        <v>547.19514756944454</v>
      </c>
      <c r="BF82" s="508">
        <f t="shared" si="154"/>
        <v>547.74736979166676</v>
      </c>
    </row>
    <row r="83" spans="1:58">
      <c r="A83" s="505" t="s">
        <v>8455</v>
      </c>
      <c r="B83" s="505">
        <v>644924849</v>
      </c>
      <c r="C83" s="505" t="s">
        <v>8411</v>
      </c>
      <c r="D83" s="505">
        <v>300</v>
      </c>
      <c r="F83" s="509" t="str">
        <f t="shared" si="105"/>
        <v>STAT+300</v>
      </c>
      <c r="G83" s="510">
        <f t="shared" si="106"/>
        <v>644923315</v>
      </c>
      <c r="H83" s="510">
        <f t="shared" si="107"/>
        <v>646883515</v>
      </c>
      <c r="I83" s="509">
        <f t="shared" si="108"/>
        <v>9</v>
      </c>
      <c r="J83" s="509">
        <f t="shared" si="109"/>
        <v>8</v>
      </c>
      <c r="L83" s="505">
        <f t="shared" si="110"/>
        <v>3600</v>
      </c>
      <c r="M83" s="505">
        <f t="shared" si="111"/>
        <v>40</v>
      </c>
      <c r="N83" s="505">
        <f t="shared" si="112"/>
        <v>7200</v>
      </c>
      <c r="O83" s="505">
        <f t="shared" si="113"/>
        <v>300</v>
      </c>
      <c r="P83" s="505" t="str">
        <f t="shared" si="114"/>
        <v/>
      </c>
      <c r="Q83" s="505" t="str">
        <f t="shared" si="115"/>
        <v/>
      </c>
      <c r="R83" s="505" t="str">
        <f t="shared" si="116"/>
        <v/>
      </c>
      <c r="T83" s="508">
        <f t="shared" si="117"/>
        <v>0.20546875000000001</v>
      </c>
      <c r="U83" s="508">
        <f t="shared" si="118"/>
        <v>0.81523437499999996</v>
      </c>
      <c r="V83" s="508">
        <f t="shared" si="119"/>
        <v>1.7066666666666668</v>
      </c>
      <c r="W83" s="508">
        <f t="shared" si="120"/>
        <v>0.55222222222222217</v>
      </c>
      <c r="X83" s="508">
        <f t="shared" si="121"/>
        <v>31.65</v>
      </c>
      <c r="Y83" s="508">
        <f t="shared" si="122"/>
        <v>31.65</v>
      </c>
      <c r="Z83" s="508">
        <f t="shared" si="123"/>
        <v>2.5244444444444443</v>
      </c>
      <c r="AB83" s="508">
        <f t="shared" si="124"/>
        <v>0.55222222222222217</v>
      </c>
      <c r="AC83" s="508">
        <f t="shared" si="125"/>
        <v>2.5244444444444443</v>
      </c>
      <c r="AD83" s="508">
        <f t="shared" si="126"/>
        <v>3.0766666666666662</v>
      </c>
      <c r="AE83" s="508">
        <f t="shared" si="127"/>
        <v>32.465234375000001</v>
      </c>
      <c r="AF83" s="508">
        <f t="shared" si="128"/>
        <v>33.017456597222221</v>
      </c>
      <c r="AG83" s="508">
        <f t="shared" si="129"/>
        <v>34.989678819444443</v>
      </c>
      <c r="AH83" s="508">
        <f t="shared" si="130"/>
        <v>35.541901041666662</v>
      </c>
      <c r="AI83" s="508">
        <f t="shared" si="131"/>
        <v>0.20546875000000001</v>
      </c>
      <c r="AJ83" s="508">
        <f t="shared" si="132"/>
        <v>0.75769097222222215</v>
      </c>
      <c r="AK83" s="508">
        <f t="shared" si="133"/>
        <v>2.7299131944444444</v>
      </c>
      <c r="AL83" s="508">
        <f t="shared" si="134"/>
        <v>3.2821354166666667</v>
      </c>
      <c r="AM83" s="508">
        <f t="shared" si="135"/>
        <v>32.670703125000003</v>
      </c>
      <c r="AN83" s="508">
        <f t="shared" si="136"/>
        <v>33.222925347222223</v>
      </c>
      <c r="AO83" s="508">
        <f t="shared" si="137"/>
        <v>35.195147569444444</v>
      </c>
      <c r="AP83" s="508">
        <f t="shared" si="138"/>
        <v>35.747369791666664</v>
      </c>
      <c r="AQ83" s="508">
        <f t="shared" si="139"/>
        <v>1.7066666666666668</v>
      </c>
      <c r="AR83" s="508">
        <f t="shared" si="140"/>
        <v>2.2588888888888889</v>
      </c>
      <c r="AS83" s="508">
        <f t="shared" si="141"/>
        <v>4.2311111111111108</v>
      </c>
      <c r="AT83" s="508">
        <f t="shared" si="142"/>
        <v>4.7833333333333332</v>
      </c>
      <c r="AU83" s="508">
        <f t="shared" si="143"/>
        <v>34.171901041666665</v>
      </c>
      <c r="AV83" s="508">
        <f t="shared" si="144"/>
        <v>34.724123263888885</v>
      </c>
      <c r="AW83" s="508">
        <f t="shared" si="145"/>
        <v>36.696345486111106</v>
      </c>
      <c r="AX83" s="508">
        <f t="shared" si="146"/>
        <v>37.248567708333326</v>
      </c>
      <c r="AY83" s="508">
        <f t="shared" si="147"/>
        <v>1.9121354166666669</v>
      </c>
      <c r="AZ83" s="508">
        <f t="shared" si="148"/>
        <v>2.464357638888889</v>
      </c>
      <c r="BA83" s="508">
        <f t="shared" si="149"/>
        <v>4.4365798611111114</v>
      </c>
      <c r="BB83" s="508">
        <f t="shared" si="150"/>
        <v>4.9888020833333337</v>
      </c>
      <c r="BC83" s="508">
        <f t="shared" si="151"/>
        <v>34.377369791666666</v>
      </c>
      <c r="BD83" s="508">
        <f t="shared" si="152"/>
        <v>34.929592013888886</v>
      </c>
      <c r="BE83" s="508">
        <f t="shared" si="153"/>
        <v>36.901814236111107</v>
      </c>
      <c r="BF83" s="508">
        <f t="shared" si="154"/>
        <v>37.454036458333327</v>
      </c>
    </row>
    <row r="84" spans="1:58">
      <c r="A84" s="505" t="s">
        <v>8453</v>
      </c>
      <c r="B84" s="505">
        <v>644924995</v>
      </c>
      <c r="C84" s="505" t="s">
        <v>776</v>
      </c>
      <c r="D84" s="505">
        <v>360</v>
      </c>
      <c r="F84" s="509" t="str">
        <f t="shared" si="105"/>
        <v>N2+360</v>
      </c>
      <c r="G84" s="510">
        <f t="shared" si="106"/>
        <v>644923315</v>
      </c>
      <c r="H84" s="510">
        <f t="shared" si="107"/>
        <v>646883515</v>
      </c>
      <c r="I84" s="509">
        <f t="shared" si="108"/>
        <v>10</v>
      </c>
      <c r="J84" s="509">
        <f t="shared" si="109"/>
        <v>7</v>
      </c>
      <c r="L84" s="505">
        <f t="shared" si="110"/>
        <v>3600</v>
      </c>
      <c r="M84" s="505">
        <f t="shared" si="111"/>
        <v>360</v>
      </c>
      <c r="N84" s="505">
        <f t="shared" si="112"/>
        <v>7200</v>
      </c>
      <c r="O84" s="505">
        <f t="shared" si="113"/>
        <v>300</v>
      </c>
      <c r="P84" s="505" t="str">
        <f t="shared" si="114"/>
        <v/>
      </c>
      <c r="Q84" s="505" t="str">
        <f t="shared" si="115"/>
        <v/>
      </c>
      <c r="R84" s="505" t="str">
        <f t="shared" si="116"/>
        <v/>
      </c>
      <c r="T84" s="508">
        <f t="shared" si="117"/>
        <v>2.282986111111111E-2</v>
      </c>
      <c r="U84" s="508">
        <f t="shared" si="118"/>
        <v>9.0581597222222227E-2</v>
      </c>
      <c r="V84" s="508">
        <f t="shared" si="119"/>
        <v>1.7066666666666668</v>
      </c>
      <c r="W84" s="508">
        <f t="shared" si="120"/>
        <v>0.55222222222222217</v>
      </c>
      <c r="X84" s="508">
        <f t="shared" si="121"/>
        <v>3.5166666666666666</v>
      </c>
      <c r="Y84" s="508">
        <f t="shared" si="122"/>
        <v>3.5166666666666666</v>
      </c>
      <c r="Z84" s="508">
        <f t="shared" si="123"/>
        <v>2.5244444444444443</v>
      </c>
      <c r="AB84" s="508">
        <f t="shared" si="124"/>
        <v>0.55222222222222217</v>
      </c>
      <c r="AC84" s="508">
        <f t="shared" si="125"/>
        <v>2.5244444444444443</v>
      </c>
      <c r="AD84" s="508">
        <f t="shared" si="126"/>
        <v>3.0766666666666662</v>
      </c>
      <c r="AE84" s="508">
        <f t="shared" si="127"/>
        <v>3.6072482638888888</v>
      </c>
      <c r="AF84" s="508">
        <f t="shared" si="128"/>
        <v>4.1594704861111111</v>
      </c>
      <c r="AG84" s="508">
        <f t="shared" si="129"/>
        <v>6.1316927083333326</v>
      </c>
      <c r="AH84" s="508">
        <f t="shared" si="130"/>
        <v>6.683914930555555</v>
      </c>
      <c r="AI84" s="508">
        <f t="shared" si="131"/>
        <v>2.282986111111111E-2</v>
      </c>
      <c r="AJ84" s="508">
        <f t="shared" si="132"/>
        <v>0.57505208333333324</v>
      </c>
      <c r="AK84" s="508">
        <f t="shared" si="133"/>
        <v>2.5472743055555553</v>
      </c>
      <c r="AL84" s="508">
        <f t="shared" si="134"/>
        <v>3.0994965277777773</v>
      </c>
      <c r="AM84" s="508">
        <f t="shared" si="135"/>
        <v>3.6300781249999998</v>
      </c>
      <c r="AN84" s="508">
        <f t="shared" si="136"/>
        <v>4.1823003472222222</v>
      </c>
      <c r="AO84" s="508">
        <f t="shared" si="137"/>
        <v>6.1545225694444436</v>
      </c>
      <c r="AP84" s="508">
        <f t="shared" si="138"/>
        <v>6.706744791666666</v>
      </c>
      <c r="AQ84" s="508">
        <f t="shared" si="139"/>
        <v>1.7066666666666668</v>
      </c>
      <c r="AR84" s="508">
        <f t="shared" si="140"/>
        <v>2.2588888888888889</v>
      </c>
      <c r="AS84" s="508">
        <f t="shared" si="141"/>
        <v>4.2311111111111108</v>
      </c>
      <c r="AT84" s="508">
        <f t="shared" si="142"/>
        <v>4.7833333333333332</v>
      </c>
      <c r="AU84" s="508">
        <f t="shared" si="143"/>
        <v>5.3139149305555557</v>
      </c>
      <c r="AV84" s="508">
        <f t="shared" si="144"/>
        <v>5.8661371527777781</v>
      </c>
      <c r="AW84" s="508">
        <f t="shared" si="145"/>
        <v>7.8383593749999996</v>
      </c>
      <c r="AX84" s="508">
        <f t="shared" si="146"/>
        <v>8.3905815972222211</v>
      </c>
      <c r="AY84" s="508">
        <f t="shared" si="147"/>
        <v>1.7294965277777778</v>
      </c>
      <c r="AZ84" s="508">
        <f t="shared" si="148"/>
        <v>2.28171875</v>
      </c>
      <c r="BA84" s="508">
        <f t="shared" si="149"/>
        <v>4.2539409722222219</v>
      </c>
      <c r="BB84" s="508">
        <f t="shared" si="150"/>
        <v>4.8061631944444443</v>
      </c>
      <c r="BC84" s="508">
        <f t="shared" si="151"/>
        <v>5.3367447916666668</v>
      </c>
      <c r="BD84" s="508">
        <f t="shared" si="152"/>
        <v>5.8889670138888892</v>
      </c>
      <c r="BE84" s="508">
        <f t="shared" si="153"/>
        <v>7.8611892361111106</v>
      </c>
      <c r="BF84" s="508">
        <f t="shared" si="154"/>
        <v>8.4134114583333321</v>
      </c>
    </row>
    <row r="85" spans="1:58">
      <c r="A85" s="505" t="s">
        <v>8453</v>
      </c>
      <c r="B85" s="505">
        <v>644924998</v>
      </c>
      <c r="C85" s="505" t="s">
        <v>12</v>
      </c>
      <c r="D85" s="505">
        <v>360</v>
      </c>
      <c r="F85" s="509" t="str">
        <f t="shared" si="105"/>
        <v>N1+360</v>
      </c>
      <c r="G85" s="510">
        <f t="shared" si="106"/>
        <v>644923315</v>
      </c>
      <c r="H85" s="510">
        <f t="shared" si="107"/>
        <v>646883515</v>
      </c>
      <c r="I85" s="509">
        <f t="shared" si="108"/>
        <v>11</v>
      </c>
      <c r="J85" s="509">
        <f t="shared" si="109"/>
        <v>6</v>
      </c>
      <c r="L85" s="505">
        <f t="shared" si="110"/>
        <v>360</v>
      </c>
      <c r="M85" s="505">
        <f t="shared" si="111"/>
        <v>360</v>
      </c>
      <c r="N85" s="505">
        <f t="shared" si="112"/>
        <v>7200</v>
      </c>
      <c r="O85" s="505">
        <f t="shared" si="113"/>
        <v>300</v>
      </c>
      <c r="P85" s="505" t="str">
        <f t="shared" si="114"/>
        <v/>
      </c>
      <c r="Q85" s="505" t="str">
        <f t="shared" si="115"/>
        <v/>
      </c>
      <c r="R85" s="505" t="str">
        <f t="shared" si="116"/>
        <v/>
      </c>
      <c r="T85" s="508">
        <f t="shared" si="117"/>
        <v>2.282986111111111E-2</v>
      </c>
      <c r="U85" s="508">
        <f t="shared" si="118"/>
        <v>9.0581597222222227E-2</v>
      </c>
      <c r="V85" s="508">
        <f t="shared" si="119"/>
        <v>1.7066666666666668</v>
      </c>
      <c r="W85" s="508">
        <f t="shared" si="120"/>
        <v>5.5222222222222221</v>
      </c>
      <c r="X85" s="508">
        <f t="shared" si="121"/>
        <v>3.5166666666666666</v>
      </c>
      <c r="Y85" s="508">
        <f t="shared" si="122"/>
        <v>3.5166666666666666</v>
      </c>
      <c r="Z85" s="508">
        <f t="shared" si="123"/>
        <v>2.5244444444444443</v>
      </c>
      <c r="AB85" s="508">
        <f t="shared" si="124"/>
        <v>5.5222222222222221</v>
      </c>
      <c r="AC85" s="508">
        <f t="shared" si="125"/>
        <v>2.5244444444444443</v>
      </c>
      <c r="AD85" s="508">
        <f t="shared" si="126"/>
        <v>8.0466666666666669</v>
      </c>
      <c r="AE85" s="508">
        <f t="shared" si="127"/>
        <v>3.6072482638888888</v>
      </c>
      <c r="AF85" s="508">
        <f t="shared" si="128"/>
        <v>9.12947048611111</v>
      </c>
      <c r="AG85" s="508">
        <f t="shared" si="129"/>
        <v>6.1316927083333326</v>
      </c>
      <c r="AH85" s="508">
        <f t="shared" si="130"/>
        <v>11.653914930555555</v>
      </c>
      <c r="AI85" s="508">
        <f t="shared" si="131"/>
        <v>2.282986111111111E-2</v>
      </c>
      <c r="AJ85" s="508">
        <f t="shared" si="132"/>
        <v>5.5450520833333332</v>
      </c>
      <c r="AK85" s="508">
        <f t="shared" si="133"/>
        <v>2.5472743055555553</v>
      </c>
      <c r="AL85" s="508">
        <f t="shared" si="134"/>
        <v>8.0694965277777779</v>
      </c>
      <c r="AM85" s="508">
        <f t="shared" si="135"/>
        <v>3.6300781249999998</v>
      </c>
      <c r="AN85" s="508">
        <f t="shared" si="136"/>
        <v>9.1523003472222229</v>
      </c>
      <c r="AO85" s="508">
        <f t="shared" si="137"/>
        <v>6.1545225694444436</v>
      </c>
      <c r="AP85" s="508">
        <f t="shared" si="138"/>
        <v>11.676744791666666</v>
      </c>
      <c r="AQ85" s="508">
        <f t="shared" si="139"/>
        <v>1.7066666666666668</v>
      </c>
      <c r="AR85" s="508">
        <f t="shared" si="140"/>
        <v>7.2288888888888891</v>
      </c>
      <c r="AS85" s="508">
        <f t="shared" si="141"/>
        <v>4.2311111111111108</v>
      </c>
      <c r="AT85" s="508">
        <f t="shared" si="142"/>
        <v>9.7533333333333339</v>
      </c>
      <c r="AU85" s="508">
        <f t="shared" si="143"/>
        <v>5.3139149305555557</v>
      </c>
      <c r="AV85" s="508">
        <f t="shared" si="144"/>
        <v>10.836137152777777</v>
      </c>
      <c r="AW85" s="508">
        <f t="shared" si="145"/>
        <v>7.8383593749999996</v>
      </c>
      <c r="AX85" s="508">
        <f t="shared" si="146"/>
        <v>13.360581597222222</v>
      </c>
      <c r="AY85" s="508">
        <f t="shared" si="147"/>
        <v>1.7294965277777778</v>
      </c>
      <c r="AZ85" s="508">
        <f t="shared" si="148"/>
        <v>7.2517187500000002</v>
      </c>
      <c r="BA85" s="508">
        <f t="shared" si="149"/>
        <v>4.2539409722222219</v>
      </c>
      <c r="BB85" s="508">
        <f t="shared" si="150"/>
        <v>9.7761631944444431</v>
      </c>
      <c r="BC85" s="508">
        <f t="shared" si="151"/>
        <v>5.3367447916666668</v>
      </c>
      <c r="BD85" s="508">
        <f t="shared" si="152"/>
        <v>10.85896701388889</v>
      </c>
      <c r="BE85" s="508">
        <f t="shared" si="153"/>
        <v>7.8611892361111106</v>
      </c>
      <c r="BF85" s="508">
        <f t="shared" si="154"/>
        <v>13.383411458333333</v>
      </c>
    </row>
    <row r="86" spans="1:58">
      <c r="A86" s="505" t="s">
        <v>8453</v>
      </c>
      <c r="B86" s="505">
        <v>644925001</v>
      </c>
      <c r="C86" s="505" t="s">
        <v>773</v>
      </c>
      <c r="D86" s="505">
        <v>900</v>
      </c>
      <c r="F86" s="509" t="str">
        <f t="shared" si="105"/>
        <v>N3+900</v>
      </c>
      <c r="G86" s="510">
        <f t="shared" si="106"/>
        <v>644923315</v>
      </c>
      <c r="H86" s="510">
        <f t="shared" si="107"/>
        <v>646883515</v>
      </c>
      <c r="I86" s="509">
        <f t="shared" si="108"/>
        <v>12</v>
      </c>
      <c r="J86" s="509">
        <f t="shared" si="109"/>
        <v>5</v>
      </c>
      <c r="L86" s="505">
        <f t="shared" si="110"/>
        <v>360</v>
      </c>
      <c r="M86" s="505">
        <f t="shared" si="111"/>
        <v>360</v>
      </c>
      <c r="N86" s="505">
        <f t="shared" si="112"/>
        <v>900</v>
      </c>
      <c r="O86" s="505">
        <f t="shared" si="113"/>
        <v>300</v>
      </c>
      <c r="P86" s="505" t="str">
        <f t="shared" si="114"/>
        <v/>
      </c>
      <c r="Q86" s="505" t="str">
        <f t="shared" si="115"/>
        <v/>
      </c>
      <c r="R86" s="505" t="str">
        <f t="shared" si="116"/>
        <v/>
      </c>
      <c r="T86" s="508">
        <f t="shared" si="117"/>
        <v>2.282986111111111E-2</v>
      </c>
      <c r="U86" s="508">
        <f t="shared" si="118"/>
        <v>9.0581597222222227E-2</v>
      </c>
      <c r="V86" s="508">
        <f t="shared" si="119"/>
        <v>1.7066666666666668</v>
      </c>
      <c r="W86" s="508">
        <f t="shared" si="120"/>
        <v>5.5222222222222221</v>
      </c>
      <c r="X86" s="508">
        <f t="shared" si="121"/>
        <v>3.5166666666666666</v>
      </c>
      <c r="Y86" s="508">
        <f t="shared" si="122"/>
        <v>3.5166666666666666</v>
      </c>
      <c r="Z86" s="508">
        <f t="shared" si="123"/>
        <v>20.195555555555554</v>
      </c>
      <c r="AB86" s="508">
        <f t="shared" si="124"/>
        <v>5.5222222222222221</v>
      </c>
      <c r="AC86" s="508">
        <f t="shared" si="125"/>
        <v>20.195555555555554</v>
      </c>
      <c r="AD86" s="508">
        <f t="shared" si="126"/>
        <v>25.717777777777776</v>
      </c>
      <c r="AE86" s="508">
        <f t="shared" si="127"/>
        <v>3.6072482638888888</v>
      </c>
      <c r="AF86" s="508">
        <f t="shared" si="128"/>
        <v>9.12947048611111</v>
      </c>
      <c r="AG86" s="508">
        <f t="shared" si="129"/>
        <v>23.802803819444442</v>
      </c>
      <c r="AH86" s="508">
        <f t="shared" si="130"/>
        <v>29.325026041666664</v>
      </c>
      <c r="AI86" s="508">
        <f t="shared" si="131"/>
        <v>2.282986111111111E-2</v>
      </c>
      <c r="AJ86" s="508">
        <f t="shared" si="132"/>
        <v>5.5450520833333332</v>
      </c>
      <c r="AK86" s="508">
        <f t="shared" si="133"/>
        <v>20.218385416666667</v>
      </c>
      <c r="AL86" s="508">
        <f t="shared" si="134"/>
        <v>25.740607638888889</v>
      </c>
      <c r="AM86" s="508">
        <f t="shared" si="135"/>
        <v>3.6300781249999998</v>
      </c>
      <c r="AN86" s="508">
        <f t="shared" si="136"/>
        <v>9.1523003472222229</v>
      </c>
      <c r="AO86" s="508">
        <f t="shared" si="137"/>
        <v>23.825633680555555</v>
      </c>
      <c r="AP86" s="508">
        <f t="shared" si="138"/>
        <v>29.347855902777777</v>
      </c>
      <c r="AQ86" s="508">
        <f t="shared" si="139"/>
        <v>1.7066666666666668</v>
      </c>
      <c r="AR86" s="508">
        <f t="shared" si="140"/>
        <v>7.2288888888888891</v>
      </c>
      <c r="AS86" s="508">
        <f t="shared" si="141"/>
        <v>21.902222222222221</v>
      </c>
      <c r="AT86" s="508">
        <f t="shared" si="142"/>
        <v>27.424444444444443</v>
      </c>
      <c r="AU86" s="508">
        <f t="shared" si="143"/>
        <v>5.3139149305555557</v>
      </c>
      <c r="AV86" s="508">
        <f t="shared" si="144"/>
        <v>10.836137152777777</v>
      </c>
      <c r="AW86" s="508">
        <f t="shared" si="145"/>
        <v>25.509470486111109</v>
      </c>
      <c r="AX86" s="508">
        <f t="shared" si="146"/>
        <v>31.031692708333331</v>
      </c>
      <c r="AY86" s="508">
        <f t="shared" si="147"/>
        <v>1.7294965277777778</v>
      </c>
      <c r="AZ86" s="508">
        <f t="shared" si="148"/>
        <v>7.2517187500000002</v>
      </c>
      <c r="BA86" s="508">
        <f t="shared" si="149"/>
        <v>21.92505208333333</v>
      </c>
      <c r="BB86" s="508">
        <f t="shared" si="150"/>
        <v>27.447274305555553</v>
      </c>
      <c r="BC86" s="508">
        <f t="shared" si="151"/>
        <v>5.3367447916666668</v>
      </c>
      <c r="BD86" s="508">
        <f t="shared" si="152"/>
        <v>10.85896701388889</v>
      </c>
      <c r="BE86" s="508">
        <f t="shared" si="153"/>
        <v>25.532300347222222</v>
      </c>
      <c r="BF86" s="508">
        <f t="shared" si="154"/>
        <v>31.054522569444444</v>
      </c>
    </row>
    <row r="87" spans="1:58">
      <c r="A87" s="505" t="s">
        <v>8455</v>
      </c>
      <c r="B87" s="505">
        <v>644925004</v>
      </c>
      <c r="C87" s="505" t="s">
        <v>8411</v>
      </c>
      <c r="D87" s="505">
        <v>1800</v>
      </c>
      <c r="F87" s="509" t="str">
        <f t="shared" si="105"/>
        <v>STAT+1800</v>
      </c>
      <c r="G87" s="510">
        <f t="shared" si="106"/>
        <v>644923315</v>
      </c>
      <c r="H87" s="510">
        <f t="shared" si="107"/>
        <v>646883515</v>
      </c>
      <c r="I87" s="509">
        <f t="shared" si="108"/>
        <v>13</v>
      </c>
      <c r="J87" s="509">
        <f t="shared" si="109"/>
        <v>4</v>
      </c>
      <c r="L87" s="505">
        <f t="shared" si="110"/>
        <v>360</v>
      </c>
      <c r="M87" s="505">
        <f t="shared" si="111"/>
        <v>360</v>
      </c>
      <c r="N87" s="505">
        <f t="shared" si="112"/>
        <v>900</v>
      </c>
      <c r="O87" s="505">
        <f t="shared" si="113"/>
        <v>1800</v>
      </c>
      <c r="P87" s="505" t="str">
        <f t="shared" si="114"/>
        <v/>
      </c>
      <c r="Q87" s="505" t="str">
        <f t="shared" si="115"/>
        <v/>
      </c>
      <c r="R87" s="505" t="str">
        <f t="shared" si="116"/>
        <v/>
      </c>
      <c r="T87" s="508">
        <f t="shared" si="117"/>
        <v>2.282986111111111E-2</v>
      </c>
      <c r="U87" s="508">
        <f t="shared" si="118"/>
        <v>9.0581597222222227E-2</v>
      </c>
      <c r="V87" s="508">
        <f t="shared" si="119"/>
        <v>0.28444444444444444</v>
      </c>
      <c r="W87" s="508">
        <f t="shared" si="120"/>
        <v>5.5222222222222221</v>
      </c>
      <c r="X87" s="508">
        <f t="shared" si="121"/>
        <v>3.5166666666666666</v>
      </c>
      <c r="Y87" s="508">
        <f t="shared" si="122"/>
        <v>3.5166666666666666</v>
      </c>
      <c r="Z87" s="508">
        <f t="shared" si="123"/>
        <v>20.195555555555554</v>
      </c>
      <c r="AB87" s="508">
        <f t="shared" si="124"/>
        <v>5.5222222222222221</v>
      </c>
      <c r="AC87" s="508">
        <f t="shared" si="125"/>
        <v>20.195555555555554</v>
      </c>
      <c r="AD87" s="508">
        <f t="shared" si="126"/>
        <v>25.717777777777776</v>
      </c>
      <c r="AE87" s="508">
        <f t="shared" si="127"/>
        <v>3.6072482638888888</v>
      </c>
      <c r="AF87" s="508">
        <f t="shared" si="128"/>
        <v>9.12947048611111</v>
      </c>
      <c r="AG87" s="508">
        <f t="shared" si="129"/>
        <v>23.802803819444442</v>
      </c>
      <c r="AH87" s="508">
        <f t="shared" si="130"/>
        <v>29.325026041666664</v>
      </c>
      <c r="AI87" s="508">
        <f t="shared" si="131"/>
        <v>2.282986111111111E-2</v>
      </c>
      <c r="AJ87" s="508">
        <f t="shared" si="132"/>
        <v>5.5450520833333332</v>
      </c>
      <c r="AK87" s="508">
        <f t="shared" si="133"/>
        <v>20.218385416666667</v>
      </c>
      <c r="AL87" s="508">
        <f t="shared" si="134"/>
        <v>25.740607638888889</v>
      </c>
      <c r="AM87" s="508">
        <f t="shared" si="135"/>
        <v>3.6300781249999998</v>
      </c>
      <c r="AN87" s="508">
        <f t="shared" si="136"/>
        <v>9.1523003472222229</v>
      </c>
      <c r="AO87" s="508">
        <f t="shared" si="137"/>
        <v>23.825633680555555</v>
      </c>
      <c r="AP87" s="508">
        <f t="shared" si="138"/>
        <v>29.347855902777777</v>
      </c>
      <c r="AQ87" s="508">
        <f t="shared" si="139"/>
        <v>0.28444444444444444</v>
      </c>
      <c r="AR87" s="508">
        <f t="shared" si="140"/>
        <v>5.8066666666666666</v>
      </c>
      <c r="AS87" s="508">
        <f t="shared" si="141"/>
        <v>20.479999999999997</v>
      </c>
      <c r="AT87" s="508">
        <f t="shared" si="142"/>
        <v>26.002222222222219</v>
      </c>
      <c r="AU87" s="508">
        <f t="shared" si="143"/>
        <v>3.8916927083333333</v>
      </c>
      <c r="AV87" s="508">
        <f t="shared" si="144"/>
        <v>9.4139149305555563</v>
      </c>
      <c r="AW87" s="508">
        <f t="shared" si="145"/>
        <v>24.087248263888888</v>
      </c>
      <c r="AX87" s="508">
        <f t="shared" si="146"/>
        <v>29.60947048611111</v>
      </c>
      <c r="AY87" s="508">
        <f t="shared" si="147"/>
        <v>0.30727430555555557</v>
      </c>
      <c r="AZ87" s="508">
        <f t="shared" si="148"/>
        <v>5.8294965277777777</v>
      </c>
      <c r="BA87" s="508">
        <f t="shared" si="149"/>
        <v>20.50282986111111</v>
      </c>
      <c r="BB87" s="508">
        <f t="shared" si="150"/>
        <v>26.025052083333332</v>
      </c>
      <c r="BC87" s="508">
        <f t="shared" si="151"/>
        <v>3.9145225694444443</v>
      </c>
      <c r="BD87" s="508">
        <f t="shared" si="152"/>
        <v>9.4367447916666656</v>
      </c>
      <c r="BE87" s="508">
        <f t="shared" si="153"/>
        <v>24.110078124999998</v>
      </c>
      <c r="BF87" s="508">
        <f t="shared" si="154"/>
        <v>29.63230034722222</v>
      </c>
    </row>
    <row r="88" spans="1:58">
      <c r="A88" s="505" t="s">
        <v>8451</v>
      </c>
      <c r="B88" s="505">
        <v>644925055</v>
      </c>
      <c r="C88" s="505" t="s">
        <v>8412</v>
      </c>
      <c r="D88" s="505">
        <v>102</v>
      </c>
      <c r="F88" s="509" t="str">
        <f t="shared" si="105"/>
        <v>MAC+102</v>
      </c>
      <c r="G88" s="510">
        <f t="shared" si="106"/>
        <v>644923315</v>
      </c>
      <c r="H88" s="510">
        <f t="shared" si="107"/>
        <v>646883515</v>
      </c>
      <c r="I88" s="509">
        <f t="shared" si="108"/>
        <v>14</v>
      </c>
      <c r="J88" s="509">
        <f t="shared" si="109"/>
        <v>3</v>
      </c>
      <c r="L88" s="505">
        <f t="shared" si="110"/>
        <v>360</v>
      </c>
      <c r="M88" s="505">
        <f t="shared" si="111"/>
        <v>360</v>
      </c>
      <c r="N88" s="505">
        <f t="shared" si="112"/>
        <v>900</v>
      </c>
      <c r="O88" s="505">
        <f t="shared" si="113"/>
        <v>1800</v>
      </c>
      <c r="P88" s="505" t="str">
        <f t="shared" si="114"/>
        <v/>
      </c>
      <c r="Q88" s="505" t="str">
        <f t="shared" si="115"/>
        <v/>
      </c>
      <c r="R88" s="505" t="str">
        <f t="shared" si="116"/>
        <v>102</v>
      </c>
      <c r="T88" s="508">
        <f t="shared" si="117"/>
        <v>2.282986111111111E-2</v>
      </c>
      <c r="U88" s="508">
        <f t="shared" si="118"/>
        <v>9.0581597222222227E-2</v>
      </c>
      <c r="V88" s="508">
        <f t="shared" si="119"/>
        <v>0.28444444444444444</v>
      </c>
      <c r="W88" s="508">
        <f t="shared" si="120"/>
        <v>5.5222222222222221</v>
      </c>
      <c r="X88" s="508">
        <f t="shared" si="121"/>
        <v>3.5166666666666666</v>
      </c>
      <c r="Y88" s="508">
        <f t="shared" si="122"/>
        <v>3.5166666666666666</v>
      </c>
      <c r="Z88" s="508">
        <f t="shared" si="123"/>
        <v>20.195555555555554</v>
      </c>
      <c r="AB88" s="508">
        <f t="shared" si="124"/>
        <v>5.5222222222222221</v>
      </c>
      <c r="AC88" s="508">
        <f t="shared" si="125"/>
        <v>20.286137152777776</v>
      </c>
      <c r="AD88" s="508">
        <f t="shared" si="126"/>
        <v>25.808359374999998</v>
      </c>
      <c r="AE88" s="508">
        <f t="shared" si="127"/>
        <v>3.5166666666666666</v>
      </c>
      <c r="AF88" s="508">
        <f t="shared" si="128"/>
        <v>9.0388888888888879</v>
      </c>
      <c r="AG88" s="508">
        <f t="shared" si="129"/>
        <v>23.802803819444442</v>
      </c>
      <c r="AH88" s="508">
        <f t="shared" si="130"/>
        <v>29.325026041666664</v>
      </c>
      <c r="AI88" s="508">
        <f t="shared" si="131"/>
        <v>2.282986111111111E-2</v>
      </c>
      <c r="AJ88" s="508">
        <f t="shared" si="132"/>
        <v>5.5450520833333332</v>
      </c>
      <c r="AK88" s="508">
        <f t="shared" si="133"/>
        <v>20.308967013888889</v>
      </c>
      <c r="AL88" s="508">
        <f t="shared" si="134"/>
        <v>25.831189236111111</v>
      </c>
      <c r="AM88" s="508">
        <f t="shared" si="135"/>
        <v>3.5394965277777777</v>
      </c>
      <c r="AN88" s="508">
        <f t="shared" si="136"/>
        <v>9.0617187500000007</v>
      </c>
      <c r="AO88" s="508">
        <f t="shared" si="137"/>
        <v>23.825633680555555</v>
      </c>
      <c r="AP88" s="508">
        <f t="shared" si="138"/>
        <v>29.347855902777777</v>
      </c>
      <c r="AQ88" s="508">
        <f t="shared" si="139"/>
        <v>0.28444444444444444</v>
      </c>
      <c r="AR88" s="508">
        <f t="shared" si="140"/>
        <v>5.8066666666666666</v>
      </c>
      <c r="AS88" s="508">
        <f t="shared" si="141"/>
        <v>20.570581597222219</v>
      </c>
      <c r="AT88" s="508">
        <f t="shared" si="142"/>
        <v>26.092803819444441</v>
      </c>
      <c r="AU88" s="508">
        <f t="shared" si="143"/>
        <v>3.8011111111111111</v>
      </c>
      <c r="AV88" s="508">
        <f t="shared" si="144"/>
        <v>9.3233333333333341</v>
      </c>
      <c r="AW88" s="508">
        <f t="shared" si="145"/>
        <v>24.087248263888888</v>
      </c>
      <c r="AX88" s="508">
        <f t="shared" si="146"/>
        <v>29.60947048611111</v>
      </c>
      <c r="AY88" s="508">
        <f t="shared" si="147"/>
        <v>0.30727430555555557</v>
      </c>
      <c r="AZ88" s="508">
        <f t="shared" si="148"/>
        <v>5.8294965277777777</v>
      </c>
      <c r="BA88" s="508">
        <f t="shared" si="149"/>
        <v>20.593411458333332</v>
      </c>
      <c r="BB88" s="508">
        <f t="shared" si="150"/>
        <v>26.115633680555554</v>
      </c>
      <c r="BC88" s="508">
        <f t="shared" si="151"/>
        <v>3.8239409722222222</v>
      </c>
      <c r="BD88" s="508">
        <f t="shared" si="152"/>
        <v>9.3461631944444434</v>
      </c>
      <c r="BE88" s="508">
        <f t="shared" si="153"/>
        <v>24.110078124999998</v>
      </c>
      <c r="BF88" s="508">
        <f t="shared" si="154"/>
        <v>29.63230034722222</v>
      </c>
    </row>
    <row r="89" spans="1:58">
      <c r="A89" s="505" t="s">
        <v>8451</v>
      </c>
      <c r="B89" s="505">
        <v>644925655</v>
      </c>
      <c r="C89" s="505" t="s">
        <v>8412</v>
      </c>
      <c r="D89" s="505">
        <v>104</v>
      </c>
      <c r="F89" s="509" t="str">
        <f t="shared" si="105"/>
        <v>MAC+104</v>
      </c>
      <c r="G89" s="510">
        <f t="shared" si="106"/>
        <v>644923315</v>
      </c>
      <c r="H89" s="510">
        <f t="shared" si="107"/>
        <v>646883515</v>
      </c>
      <c r="I89" s="509">
        <f t="shared" si="108"/>
        <v>15</v>
      </c>
      <c r="J89" s="509">
        <f t="shared" si="109"/>
        <v>2</v>
      </c>
      <c r="L89" s="505">
        <f t="shared" si="110"/>
        <v>360</v>
      </c>
      <c r="M89" s="505">
        <f t="shared" si="111"/>
        <v>2</v>
      </c>
      <c r="N89" s="505">
        <f t="shared" si="112"/>
        <v>900</v>
      </c>
      <c r="O89" s="505">
        <f t="shared" si="113"/>
        <v>1800</v>
      </c>
      <c r="P89" s="505" t="str">
        <f t="shared" si="114"/>
        <v>disabled</v>
      </c>
      <c r="Q89" s="505" t="str">
        <f t="shared" si="115"/>
        <v/>
      </c>
      <c r="R89" s="505" t="str">
        <f t="shared" si="116"/>
        <v>102</v>
      </c>
      <c r="T89" s="508">
        <f t="shared" si="117"/>
        <v>4.109375</v>
      </c>
      <c r="U89" s="508">
        <f t="shared" si="118"/>
        <v>16.3046875</v>
      </c>
      <c r="V89" s="508">
        <f t="shared" si="119"/>
        <v>0.28444444444444444</v>
      </c>
      <c r="W89" s="508">
        <f t="shared" si="120"/>
        <v>5.5222222222222221</v>
      </c>
      <c r="X89" s="508">
        <f t="shared" si="121"/>
        <v>0</v>
      </c>
      <c r="Y89" s="508">
        <f t="shared" si="122"/>
        <v>0</v>
      </c>
      <c r="Z89" s="508">
        <f t="shared" si="123"/>
        <v>20.195555555555554</v>
      </c>
      <c r="AB89" s="508">
        <f t="shared" si="124"/>
        <v>5.5222222222222221</v>
      </c>
      <c r="AC89" s="508">
        <f t="shared" si="125"/>
        <v>36.500243055555558</v>
      </c>
      <c r="AD89" s="508">
        <f t="shared" si="126"/>
        <v>42.022465277777783</v>
      </c>
      <c r="AE89" s="508">
        <f t="shared" si="127"/>
        <v>0</v>
      </c>
      <c r="AF89" s="508">
        <f t="shared" si="128"/>
        <v>5.5222222222222221</v>
      </c>
      <c r="AG89" s="508">
        <f t="shared" si="129"/>
        <v>36.500243055555558</v>
      </c>
      <c r="AH89" s="508">
        <f t="shared" si="130"/>
        <v>42.022465277777783</v>
      </c>
      <c r="AI89" s="508">
        <f t="shared" si="131"/>
        <v>4.109375</v>
      </c>
      <c r="AJ89" s="508">
        <f t="shared" si="132"/>
        <v>9.6315972222222221</v>
      </c>
      <c r="AK89" s="508">
        <f t="shared" si="133"/>
        <v>40.609618055555558</v>
      </c>
      <c r="AL89" s="508">
        <f t="shared" si="134"/>
        <v>46.131840277777783</v>
      </c>
      <c r="AM89" s="508">
        <f t="shared" si="135"/>
        <v>4.109375</v>
      </c>
      <c r="AN89" s="508">
        <f t="shared" si="136"/>
        <v>9.6315972222222221</v>
      </c>
      <c r="AO89" s="508">
        <f t="shared" si="137"/>
        <v>40.609618055555558</v>
      </c>
      <c r="AP89" s="508">
        <f t="shared" si="138"/>
        <v>46.131840277777783</v>
      </c>
      <c r="AQ89" s="508">
        <f t="shared" si="139"/>
        <v>0.28444444444444444</v>
      </c>
      <c r="AR89" s="508">
        <f t="shared" si="140"/>
        <v>5.8066666666666666</v>
      </c>
      <c r="AS89" s="508">
        <f t="shared" si="141"/>
        <v>36.784687500000004</v>
      </c>
      <c r="AT89" s="508">
        <f t="shared" si="142"/>
        <v>42.30690972222223</v>
      </c>
      <c r="AU89" s="508">
        <f t="shared" si="143"/>
        <v>0.28444444444444444</v>
      </c>
      <c r="AV89" s="508">
        <f t="shared" si="144"/>
        <v>5.8066666666666666</v>
      </c>
      <c r="AW89" s="508">
        <f t="shared" si="145"/>
        <v>36.784687500000004</v>
      </c>
      <c r="AX89" s="508">
        <f t="shared" si="146"/>
        <v>42.30690972222223</v>
      </c>
      <c r="AY89" s="508">
        <f t="shared" si="147"/>
        <v>4.3938194444444445</v>
      </c>
      <c r="AZ89" s="508">
        <f t="shared" si="148"/>
        <v>9.9160416666666666</v>
      </c>
      <c r="BA89" s="508">
        <f t="shared" si="149"/>
        <v>40.894062500000004</v>
      </c>
      <c r="BB89" s="508">
        <f t="shared" si="150"/>
        <v>46.41628472222223</v>
      </c>
      <c r="BC89" s="508">
        <f t="shared" si="151"/>
        <v>4.3938194444444445</v>
      </c>
      <c r="BD89" s="508">
        <f t="shared" si="152"/>
        <v>9.9160416666666666</v>
      </c>
      <c r="BE89" s="508">
        <f t="shared" si="153"/>
        <v>40.894062500000004</v>
      </c>
      <c r="BF89" s="508">
        <f t="shared" si="154"/>
        <v>46.41628472222223</v>
      </c>
    </row>
    <row r="90" spans="1:58">
      <c r="A90" s="505" t="s">
        <v>8451</v>
      </c>
      <c r="B90" s="505">
        <v>644926255</v>
      </c>
      <c r="C90" s="505" t="s">
        <v>8412</v>
      </c>
      <c r="D90" s="505">
        <v>105</v>
      </c>
      <c r="F90" s="509" t="str">
        <f t="shared" si="105"/>
        <v>MAC+105</v>
      </c>
      <c r="G90" s="510">
        <f t="shared" si="106"/>
        <v>644923315</v>
      </c>
      <c r="H90" s="510">
        <f t="shared" si="107"/>
        <v>646883515</v>
      </c>
      <c r="I90" s="509">
        <f t="shared" si="108"/>
        <v>16</v>
      </c>
      <c r="J90" s="509">
        <f t="shared" si="109"/>
        <v>1</v>
      </c>
      <c r="L90" s="505">
        <f t="shared" si="110"/>
        <v>360</v>
      </c>
      <c r="M90" s="505">
        <f t="shared" si="111"/>
        <v>2</v>
      </c>
      <c r="N90" s="505">
        <f t="shared" si="112"/>
        <v>900</v>
      </c>
      <c r="O90" s="505">
        <f t="shared" si="113"/>
        <v>1800</v>
      </c>
      <c r="P90" s="505" t="str">
        <f t="shared" si="114"/>
        <v/>
      </c>
      <c r="Q90" s="505">
        <f t="shared" si="115"/>
        <v>300</v>
      </c>
      <c r="R90" s="505" t="str">
        <f t="shared" si="116"/>
        <v>102</v>
      </c>
      <c r="T90" s="508">
        <f t="shared" si="117"/>
        <v>4.109375</v>
      </c>
      <c r="U90" s="508">
        <f t="shared" si="118"/>
        <v>16.3046875</v>
      </c>
      <c r="V90" s="508">
        <f t="shared" si="119"/>
        <v>0.28444444444444444</v>
      </c>
      <c r="W90" s="508">
        <f t="shared" si="120"/>
        <v>5.5222222222222221</v>
      </c>
      <c r="X90" s="508">
        <f t="shared" si="121"/>
        <v>633</v>
      </c>
      <c r="Y90" s="508">
        <f t="shared" si="122"/>
        <v>4.395833333333333</v>
      </c>
      <c r="Z90" s="508">
        <f t="shared" si="123"/>
        <v>20.195555555555554</v>
      </c>
      <c r="AB90" s="508">
        <f t="shared" si="124"/>
        <v>5.5222222222222221</v>
      </c>
      <c r="AC90" s="508">
        <f t="shared" si="125"/>
        <v>36.500243055555558</v>
      </c>
      <c r="AD90" s="508">
        <f t="shared" si="126"/>
        <v>42.022465277777783</v>
      </c>
      <c r="AE90" s="508">
        <f t="shared" si="127"/>
        <v>4.395833333333333</v>
      </c>
      <c r="AF90" s="508">
        <f t="shared" si="128"/>
        <v>9.9180555555555543</v>
      </c>
      <c r="AG90" s="508">
        <f t="shared" si="129"/>
        <v>40.896076388888893</v>
      </c>
      <c r="AH90" s="508">
        <f t="shared" si="130"/>
        <v>46.418298611111112</v>
      </c>
      <c r="AI90" s="508">
        <f t="shared" si="131"/>
        <v>4.109375</v>
      </c>
      <c r="AJ90" s="508">
        <f t="shared" si="132"/>
        <v>9.6315972222222221</v>
      </c>
      <c r="AK90" s="508">
        <f t="shared" si="133"/>
        <v>40.609618055555558</v>
      </c>
      <c r="AL90" s="508">
        <f t="shared" si="134"/>
        <v>46.131840277777783</v>
      </c>
      <c r="AM90" s="508">
        <f t="shared" si="135"/>
        <v>8.5052083333333321</v>
      </c>
      <c r="AN90" s="508">
        <f t="shared" si="136"/>
        <v>14.027430555555554</v>
      </c>
      <c r="AO90" s="508">
        <f t="shared" si="137"/>
        <v>45.005451388888886</v>
      </c>
      <c r="AP90" s="508">
        <f t="shared" si="138"/>
        <v>50.527673611111112</v>
      </c>
      <c r="AQ90" s="508">
        <f t="shared" si="139"/>
        <v>0.28444444444444444</v>
      </c>
      <c r="AR90" s="508">
        <f t="shared" si="140"/>
        <v>5.8066666666666666</v>
      </c>
      <c r="AS90" s="508">
        <f t="shared" si="141"/>
        <v>36.784687500000004</v>
      </c>
      <c r="AT90" s="508">
        <f t="shared" si="142"/>
        <v>42.30690972222223</v>
      </c>
      <c r="AU90" s="508">
        <f t="shared" si="143"/>
        <v>4.6802777777777775</v>
      </c>
      <c r="AV90" s="508">
        <f t="shared" si="144"/>
        <v>10.202500000000001</v>
      </c>
      <c r="AW90" s="508">
        <f t="shared" si="145"/>
        <v>41.180520833333333</v>
      </c>
      <c r="AX90" s="508">
        <f t="shared" si="146"/>
        <v>46.702743055555558</v>
      </c>
      <c r="AY90" s="508">
        <f t="shared" si="147"/>
        <v>4.3938194444444445</v>
      </c>
      <c r="AZ90" s="508">
        <f t="shared" si="148"/>
        <v>9.9160416666666666</v>
      </c>
      <c r="BA90" s="508">
        <f t="shared" si="149"/>
        <v>40.894062500000004</v>
      </c>
      <c r="BB90" s="508">
        <f t="shared" si="150"/>
        <v>46.41628472222223</v>
      </c>
      <c r="BC90" s="508">
        <f t="shared" si="151"/>
        <v>8.7896527777777784</v>
      </c>
      <c r="BD90" s="508">
        <f t="shared" si="152"/>
        <v>14.311875000000001</v>
      </c>
      <c r="BE90" s="508">
        <f t="shared" si="153"/>
        <v>45.289895833333333</v>
      </c>
      <c r="BF90" s="508">
        <f t="shared" si="154"/>
        <v>50.812118055555558</v>
      </c>
    </row>
    <row r="91" spans="1:58">
      <c r="A91" s="505" t="s">
        <v>8451</v>
      </c>
      <c r="B91" s="505">
        <v>646883515</v>
      </c>
      <c r="C91" s="505" t="s">
        <v>8412</v>
      </c>
      <c r="D91" s="505">
        <v>111</v>
      </c>
      <c r="F91" s="509" t="str">
        <f t="shared" si="105"/>
        <v>MAC+111</v>
      </c>
      <c r="G91" s="510">
        <f t="shared" si="106"/>
        <v>644923315</v>
      </c>
      <c r="H91" s="510">
        <f t="shared" si="107"/>
        <v>678385315</v>
      </c>
      <c r="I91" s="509">
        <f t="shared" si="108"/>
        <v>0</v>
      </c>
      <c r="J91" s="509">
        <f t="shared" si="109"/>
        <v>7</v>
      </c>
      <c r="L91" s="505">
        <f t="shared" si="110"/>
        <v>360</v>
      </c>
      <c r="M91" s="505">
        <f t="shared" si="111"/>
        <v>2</v>
      </c>
      <c r="N91" s="505">
        <f t="shared" si="112"/>
        <v>900</v>
      </c>
      <c r="O91" s="505">
        <f t="shared" si="113"/>
        <v>1800</v>
      </c>
      <c r="P91" s="505" t="str">
        <f t="shared" si="114"/>
        <v/>
      </c>
      <c r="Q91" s="505">
        <f t="shared" si="115"/>
        <v>300</v>
      </c>
      <c r="R91" s="505" t="str">
        <f t="shared" si="116"/>
        <v>102</v>
      </c>
      <c r="T91" s="508">
        <f t="shared" si="117"/>
        <v>4.109375</v>
      </c>
      <c r="U91" s="508">
        <f t="shared" si="118"/>
        <v>16.3046875</v>
      </c>
      <c r="V91" s="508">
        <f t="shared" si="119"/>
        <v>0.28444444444444444</v>
      </c>
      <c r="W91" s="508">
        <f t="shared" si="120"/>
        <v>5.5222222222222221</v>
      </c>
      <c r="X91" s="508">
        <f t="shared" si="121"/>
        <v>633</v>
      </c>
      <c r="Y91" s="508">
        <f t="shared" si="122"/>
        <v>4.395833333333333</v>
      </c>
      <c r="Z91" s="508">
        <f t="shared" si="123"/>
        <v>20.195555555555554</v>
      </c>
      <c r="AB91" s="508">
        <f t="shared" si="124"/>
        <v>5.5222222222222221</v>
      </c>
      <c r="AC91" s="508">
        <f t="shared" si="125"/>
        <v>36.500243055555558</v>
      </c>
      <c r="AD91" s="508">
        <f t="shared" si="126"/>
        <v>42.022465277777783</v>
      </c>
      <c r="AE91" s="508">
        <f t="shared" si="127"/>
        <v>4.395833333333333</v>
      </c>
      <c r="AF91" s="508">
        <f t="shared" si="128"/>
        <v>9.9180555555555543</v>
      </c>
      <c r="AG91" s="508">
        <f t="shared" si="129"/>
        <v>40.896076388888893</v>
      </c>
      <c r="AH91" s="508">
        <f t="shared" si="130"/>
        <v>46.418298611111112</v>
      </c>
      <c r="AI91" s="508">
        <f t="shared" si="131"/>
        <v>4.109375</v>
      </c>
      <c r="AJ91" s="508">
        <f t="shared" si="132"/>
        <v>9.6315972222222221</v>
      </c>
      <c r="AK91" s="508">
        <f t="shared" si="133"/>
        <v>40.609618055555558</v>
      </c>
      <c r="AL91" s="508">
        <f t="shared" si="134"/>
        <v>46.131840277777783</v>
      </c>
      <c r="AM91" s="508">
        <f t="shared" si="135"/>
        <v>8.5052083333333321</v>
      </c>
      <c r="AN91" s="508">
        <f t="shared" si="136"/>
        <v>14.027430555555554</v>
      </c>
      <c r="AO91" s="508">
        <f t="shared" si="137"/>
        <v>45.005451388888886</v>
      </c>
      <c r="AP91" s="508">
        <f t="shared" si="138"/>
        <v>50.527673611111112</v>
      </c>
      <c r="AQ91" s="508">
        <f t="shared" si="139"/>
        <v>0.28444444444444444</v>
      </c>
      <c r="AR91" s="508">
        <f t="shared" si="140"/>
        <v>5.8066666666666666</v>
      </c>
      <c r="AS91" s="508">
        <f t="shared" si="141"/>
        <v>36.784687500000004</v>
      </c>
      <c r="AT91" s="508">
        <f t="shared" si="142"/>
        <v>42.30690972222223</v>
      </c>
      <c r="AU91" s="508">
        <f t="shared" si="143"/>
        <v>4.6802777777777775</v>
      </c>
      <c r="AV91" s="508">
        <f t="shared" si="144"/>
        <v>10.202500000000001</v>
      </c>
      <c r="AW91" s="508">
        <f t="shared" si="145"/>
        <v>41.180520833333333</v>
      </c>
      <c r="AX91" s="508">
        <f t="shared" si="146"/>
        <v>46.702743055555558</v>
      </c>
      <c r="AY91" s="508">
        <f t="shared" si="147"/>
        <v>4.3938194444444445</v>
      </c>
      <c r="AZ91" s="508">
        <f t="shared" si="148"/>
        <v>9.9160416666666666</v>
      </c>
      <c r="BA91" s="508">
        <f t="shared" si="149"/>
        <v>40.894062500000004</v>
      </c>
      <c r="BB91" s="508">
        <f t="shared" si="150"/>
        <v>46.41628472222223</v>
      </c>
      <c r="BC91" s="508">
        <f t="shared" si="151"/>
        <v>8.7896527777777784</v>
      </c>
      <c r="BD91" s="508">
        <f t="shared" si="152"/>
        <v>14.311875000000001</v>
      </c>
      <c r="BE91" s="508">
        <f t="shared" si="153"/>
        <v>45.289895833333333</v>
      </c>
      <c r="BF91" s="508">
        <f t="shared" si="154"/>
        <v>50.812118055555558</v>
      </c>
    </row>
    <row r="92" spans="1:58">
      <c r="A92" s="505" t="s">
        <v>8453</v>
      </c>
      <c r="B92" s="505">
        <v>646884115</v>
      </c>
      <c r="C92" s="505" t="s">
        <v>776</v>
      </c>
      <c r="D92" s="505">
        <v>360</v>
      </c>
      <c r="F92" s="509" t="str">
        <f t="shared" si="105"/>
        <v>N2+360</v>
      </c>
      <c r="G92" s="510">
        <f t="shared" si="106"/>
        <v>644923315</v>
      </c>
      <c r="H92" s="510">
        <f t="shared" si="107"/>
        <v>678385315</v>
      </c>
      <c r="I92" s="509">
        <f t="shared" si="108"/>
        <v>1</v>
      </c>
      <c r="J92" s="509">
        <f t="shared" si="109"/>
        <v>6</v>
      </c>
      <c r="L92" s="505">
        <f t="shared" si="110"/>
        <v>360</v>
      </c>
      <c r="M92" s="505">
        <f t="shared" si="111"/>
        <v>360</v>
      </c>
      <c r="N92" s="505">
        <f t="shared" si="112"/>
        <v>900</v>
      </c>
      <c r="O92" s="505">
        <f t="shared" si="113"/>
        <v>1800</v>
      </c>
      <c r="P92" s="505" t="str">
        <f t="shared" si="114"/>
        <v/>
      </c>
      <c r="Q92" s="505">
        <f t="shared" si="115"/>
        <v>300</v>
      </c>
      <c r="R92" s="505" t="str">
        <f t="shared" si="116"/>
        <v>102</v>
      </c>
      <c r="T92" s="508">
        <f t="shared" si="117"/>
        <v>2.282986111111111E-2</v>
      </c>
      <c r="U92" s="508">
        <f t="shared" si="118"/>
        <v>9.0581597222222227E-2</v>
      </c>
      <c r="V92" s="508">
        <f t="shared" si="119"/>
        <v>0.28444444444444444</v>
      </c>
      <c r="W92" s="508">
        <f t="shared" si="120"/>
        <v>5.5222222222222221</v>
      </c>
      <c r="X92" s="508">
        <f t="shared" si="121"/>
        <v>3.5166666666666666</v>
      </c>
      <c r="Y92" s="508">
        <f t="shared" si="122"/>
        <v>2.4421296296296295E-2</v>
      </c>
      <c r="Z92" s="508">
        <f t="shared" si="123"/>
        <v>20.195555555555554</v>
      </c>
      <c r="AB92" s="508">
        <f t="shared" si="124"/>
        <v>5.5222222222222221</v>
      </c>
      <c r="AC92" s="508">
        <f t="shared" si="125"/>
        <v>20.286137152777776</v>
      </c>
      <c r="AD92" s="508">
        <f t="shared" si="126"/>
        <v>25.808359374999998</v>
      </c>
      <c r="AE92" s="508">
        <f t="shared" si="127"/>
        <v>2.4421296296296295E-2</v>
      </c>
      <c r="AF92" s="508">
        <f t="shared" si="128"/>
        <v>5.5466435185185183</v>
      </c>
      <c r="AG92" s="508">
        <f t="shared" si="129"/>
        <v>20.310558449074072</v>
      </c>
      <c r="AH92" s="508">
        <f t="shared" si="130"/>
        <v>25.832780671296295</v>
      </c>
      <c r="AI92" s="508">
        <f t="shared" si="131"/>
        <v>2.282986111111111E-2</v>
      </c>
      <c r="AJ92" s="508">
        <f t="shared" si="132"/>
        <v>5.5450520833333332</v>
      </c>
      <c r="AK92" s="508">
        <f t="shared" si="133"/>
        <v>20.308967013888889</v>
      </c>
      <c r="AL92" s="508">
        <f t="shared" si="134"/>
        <v>25.831189236111111</v>
      </c>
      <c r="AM92" s="508">
        <f t="shared" si="135"/>
        <v>4.7251157407407401E-2</v>
      </c>
      <c r="AN92" s="508">
        <f t="shared" si="136"/>
        <v>5.5694733796296294</v>
      </c>
      <c r="AO92" s="508">
        <f t="shared" si="137"/>
        <v>20.333388310185185</v>
      </c>
      <c r="AP92" s="508">
        <f t="shared" si="138"/>
        <v>25.855610532407407</v>
      </c>
      <c r="AQ92" s="508">
        <f t="shared" si="139"/>
        <v>0.28444444444444444</v>
      </c>
      <c r="AR92" s="508">
        <f t="shared" si="140"/>
        <v>5.8066666666666666</v>
      </c>
      <c r="AS92" s="508">
        <f t="shared" si="141"/>
        <v>20.570581597222219</v>
      </c>
      <c r="AT92" s="508">
        <f t="shared" si="142"/>
        <v>26.092803819444441</v>
      </c>
      <c r="AU92" s="508">
        <f t="shared" si="143"/>
        <v>0.30886574074074075</v>
      </c>
      <c r="AV92" s="508">
        <f t="shared" si="144"/>
        <v>5.8310879629629628</v>
      </c>
      <c r="AW92" s="508">
        <f t="shared" si="145"/>
        <v>20.595002893518519</v>
      </c>
      <c r="AX92" s="508">
        <f t="shared" si="146"/>
        <v>26.117225115740741</v>
      </c>
      <c r="AY92" s="508">
        <f t="shared" si="147"/>
        <v>0.30727430555555557</v>
      </c>
      <c r="AZ92" s="508">
        <f t="shared" si="148"/>
        <v>5.8294965277777777</v>
      </c>
      <c r="BA92" s="508">
        <f t="shared" si="149"/>
        <v>20.593411458333332</v>
      </c>
      <c r="BB92" s="508">
        <f t="shared" si="150"/>
        <v>26.115633680555554</v>
      </c>
      <c r="BC92" s="508">
        <f t="shared" si="151"/>
        <v>0.33169560185185187</v>
      </c>
      <c r="BD92" s="508">
        <f t="shared" si="152"/>
        <v>5.8539178240740739</v>
      </c>
      <c r="BE92" s="508">
        <f t="shared" si="153"/>
        <v>20.617832754629628</v>
      </c>
      <c r="BF92" s="508">
        <f t="shared" si="154"/>
        <v>26.14005497685185</v>
      </c>
    </row>
    <row r="93" spans="1:58">
      <c r="A93" s="505" t="s">
        <v>8453</v>
      </c>
      <c r="B93" s="505">
        <v>646884118</v>
      </c>
      <c r="C93" s="505" t="s">
        <v>12</v>
      </c>
      <c r="D93" s="505">
        <v>360</v>
      </c>
      <c r="F93" s="509" t="str">
        <f t="shared" si="105"/>
        <v>N1+360</v>
      </c>
      <c r="G93" s="510">
        <f t="shared" si="106"/>
        <v>644923315</v>
      </c>
      <c r="H93" s="510">
        <f t="shared" si="107"/>
        <v>678385315</v>
      </c>
      <c r="I93" s="509">
        <f t="shared" si="108"/>
        <v>2</v>
      </c>
      <c r="J93" s="509">
        <f t="shared" si="109"/>
        <v>5</v>
      </c>
      <c r="L93" s="505">
        <f t="shared" si="110"/>
        <v>360</v>
      </c>
      <c r="M93" s="505">
        <f t="shared" si="111"/>
        <v>360</v>
      </c>
      <c r="N93" s="505">
        <f t="shared" si="112"/>
        <v>900</v>
      </c>
      <c r="O93" s="505">
        <f t="shared" si="113"/>
        <v>1800</v>
      </c>
      <c r="P93" s="505" t="str">
        <f t="shared" si="114"/>
        <v/>
      </c>
      <c r="Q93" s="505">
        <f t="shared" si="115"/>
        <v>300</v>
      </c>
      <c r="R93" s="505" t="str">
        <f t="shared" si="116"/>
        <v>102</v>
      </c>
      <c r="T93" s="508">
        <f t="shared" si="117"/>
        <v>2.282986111111111E-2</v>
      </c>
      <c r="U93" s="508">
        <f t="shared" si="118"/>
        <v>9.0581597222222227E-2</v>
      </c>
      <c r="V93" s="508">
        <f t="shared" si="119"/>
        <v>0.28444444444444444</v>
      </c>
      <c r="W93" s="508">
        <f t="shared" si="120"/>
        <v>5.5222222222222221</v>
      </c>
      <c r="X93" s="508">
        <f t="shared" si="121"/>
        <v>3.5166666666666666</v>
      </c>
      <c r="Y93" s="508">
        <f t="shared" si="122"/>
        <v>2.4421296296296295E-2</v>
      </c>
      <c r="Z93" s="508">
        <f t="shared" si="123"/>
        <v>20.195555555555554</v>
      </c>
      <c r="AB93" s="508">
        <f t="shared" si="124"/>
        <v>5.5222222222222221</v>
      </c>
      <c r="AC93" s="508">
        <f t="shared" si="125"/>
        <v>20.286137152777776</v>
      </c>
      <c r="AD93" s="508">
        <f t="shared" si="126"/>
        <v>25.808359374999998</v>
      </c>
      <c r="AE93" s="508">
        <f t="shared" si="127"/>
        <v>2.4421296296296295E-2</v>
      </c>
      <c r="AF93" s="508">
        <f t="shared" si="128"/>
        <v>5.5466435185185183</v>
      </c>
      <c r="AG93" s="508">
        <f t="shared" si="129"/>
        <v>20.310558449074072</v>
      </c>
      <c r="AH93" s="508">
        <f t="shared" si="130"/>
        <v>25.832780671296295</v>
      </c>
      <c r="AI93" s="508">
        <f t="shared" si="131"/>
        <v>2.282986111111111E-2</v>
      </c>
      <c r="AJ93" s="508">
        <f t="shared" si="132"/>
        <v>5.5450520833333332</v>
      </c>
      <c r="AK93" s="508">
        <f t="shared" si="133"/>
        <v>20.308967013888889</v>
      </c>
      <c r="AL93" s="508">
        <f t="shared" si="134"/>
        <v>25.831189236111111</v>
      </c>
      <c r="AM93" s="508">
        <f t="shared" si="135"/>
        <v>4.7251157407407401E-2</v>
      </c>
      <c r="AN93" s="508">
        <f t="shared" si="136"/>
        <v>5.5694733796296294</v>
      </c>
      <c r="AO93" s="508">
        <f t="shared" si="137"/>
        <v>20.333388310185185</v>
      </c>
      <c r="AP93" s="508">
        <f t="shared" si="138"/>
        <v>25.855610532407407</v>
      </c>
      <c r="AQ93" s="508">
        <f t="shared" si="139"/>
        <v>0.28444444444444444</v>
      </c>
      <c r="AR93" s="508">
        <f t="shared" si="140"/>
        <v>5.8066666666666666</v>
      </c>
      <c r="AS93" s="508">
        <f t="shared" si="141"/>
        <v>20.570581597222219</v>
      </c>
      <c r="AT93" s="508">
        <f t="shared" si="142"/>
        <v>26.092803819444441</v>
      </c>
      <c r="AU93" s="508">
        <f t="shared" si="143"/>
        <v>0.30886574074074075</v>
      </c>
      <c r="AV93" s="508">
        <f t="shared" si="144"/>
        <v>5.8310879629629628</v>
      </c>
      <c r="AW93" s="508">
        <f t="shared" si="145"/>
        <v>20.595002893518519</v>
      </c>
      <c r="AX93" s="508">
        <f t="shared" si="146"/>
        <v>26.117225115740741</v>
      </c>
      <c r="AY93" s="508">
        <f t="shared" si="147"/>
        <v>0.30727430555555557</v>
      </c>
      <c r="AZ93" s="508">
        <f t="shared" si="148"/>
        <v>5.8294965277777777</v>
      </c>
      <c r="BA93" s="508">
        <f t="shared" si="149"/>
        <v>20.593411458333332</v>
      </c>
      <c r="BB93" s="508">
        <f t="shared" si="150"/>
        <v>26.115633680555554</v>
      </c>
      <c r="BC93" s="508">
        <f t="shared" si="151"/>
        <v>0.33169560185185187</v>
      </c>
      <c r="BD93" s="508">
        <f t="shared" si="152"/>
        <v>5.8539178240740739</v>
      </c>
      <c r="BE93" s="508">
        <f t="shared" si="153"/>
        <v>20.617832754629628</v>
      </c>
      <c r="BF93" s="508">
        <f t="shared" si="154"/>
        <v>26.14005497685185</v>
      </c>
    </row>
    <row r="94" spans="1:58">
      <c r="A94" s="505" t="s">
        <v>8453</v>
      </c>
      <c r="B94" s="505">
        <v>646884121</v>
      </c>
      <c r="C94" s="505" t="s">
        <v>773</v>
      </c>
      <c r="D94" s="505">
        <v>7200</v>
      </c>
      <c r="F94" s="509" t="str">
        <f t="shared" si="105"/>
        <v>N3+7200</v>
      </c>
      <c r="G94" s="510">
        <f t="shared" si="106"/>
        <v>644923315</v>
      </c>
      <c r="H94" s="510">
        <f t="shared" si="107"/>
        <v>678385315</v>
      </c>
      <c r="I94" s="509">
        <f t="shared" si="108"/>
        <v>3</v>
      </c>
      <c r="J94" s="509">
        <f t="shared" si="109"/>
        <v>4</v>
      </c>
      <c r="L94" s="505">
        <f t="shared" si="110"/>
        <v>360</v>
      </c>
      <c r="M94" s="505">
        <f t="shared" si="111"/>
        <v>360</v>
      </c>
      <c r="N94" s="505">
        <f t="shared" si="112"/>
        <v>7200</v>
      </c>
      <c r="O94" s="505">
        <f t="shared" si="113"/>
        <v>1800</v>
      </c>
      <c r="P94" s="505" t="str">
        <f t="shared" si="114"/>
        <v/>
      </c>
      <c r="Q94" s="505">
        <f t="shared" si="115"/>
        <v>300</v>
      </c>
      <c r="R94" s="505" t="str">
        <f t="shared" si="116"/>
        <v>102</v>
      </c>
      <c r="T94" s="508">
        <f t="shared" si="117"/>
        <v>2.282986111111111E-2</v>
      </c>
      <c r="U94" s="508">
        <f t="shared" si="118"/>
        <v>9.0581597222222227E-2</v>
      </c>
      <c r="V94" s="508">
        <f t="shared" si="119"/>
        <v>0.28444444444444444</v>
      </c>
      <c r="W94" s="508">
        <f t="shared" si="120"/>
        <v>5.5222222222222221</v>
      </c>
      <c r="X94" s="508">
        <f t="shared" si="121"/>
        <v>3.5166666666666666</v>
      </c>
      <c r="Y94" s="508">
        <f t="shared" si="122"/>
        <v>2.4421296296296295E-2</v>
      </c>
      <c r="Z94" s="508">
        <f t="shared" si="123"/>
        <v>2.5244444444444443</v>
      </c>
      <c r="AB94" s="508">
        <f t="shared" si="124"/>
        <v>5.5222222222222221</v>
      </c>
      <c r="AC94" s="508">
        <f t="shared" si="125"/>
        <v>2.6150260416666664</v>
      </c>
      <c r="AD94" s="508">
        <f t="shared" si="126"/>
        <v>8.137248263888889</v>
      </c>
      <c r="AE94" s="508">
        <f t="shared" si="127"/>
        <v>2.4421296296296295E-2</v>
      </c>
      <c r="AF94" s="508">
        <f t="shared" si="128"/>
        <v>5.5466435185185183</v>
      </c>
      <c r="AG94" s="508">
        <f t="shared" si="129"/>
        <v>2.6394473379629626</v>
      </c>
      <c r="AH94" s="508">
        <f t="shared" si="130"/>
        <v>8.1616695601851852</v>
      </c>
      <c r="AI94" s="508">
        <f t="shared" si="131"/>
        <v>2.282986111111111E-2</v>
      </c>
      <c r="AJ94" s="508">
        <f t="shared" si="132"/>
        <v>5.5450520833333332</v>
      </c>
      <c r="AK94" s="508">
        <f t="shared" si="133"/>
        <v>2.6378559027777775</v>
      </c>
      <c r="AL94" s="508">
        <f t="shared" si="134"/>
        <v>8.1600781250000001</v>
      </c>
      <c r="AM94" s="508">
        <f t="shared" si="135"/>
        <v>4.7251157407407401E-2</v>
      </c>
      <c r="AN94" s="508">
        <f t="shared" si="136"/>
        <v>5.5694733796296294</v>
      </c>
      <c r="AO94" s="508">
        <f t="shared" si="137"/>
        <v>2.6622771990740737</v>
      </c>
      <c r="AP94" s="508">
        <f t="shared" si="138"/>
        <v>8.1844994212962963</v>
      </c>
      <c r="AQ94" s="508">
        <f t="shared" si="139"/>
        <v>0.28444444444444444</v>
      </c>
      <c r="AR94" s="508">
        <f t="shared" si="140"/>
        <v>5.8066666666666666</v>
      </c>
      <c r="AS94" s="508">
        <f t="shared" si="141"/>
        <v>2.8994704861111109</v>
      </c>
      <c r="AT94" s="508">
        <f t="shared" si="142"/>
        <v>8.4216927083333335</v>
      </c>
      <c r="AU94" s="508">
        <f t="shared" si="143"/>
        <v>0.30886574074074075</v>
      </c>
      <c r="AV94" s="508">
        <f t="shared" si="144"/>
        <v>5.8310879629629628</v>
      </c>
      <c r="AW94" s="508">
        <f t="shared" si="145"/>
        <v>2.9238917824074071</v>
      </c>
      <c r="AX94" s="508">
        <f t="shared" si="146"/>
        <v>8.4461140046296297</v>
      </c>
      <c r="AY94" s="508">
        <f t="shared" si="147"/>
        <v>0.30727430555555557</v>
      </c>
      <c r="AZ94" s="508">
        <f t="shared" si="148"/>
        <v>5.8294965277777777</v>
      </c>
      <c r="BA94" s="508">
        <f t="shared" si="149"/>
        <v>2.922300347222222</v>
      </c>
      <c r="BB94" s="508">
        <f t="shared" si="150"/>
        <v>8.4445225694444446</v>
      </c>
      <c r="BC94" s="508">
        <f t="shared" si="151"/>
        <v>0.33169560185185187</v>
      </c>
      <c r="BD94" s="508">
        <f t="shared" si="152"/>
        <v>5.8539178240740739</v>
      </c>
      <c r="BE94" s="508">
        <f t="shared" si="153"/>
        <v>2.9467216435185182</v>
      </c>
      <c r="BF94" s="508">
        <f t="shared" si="154"/>
        <v>8.4689438657407408</v>
      </c>
    </row>
    <row r="95" spans="1:58">
      <c r="A95" s="505" t="s">
        <v>8455</v>
      </c>
      <c r="B95" s="505">
        <v>646884124</v>
      </c>
      <c r="C95" s="505" t="s">
        <v>8411</v>
      </c>
      <c r="D95" s="505">
        <v>1800</v>
      </c>
      <c r="F95" s="509" t="str">
        <f t="shared" si="105"/>
        <v>STAT+1800</v>
      </c>
      <c r="G95" s="510">
        <f t="shared" si="106"/>
        <v>644923315</v>
      </c>
      <c r="H95" s="510">
        <f t="shared" si="107"/>
        <v>678385315</v>
      </c>
      <c r="I95" s="509">
        <f t="shared" si="108"/>
        <v>4</v>
      </c>
      <c r="J95" s="509">
        <f t="shared" si="109"/>
        <v>3</v>
      </c>
      <c r="L95" s="505">
        <f t="shared" si="110"/>
        <v>360</v>
      </c>
      <c r="M95" s="505">
        <f t="shared" si="111"/>
        <v>360</v>
      </c>
      <c r="N95" s="505">
        <f t="shared" si="112"/>
        <v>7200</v>
      </c>
      <c r="O95" s="505">
        <f t="shared" si="113"/>
        <v>1800</v>
      </c>
      <c r="P95" s="505" t="str">
        <f t="shared" si="114"/>
        <v/>
      </c>
      <c r="Q95" s="505">
        <f t="shared" si="115"/>
        <v>300</v>
      </c>
      <c r="R95" s="505" t="str">
        <f t="shared" si="116"/>
        <v>102</v>
      </c>
      <c r="T95" s="508">
        <f t="shared" si="117"/>
        <v>2.282986111111111E-2</v>
      </c>
      <c r="U95" s="508">
        <f t="shared" si="118"/>
        <v>9.0581597222222227E-2</v>
      </c>
      <c r="V95" s="508">
        <f t="shared" si="119"/>
        <v>0.28444444444444444</v>
      </c>
      <c r="W95" s="508">
        <f t="shared" si="120"/>
        <v>5.5222222222222221</v>
      </c>
      <c r="X95" s="508">
        <f t="shared" si="121"/>
        <v>3.5166666666666666</v>
      </c>
      <c r="Y95" s="508">
        <f t="shared" si="122"/>
        <v>2.4421296296296295E-2</v>
      </c>
      <c r="Z95" s="508">
        <f t="shared" si="123"/>
        <v>2.5244444444444443</v>
      </c>
      <c r="AB95" s="508">
        <f t="shared" si="124"/>
        <v>5.5222222222222221</v>
      </c>
      <c r="AC95" s="508">
        <f t="shared" si="125"/>
        <v>2.6150260416666664</v>
      </c>
      <c r="AD95" s="508">
        <f t="shared" si="126"/>
        <v>8.137248263888889</v>
      </c>
      <c r="AE95" s="508">
        <f t="shared" si="127"/>
        <v>2.4421296296296295E-2</v>
      </c>
      <c r="AF95" s="508">
        <f t="shared" si="128"/>
        <v>5.5466435185185183</v>
      </c>
      <c r="AG95" s="508">
        <f t="shared" si="129"/>
        <v>2.6394473379629626</v>
      </c>
      <c r="AH95" s="508">
        <f t="shared" si="130"/>
        <v>8.1616695601851852</v>
      </c>
      <c r="AI95" s="508">
        <f t="shared" si="131"/>
        <v>2.282986111111111E-2</v>
      </c>
      <c r="AJ95" s="508">
        <f t="shared" si="132"/>
        <v>5.5450520833333332</v>
      </c>
      <c r="AK95" s="508">
        <f t="shared" si="133"/>
        <v>2.6378559027777775</v>
      </c>
      <c r="AL95" s="508">
        <f t="shared" si="134"/>
        <v>8.1600781250000001</v>
      </c>
      <c r="AM95" s="508">
        <f t="shared" si="135"/>
        <v>4.7251157407407401E-2</v>
      </c>
      <c r="AN95" s="508">
        <f t="shared" si="136"/>
        <v>5.5694733796296294</v>
      </c>
      <c r="AO95" s="508">
        <f t="shared" si="137"/>
        <v>2.6622771990740737</v>
      </c>
      <c r="AP95" s="508">
        <f t="shared" si="138"/>
        <v>8.1844994212962963</v>
      </c>
      <c r="AQ95" s="508">
        <f t="shared" si="139"/>
        <v>0.28444444444444444</v>
      </c>
      <c r="AR95" s="508">
        <f t="shared" si="140"/>
        <v>5.8066666666666666</v>
      </c>
      <c r="AS95" s="508">
        <f t="shared" si="141"/>
        <v>2.8994704861111109</v>
      </c>
      <c r="AT95" s="508">
        <f t="shared" si="142"/>
        <v>8.4216927083333335</v>
      </c>
      <c r="AU95" s="508">
        <f t="shared" si="143"/>
        <v>0.30886574074074075</v>
      </c>
      <c r="AV95" s="508">
        <f t="shared" si="144"/>
        <v>5.8310879629629628</v>
      </c>
      <c r="AW95" s="508">
        <f t="shared" si="145"/>
        <v>2.9238917824074071</v>
      </c>
      <c r="AX95" s="508">
        <f t="shared" si="146"/>
        <v>8.4461140046296297</v>
      </c>
      <c r="AY95" s="508">
        <f t="shared" si="147"/>
        <v>0.30727430555555557</v>
      </c>
      <c r="AZ95" s="508">
        <f t="shared" si="148"/>
        <v>5.8294965277777777</v>
      </c>
      <c r="BA95" s="508">
        <f t="shared" si="149"/>
        <v>2.922300347222222</v>
      </c>
      <c r="BB95" s="508">
        <f t="shared" si="150"/>
        <v>8.4445225694444446</v>
      </c>
      <c r="BC95" s="508">
        <f t="shared" si="151"/>
        <v>0.33169560185185187</v>
      </c>
      <c r="BD95" s="508">
        <f t="shared" si="152"/>
        <v>5.8539178240740739</v>
      </c>
      <c r="BE95" s="508">
        <f t="shared" si="153"/>
        <v>2.9467216435185182</v>
      </c>
      <c r="BF95" s="508">
        <f t="shared" si="154"/>
        <v>8.4689438657407408</v>
      </c>
    </row>
    <row r="96" spans="1:58">
      <c r="A96" s="505" t="s">
        <v>8451</v>
      </c>
      <c r="B96" s="505">
        <v>646884715</v>
      </c>
      <c r="C96" s="505" t="s">
        <v>8412</v>
      </c>
      <c r="D96" s="505">
        <v>103</v>
      </c>
      <c r="F96" s="509" t="str">
        <f t="shared" si="105"/>
        <v>MAC+103</v>
      </c>
      <c r="G96" s="510">
        <f t="shared" si="106"/>
        <v>644923315</v>
      </c>
      <c r="H96" s="510">
        <f t="shared" si="107"/>
        <v>678385315</v>
      </c>
      <c r="I96" s="509">
        <f t="shared" si="108"/>
        <v>5</v>
      </c>
      <c r="J96" s="509">
        <f t="shared" si="109"/>
        <v>2</v>
      </c>
      <c r="L96" s="505">
        <f t="shared" si="110"/>
        <v>360</v>
      </c>
      <c r="M96" s="505">
        <f t="shared" si="111"/>
        <v>3</v>
      </c>
      <c r="N96" s="505">
        <f t="shared" si="112"/>
        <v>7200</v>
      </c>
      <c r="O96" s="505">
        <f t="shared" si="113"/>
        <v>1800</v>
      </c>
      <c r="P96" s="505" t="str">
        <f t="shared" si="114"/>
        <v>disabled</v>
      </c>
      <c r="Q96" s="505">
        <f t="shared" si="115"/>
        <v>300</v>
      </c>
      <c r="R96" s="505" t="str">
        <f t="shared" si="116"/>
        <v>102</v>
      </c>
      <c r="T96" s="508">
        <f t="shared" si="117"/>
        <v>2.7395833333333335</v>
      </c>
      <c r="U96" s="508">
        <f t="shared" si="118"/>
        <v>10.869791666666666</v>
      </c>
      <c r="V96" s="508">
        <f t="shared" si="119"/>
        <v>0.28444444444444444</v>
      </c>
      <c r="W96" s="508">
        <f t="shared" si="120"/>
        <v>5.5222222222222221</v>
      </c>
      <c r="X96" s="508">
        <f t="shared" si="121"/>
        <v>0</v>
      </c>
      <c r="Y96" s="508">
        <f t="shared" si="122"/>
        <v>0</v>
      </c>
      <c r="Z96" s="508">
        <f t="shared" si="123"/>
        <v>2.5244444444444443</v>
      </c>
      <c r="AB96" s="508">
        <f t="shared" si="124"/>
        <v>5.5222222222222221</v>
      </c>
      <c r="AC96" s="508">
        <f t="shared" si="125"/>
        <v>13.394236111111111</v>
      </c>
      <c r="AD96" s="508">
        <f t="shared" si="126"/>
        <v>18.916458333333331</v>
      </c>
      <c r="AE96" s="508">
        <f t="shared" si="127"/>
        <v>0</v>
      </c>
      <c r="AF96" s="508">
        <f t="shared" si="128"/>
        <v>5.5222222222222221</v>
      </c>
      <c r="AG96" s="508">
        <f t="shared" si="129"/>
        <v>13.394236111111111</v>
      </c>
      <c r="AH96" s="508">
        <f t="shared" si="130"/>
        <v>18.916458333333331</v>
      </c>
      <c r="AI96" s="508">
        <f t="shared" si="131"/>
        <v>2.7395833333333335</v>
      </c>
      <c r="AJ96" s="508">
        <f t="shared" si="132"/>
        <v>8.2618055555555561</v>
      </c>
      <c r="AK96" s="508">
        <f t="shared" si="133"/>
        <v>16.133819444444445</v>
      </c>
      <c r="AL96" s="508">
        <f t="shared" si="134"/>
        <v>21.656041666666667</v>
      </c>
      <c r="AM96" s="508">
        <f t="shared" si="135"/>
        <v>2.7395833333333335</v>
      </c>
      <c r="AN96" s="508">
        <f t="shared" si="136"/>
        <v>8.2618055555555561</v>
      </c>
      <c r="AO96" s="508">
        <f t="shared" si="137"/>
        <v>16.133819444444445</v>
      </c>
      <c r="AP96" s="508">
        <f t="shared" si="138"/>
        <v>21.656041666666667</v>
      </c>
      <c r="AQ96" s="508">
        <f t="shared" si="139"/>
        <v>0.28444444444444444</v>
      </c>
      <c r="AR96" s="508">
        <f t="shared" si="140"/>
        <v>5.8066666666666666</v>
      </c>
      <c r="AS96" s="508">
        <f t="shared" si="141"/>
        <v>13.678680555555555</v>
      </c>
      <c r="AT96" s="508">
        <f t="shared" si="142"/>
        <v>19.200902777777777</v>
      </c>
      <c r="AU96" s="508">
        <f t="shared" si="143"/>
        <v>0.28444444444444444</v>
      </c>
      <c r="AV96" s="508">
        <f t="shared" si="144"/>
        <v>5.8066666666666666</v>
      </c>
      <c r="AW96" s="508">
        <f t="shared" si="145"/>
        <v>13.678680555555555</v>
      </c>
      <c r="AX96" s="508">
        <f t="shared" si="146"/>
        <v>19.200902777777777</v>
      </c>
      <c r="AY96" s="508">
        <f t="shared" si="147"/>
        <v>3.024027777777778</v>
      </c>
      <c r="AZ96" s="508">
        <f t="shared" si="148"/>
        <v>8.5462500000000006</v>
      </c>
      <c r="BA96" s="508">
        <f t="shared" si="149"/>
        <v>16.418263888888887</v>
      </c>
      <c r="BB96" s="508">
        <f t="shared" si="150"/>
        <v>21.94048611111111</v>
      </c>
      <c r="BC96" s="508">
        <f t="shared" si="151"/>
        <v>3.024027777777778</v>
      </c>
      <c r="BD96" s="508">
        <f t="shared" si="152"/>
        <v>8.5462500000000006</v>
      </c>
      <c r="BE96" s="508">
        <f t="shared" si="153"/>
        <v>16.418263888888887</v>
      </c>
      <c r="BF96" s="508">
        <f t="shared" si="154"/>
        <v>21.94048611111111</v>
      </c>
    </row>
    <row r="97" spans="1:58">
      <c r="A97" s="505" t="s">
        <v>8451</v>
      </c>
      <c r="B97" s="505">
        <v>646885315</v>
      </c>
      <c r="C97" s="505" t="s">
        <v>8412</v>
      </c>
      <c r="D97" s="505">
        <v>109</v>
      </c>
      <c r="F97" s="509" t="str">
        <f t="shared" si="105"/>
        <v>MAC+109</v>
      </c>
      <c r="G97" s="510">
        <f t="shared" si="106"/>
        <v>644923315</v>
      </c>
      <c r="H97" s="510">
        <f t="shared" si="107"/>
        <v>678385315</v>
      </c>
      <c r="I97" s="509">
        <f t="shared" si="108"/>
        <v>6</v>
      </c>
      <c r="J97" s="509">
        <f t="shared" si="109"/>
        <v>1</v>
      </c>
      <c r="L97" s="505">
        <f t="shared" si="110"/>
        <v>360</v>
      </c>
      <c r="M97" s="505">
        <f t="shared" si="111"/>
        <v>3</v>
      </c>
      <c r="N97" s="505">
        <f t="shared" si="112"/>
        <v>7200</v>
      </c>
      <c r="O97" s="505">
        <f t="shared" si="113"/>
        <v>1800</v>
      </c>
      <c r="P97" s="505" t="str">
        <f t="shared" si="114"/>
        <v/>
      </c>
      <c r="Q97" s="505">
        <f t="shared" si="115"/>
        <v>1800</v>
      </c>
      <c r="R97" s="505" t="str">
        <f t="shared" si="116"/>
        <v>102</v>
      </c>
      <c r="T97" s="508">
        <f t="shared" si="117"/>
        <v>2.7395833333333335</v>
      </c>
      <c r="U97" s="508">
        <f t="shared" si="118"/>
        <v>10.869791666666666</v>
      </c>
      <c r="V97" s="508">
        <f t="shared" si="119"/>
        <v>0.28444444444444444</v>
      </c>
      <c r="W97" s="508">
        <f t="shared" si="120"/>
        <v>5.5222222222222221</v>
      </c>
      <c r="X97" s="508">
        <f t="shared" si="121"/>
        <v>422</v>
      </c>
      <c r="Y97" s="508">
        <f t="shared" si="122"/>
        <v>17.583333333333332</v>
      </c>
      <c r="Z97" s="508">
        <f t="shared" si="123"/>
        <v>2.5244444444444443</v>
      </c>
      <c r="AB97" s="508">
        <f t="shared" si="124"/>
        <v>5.5222222222222221</v>
      </c>
      <c r="AC97" s="508">
        <f t="shared" si="125"/>
        <v>13.394236111111111</v>
      </c>
      <c r="AD97" s="508">
        <f t="shared" si="126"/>
        <v>18.916458333333331</v>
      </c>
      <c r="AE97" s="508">
        <f t="shared" si="127"/>
        <v>17.583333333333332</v>
      </c>
      <c r="AF97" s="508">
        <f t="shared" si="128"/>
        <v>23.105555555555554</v>
      </c>
      <c r="AG97" s="508">
        <f t="shared" si="129"/>
        <v>30.977569444444441</v>
      </c>
      <c r="AH97" s="508">
        <f t="shared" si="130"/>
        <v>36.499791666666667</v>
      </c>
      <c r="AI97" s="508">
        <f t="shared" si="131"/>
        <v>2.7395833333333335</v>
      </c>
      <c r="AJ97" s="508">
        <f t="shared" si="132"/>
        <v>8.2618055555555561</v>
      </c>
      <c r="AK97" s="508">
        <f t="shared" si="133"/>
        <v>16.133819444444445</v>
      </c>
      <c r="AL97" s="508">
        <f t="shared" si="134"/>
        <v>21.656041666666667</v>
      </c>
      <c r="AM97" s="508">
        <f t="shared" si="135"/>
        <v>20.322916666666664</v>
      </c>
      <c r="AN97" s="508">
        <f t="shared" si="136"/>
        <v>25.845138888888886</v>
      </c>
      <c r="AO97" s="508">
        <f t="shared" si="137"/>
        <v>33.717152777777777</v>
      </c>
      <c r="AP97" s="508">
        <f t="shared" si="138"/>
        <v>39.239374999999995</v>
      </c>
      <c r="AQ97" s="508">
        <f t="shared" si="139"/>
        <v>0.28444444444444444</v>
      </c>
      <c r="AR97" s="508">
        <f t="shared" si="140"/>
        <v>5.8066666666666666</v>
      </c>
      <c r="AS97" s="508">
        <f t="shared" si="141"/>
        <v>13.678680555555555</v>
      </c>
      <c r="AT97" s="508">
        <f t="shared" si="142"/>
        <v>19.200902777777777</v>
      </c>
      <c r="AU97" s="508">
        <f t="shared" si="143"/>
        <v>17.867777777777775</v>
      </c>
      <c r="AV97" s="508">
        <f t="shared" si="144"/>
        <v>23.389999999999997</v>
      </c>
      <c r="AW97" s="508">
        <f t="shared" si="145"/>
        <v>31.262013888888887</v>
      </c>
      <c r="AX97" s="508">
        <f t="shared" si="146"/>
        <v>36.784236111111113</v>
      </c>
      <c r="AY97" s="508">
        <f t="shared" si="147"/>
        <v>3.024027777777778</v>
      </c>
      <c r="AZ97" s="508">
        <f t="shared" si="148"/>
        <v>8.5462500000000006</v>
      </c>
      <c r="BA97" s="508">
        <f t="shared" si="149"/>
        <v>16.418263888888887</v>
      </c>
      <c r="BB97" s="508">
        <f t="shared" si="150"/>
        <v>21.94048611111111</v>
      </c>
      <c r="BC97" s="508">
        <f t="shared" si="151"/>
        <v>20.607361111111111</v>
      </c>
      <c r="BD97" s="508">
        <f t="shared" si="152"/>
        <v>26.129583333333333</v>
      </c>
      <c r="BE97" s="508">
        <f t="shared" si="153"/>
        <v>34.001597222222223</v>
      </c>
      <c r="BF97" s="508">
        <f t="shared" si="154"/>
        <v>39.523819444444442</v>
      </c>
    </row>
  </sheetData>
  <conditionalFormatting sqref="AB1:BF1048576">
    <cfRule type="expression" dxfId="92" priority="4">
      <formula>AB$12&lt;&gt;""</formula>
    </cfRule>
  </conditionalFormatting>
  <conditionalFormatting sqref="AC8:BF8">
    <cfRule type="expression" dxfId="91" priority="3">
      <formula>AC8&lt;&gt;(AB8+1)</formula>
    </cfRule>
  </conditionalFormatting>
  <conditionalFormatting sqref="E3:E4 F14:J97">
    <cfRule type="expression" dxfId="90" priority="1">
      <formula>$C3="OFF"</formula>
    </cfRule>
    <cfRule type="expression" dxfId="89" priority="2">
      <formula>$C3="ON"</formula>
    </cfRule>
  </conditionalFormatting>
  <conditionalFormatting sqref="A1:BF2 A6:BF1048576 C3:BF5">
    <cfRule type="expression" dxfId="88" priority="5">
      <formula>$C1="OFF"</formula>
    </cfRule>
    <cfRule type="expression" dxfId="87" priority="6">
      <formula>OR($C1="ON",$F1="MAC+111")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86" priority="9">
      <formula>IF(AC8&lt;&gt;(AB8+1),TRUE,FALSE)</formula>
    </cfRule>
  </conditionalFormatting>
  <conditionalFormatting sqref="AB1:BF1048576">
    <cfRule type="expression" dxfId="85" priority="5">
      <formula>IF(AB$12&lt;&gt;"",TRUE,FALSE)</formula>
    </cfRule>
  </conditionalFormatting>
  <conditionalFormatting sqref="A38:BF10000 E14:BF37">
    <cfRule type="expression" dxfId="84" priority="4">
      <formula>IF($C14="ON",TRUE,FALSE)</formula>
    </cfRule>
  </conditionalFormatting>
  <conditionalFormatting sqref="A38:BF100000 E14:BF37">
    <cfRule type="expression" dxfId="83" priority="3">
      <formula>IF($C14="OFF",TRUE,FALSE)</formula>
    </cfRule>
  </conditionalFormatting>
  <conditionalFormatting sqref="A14:BF37">
    <cfRule type="expression" dxfId="82" priority="1">
      <formula>$C14="OFF"</formula>
    </cfRule>
    <cfRule type="expression" dxfId="81" priority="2">
      <formula>OR($C14="ON",$F14="MAC+111")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4" sqref="F4"/>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40" t="s">
        <v>1</v>
      </c>
      <c r="I3" s="540"/>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41" t="s">
        <v>22</v>
      </c>
      <c r="G21" s="541"/>
      <c r="H21" s="541"/>
      <c r="I21" s="541"/>
    </row>
    <row r="22" spans="3:25" ht="18">
      <c r="F22" s="542" t="s">
        <v>23</v>
      </c>
      <c r="G22" s="542"/>
      <c r="H22" s="542"/>
      <c r="I22" s="29">
        <v>20</v>
      </c>
      <c r="O22" s="30"/>
    </row>
    <row r="23" spans="3:25" ht="15">
      <c r="F23" s="543" t="s">
        <v>24</v>
      </c>
      <c r="G23" s="543"/>
      <c r="H23" s="543"/>
      <c r="I23" s="29">
        <f>0.7*I22/10</f>
        <v>1.4</v>
      </c>
    </row>
    <row r="24" spans="3:25" ht="15">
      <c r="F24" s="543" t="s">
        <v>25</v>
      </c>
      <c r="G24" s="543"/>
      <c r="H24" s="543"/>
      <c r="I24" s="29">
        <v>2</v>
      </c>
    </row>
    <row r="25" spans="3:25" ht="15">
      <c r="F25" s="543" t="s">
        <v>26</v>
      </c>
      <c r="G25" s="543"/>
      <c r="H25" s="543"/>
      <c r="I25" s="29">
        <v>0</v>
      </c>
    </row>
    <row r="26" spans="3:25" ht="15">
      <c r="F26" s="543" t="s">
        <v>27</v>
      </c>
      <c r="G26" s="543"/>
      <c r="H26" s="543"/>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40" t="s">
        <v>1</v>
      </c>
      <c r="I33" s="540"/>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41" t="s">
        <v>22</v>
      </c>
      <c r="G51" s="541"/>
      <c r="H51" s="541"/>
      <c r="I51" s="541"/>
      <c r="K51" t="s">
        <v>33</v>
      </c>
      <c r="L51" t="s">
        <v>34</v>
      </c>
    </row>
    <row r="52" spans="3:25" ht="18">
      <c r="F52" s="542" t="s">
        <v>23</v>
      </c>
      <c r="G52" s="542"/>
      <c r="H52" s="542"/>
      <c r="I52" s="29">
        <v>20</v>
      </c>
      <c r="K52">
        <v>1</v>
      </c>
      <c r="L52">
        <v>2</v>
      </c>
      <c r="O52" s="30"/>
    </row>
    <row r="53" spans="3:25" ht="15">
      <c r="F53" s="543" t="s">
        <v>24</v>
      </c>
      <c r="G53" s="543"/>
      <c r="H53" s="543"/>
      <c r="I53" s="29">
        <f>0.7*I52/10</f>
        <v>1.4</v>
      </c>
      <c r="K53">
        <v>3</v>
      </c>
      <c r="L53">
        <v>6</v>
      </c>
      <c r="M53" t="str">
        <f>IF((K53/L53)=INT(K53/L53), "good", "bad")</f>
        <v>bad</v>
      </c>
    </row>
    <row r="54" spans="3:25" ht="15">
      <c r="F54" s="543" t="s">
        <v>25</v>
      </c>
      <c r="G54" s="543"/>
      <c r="H54" s="543"/>
      <c r="I54" s="29">
        <v>2</v>
      </c>
      <c r="K54">
        <v>1</v>
      </c>
      <c r="L54">
        <v>2</v>
      </c>
      <c r="M54" t="str">
        <f>IF((K54/L54)=INT(K54/L54), "good", "bad")</f>
        <v>bad</v>
      </c>
    </row>
    <row r="55" spans="3:25" ht="15">
      <c r="F55" s="543" t="s">
        <v>26</v>
      </c>
      <c r="G55" s="543"/>
      <c r="H55" s="543"/>
      <c r="I55" s="29">
        <v>0</v>
      </c>
      <c r="K55">
        <v>1</v>
      </c>
      <c r="L55">
        <v>2</v>
      </c>
      <c r="M55" t="str">
        <f>IF((K55/L55)=INT(K55/L55), "good", "bad")</f>
        <v>bad</v>
      </c>
    </row>
    <row r="56" spans="3:25" ht="15">
      <c r="F56" s="543" t="s">
        <v>27</v>
      </c>
      <c r="G56" s="543"/>
      <c r="H56" s="543"/>
      <c r="I56" s="29">
        <v>0</v>
      </c>
    </row>
    <row r="58" spans="3:25" ht="15">
      <c r="Y58" t="s">
        <v>28</v>
      </c>
    </row>
    <row r="60" spans="3:25" ht="15">
      <c r="C60" s="6" t="s">
        <v>35</v>
      </c>
      <c r="D60" s="7"/>
      <c r="E60" s="6"/>
      <c r="F60" s="8"/>
      <c r="G60" s="8"/>
      <c r="H60" s="8"/>
      <c r="I60" s="9"/>
      <c r="J60" s="9"/>
      <c r="K60" s="8"/>
      <c r="L60" s="8"/>
      <c r="M60" s="8"/>
      <c r="N60" s="10"/>
      <c r="O60" s="9"/>
      <c r="P60" s="9"/>
    </row>
    <row r="61" spans="3:25" ht="15">
      <c r="H61" s="540" t="s">
        <v>1</v>
      </c>
      <c r="I61" s="540"/>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41" t="s">
        <v>22</v>
      </c>
      <c r="G79" s="541"/>
      <c r="H79" s="541"/>
      <c r="I79" s="541"/>
    </row>
    <row r="80" spans="6:18" ht="18">
      <c r="F80" s="542" t="s">
        <v>23</v>
      </c>
      <c r="G80" s="542"/>
      <c r="H80" s="542"/>
      <c r="I80" s="29">
        <v>20</v>
      </c>
      <c r="O80" s="30"/>
    </row>
    <row r="81" spans="3:25" ht="15">
      <c r="F81" s="543" t="s">
        <v>24</v>
      </c>
      <c r="G81" s="543"/>
      <c r="H81" s="543"/>
      <c r="I81" s="29">
        <f>0.7*I80/10</f>
        <v>1.4</v>
      </c>
    </row>
    <row r="82" spans="3:25" ht="15">
      <c r="F82" s="543" t="s">
        <v>25</v>
      </c>
      <c r="G82" s="543"/>
      <c r="H82" s="543"/>
      <c r="I82" s="29">
        <v>2</v>
      </c>
    </row>
    <row r="83" spans="3:25" ht="15">
      <c r="F83" s="543" t="s">
        <v>26</v>
      </c>
      <c r="G83" s="543"/>
      <c r="H83" s="543"/>
      <c r="I83" s="29">
        <v>0</v>
      </c>
    </row>
    <row r="84" spans="3:25" ht="15">
      <c r="F84" s="543" t="s">
        <v>27</v>
      </c>
      <c r="G84" s="543"/>
      <c r="H84" s="543"/>
      <c r="I84" s="29">
        <v>0</v>
      </c>
    </row>
    <row r="86" spans="3:25" ht="15">
      <c r="Y86" t="s">
        <v>28</v>
      </c>
    </row>
    <row r="90" spans="3:25" ht="15">
      <c r="C90" s="6" t="s">
        <v>36</v>
      </c>
      <c r="D90" s="7"/>
      <c r="E90" s="6"/>
      <c r="F90" s="8"/>
      <c r="G90" s="8"/>
      <c r="H90" s="8"/>
      <c r="I90" s="9"/>
      <c r="J90" s="9"/>
      <c r="K90" s="8"/>
      <c r="L90" s="8"/>
      <c r="M90" s="8"/>
      <c r="N90" s="10"/>
      <c r="O90" s="9"/>
      <c r="P90" s="9"/>
    </row>
    <row r="91" spans="3:25" ht="15">
      <c r="H91" s="540" t="s">
        <v>1</v>
      </c>
      <c r="I91" s="540"/>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41" t="s">
        <v>22</v>
      </c>
      <c r="G109" s="541"/>
      <c r="H109" s="541"/>
      <c r="I109" s="541"/>
    </row>
    <row r="110" spans="6:18" ht="18">
      <c r="F110" s="542" t="s">
        <v>23</v>
      </c>
      <c r="G110" s="542"/>
      <c r="H110" s="542"/>
      <c r="I110" s="29">
        <v>20</v>
      </c>
      <c r="O110" s="30"/>
    </row>
    <row r="111" spans="6:18" ht="15">
      <c r="F111" s="543" t="s">
        <v>24</v>
      </c>
      <c r="G111" s="543"/>
      <c r="H111" s="543"/>
      <c r="I111" s="29">
        <f>0.7*I110/10</f>
        <v>1.4</v>
      </c>
    </row>
    <row r="112" spans="6:18" ht="15">
      <c r="F112" s="543" t="s">
        <v>25</v>
      </c>
      <c r="G112" s="543"/>
      <c r="H112" s="543"/>
      <c r="I112" s="29">
        <v>2</v>
      </c>
    </row>
    <row r="113" spans="3:17" ht="15">
      <c r="F113" s="543" t="s">
        <v>26</v>
      </c>
      <c r="G113" s="543"/>
      <c r="H113" s="543"/>
      <c r="I113" s="29">
        <v>2</v>
      </c>
    </row>
    <row r="114" spans="3:17" ht="15">
      <c r="F114" s="543" t="s">
        <v>27</v>
      </c>
      <c r="G114" s="543"/>
      <c r="H114" s="543"/>
      <c r="I114" s="29">
        <v>2</v>
      </c>
    </row>
    <row r="119" spans="3:17" ht="15">
      <c r="C119" s="6" t="s">
        <v>38</v>
      </c>
      <c r="D119" s="7"/>
      <c r="E119" s="6"/>
      <c r="F119" s="8"/>
      <c r="G119" s="8"/>
      <c r="H119" s="8"/>
      <c r="I119" s="9"/>
      <c r="J119" s="9"/>
      <c r="K119" s="8"/>
      <c r="L119" s="8"/>
      <c r="M119" s="8"/>
      <c r="N119" s="10"/>
      <c r="O119" s="9"/>
      <c r="P119" s="9"/>
    </row>
    <row r="120" spans="3:17" ht="15">
      <c r="H120" s="540" t="s">
        <v>1</v>
      </c>
      <c r="I120" s="540"/>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41" t="s">
        <v>22</v>
      </c>
      <c r="G138" s="541"/>
      <c r="H138" s="541"/>
      <c r="I138" s="541"/>
    </row>
    <row r="139" spans="6:18" ht="18">
      <c r="F139" s="542" t="s">
        <v>23</v>
      </c>
      <c r="G139" s="542"/>
      <c r="H139" s="542"/>
      <c r="I139" s="29">
        <v>20</v>
      </c>
      <c r="O139" s="30"/>
    </row>
    <row r="140" spans="6:18" ht="15">
      <c r="F140" s="543" t="s">
        <v>24</v>
      </c>
      <c r="G140" s="543"/>
      <c r="H140" s="543"/>
      <c r="I140" s="29">
        <f>0.7*I139/10</f>
        <v>1.4</v>
      </c>
    </row>
    <row r="141" spans="6:18" ht="15">
      <c r="F141" s="543" t="s">
        <v>25</v>
      </c>
      <c r="G141" s="543"/>
      <c r="H141" s="543"/>
      <c r="I141" s="29">
        <v>2</v>
      </c>
    </row>
    <row r="142" spans="6:18" ht="15">
      <c r="F142" s="543" t="s">
        <v>26</v>
      </c>
      <c r="G142" s="543"/>
      <c r="H142" s="543"/>
      <c r="I142" s="29">
        <v>1</v>
      </c>
    </row>
    <row r="143" spans="6:18" ht="15">
      <c r="F143" s="543" t="s">
        <v>27</v>
      </c>
      <c r="G143" s="543"/>
      <c r="H143" s="543"/>
      <c r="I143" s="29">
        <v>1</v>
      </c>
    </row>
    <row r="149" spans="3:17" ht="15">
      <c r="C149" s="6" t="s">
        <v>39</v>
      </c>
      <c r="D149" s="7"/>
      <c r="E149" s="6"/>
      <c r="F149" s="8"/>
      <c r="G149" s="8"/>
      <c r="H149" s="8"/>
      <c r="I149" s="9"/>
      <c r="J149" s="9"/>
      <c r="K149" s="8"/>
      <c r="L149" s="8"/>
      <c r="M149" s="8"/>
      <c r="N149" s="10"/>
      <c r="O149" s="9"/>
      <c r="P149" s="9"/>
    </row>
    <row r="150" spans="3:17" ht="15">
      <c r="H150" s="540" t="s">
        <v>1</v>
      </c>
      <c r="I150" s="540"/>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41" t="s">
        <v>22</v>
      </c>
      <c r="G168" s="541"/>
      <c r="H168" s="541"/>
      <c r="I168" s="541"/>
    </row>
    <row r="169" spans="6:18" ht="18">
      <c r="F169" s="542" t="s">
        <v>23</v>
      </c>
      <c r="G169" s="542"/>
      <c r="H169" s="542"/>
      <c r="I169" s="29">
        <v>20</v>
      </c>
      <c r="O169" s="30"/>
    </row>
    <row r="170" spans="6:18" ht="15">
      <c r="F170" s="543" t="s">
        <v>24</v>
      </c>
      <c r="G170" s="543"/>
      <c r="H170" s="543"/>
      <c r="I170" s="29">
        <f>0.7*I169/10</f>
        <v>1.4</v>
      </c>
    </row>
    <row r="171" spans="6:18" ht="15">
      <c r="F171" s="543" t="s">
        <v>25</v>
      </c>
      <c r="G171" s="543"/>
      <c r="H171" s="543"/>
      <c r="I171" s="29">
        <v>2</v>
      </c>
    </row>
    <row r="172" spans="6:18" ht="15">
      <c r="F172" s="543" t="s">
        <v>26</v>
      </c>
      <c r="G172" s="543"/>
      <c r="H172" s="543"/>
      <c r="I172" s="29">
        <v>1</v>
      </c>
    </row>
    <row r="173" spans="6:18" ht="15">
      <c r="F173" s="543" t="s">
        <v>27</v>
      </c>
      <c r="G173" s="543"/>
      <c r="H173" s="543"/>
      <c r="I173" s="29">
        <v>1</v>
      </c>
    </row>
    <row r="178" spans="3:17" ht="15">
      <c r="C178" s="6" t="s">
        <v>40</v>
      </c>
      <c r="D178" s="7"/>
      <c r="E178" s="6"/>
      <c r="F178" s="8"/>
      <c r="G178" s="8"/>
      <c r="H178" s="8"/>
      <c r="I178" s="9"/>
      <c r="J178" s="9"/>
      <c r="K178" s="8"/>
      <c r="L178" s="8"/>
      <c r="M178" s="8"/>
      <c r="N178" s="10"/>
      <c r="O178" s="9"/>
      <c r="P178" s="9"/>
    </row>
    <row r="179" spans="3:17" ht="15">
      <c r="H179" s="540" t="s">
        <v>1</v>
      </c>
      <c r="I179" s="540"/>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41" t="s">
        <v>22</v>
      </c>
      <c r="G197" s="541"/>
      <c r="H197" s="541"/>
      <c r="I197" s="541"/>
    </row>
    <row r="198" spans="6:19" ht="18">
      <c r="F198" s="542" t="s">
        <v>23</v>
      </c>
      <c r="G198" s="542"/>
      <c r="H198" s="542"/>
      <c r="I198" s="29">
        <v>20</v>
      </c>
      <c r="O198" s="30"/>
    </row>
    <row r="199" spans="6:19" ht="15">
      <c r="F199" s="543" t="s">
        <v>24</v>
      </c>
      <c r="G199" s="543"/>
      <c r="H199" s="543"/>
      <c r="I199" s="29">
        <f>0.7*I198/10</f>
        <v>1.4</v>
      </c>
    </row>
    <row r="200" spans="6:19" ht="15">
      <c r="F200" s="543" t="s">
        <v>25</v>
      </c>
      <c r="G200" s="543"/>
      <c r="H200" s="543"/>
      <c r="I200" s="29">
        <v>2</v>
      </c>
    </row>
    <row r="201" spans="6:19" ht="15">
      <c r="F201" s="543" t="s">
        <v>26</v>
      </c>
      <c r="G201" s="543"/>
      <c r="H201" s="543"/>
      <c r="I201" s="29">
        <v>1</v>
      </c>
    </row>
    <row r="202" spans="6:19" ht="15">
      <c r="F202" s="543" t="s">
        <v>27</v>
      </c>
      <c r="G202" s="543"/>
      <c r="H202" s="543"/>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40" t="s">
        <v>1</v>
      </c>
      <c r="I219" s="540"/>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41" t="s">
        <v>22</v>
      </c>
      <c r="G237" s="541"/>
      <c r="H237" s="541"/>
      <c r="I237" s="541"/>
    </row>
    <row r="238" spans="6:19" ht="18">
      <c r="F238" s="542" t="s">
        <v>23</v>
      </c>
      <c r="G238" s="542"/>
      <c r="H238" s="542"/>
      <c r="I238" s="29">
        <v>20</v>
      </c>
      <c r="O238" s="30"/>
      <c r="P238" s="40" t="s">
        <v>47</v>
      </c>
      <c r="Q238" s="41"/>
      <c r="R238" s="42">
        <f>P235</f>
        <v>643.01035679999995</v>
      </c>
      <c r="S238" s="43" t="s">
        <v>42</v>
      </c>
    </row>
    <row r="239" spans="6:19" ht="15">
      <c r="F239" s="543" t="s">
        <v>24</v>
      </c>
      <c r="G239" s="543"/>
      <c r="H239" s="543"/>
      <c r="I239" s="29">
        <f>0.7*I238/10</f>
        <v>1.4</v>
      </c>
    </row>
    <row r="240" spans="6:19" ht="15">
      <c r="F240" s="543" t="s">
        <v>25</v>
      </c>
      <c r="G240" s="543"/>
      <c r="H240" s="543"/>
      <c r="I240" s="29">
        <v>2</v>
      </c>
    </row>
    <row r="241" spans="3:19" ht="15">
      <c r="F241" s="543" t="s">
        <v>26</v>
      </c>
      <c r="G241" s="543"/>
      <c r="H241" s="543"/>
      <c r="I241" s="29">
        <v>20</v>
      </c>
    </row>
    <row r="242" spans="3:19" ht="15">
      <c r="F242" s="543" t="s">
        <v>27</v>
      </c>
      <c r="G242" s="543"/>
      <c r="H242" s="543"/>
      <c r="I242" s="29">
        <v>8</v>
      </c>
    </row>
    <row r="246" spans="3:19" ht="15">
      <c r="C246" s="6" t="s">
        <v>48</v>
      </c>
      <c r="D246" s="7"/>
      <c r="E246" s="6"/>
      <c r="F246" s="8"/>
      <c r="G246" s="8"/>
      <c r="H246" s="8"/>
      <c r="I246" s="9"/>
      <c r="J246" s="9"/>
      <c r="K246" s="8"/>
      <c r="L246" s="8"/>
      <c r="M246" s="8"/>
      <c r="N246" s="10"/>
      <c r="O246" s="9"/>
      <c r="P246" s="9"/>
    </row>
    <row r="247" spans="3:19" ht="15">
      <c r="H247" s="540" t="s">
        <v>1</v>
      </c>
      <c r="I247" s="540"/>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41" t="s">
        <v>22</v>
      </c>
      <c r="G265" s="541"/>
      <c r="H265" s="541"/>
      <c r="I265" s="541"/>
      <c r="K265" s="54" t="s">
        <v>58</v>
      </c>
      <c r="L265" s="55"/>
      <c r="M265" s="55"/>
      <c r="N265" s="56"/>
      <c r="O265" s="57" t="s">
        <v>59</v>
      </c>
      <c r="P265" s="57" t="s">
        <v>60</v>
      </c>
      <c r="Q265" s="58"/>
      <c r="S265" s="59" t="s">
        <v>61</v>
      </c>
      <c r="T265" s="60"/>
      <c r="U265" s="55"/>
      <c r="V265" s="56"/>
      <c r="W265" s="57" t="s">
        <v>59</v>
      </c>
      <c r="X265" s="57" t="s">
        <v>60</v>
      </c>
      <c r="Y265" s="58"/>
    </row>
    <row r="266" spans="6:25" ht="18">
      <c r="F266" s="542" t="s">
        <v>23</v>
      </c>
      <c r="G266" s="542"/>
      <c r="H266" s="542"/>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43" t="s">
        <v>24</v>
      </c>
      <c r="G267" s="543"/>
      <c r="H267" s="543"/>
      <c r="I267" s="29">
        <f>0.7*I266/10</f>
        <v>1.4</v>
      </c>
      <c r="K267" s="61"/>
      <c r="L267" s="46"/>
      <c r="M267" s="46"/>
      <c r="N267" s="46"/>
      <c r="O267" s="66" t="s">
        <v>62</v>
      </c>
      <c r="P267" s="46"/>
      <c r="Q267" s="64"/>
      <c r="S267" s="61"/>
      <c r="T267" s="65"/>
      <c r="U267" s="46"/>
      <c r="V267" s="46"/>
      <c r="W267" s="66" t="s">
        <v>62</v>
      </c>
      <c r="X267" s="62"/>
      <c r="Y267" s="64"/>
    </row>
    <row r="268" spans="6:25" ht="15">
      <c r="F268" s="543" t="s">
        <v>25</v>
      </c>
      <c r="G268" s="543"/>
      <c r="H268" s="543"/>
      <c r="I268" s="29">
        <v>2</v>
      </c>
      <c r="K268" s="61"/>
      <c r="L268" s="67"/>
      <c r="M268" s="46"/>
      <c r="N268" s="46"/>
      <c r="O268" s="68">
        <f>Q238/86400</f>
        <v>0</v>
      </c>
      <c r="P268" s="46"/>
      <c r="Q268" s="64"/>
      <c r="S268" s="61"/>
      <c r="T268" s="69"/>
      <c r="U268" s="46"/>
      <c r="V268" s="46"/>
      <c r="W268" s="68">
        <f>Y238/86400</f>
        <v>0</v>
      </c>
      <c r="X268" s="46"/>
      <c r="Y268" s="64"/>
    </row>
    <row r="269" spans="6:25" ht="15">
      <c r="F269" s="543" t="s">
        <v>63</v>
      </c>
      <c r="G269" s="543"/>
      <c r="H269" s="543"/>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43" t="s">
        <v>71</v>
      </c>
      <c r="G270" s="543"/>
      <c r="H270" s="543"/>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80"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79"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78"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77"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76"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75"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74"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73"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72"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abSelected="1" topLeftCell="A392" zoomScaleNormal="100" workbookViewId="0">
      <pane ySplit="2970" topLeftCell="A390" activePane="bottomLeft"/>
      <selection activeCell="V5" sqref="V5"/>
      <selection pane="bottomLeft" activeCell="Q388" sqref="Q388"/>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pep_ssf!B14-10</f>
        <v>556768376</v>
      </c>
      <c r="R388" cm="1">
        <f t="array" ref="R388">peprate($E388:$K388,Q388)</f>
        <v>0.18939393939393939</v>
      </c>
    </row>
    <row r="389" spans="5:26" ht="13.5" customHeight="1">
      <c r="E389" t="str">
        <f>_xlfn.TEXTJOIN("",FALSE,E388)</f>
        <v>HSK3</v>
      </c>
      <c r="F389" t="str">
        <f t="shared" ref="F389:F411" si="210">_xlfn.TEXTJOIN("",FALSE,F388)</f>
        <v>DT1</v>
      </c>
      <c r="G389" t="str">
        <f t="shared" ref="G389:G411" si="211">_xlfn.TEXTJOIN("",FALSE,G388)</f>
        <v>DT2</v>
      </c>
      <c r="H389" t="str">
        <f t="shared" ref="H389:H411" si="212">_xlfn.TEXTJOIN("",FALSE,H388)</f>
        <v>DT3</v>
      </c>
      <c r="I389" t="str">
        <f t="shared" ref="I389:I411" si="213">_xlfn.TEXTJOIN("",FALSE,I388)</f>
        <v>DT4</v>
      </c>
      <c r="Q389" s="5">
        <f>pep_ssf!B15-10</f>
        <v>556984306</v>
      </c>
      <c r="R389" cm="1">
        <f t="array" ref="R389">peprate( $E389:$K389,Q389)</f>
        <v>0.18939393939393939</v>
      </c>
    </row>
    <row r="390" spans="5:26" ht="13.5" customHeight="1">
      <c r="E390" t="str">
        <f t="shared" ref="E390:E411" si="214">_xlfn.TEXTJOIN("",FALSE,E389)</f>
        <v>HSK3</v>
      </c>
      <c r="F390" t="str">
        <f t="shared" si="210"/>
        <v>DT1</v>
      </c>
      <c r="G390" t="str">
        <f t="shared" si="211"/>
        <v>DT2</v>
      </c>
      <c r="H390" t="str">
        <f t="shared" si="212"/>
        <v>DT3</v>
      </c>
      <c r="I390" t="str">
        <f t="shared" si="213"/>
        <v>DT4</v>
      </c>
      <c r="Q390" s="5">
        <f>pep_ssf!B16-10</f>
        <v>556984351</v>
      </c>
      <c r="R390" cm="1">
        <f t="array" ref="R390">peprate( $E390:$K390,Q390)</f>
        <v>0.37878787878787878</v>
      </c>
      <c r="Z390" s="424" t="s">
        <v>2572</v>
      </c>
    </row>
    <row r="391" spans="5:26" ht="13.5" customHeight="1">
      <c r="E391" t="str">
        <f t="shared" si="214"/>
        <v>HSK3</v>
      </c>
      <c r="F391" t="str">
        <f t="shared" si="210"/>
        <v>DT1</v>
      </c>
      <c r="G391" t="str">
        <f t="shared" si="211"/>
        <v>DT2</v>
      </c>
      <c r="H391" t="str">
        <f t="shared" si="212"/>
        <v>DT3</v>
      </c>
      <c r="I391" t="str">
        <f t="shared" si="213"/>
        <v>DT4</v>
      </c>
      <c r="Q391" s="5">
        <f>pep_ssf!B17-10</f>
        <v>556984351</v>
      </c>
      <c r="R391" cm="1">
        <f t="array" ref="R391">peprate( $E391:$K391,Q391)</f>
        <v>0.37878787878787878</v>
      </c>
    </row>
    <row r="392" spans="5:26" ht="13.5" customHeight="1">
      <c r="E392" t="str">
        <f t="shared" si="214"/>
        <v>HSK3</v>
      </c>
      <c r="F392" t="str">
        <f t="shared" si="210"/>
        <v>DT1</v>
      </c>
      <c r="G392" t="str">
        <f t="shared" si="211"/>
        <v>DT2</v>
      </c>
      <c r="H392" t="str">
        <f t="shared" si="212"/>
        <v>DT3</v>
      </c>
      <c r="I392" t="str">
        <f t="shared" si="213"/>
        <v>DT4</v>
      </c>
      <c r="Q392" s="5">
        <f>pep_ssf!B18-10</f>
        <v>556984352</v>
      </c>
      <c r="R392" cm="1">
        <f t="array" ref="R392">peprate( $E392:$K392,Q392)</f>
        <v>0.37878787878787878</v>
      </c>
    </row>
    <row r="393" spans="5:26" ht="13.5" customHeight="1">
      <c r="E393" t="str">
        <f t="shared" si="214"/>
        <v>HSK3</v>
      </c>
      <c r="F393" t="str">
        <f t="shared" si="210"/>
        <v>DT1</v>
      </c>
      <c r="G393" t="str">
        <f t="shared" si="211"/>
        <v>DT2</v>
      </c>
      <c r="H393" t="str">
        <f t="shared" si="212"/>
        <v>DT3</v>
      </c>
      <c r="I393" t="str">
        <f t="shared" si="213"/>
        <v>DT4</v>
      </c>
      <c r="Q393" s="5">
        <f>pep_ssf!B19-10</f>
        <v>556984353</v>
      </c>
      <c r="R393" cm="1">
        <f t="array" ref="R393">peprate( $E393:$K393,Q393)</f>
        <v>0.37878787878787878</v>
      </c>
    </row>
    <row r="394" spans="5:26" ht="13.5" customHeight="1">
      <c r="E394" t="str">
        <f t="shared" si="214"/>
        <v>HSK3</v>
      </c>
      <c r="F394" t="str">
        <f t="shared" si="210"/>
        <v>DT1</v>
      </c>
      <c r="G394" t="str">
        <f t="shared" si="211"/>
        <v>DT2</v>
      </c>
      <c r="H394" t="str">
        <f t="shared" si="212"/>
        <v>DT3</v>
      </c>
      <c r="I394" t="str">
        <f t="shared" si="213"/>
        <v>DT4</v>
      </c>
      <c r="Q394" s="5">
        <f>pep_ssf!B20-10</f>
        <v>556984354</v>
      </c>
      <c r="R394" cm="1">
        <f t="array" ref="R394">peprate( $E394:$K394,Q394)</f>
        <v>0.37878787878787878</v>
      </c>
      <c r="Z394" s="424" t="s">
        <v>1132</v>
      </c>
    </row>
    <row r="395" spans="5:26" ht="13.5" customHeight="1">
      <c r="E395" t="str">
        <f t="shared" si="214"/>
        <v>HSK3</v>
      </c>
      <c r="F395" t="str">
        <f t="shared" si="210"/>
        <v>DT1</v>
      </c>
      <c r="G395" t="str">
        <f t="shared" si="211"/>
        <v>DT2</v>
      </c>
      <c r="H395" t="str">
        <f t="shared" si="212"/>
        <v>DT3</v>
      </c>
      <c r="I395" t="str">
        <f t="shared" si="213"/>
        <v>DT4</v>
      </c>
      <c r="Q395" s="5">
        <f>pep_ssf!B21-10</f>
        <v>556985837</v>
      </c>
      <c r="R395" cm="1">
        <f t="array" ref="R395">peprate( $E395:$K395,Q395)</f>
        <v>1.3257575757575757</v>
      </c>
    </row>
    <row r="396" spans="5:26" ht="13.5" customHeight="1">
      <c r="E396" t="str">
        <f t="shared" si="214"/>
        <v>HSK3</v>
      </c>
      <c r="F396" t="str">
        <f t="shared" si="210"/>
        <v>DT1</v>
      </c>
      <c r="G396" t="str">
        <f t="shared" si="211"/>
        <v>DT2</v>
      </c>
      <c r="H396" t="str">
        <f t="shared" si="212"/>
        <v>DT3</v>
      </c>
      <c r="I396" t="str">
        <f t="shared" si="213"/>
        <v>DT4</v>
      </c>
      <c r="Q396" s="5">
        <f>pep_ssf!B22-10</f>
        <v>556985838</v>
      </c>
      <c r="R396" cm="1">
        <f t="array" ref="R396">peprate( $E396:$K396,Q396)</f>
        <v>1.3257575757575757</v>
      </c>
      <c r="Z396" s="424" t="s">
        <v>2546</v>
      </c>
    </row>
    <row r="397" spans="5:26" ht="13.5" customHeight="1">
      <c r="E397" t="str">
        <f t="shared" si="214"/>
        <v>HSK3</v>
      </c>
      <c r="F397" t="str">
        <f t="shared" si="210"/>
        <v>DT1</v>
      </c>
      <c r="G397" t="str">
        <f t="shared" si="211"/>
        <v>DT2</v>
      </c>
      <c r="H397" t="str">
        <f t="shared" si="212"/>
        <v>DT3</v>
      </c>
      <c r="I397" t="str">
        <f t="shared" si="213"/>
        <v>DT4</v>
      </c>
      <c r="Q397" s="5">
        <f>pep_ssf!B23-10</f>
        <v>556985839</v>
      </c>
      <c r="R397" cm="1">
        <f t="array" ref="R397">peprate( $E397:$K397,Q397)</f>
        <v>1.3257575757575757</v>
      </c>
    </row>
    <row r="398" spans="5:26" ht="13.5" customHeight="1">
      <c r="E398" t="str">
        <f t="shared" si="214"/>
        <v>HSK3</v>
      </c>
      <c r="F398" t="str">
        <f t="shared" si="210"/>
        <v>DT1</v>
      </c>
      <c r="G398" t="str">
        <f t="shared" si="211"/>
        <v>DT2</v>
      </c>
      <c r="H398" t="str">
        <f t="shared" si="212"/>
        <v>DT3</v>
      </c>
      <c r="I398" t="str">
        <f t="shared" si="213"/>
        <v>DT4</v>
      </c>
      <c r="Q398" s="5">
        <f>pep_ssf!B24-10</f>
        <v>556985840</v>
      </c>
      <c r="R398" cm="1">
        <f t="array" ref="R398">peprate( $E398:$K398,Q398)</f>
        <v>1.3257575757575757</v>
      </c>
    </row>
    <row r="399" spans="5:26" ht="13.5" customHeight="1">
      <c r="E399" t="str">
        <f t="shared" si="214"/>
        <v>HSK3</v>
      </c>
      <c r="F399" t="str">
        <f t="shared" si="210"/>
        <v>DT1</v>
      </c>
      <c r="G399" t="str">
        <f t="shared" si="211"/>
        <v>DT2</v>
      </c>
      <c r="H399" t="str">
        <f t="shared" si="212"/>
        <v>DT3</v>
      </c>
      <c r="I399" t="str">
        <f t="shared" si="213"/>
        <v>DT4</v>
      </c>
      <c r="Q399" s="5">
        <f>pep_ssf!B25-10</f>
        <v>556986156</v>
      </c>
      <c r="R399" cm="1">
        <f t="array" ref="R399">peprate( $E399:$K399,Q399)</f>
        <v>2.083333333333333</v>
      </c>
    </row>
    <row r="400" spans="5:26" ht="13.5" customHeight="1">
      <c r="E400" t="str">
        <f t="shared" si="214"/>
        <v>HSK3</v>
      </c>
      <c r="F400" t="str">
        <f t="shared" si="210"/>
        <v>DT1</v>
      </c>
      <c r="G400" t="str">
        <f t="shared" si="211"/>
        <v>DT2</v>
      </c>
      <c r="H400" t="str">
        <f t="shared" si="212"/>
        <v>DT3</v>
      </c>
      <c r="I400" t="str">
        <f t="shared" si="213"/>
        <v>DT4</v>
      </c>
      <c r="Q400" s="5">
        <f>pep_ssf!B26-10</f>
        <v>556986159</v>
      </c>
      <c r="R400" cm="1">
        <f t="array" ref="R400">peprate( $E400:$K400,Q400)</f>
        <v>2.083333333333333</v>
      </c>
    </row>
    <row r="401" spans="5:18" ht="13.5" customHeight="1">
      <c r="E401" t="str">
        <f t="shared" si="214"/>
        <v>HSK3</v>
      </c>
      <c r="F401" t="str">
        <f t="shared" si="210"/>
        <v>DT1</v>
      </c>
      <c r="G401" t="str">
        <f t="shared" si="211"/>
        <v>DT2</v>
      </c>
      <c r="H401" t="str">
        <f t="shared" si="212"/>
        <v>DT3</v>
      </c>
      <c r="I401" t="str">
        <f t="shared" si="213"/>
        <v>DT4</v>
      </c>
      <c r="Q401" s="5">
        <f>pep_ssf!B27-10</f>
        <v>556986162</v>
      </c>
      <c r="R401" cm="1">
        <f t="array" ref="R401">peprate( $E401:$K401,Q401)</f>
        <v>2.083333333333333</v>
      </c>
    </row>
    <row r="402" spans="5:18" ht="13.5" customHeight="1">
      <c r="E402" t="str">
        <f t="shared" si="214"/>
        <v>HSK3</v>
      </c>
      <c r="F402" t="str">
        <f t="shared" si="210"/>
        <v>DT1</v>
      </c>
      <c r="G402" t="str">
        <f t="shared" si="211"/>
        <v>DT2</v>
      </c>
      <c r="H402" t="str">
        <f t="shared" si="212"/>
        <v>DT3</v>
      </c>
      <c r="I402" t="str">
        <f t="shared" si="213"/>
        <v>DT4</v>
      </c>
      <c r="Q402" s="5">
        <f>pep_ssf!B28-10</f>
        <v>556986165</v>
      </c>
      <c r="R402" cm="1">
        <f t="array" ref="R402">peprate( $E402:$K402,Q402)</f>
        <v>2.083333333333333</v>
      </c>
    </row>
    <row r="403" spans="5:18" ht="13.5" customHeight="1">
      <c r="E403" t="str">
        <f t="shared" si="214"/>
        <v>HSK3</v>
      </c>
      <c r="F403" t="str">
        <f t="shared" si="210"/>
        <v>DT1</v>
      </c>
      <c r="G403" t="str">
        <f t="shared" si="211"/>
        <v>DT2</v>
      </c>
      <c r="H403" t="str">
        <f t="shared" si="212"/>
        <v>DT3</v>
      </c>
      <c r="I403" t="str">
        <f t="shared" si="213"/>
        <v>DT4</v>
      </c>
      <c r="Q403" s="5">
        <f>pep_ssf!B29-10</f>
        <v>557237276</v>
      </c>
      <c r="R403" cm="1">
        <f t="array" ref="R403">peprate( $E403:$K403,Q403)</f>
        <v>2.8409090909090908</v>
      </c>
    </row>
    <row r="404" spans="5:18" ht="13.5" customHeight="1">
      <c r="E404" t="str">
        <f t="shared" si="214"/>
        <v>HSK3</v>
      </c>
      <c r="F404" t="str">
        <f t="shared" si="210"/>
        <v>DT1</v>
      </c>
      <c r="G404" t="str">
        <f t="shared" si="211"/>
        <v>DT2</v>
      </c>
      <c r="H404" t="str">
        <f t="shared" si="212"/>
        <v>DT3</v>
      </c>
      <c r="I404" t="str">
        <f t="shared" si="213"/>
        <v>DT4</v>
      </c>
      <c r="Q404" s="5">
        <f>pep_ssf!B30-10</f>
        <v>557332906</v>
      </c>
      <c r="R404" cm="1">
        <f t="array" ref="R404">peprate( $E404:$K404,Q404)</f>
        <v>3.0303030303030303</v>
      </c>
    </row>
    <row r="405" spans="5:18" ht="13.5" customHeight="1">
      <c r="E405" t="str">
        <f t="shared" si="214"/>
        <v>HSK3</v>
      </c>
      <c r="F405" t="str">
        <f t="shared" si="210"/>
        <v>DT1</v>
      </c>
      <c r="G405" t="str">
        <f t="shared" si="211"/>
        <v>DT2</v>
      </c>
      <c r="H405" t="str">
        <f t="shared" si="212"/>
        <v>DT3</v>
      </c>
      <c r="I405" t="str">
        <f t="shared" si="213"/>
        <v>DT4</v>
      </c>
      <c r="Q405" s="5">
        <f>pep_ssf!B31-10</f>
        <v>557332951</v>
      </c>
      <c r="R405" cm="1">
        <f t="array" ref="R405">peprate( $E405:$K405,Q405)</f>
        <v>3.2196969696969697</v>
      </c>
    </row>
    <row r="406" spans="5:18" ht="13.5" customHeight="1">
      <c r="E406" t="str">
        <f t="shared" si="214"/>
        <v>HSK3</v>
      </c>
      <c r="F406" t="str">
        <f t="shared" si="210"/>
        <v>DT1</v>
      </c>
      <c r="G406" t="str">
        <f t="shared" si="211"/>
        <v>DT2</v>
      </c>
      <c r="H406" t="str">
        <f t="shared" si="212"/>
        <v>DT3</v>
      </c>
      <c r="I406" t="str">
        <f t="shared" si="213"/>
        <v>DT4</v>
      </c>
      <c r="Q406" s="5">
        <f>pep_ssf!B32-10</f>
        <v>557332951</v>
      </c>
      <c r="R406" cm="1">
        <f t="array" ref="R406">peprate( $E406:$K406,Q406)</f>
        <v>3.2196969696969697</v>
      </c>
    </row>
    <row r="407" spans="5:18" ht="13.5" customHeight="1">
      <c r="E407" t="str">
        <f t="shared" si="214"/>
        <v>HSK3</v>
      </c>
      <c r="F407" t="str">
        <f t="shared" si="210"/>
        <v>DT1</v>
      </c>
      <c r="G407" t="str">
        <f t="shared" si="211"/>
        <v>DT2</v>
      </c>
      <c r="H407" t="str">
        <f t="shared" si="212"/>
        <v>DT3</v>
      </c>
      <c r="I407" t="str">
        <f t="shared" si="213"/>
        <v>DT4</v>
      </c>
      <c r="Q407" s="5">
        <f>pep_ssf!B33-10</f>
        <v>557332952</v>
      </c>
      <c r="R407" cm="1">
        <f t="array" ref="R407">peprate( $E407:$K407,Q407)</f>
        <v>3.2196969696969697</v>
      </c>
    </row>
    <row r="408" spans="5:18" ht="13.5" customHeight="1">
      <c r="E408" t="str">
        <f t="shared" si="214"/>
        <v>HSK3</v>
      </c>
      <c r="F408" t="str">
        <f t="shared" si="210"/>
        <v>DT1</v>
      </c>
      <c r="G408" t="str">
        <f t="shared" si="211"/>
        <v>DT2</v>
      </c>
      <c r="H408" t="str">
        <f t="shared" si="212"/>
        <v>DT3</v>
      </c>
      <c r="I408" t="str">
        <f t="shared" si="213"/>
        <v>DT4</v>
      </c>
      <c r="Q408" s="5">
        <f>pep_ssf!B34-10</f>
        <v>557332953</v>
      </c>
      <c r="R408" cm="1">
        <f t="array" ref="R408">peprate( $E408:$K408,Q408)</f>
        <v>3.2196969696969697</v>
      </c>
    </row>
    <row r="409" spans="5:18" ht="13.5" customHeight="1">
      <c r="E409" t="str">
        <f t="shared" si="214"/>
        <v>HSK3</v>
      </c>
      <c r="F409" t="str">
        <f t="shared" si="210"/>
        <v>DT1</v>
      </c>
      <c r="G409" t="str">
        <f t="shared" si="211"/>
        <v>DT2</v>
      </c>
      <c r="H409" t="str">
        <f t="shared" si="212"/>
        <v>DT3</v>
      </c>
      <c r="I409" t="str">
        <f t="shared" si="213"/>
        <v>DT4</v>
      </c>
      <c r="Q409" s="5">
        <f>pep_ssf!B35-10</f>
        <v>557332954</v>
      </c>
      <c r="R409" cm="1">
        <f t="array" ref="R409">peprate( $E409:$K409,Q409)</f>
        <v>3.2196969696969697</v>
      </c>
    </row>
    <row r="410" spans="5:18" ht="13.5" customHeight="1">
      <c r="E410" t="str">
        <f t="shared" si="214"/>
        <v>HSK3</v>
      </c>
      <c r="F410" t="str">
        <f t="shared" si="210"/>
        <v>DT1</v>
      </c>
      <c r="G410" t="str">
        <f t="shared" si="211"/>
        <v>DT2</v>
      </c>
      <c r="H410" t="str">
        <f t="shared" si="212"/>
        <v>DT3</v>
      </c>
      <c r="I410" t="str">
        <f t="shared" si="213"/>
        <v>DT4</v>
      </c>
      <c r="Q410" s="5">
        <f>pep_ssf!B36-10</f>
        <v>557334437</v>
      </c>
      <c r="R410" cm="1">
        <f t="array" ref="R410">peprate( $E410:$K410,Q410)</f>
        <v>4.1666666666666661</v>
      </c>
    </row>
    <row r="411" spans="5:18" ht="13.5" customHeight="1">
      <c r="E411" t="str">
        <f t="shared" si="214"/>
        <v>HSK3</v>
      </c>
      <c r="F411" t="str">
        <f t="shared" si="210"/>
        <v>DT1</v>
      </c>
      <c r="G411" t="str">
        <f t="shared" si="211"/>
        <v>DT2</v>
      </c>
      <c r="H411" t="str">
        <f t="shared" si="212"/>
        <v>DT3</v>
      </c>
      <c r="I411" t="str">
        <f t="shared" si="213"/>
        <v>DT4</v>
      </c>
      <c r="Q411" s="5">
        <f>pep_ssf!B37-10</f>
        <v>557334438</v>
      </c>
      <c r="R411" cm="1">
        <f t="array" ref="R411">peprate( $E411:$K411,Q411)</f>
        <v>4.1666666666666661</v>
      </c>
    </row>
    <row r="412" spans="5:18" ht="13.5" customHeight="1">
      <c r="Q412" s="5"/>
    </row>
    <row r="413" spans="5:18" ht="13.5" customHeight="1">
      <c r="Q413" s="5"/>
    </row>
    <row r="414" spans="5:18" ht="13.5" customHeight="1">
      <c r="Q414" s="5"/>
    </row>
    <row r="415" spans="5:18" ht="13.5" customHeight="1">
      <c r="Q415" s="5"/>
    </row>
    <row r="416" spans="5:18" ht="13.5" customHeight="1">
      <c r="Q416" s="5"/>
    </row>
  </sheetData>
  <dataConsolidate/>
  <phoneticPr fontId="59" type="noConversion"/>
  <conditionalFormatting sqref="C1:K59 C60:H60 J60:K60 C61:K1048576">
    <cfRule type="expression" dxfId="71" priority="1" stopIfTrue="1">
      <formula>IF(_xlfn.TEXTJOIN("",FALSE,$E1:$K1)="HSK3DT1DT2DT3DT4SDT1HSK4",TRUE)</formula>
    </cfRule>
    <cfRule type="expression" dxfId="70" priority="3">
      <formula>IF(_xlfn.TEXTJOIN("",FALSE,$E1:$I1) &lt;&gt;"",IF(_xlfn.TEXTJOIN("",FALSE,$J1:$K1) &lt;&gt; "",TRUE),FALSE)</formula>
    </cfRule>
  </conditionalFormatting>
  <conditionalFormatting sqref="E1:K59 E60:H60 J60:K60 E61:K1048576">
    <cfRule type="expression" dxfId="69"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44" t="s">
        <v>1781</v>
      </c>
      <c r="C25" s="544"/>
      <c r="D25" s="544"/>
      <c r="E25" s="544"/>
      <c r="F25" s="544"/>
      <c r="G25" s="544"/>
      <c r="H25" s="544"/>
      <c r="I25" s="544"/>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45" t="s">
        <v>1791</v>
      </c>
      <c r="K30" s="545"/>
      <c r="L30" s="545"/>
      <c r="M30" s="545"/>
      <c r="N30" s="545"/>
    </row>
    <row r="31" spans="2:22">
      <c r="B31" s="339" t="s">
        <v>1765</v>
      </c>
      <c r="C31" s="339" t="s">
        <v>1766</v>
      </c>
      <c r="D31" s="339">
        <f>$E$8</f>
        <v>1632</v>
      </c>
      <c r="E31" s="339" t="s">
        <v>1790</v>
      </c>
      <c r="F31" s="339">
        <v>0</v>
      </c>
      <c r="G31" s="339">
        <f>D31*F31</f>
        <v>0</v>
      </c>
      <c r="H31" s="339">
        <v>0</v>
      </c>
      <c r="I31" s="339">
        <f>G31*H31/1000000</f>
        <v>0</v>
      </c>
      <c r="J31" s="545"/>
      <c r="K31" s="545"/>
      <c r="L31" s="545"/>
      <c r="M31" s="545"/>
      <c r="N31" s="545"/>
    </row>
    <row r="32" spans="2:22" ht="15.75">
      <c r="B32" s="546"/>
      <c r="C32" s="546"/>
      <c r="D32" s="546"/>
      <c r="E32" s="546"/>
      <c r="F32" s="546"/>
      <c r="G32" s="546"/>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44" t="s">
        <v>1793</v>
      </c>
      <c r="C38" s="544"/>
      <c r="D38" s="544"/>
      <c r="E38" s="544"/>
      <c r="F38" s="544"/>
      <c r="G38" s="544"/>
      <c r="H38" s="544"/>
      <c r="I38" s="544"/>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47" t="s">
        <v>1794</v>
      </c>
      <c r="K43" s="547"/>
      <c r="L43" s="547"/>
      <c r="M43" s="547"/>
      <c r="N43" s="547"/>
      <c r="O43" s="276"/>
    </row>
    <row r="44" spans="2:16">
      <c r="B44" s="339" t="s">
        <v>1765</v>
      </c>
      <c r="C44" s="339" t="s">
        <v>1766</v>
      </c>
      <c r="D44" s="339">
        <f>$E$8</f>
        <v>1632</v>
      </c>
      <c r="E44" s="339" t="s">
        <v>1755</v>
      </c>
      <c r="F44" s="339">
        <f>$M$4*$F$8</f>
        <v>7.2916666666666659E-4</v>
      </c>
      <c r="G44" s="339">
        <f>D44*F44</f>
        <v>1.19</v>
      </c>
      <c r="H44" s="339">
        <v>86400</v>
      </c>
      <c r="I44" s="339">
        <f>G44*H44/1000000</f>
        <v>0.102816</v>
      </c>
      <c r="J44" s="547"/>
      <c r="K44" s="547"/>
      <c r="L44" s="547"/>
      <c r="M44" s="547"/>
      <c r="N44" s="547"/>
      <c r="O44" s="276"/>
    </row>
    <row r="45" spans="2:16">
      <c r="B45" s="546"/>
      <c r="C45" s="546"/>
      <c r="D45" s="546"/>
      <c r="E45" s="546"/>
      <c r="F45" s="546"/>
      <c r="G45" s="546"/>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44" t="s">
        <v>1795</v>
      </c>
      <c r="C47" s="544"/>
      <c r="D47" s="544"/>
      <c r="E47" s="544"/>
      <c r="F47" s="544"/>
      <c r="G47" s="544"/>
      <c r="H47" s="544"/>
      <c r="I47" s="544"/>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46"/>
      <c r="C54" s="546"/>
      <c r="D54" s="546"/>
      <c r="E54" s="546"/>
      <c r="F54" s="546"/>
      <c r="G54" s="546"/>
      <c r="H54" s="343" t="s">
        <v>1792</v>
      </c>
      <c r="I54" s="343">
        <f>SUM(I49:I53)</f>
        <v>12.231428210526317</v>
      </c>
      <c r="J54" s="91">
        <f>I54*1000000/86400</f>
        <v>141.56745614035088</v>
      </c>
      <c r="K54">
        <f>J54/8</f>
        <v>17.695932017543861</v>
      </c>
    </row>
    <row r="55" spans="2:11">
      <c r="I55" s="91"/>
      <c r="J55" s="3" t="s">
        <v>6</v>
      </c>
      <c r="K55" s="3" t="s">
        <v>4119</v>
      </c>
    </row>
    <row r="56" spans="2:11" ht="18.75">
      <c r="B56" s="544" t="s">
        <v>1796</v>
      </c>
      <c r="C56" s="544"/>
      <c r="D56" s="544"/>
      <c r="E56" s="544"/>
      <c r="F56" s="544"/>
      <c r="G56" s="544"/>
      <c r="H56" s="544"/>
      <c r="I56" s="544"/>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46"/>
      <c r="C63" s="546"/>
      <c r="D63" s="546"/>
      <c r="E63" s="546"/>
      <c r="F63" s="546"/>
      <c r="G63" s="546"/>
      <c r="H63" s="343" t="s">
        <v>1792</v>
      </c>
      <c r="I63" s="343">
        <f>SUM(I58:I62)</f>
        <v>4.9738282105263156</v>
      </c>
      <c r="J63" s="91">
        <f>I63*1000000/86400</f>
        <v>57.56745614035087</v>
      </c>
      <c r="K63">
        <f>J63/8</f>
        <v>7.1959320175438588</v>
      </c>
    </row>
    <row r="64" spans="2:11">
      <c r="I64" s="91"/>
      <c r="J64" s="3" t="s">
        <v>6</v>
      </c>
      <c r="K64" s="3" t="s">
        <v>4119</v>
      </c>
    </row>
    <row r="65" spans="2:11" ht="18.75">
      <c r="B65" s="544" t="s">
        <v>1797</v>
      </c>
      <c r="C65" s="544"/>
      <c r="D65" s="544"/>
      <c r="E65" s="544"/>
      <c r="F65" s="544"/>
      <c r="G65" s="544"/>
      <c r="H65" s="544"/>
      <c r="I65" s="544"/>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46"/>
      <c r="C72" s="546"/>
      <c r="D72" s="546"/>
      <c r="E72" s="546"/>
      <c r="F72" s="546"/>
      <c r="G72" s="546"/>
      <c r="H72" s="343" t="s">
        <v>1792</v>
      </c>
      <c r="I72" s="343">
        <f>SUM(I67:I71)</f>
        <v>2.5546282105263156</v>
      </c>
      <c r="J72" s="91">
        <f>I72*1000000/86400</f>
        <v>29.567456140350874</v>
      </c>
      <c r="K72" s="397">
        <f>J72/8</f>
        <v>3.6959320175438592</v>
      </c>
    </row>
    <row r="73" spans="2:11">
      <c r="J73" s="3" t="s">
        <v>6</v>
      </c>
      <c r="K73" s="3" t="s">
        <v>4119</v>
      </c>
    </row>
    <row r="74" spans="2:11" ht="18.75">
      <c r="B74" s="544" t="s">
        <v>1798</v>
      </c>
      <c r="C74" s="544"/>
      <c r="D74" s="544"/>
      <c r="E74" s="544"/>
      <c r="F74" s="544"/>
      <c r="G74" s="544"/>
      <c r="H74" s="544"/>
      <c r="I74" s="544"/>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46"/>
      <c r="C81" s="546"/>
      <c r="D81" s="546"/>
      <c r="E81" s="546"/>
      <c r="F81" s="546"/>
      <c r="G81" s="546"/>
      <c r="H81" s="343" t="s">
        <v>1792</v>
      </c>
      <c r="I81" s="343">
        <f>SUM(I76:I80)</f>
        <v>1.3450282105263158</v>
      </c>
      <c r="J81" s="91">
        <f>I81*1000000/86400</f>
        <v>15.567456140350876</v>
      </c>
      <c r="K81">
        <f>J81/8</f>
        <v>1.9459320175438595</v>
      </c>
    </row>
    <row r="82" spans="2:11">
      <c r="I82" s="91"/>
      <c r="J82" s="3" t="s">
        <v>6</v>
      </c>
      <c r="K82" s="3" t="s">
        <v>4119</v>
      </c>
    </row>
    <row r="83" spans="2:11" ht="18.75">
      <c r="B83" s="544" t="s">
        <v>1799</v>
      </c>
      <c r="C83" s="544"/>
      <c r="D83" s="544"/>
      <c r="E83" s="544"/>
      <c r="F83" s="544"/>
      <c r="G83" s="544"/>
      <c r="H83" s="544"/>
      <c r="I83" s="544"/>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44" t="s">
        <v>1800</v>
      </c>
      <c r="C92" s="544"/>
      <c r="D92" s="544"/>
      <c r="E92" s="544"/>
      <c r="F92" s="544"/>
      <c r="G92" s="544"/>
      <c r="H92" s="544"/>
      <c r="I92" s="544"/>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46"/>
      <c r="C99" s="546"/>
      <c r="D99" s="546"/>
      <c r="E99" s="546"/>
      <c r="F99" s="546"/>
      <c r="G99" s="546"/>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44" t="s">
        <v>1801</v>
      </c>
      <c r="C101" s="544"/>
      <c r="D101" s="544"/>
      <c r="E101" s="544"/>
      <c r="F101" s="544"/>
      <c r="G101" s="544"/>
      <c r="H101" s="544"/>
      <c r="I101" s="544"/>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46"/>
      <c r="C108" s="546"/>
      <c r="D108" s="546"/>
      <c r="E108" s="546"/>
      <c r="F108" s="546"/>
      <c r="G108" s="546"/>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44" t="s">
        <v>1802</v>
      </c>
      <c r="C110" s="544"/>
      <c r="D110" s="544"/>
      <c r="E110" s="544"/>
      <c r="F110" s="544"/>
      <c r="G110" s="544"/>
      <c r="H110" s="544"/>
      <c r="I110" s="544"/>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46"/>
      <c r="C117" s="546"/>
      <c r="D117" s="546"/>
      <c r="E117" s="546"/>
      <c r="F117" s="546"/>
      <c r="G117" s="546"/>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44" t="s">
        <v>1803</v>
      </c>
      <c r="C119" s="544"/>
      <c r="D119" s="544"/>
      <c r="E119" s="544"/>
      <c r="F119" s="544"/>
      <c r="G119" s="544"/>
      <c r="H119" s="544"/>
      <c r="I119" s="544"/>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46"/>
      <c r="C126" s="546"/>
      <c r="D126" s="546"/>
      <c r="E126" s="546"/>
      <c r="F126" s="546"/>
      <c r="G126" s="546"/>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44" t="s">
        <v>1804</v>
      </c>
      <c r="C128" s="544"/>
      <c r="D128" s="544"/>
      <c r="E128" s="544"/>
      <c r="F128" s="544"/>
      <c r="G128" s="544"/>
      <c r="H128" s="544"/>
      <c r="I128" s="544"/>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46"/>
      <c r="C135" s="546"/>
      <c r="D135" s="546"/>
      <c r="E135" s="546"/>
      <c r="F135" s="546"/>
      <c r="G135" s="546"/>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44" t="s">
        <v>1805</v>
      </c>
      <c r="C137" s="544"/>
      <c r="D137" s="544"/>
      <c r="E137" s="544"/>
      <c r="F137" s="544"/>
      <c r="G137" s="544"/>
      <c r="H137" s="544"/>
      <c r="I137" s="544"/>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48"/>
      <c r="C144" s="548"/>
      <c r="D144" s="548"/>
      <c r="E144" s="548"/>
      <c r="F144" s="548"/>
      <c r="G144" s="548"/>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49" t="s">
        <v>1806</v>
      </c>
      <c r="C149" s="549"/>
      <c r="D149" s="549"/>
      <c r="E149" s="549"/>
      <c r="F149" s="549"/>
      <c r="G149" s="549"/>
      <c r="H149" s="549"/>
      <c r="I149" s="549"/>
      <c r="J149" s="550" t="s">
        <v>1807</v>
      </c>
      <c r="K149" s="550"/>
      <c r="L149" s="550"/>
      <c r="M149" s="550"/>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46"/>
      <c r="C156" s="546"/>
      <c r="D156" s="546"/>
      <c r="E156" s="546"/>
      <c r="F156" s="546"/>
      <c r="G156" s="546"/>
      <c r="H156" s="343" t="s">
        <v>1792</v>
      </c>
      <c r="I156" s="343">
        <f>SUM(I151:I155)+(15000/1000000)</f>
        <v>6.351</v>
      </c>
      <c r="J156" s="91"/>
    </row>
    <row r="162" spans="2:7" ht="72" customHeight="1">
      <c r="B162" s="552" t="s">
        <v>1808</v>
      </c>
      <c r="C162" s="349" t="s">
        <v>1809</v>
      </c>
      <c r="D162" s="350" t="s">
        <v>1810</v>
      </c>
      <c r="E162" s="553" t="s">
        <v>1811</v>
      </c>
      <c r="F162" s="553"/>
      <c r="G162" s="553"/>
    </row>
    <row r="163" spans="2:7" ht="78.75" customHeight="1">
      <c r="B163" s="552"/>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52" t="s">
        <v>1808</v>
      </c>
      <c r="C179" s="349" t="s">
        <v>1809</v>
      </c>
      <c r="D179" s="350" t="s">
        <v>1810</v>
      </c>
    </row>
    <row r="180" spans="2:11" ht="36">
      <c r="B180" s="552"/>
      <c r="C180" s="1" t="s">
        <v>1814</v>
      </c>
      <c r="D180" s="350" t="s">
        <v>1815</v>
      </c>
    </row>
    <row r="181" spans="2:11" ht="36">
      <c r="B181" s="351" t="s">
        <v>1816</v>
      </c>
      <c r="C181" s="356">
        <f>$I$32</f>
        <v>24.222884210526313</v>
      </c>
      <c r="D181" s="356">
        <f>C181*365.25/1000</f>
        <v>8.847408457894737</v>
      </c>
    </row>
    <row r="189" spans="2:11" ht="21" customHeight="1">
      <c r="B189" s="554" t="s">
        <v>1817</v>
      </c>
      <c r="C189" s="554"/>
      <c r="D189" s="554"/>
      <c r="E189" s="554"/>
      <c r="F189" s="554"/>
      <c r="G189" s="554"/>
      <c r="H189" s="554"/>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51" t="s">
        <v>1819</v>
      </c>
      <c r="C197" s="551"/>
      <c r="D197" s="551"/>
      <c r="F197" s="551" t="s">
        <v>1819</v>
      </c>
      <c r="G197" s="551"/>
      <c r="H197" s="551"/>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51" t="s">
        <v>1826</v>
      </c>
      <c r="C204" s="551"/>
      <c r="D204" s="551"/>
      <c r="F204" s="551" t="s">
        <v>1826</v>
      </c>
      <c r="G204" s="551"/>
      <c r="H204" s="551"/>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40" t="s">
        <v>1</v>
      </c>
      <c r="I3" s="540"/>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41" t="s">
        <v>22</v>
      </c>
      <c r="G21" s="541"/>
      <c r="H21" s="541"/>
      <c r="I21" s="541"/>
    </row>
    <row r="22" spans="3:25" ht="18">
      <c r="F22" s="542" t="s">
        <v>23</v>
      </c>
      <c r="G22" s="542"/>
      <c r="H22" s="542"/>
      <c r="I22" s="29">
        <v>20</v>
      </c>
      <c r="O22" s="30"/>
    </row>
    <row r="23" spans="3:25" ht="15">
      <c r="F23" s="543" t="s">
        <v>24</v>
      </c>
      <c r="G23" s="543"/>
      <c r="H23" s="543"/>
      <c r="I23" s="29">
        <f>0.7*I22/10</f>
        <v>1.4</v>
      </c>
    </row>
    <row r="24" spans="3:25" ht="15">
      <c r="F24" s="543" t="s">
        <v>25</v>
      </c>
      <c r="G24" s="543"/>
      <c r="H24" s="543"/>
      <c r="I24" s="29">
        <v>2</v>
      </c>
    </row>
    <row r="25" spans="3:25" ht="15">
      <c r="F25" s="543" t="s">
        <v>26</v>
      </c>
      <c r="G25" s="543"/>
      <c r="H25" s="543"/>
      <c r="I25" s="29">
        <v>0</v>
      </c>
    </row>
    <row r="26" spans="3:25" ht="15">
      <c r="F26" s="543" t="s">
        <v>27</v>
      </c>
      <c r="G26" s="543"/>
      <c r="H26" s="543"/>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40" t="s">
        <v>1</v>
      </c>
      <c r="I33" s="540"/>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41" t="s">
        <v>22</v>
      </c>
      <c r="G51" s="541"/>
      <c r="H51" s="541"/>
      <c r="I51" s="541"/>
      <c r="K51" t="s">
        <v>33</v>
      </c>
      <c r="L51" t="s">
        <v>34</v>
      </c>
    </row>
    <row r="52" spans="3:25" ht="18">
      <c r="F52" s="542" t="s">
        <v>23</v>
      </c>
      <c r="G52" s="542"/>
      <c r="H52" s="542"/>
      <c r="I52" s="29">
        <v>20</v>
      </c>
      <c r="K52">
        <v>1</v>
      </c>
      <c r="L52">
        <v>2</v>
      </c>
      <c r="O52" s="30"/>
    </row>
    <row r="53" spans="3:25" ht="15">
      <c r="F53" s="543" t="s">
        <v>24</v>
      </c>
      <c r="G53" s="543"/>
      <c r="H53" s="543"/>
      <c r="I53" s="29">
        <f>0.7*I52/10</f>
        <v>1.4</v>
      </c>
      <c r="K53">
        <v>3</v>
      </c>
      <c r="L53">
        <v>6</v>
      </c>
      <c r="M53" t="str">
        <f>IF((K53/L53)=INT(K53/L53), "good", "bad")</f>
        <v>bad</v>
      </c>
    </row>
    <row r="54" spans="3:25" ht="15">
      <c r="F54" s="543" t="s">
        <v>25</v>
      </c>
      <c r="G54" s="543"/>
      <c r="H54" s="543"/>
      <c r="I54" s="29">
        <v>2</v>
      </c>
      <c r="K54">
        <v>1</v>
      </c>
      <c r="L54">
        <v>2</v>
      </c>
      <c r="M54" t="str">
        <f>IF((K54/L54)=INT(K54/L54), "good", "bad")</f>
        <v>bad</v>
      </c>
    </row>
    <row r="55" spans="3:25" ht="15">
      <c r="F55" s="543" t="s">
        <v>26</v>
      </c>
      <c r="G55" s="543"/>
      <c r="H55" s="543"/>
      <c r="I55" s="29">
        <v>0</v>
      </c>
      <c r="K55">
        <v>1</v>
      </c>
      <c r="L55">
        <v>2</v>
      </c>
      <c r="M55" t="str">
        <f>IF((K55/L55)=INT(K55/L55), "good", "bad")</f>
        <v>bad</v>
      </c>
    </row>
    <row r="56" spans="3:25" ht="15">
      <c r="F56" s="543" t="s">
        <v>27</v>
      </c>
      <c r="G56" s="543"/>
      <c r="H56" s="543"/>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40" t="s">
        <v>1</v>
      </c>
      <c r="I61" s="540"/>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41" t="s">
        <v>22</v>
      </c>
      <c r="G79" s="541"/>
      <c r="H79" s="541"/>
      <c r="I79" s="541"/>
    </row>
    <row r="80" spans="6:18" ht="18">
      <c r="F80" s="542" t="s">
        <v>23</v>
      </c>
      <c r="G80" s="542"/>
      <c r="H80" s="542"/>
      <c r="I80" s="29">
        <v>20</v>
      </c>
      <c r="O80" s="30"/>
    </row>
    <row r="81" spans="3:25" ht="15">
      <c r="F81" s="543" t="s">
        <v>24</v>
      </c>
      <c r="G81" s="543"/>
      <c r="H81" s="543"/>
      <c r="I81" s="29">
        <f>0.7*I80/10</f>
        <v>1.4</v>
      </c>
    </row>
    <row r="82" spans="3:25" ht="15">
      <c r="F82" s="543" t="s">
        <v>25</v>
      </c>
      <c r="G82" s="543"/>
      <c r="H82" s="543"/>
      <c r="I82" s="29">
        <v>2</v>
      </c>
    </row>
    <row r="83" spans="3:25" ht="15">
      <c r="F83" s="543" t="s">
        <v>26</v>
      </c>
      <c r="G83" s="543"/>
      <c r="H83" s="543"/>
      <c r="I83" s="29">
        <v>0</v>
      </c>
    </row>
    <row r="84" spans="3:25" ht="15">
      <c r="F84" s="543" t="s">
        <v>27</v>
      </c>
      <c r="G84" s="543"/>
      <c r="H84" s="543"/>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40" t="s">
        <v>1</v>
      </c>
      <c r="I91" s="540"/>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41" t="s">
        <v>22</v>
      </c>
      <c r="G109" s="541"/>
      <c r="H109" s="541"/>
      <c r="I109" s="541"/>
    </row>
    <row r="110" spans="6:18" ht="18">
      <c r="F110" s="542" t="s">
        <v>23</v>
      </c>
      <c r="G110" s="542"/>
      <c r="H110" s="542"/>
      <c r="I110" s="29">
        <v>20</v>
      </c>
      <c r="O110" s="30"/>
    </row>
    <row r="111" spans="6:18" ht="15">
      <c r="F111" s="543" t="s">
        <v>24</v>
      </c>
      <c r="G111" s="543"/>
      <c r="H111" s="543"/>
      <c r="I111" s="29">
        <f>0.7*I110/10</f>
        <v>1.4</v>
      </c>
    </row>
    <row r="112" spans="6:18" ht="15">
      <c r="F112" s="543" t="s">
        <v>25</v>
      </c>
      <c r="G112" s="543"/>
      <c r="H112" s="543"/>
      <c r="I112" s="29">
        <v>2</v>
      </c>
    </row>
    <row r="113" spans="3:17" ht="15">
      <c r="F113" s="543" t="s">
        <v>26</v>
      </c>
      <c r="G113" s="543"/>
      <c r="H113" s="543"/>
      <c r="I113" s="29">
        <v>2</v>
      </c>
    </row>
    <row r="114" spans="3:17" ht="15">
      <c r="F114" s="543" t="s">
        <v>27</v>
      </c>
      <c r="G114" s="543"/>
      <c r="H114" s="543"/>
      <c r="I114" s="29">
        <v>2</v>
      </c>
    </row>
    <row r="115" spans="3:17" ht="15"/>
    <row r="119" spans="3:17" ht="15">
      <c r="C119" s="6" t="s">
        <v>38</v>
      </c>
      <c r="D119" s="6"/>
      <c r="E119" s="6"/>
      <c r="F119" s="8"/>
      <c r="G119" s="8"/>
      <c r="H119" s="8"/>
      <c r="I119" s="8"/>
      <c r="J119" s="9"/>
      <c r="K119" s="8"/>
      <c r="L119" s="8"/>
      <c r="M119" s="8"/>
      <c r="N119" s="9"/>
      <c r="O119" s="9"/>
      <c r="P119" s="8"/>
    </row>
    <row r="120" spans="3:17" ht="15">
      <c r="H120" s="540" t="s">
        <v>1</v>
      </c>
      <c r="I120" s="540"/>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41" t="s">
        <v>22</v>
      </c>
      <c r="G138" s="541"/>
      <c r="H138" s="541"/>
      <c r="I138" s="541"/>
    </row>
    <row r="139" spans="6:18" ht="18">
      <c r="F139" s="542" t="s">
        <v>23</v>
      </c>
      <c r="G139" s="542"/>
      <c r="H139" s="542"/>
      <c r="I139" s="29">
        <v>20</v>
      </c>
      <c r="O139" s="30"/>
    </row>
    <row r="140" spans="6:18" ht="15">
      <c r="F140" s="543" t="s">
        <v>24</v>
      </c>
      <c r="G140" s="543"/>
      <c r="H140" s="543"/>
      <c r="I140" s="29">
        <f>0.7*I139/10</f>
        <v>1.4</v>
      </c>
    </row>
    <row r="141" spans="6:18" ht="15">
      <c r="F141" s="543" t="s">
        <v>25</v>
      </c>
      <c r="G141" s="543"/>
      <c r="H141" s="543"/>
      <c r="I141" s="29">
        <v>2</v>
      </c>
    </row>
    <row r="142" spans="6:18" ht="15">
      <c r="F142" s="543" t="s">
        <v>26</v>
      </c>
      <c r="G142" s="543"/>
      <c r="H142" s="543"/>
      <c r="I142" s="29">
        <v>1</v>
      </c>
    </row>
    <row r="143" spans="6:18" ht="15">
      <c r="F143" s="543" t="s">
        <v>27</v>
      </c>
      <c r="G143" s="543"/>
      <c r="H143" s="543"/>
      <c r="I143" s="29">
        <v>1</v>
      </c>
    </row>
    <row r="144" spans="6:18" ht="15"/>
    <row r="149" spans="3:17" ht="15">
      <c r="C149" s="6" t="s">
        <v>39</v>
      </c>
      <c r="D149" s="6"/>
      <c r="E149" s="6"/>
      <c r="F149" s="8"/>
      <c r="G149" s="8"/>
      <c r="H149" s="8"/>
      <c r="I149" s="8"/>
      <c r="J149" s="9"/>
      <c r="K149" s="8"/>
      <c r="L149" s="8"/>
      <c r="M149" s="8"/>
      <c r="N149" s="9"/>
      <c r="O149" s="9"/>
      <c r="P149" s="8"/>
    </row>
    <row r="150" spans="3:17" ht="15">
      <c r="H150" s="540" t="s">
        <v>1</v>
      </c>
      <c r="I150" s="540"/>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41" t="s">
        <v>22</v>
      </c>
      <c r="G168" s="541"/>
      <c r="H168" s="541"/>
      <c r="I168" s="541"/>
    </row>
    <row r="169" spans="6:18" ht="18">
      <c r="F169" s="542" t="s">
        <v>23</v>
      </c>
      <c r="G169" s="542"/>
      <c r="H169" s="542"/>
      <c r="I169" s="29">
        <v>20</v>
      </c>
      <c r="O169" s="30"/>
    </row>
    <row r="170" spans="6:18" ht="15">
      <c r="F170" s="543" t="s">
        <v>24</v>
      </c>
      <c r="G170" s="543"/>
      <c r="H170" s="543"/>
      <c r="I170" s="29">
        <f>0.7*I169/10</f>
        <v>1.4</v>
      </c>
    </row>
    <row r="171" spans="6:18" ht="15">
      <c r="F171" s="543" t="s">
        <v>25</v>
      </c>
      <c r="G171" s="543"/>
      <c r="H171" s="543"/>
      <c r="I171" s="29">
        <v>2</v>
      </c>
    </row>
    <row r="172" spans="6:18" ht="15">
      <c r="F172" s="543" t="s">
        <v>26</v>
      </c>
      <c r="G172" s="543"/>
      <c r="H172" s="543"/>
      <c r="I172" s="29">
        <v>1</v>
      </c>
    </row>
    <row r="173" spans="6:18" ht="15">
      <c r="F173" s="543" t="s">
        <v>27</v>
      </c>
      <c r="G173" s="543"/>
      <c r="H173" s="543"/>
      <c r="I173" s="29">
        <v>1</v>
      </c>
    </row>
    <row r="174" spans="6:18" ht="15"/>
    <row r="178" spans="3:17" ht="15">
      <c r="C178" s="6" t="s">
        <v>40</v>
      </c>
      <c r="D178" s="6"/>
      <c r="E178" s="6"/>
      <c r="F178" s="8"/>
      <c r="G178" s="8"/>
      <c r="H178" s="8"/>
      <c r="I178" s="8"/>
      <c r="J178" s="9"/>
      <c r="K178" s="8"/>
      <c r="L178" s="8"/>
      <c r="M178" s="8"/>
      <c r="N178" s="9"/>
      <c r="O178" s="9"/>
      <c r="P178" s="8"/>
    </row>
    <row r="179" spans="3:17" ht="15">
      <c r="H179" s="540" t="s">
        <v>1</v>
      </c>
      <c r="I179" s="540"/>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41" t="s">
        <v>22</v>
      </c>
      <c r="G197" s="541"/>
      <c r="H197" s="541"/>
      <c r="I197" s="541"/>
    </row>
    <row r="198" spans="6:19" ht="18">
      <c r="F198" s="542" t="s">
        <v>23</v>
      </c>
      <c r="G198" s="542"/>
      <c r="H198" s="542"/>
      <c r="I198" s="29">
        <v>20</v>
      </c>
      <c r="O198" s="30"/>
    </row>
    <row r="199" spans="6:19" ht="15">
      <c r="F199" s="543" t="s">
        <v>24</v>
      </c>
      <c r="G199" s="543"/>
      <c r="H199" s="543"/>
      <c r="I199" s="29">
        <f>0.7*I198/10</f>
        <v>1.4</v>
      </c>
    </row>
    <row r="200" spans="6:19" ht="15">
      <c r="F200" s="543" t="s">
        <v>25</v>
      </c>
      <c r="G200" s="543"/>
      <c r="H200" s="543"/>
      <c r="I200" s="29">
        <v>2</v>
      </c>
    </row>
    <row r="201" spans="6:19" ht="15">
      <c r="F201" s="543" t="s">
        <v>26</v>
      </c>
      <c r="G201" s="543"/>
      <c r="H201" s="543"/>
      <c r="I201" s="29">
        <v>1</v>
      </c>
    </row>
    <row r="202" spans="6:19" ht="15">
      <c r="F202" s="543" t="s">
        <v>27</v>
      </c>
      <c r="G202" s="543"/>
      <c r="H202" s="543"/>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40" t="s">
        <v>1</v>
      </c>
      <c r="I219" s="540"/>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41" t="s">
        <v>22</v>
      </c>
      <c r="G237" s="541"/>
      <c r="H237" s="541"/>
      <c r="I237" s="541"/>
    </row>
    <row r="238" spans="6:19" ht="18">
      <c r="F238" s="542" t="s">
        <v>23</v>
      </c>
      <c r="G238" s="542"/>
      <c r="H238" s="542"/>
      <c r="I238" s="29">
        <v>20</v>
      </c>
      <c r="O238" s="30"/>
      <c r="P238" s="41" t="s">
        <v>47</v>
      </c>
      <c r="Q238" s="41"/>
      <c r="R238" s="42">
        <f>P235</f>
        <v>643.01035679999995</v>
      </c>
      <c r="S238" s="383" t="s">
        <v>42</v>
      </c>
    </row>
    <row r="239" spans="6:19" ht="15">
      <c r="F239" s="543" t="s">
        <v>24</v>
      </c>
      <c r="G239" s="543"/>
      <c r="H239" s="543"/>
      <c r="I239" s="29">
        <f>0.7*I238/10</f>
        <v>1.4</v>
      </c>
    </row>
    <row r="240" spans="6:19" ht="15">
      <c r="F240" s="543" t="s">
        <v>25</v>
      </c>
      <c r="G240" s="543"/>
      <c r="H240" s="543"/>
      <c r="I240" s="29">
        <v>2</v>
      </c>
    </row>
    <row r="241" spans="3:20" ht="15">
      <c r="F241" s="543" t="s">
        <v>26</v>
      </c>
      <c r="G241" s="543"/>
      <c r="H241" s="543"/>
      <c r="I241" s="29">
        <v>20</v>
      </c>
    </row>
    <row r="242" spans="3:20" ht="15">
      <c r="F242" s="543" t="s">
        <v>27</v>
      </c>
      <c r="G242" s="543"/>
      <c r="H242" s="543"/>
      <c r="I242" s="29">
        <v>8</v>
      </c>
    </row>
    <row r="243" spans="3:20" ht="15"/>
    <row r="246" spans="3:20" ht="15">
      <c r="C246" s="6" t="s">
        <v>48</v>
      </c>
      <c r="D246" s="6"/>
      <c r="E246" s="6"/>
      <c r="F246" s="8"/>
      <c r="G246" s="8"/>
      <c r="H246" s="8"/>
      <c r="I246" s="8"/>
      <c r="J246" s="9"/>
      <c r="K246" s="8"/>
      <c r="L246" s="8"/>
      <c r="M246" s="8"/>
      <c r="N246" s="9"/>
      <c r="O246" s="9"/>
      <c r="P246" s="8"/>
    </row>
    <row r="247" spans="3:20" ht="15">
      <c r="H247" s="540" t="s">
        <v>1</v>
      </c>
      <c r="I247" s="540"/>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41" t="s">
        <v>22</v>
      </c>
      <c r="G265" s="541"/>
      <c r="H265" s="541"/>
      <c r="I265" s="541"/>
    </row>
    <row r="266" spans="6:19" ht="18">
      <c r="F266" s="542" t="s">
        <v>23</v>
      </c>
      <c r="G266" s="542"/>
      <c r="H266" s="542"/>
      <c r="I266" s="29">
        <v>20</v>
      </c>
      <c r="O266" s="30"/>
    </row>
    <row r="267" spans="6:19" ht="15">
      <c r="F267" s="543" t="s">
        <v>24</v>
      </c>
      <c r="G267" s="543"/>
      <c r="H267" s="543"/>
      <c r="I267" s="29">
        <f>0.7*I266/10</f>
        <v>1.4</v>
      </c>
    </row>
    <row r="268" spans="6:19" ht="15">
      <c r="F268" s="543" t="s">
        <v>25</v>
      </c>
      <c r="G268" s="543"/>
      <c r="H268" s="543"/>
      <c r="I268" s="29">
        <v>2</v>
      </c>
    </row>
    <row r="269" spans="6:19" ht="15">
      <c r="F269" s="543" t="s">
        <v>63</v>
      </c>
      <c r="G269" s="543"/>
      <c r="H269" s="543"/>
      <c r="I269" s="70">
        <v>6</v>
      </c>
    </row>
    <row r="270" spans="6:19" ht="15">
      <c r="F270" s="543" t="s">
        <v>71</v>
      </c>
      <c r="G270" s="543"/>
      <c r="H270" s="543"/>
      <c r="I270" s="70">
        <v>4</v>
      </c>
    </row>
    <row r="275" spans="3:20" ht="15">
      <c r="C275" s="6">
        <v>23149</v>
      </c>
      <c r="D275" s="6"/>
      <c r="E275" s="6"/>
      <c r="F275" s="8"/>
      <c r="G275" s="8"/>
      <c r="H275" s="8"/>
      <c r="I275" s="8"/>
      <c r="J275" s="9"/>
      <c r="K275" s="8"/>
      <c r="L275" s="8"/>
      <c r="M275" s="8"/>
      <c r="N275" s="9"/>
      <c r="O275" s="9"/>
      <c r="P275" s="8"/>
    </row>
    <row r="276" spans="3:20" ht="15">
      <c r="H276" s="540" t="s">
        <v>1</v>
      </c>
      <c r="I276" s="540"/>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41" t="s">
        <v>22</v>
      </c>
      <c r="G294" s="541"/>
      <c r="H294" s="541"/>
      <c r="I294" s="541"/>
    </row>
    <row r="295" spans="3:21" ht="18">
      <c r="F295" s="542" t="s">
        <v>23</v>
      </c>
      <c r="G295" s="542"/>
      <c r="H295" s="542"/>
      <c r="I295" s="29">
        <v>20</v>
      </c>
      <c r="O295" s="30"/>
      <c r="P295">
        <f>1030/60</f>
        <v>17.166666666666668</v>
      </c>
      <c r="Q295">
        <f>12+619/60</f>
        <v>22.316666666666666</v>
      </c>
      <c r="R295">
        <f>17.5+22.32-24</f>
        <v>15.82</v>
      </c>
    </row>
    <row r="296" spans="3:21" ht="15">
      <c r="F296" s="543" t="s">
        <v>24</v>
      </c>
      <c r="G296" s="543"/>
      <c r="H296" s="543"/>
      <c r="I296" s="29">
        <f>0.7*I295/10</f>
        <v>1.4</v>
      </c>
      <c r="N296" s="3">
        <f>1.6*3+23.4+143</f>
        <v>171.2</v>
      </c>
    </row>
    <row r="297" spans="3:21" ht="15">
      <c r="F297" s="543" t="s">
        <v>25</v>
      </c>
      <c r="G297" s="543"/>
      <c r="H297" s="543"/>
      <c r="I297" s="29">
        <v>2</v>
      </c>
      <c r="N297" s="3">
        <f>1.6*3+23.4</f>
        <v>28.2</v>
      </c>
      <c r="P297">
        <f>12*13</f>
        <v>156</v>
      </c>
      <c r="Q297">
        <f>15.2+1.6+156</f>
        <v>172.8</v>
      </c>
    </row>
    <row r="298" spans="3:21" ht="15">
      <c r="F298" s="543" t="s">
        <v>63</v>
      </c>
      <c r="G298" s="543"/>
      <c r="H298" s="543"/>
      <c r="I298" s="70">
        <v>6</v>
      </c>
      <c r="P298">
        <f>12-(2+19.5/24)</f>
        <v>9.1875</v>
      </c>
    </row>
    <row r="299" spans="3:21" ht="15">
      <c r="F299" s="543" t="s">
        <v>71</v>
      </c>
      <c r="G299" s="543"/>
      <c r="H299" s="543"/>
      <c r="I299" s="70">
        <v>4</v>
      </c>
    </row>
    <row r="301" spans="3:21" ht="15">
      <c r="C301" s="6">
        <v>23212</v>
      </c>
      <c r="D301" s="6"/>
      <c r="E301" s="6"/>
      <c r="F301" s="8"/>
      <c r="G301" s="8"/>
      <c r="H301" s="8"/>
      <c r="I301" s="8"/>
      <c r="J301" s="9"/>
      <c r="K301" s="8"/>
      <c r="L301" s="8"/>
      <c r="M301" s="8"/>
      <c r="N301" s="9"/>
      <c r="O301" s="9"/>
      <c r="P301" s="8"/>
      <c r="Q301">
        <f>11*13</f>
        <v>143</v>
      </c>
    </row>
    <row r="302" spans="3:21" ht="15">
      <c r="H302" s="540" t="s">
        <v>1</v>
      </c>
      <c r="I302" s="540"/>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41" t="s">
        <v>22</v>
      </c>
      <c r="G320" s="541"/>
      <c r="H320" s="541"/>
      <c r="I320" s="541"/>
    </row>
    <row r="321" spans="3:21" ht="18">
      <c r="F321" s="542" t="s">
        <v>23</v>
      </c>
      <c r="G321" s="542"/>
      <c r="H321" s="542"/>
      <c r="I321" s="29">
        <v>20</v>
      </c>
      <c r="O321" s="30"/>
    </row>
    <row r="322" spans="3:21" ht="15">
      <c r="F322" s="543" t="s">
        <v>24</v>
      </c>
      <c r="G322" s="543"/>
      <c r="H322" s="543"/>
      <c r="I322" s="29">
        <f>0.7*I321/10</f>
        <v>1.4</v>
      </c>
    </row>
    <row r="323" spans="3:21" ht="15">
      <c r="F323" s="543" t="s">
        <v>25</v>
      </c>
      <c r="G323" s="543"/>
      <c r="H323" s="543"/>
      <c r="I323" s="29">
        <v>2</v>
      </c>
    </row>
    <row r="324" spans="3:21" ht="15">
      <c r="F324" s="543" t="s">
        <v>63</v>
      </c>
      <c r="G324" s="543"/>
      <c r="H324" s="543"/>
      <c r="I324" s="70">
        <v>6</v>
      </c>
    </row>
    <row r="325" spans="3:21" ht="15">
      <c r="F325" s="543" t="s">
        <v>71</v>
      </c>
      <c r="G325" s="543"/>
      <c r="H325" s="543"/>
      <c r="I325" s="70">
        <v>4</v>
      </c>
    </row>
    <row r="327" spans="3:21" ht="15">
      <c r="C327" s="6">
        <v>23233</v>
      </c>
      <c r="D327" s="6"/>
      <c r="E327" s="6"/>
      <c r="F327" s="8"/>
      <c r="G327" s="8"/>
      <c r="H327" s="8"/>
      <c r="I327" s="8"/>
      <c r="J327" s="9"/>
      <c r="K327" s="8"/>
      <c r="L327" s="8"/>
      <c r="M327" s="8"/>
      <c r="N327" s="9"/>
      <c r="O327" s="9"/>
      <c r="P327" s="8"/>
      <c r="Q327">
        <f>11*13</f>
        <v>143</v>
      </c>
    </row>
    <row r="328" spans="3:21" ht="15">
      <c r="H328" s="540" t="s">
        <v>1</v>
      </c>
      <c r="I328" s="540"/>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41" t="s">
        <v>22</v>
      </c>
      <c r="G346" s="541"/>
      <c r="H346" s="541"/>
      <c r="I346" s="541"/>
    </row>
    <row r="347" spans="6:19" ht="18">
      <c r="F347" s="542" t="s">
        <v>23</v>
      </c>
      <c r="G347" s="542"/>
      <c r="H347" s="542"/>
      <c r="I347" s="29">
        <v>20</v>
      </c>
      <c r="N347" s="3">
        <f>13*5</f>
        <v>65</v>
      </c>
      <c r="O347" s="30"/>
      <c r="P347">
        <f>26+1.6+78</f>
        <v>105.6</v>
      </c>
    </row>
    <row r="348" spans="6:19" ht="15">
      <c r="F348" s="543" t="s">
        <v>24</v>
      </c>
      <c r="G348" s="543"/>
      <c r="H348" s="543"/>
      <c r="I348" s="29">
        <f>0.7*I347/10</f>
        <v>1.4</v>
      </c>
      <c r="N348" s="3">
        <f>13*6</f>
        <v>78</v>
      </c>
      <c r="P348">
        <f>13*5</f>
        <v>65</v>
      </c>
    </row>
    <row r="349" spans="6:19" ht="15">
      <c r="F349" s="543" t="s">
        <v>25</v>
      </c>
      <c r="G349" s="543"/>
      <c r="H349" s="543"/>
      <c r="I349" s="29">
        <v>2</v>
      </c>
    </row>
    <row r="350" spans="6:19" ht="15">
      <c r="F350" s="543" t="s">
        <v>63</v>
      </c>
      <c r="G350" s="543"/>
      <c r="H350" s="543"/>
      <c r="I350" s="70">
        <v>6</v>
      </c>
    </row>
    <row r="351" spans="6:19" ht="15">
      <c r="F351" s="543" t="s">
        <v>71</v>
      </c>
      <c r="G351" s="543"/>
      <c r="H351" s="543"/>
      <c r="I351" s="70">
        <v>4</v>
      </c>
    </row>
    <row r="354" spans="3:21" ht="15">
      <c r="C354" s="6">
        <v>23245</v>
      </c>
      <c r="D354" s="6"/>
      <c r="E354" s="6"/>
      <c r="F354" s="8"/>
      <c r="G354" s="8"/>
      <c r="H354" s="8"/>
      <c r="I354" s="8"/>
      <c r="J354" s="9"/>
      <c r="K354" s="8"/>
      <c r="L354" s="8"/>
      <c r="M354" s="8"/>
      <c r="N354" s="9"/>
      <c r="O354" s="9"/>
      <c r="P354" s="8"/>
      <c r="Q354">
        <f>11*13</f>
        <v>143</v>
      </c>
    </row>
    <row r="355" spans="3:21" ht="15">
      <c r="H355" s="540" t="s">
        <v>1</v>
      </c>
      <c r="I355" s="540"/>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41" t="s">
        <v>22</v>
      </c>
      <c r="G373" s="541"/>
      <c r="H373" s="541"/>
      <c r="I373" s="541"/>
    </row>
    <row r="374" spans="3:21" ht="18">
      <c r="F374" s="542" t="s">
        <v>23</v>
      </c>
      <c r="G374" s="542"/>
      <c r="H374" s="542"/>
      <c r="I374" s="29">
        <v>20</v>
      </c>
      <c r="N374" s="3">
        <f>13*5</f>
        <v>65</v>
      </c>
      <c r="O374" s="30"/>
      <c r="P374">
        <f>26+1.6+78</f>
        <v>105.6</v>
      </c>
    </row>
    <row r="375" spans="3:21" ht="15">
      <c r="F375" s="543" t="s">
        <v>24</v>
      </c>
      <c r="G375" s="543"/>
      <c r="H375" s="543"/>
      <c r="I375" s="29">
        <f>0.7*I374/10</f>
        <v>1.4</v>
      </c>
      <c r="N375" s="3">
        <f>13*6</f>
        <v>78</v>
      </c>
      <c r="P375">
        <f>13*5</f>
        <v>65</v>
      </c>
    </row>
    <row r="376" spans="3:21" ht="15">
      <c r="F376" s="543" t="s">
        <v>25</v>
      </c>
      <c r="G376" s="543"/>
      <c r="H376" s="543"/>
      <c r="I376" s="29">
        <v>2</v>
      </c>
    </row>
    <row r="377" spans="3:21" ht="15">
      <c r="F377" s="543" t="s">
        <v>63</v>
      </c>
      <c r="G377" s="543"/>
      <c r="H377" s="543"/>
      <c r="I377" s="70">
        <v>6</v>
      </c>
    </row>
    <row r="378" spans="3:21" ht="15">
      <c r="F378" s="543" t="s">
        <v>71</v>
      </c>
      <c r="G378" s="543"/>
      <c r="H378" s="543"/>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40" t="s">
        <v>1</v>
      </c>
      <c r="I383" s="540"/>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41" t="s">
        <v>22</v>
      </c>
      <c r="G401" s="541"/>
      <c r="H401" s="541"/>
      <c r="I401" s="541"/>
    </row>
    <row r="402" spans="3:19" ht="18">
      <c r="F402" s="542" t="s">
        <v>23</v>
      </c>
      <c r="G402" s="542"/>
      <c r="H402" s="542"/>
      <c r="I402" s="29">
        <v>20</v>
      </c>
      <c r="O402" s="30"/>
    </row>
    <row r="403" spans="3:19" ht="15">
      <c r="F403" s="543" t="s">
        <v>24</v>
      </c>
      <c r="G403" s="543"/>
      <c r="H403" s="543"/>
      <c r="I403" s="29">
        <f>0.7*I402/10</f>
        <v>1.4</v>
      </c>
    </row>
    <row r="404" spans="3:19" ht="15">
      <c r="F404" s="543" t="s">
        <v>25</v>
      </c>
      <c r="G404" s="543"/>
      <c r="H404" s="543"/>
      <c r="I404" s="29">
        <v>2</v>
      </c>
    </row>
    <row r="405" spans="3:19" ht="15">
      <c r="F405" s="543" t="s">
        <v>63</v>
      </c>
      <c r="G405" s="543"/>
      <c r="H405" s="543"/>
      <c r="I405" s="70">
        <v>6</v>
      </c>
    </row>
    <row r="406" spans="3:19" ht="15">
      <c r="F406" s="543" t="s">
        <v>71</v>
      </c>
      <c r="G406" s="543"/>
      <c r="H406" s="543"/>
      <c r="I406" s="70">
        <v>4</v>
      </c>
    </row>
    <row r="413" spans="3:19" ht="15">
      <c r="C413" s="6">
        <v>23275</v>
      </c>
      <c r="D413" s="6"/>
      <c r="E413" s="6"/>
      <c r="F413" s="8"/>
      <c r="G413" s="8"/>
      <c r="H413" s="8"/>
      <c r="I413" s="8"/>
      <c r="J413" s="9"/>
      <c r="K413" s="8"/>
      <c r="L413" s="8"/>
      <c r="M413" s="8"/>
      <c r="N413" s="9"/>
      <c r="O413" s="9"/>
      <c r="P413" s="8"/>
      <c r="Q413">
        <f>11*13</f>
        <v>143</v>
      </c>
    </row>
    <row r="414" spans="3:19" ht="15">
      <c r="H414" s="540" t="s">
        <v>1</v>
      </c>
      <c r="I414" s="540"/>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41" t="s">
        <v>22</v>
      </c>
      <c r="G432" s="541"/>
      <c r="H432" s="541"/>
      <c r="I432" s="541"/>
    </row>
    <row r="433" spans="3:21" ht="18">
      <c r="F433" s="542" t="s">
        <v>23</v>
      </c>
      <c r="G433" s="542"/>
      <c r="H433" s="542"/>
      <c r="I433" s="29">
        <v>20</v>
      </c>
      <c r="O433" s="30"/>
    </row>
    <row r="434" spans="3:21" ht="15">
      <c r="F434" s="543" t="s">
        <v>24</v>
      </c>
      <c r="G434" s="543"/>
      <c r="H434" s="543"/>
      <c r="I434" s="29">
        <f>0.7*I433/10</f>
        <v>1.4</v>
      </c>
    </row>
    <row r="435" spans="3:21" ht="15">
      <c r="F435" s="543" t="s">
        <v>25</v>
      </c>
      <c r="G435" s="543"/>
      <c r="H435" s="543"/>
      <c r="I435" s="29">
        <v>2</v>
      </c>
    </row>
    <row r="436" spans="3:21" ht="15">
      <c r="F436" s="543" t="s">
        <v>63</v>
      </c>
      <c r="G436" s="543"/>
      <c r="H436" s="543"/>
      <c r="I436" s="70">
        <v>6</v>
      </c>
    </row>
    <row r="437" spans="3:21" ht="15">
      <c r="F437" s="543" t="s">
        <v>71</v>
      </c>
      <c r="G437" s="543"/>
      <c r="H437" s="543"/>
      <c r="I437" s="70">
        <v>4</v>
      </c>
    </row>
    <row r="442" spans="3:21" ht="15">
      <c r="C442" s="6">
        <v>23296</v>
      </c>
      <c r="D442" s="6"/>
      <c r="E442" s="6"/>
      <c r="F442" s="8"/>
      <c r="G442" s="8"/>
      <c r="H442" s="8"/>
      <c r="I442" s="8"/>
      <c r="J442" s="9"/>
      <c r="K442" s="8"/>
      <c r="L442" s="8"/>
      <c r="M442" s="8"/>
      <c r="N442" s="9"/>
      <c r="O442" s="9"/>
      <c r="P442" s="8"/>
      <c r="Q442">
        <f>11*13</f>
        <v>143</v>
      </c>
    </row>
    <row r="443" spans="3:21" ht="15">
      <c r="H443" s="540" t="s">
        <v>1</v>
      </c>
      <c r="I443" s="540"/>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41" t="s">
        <v>22</v>
      </c>
      <c r="G461" s="541"/>
      <c r="H461" s="541"/>
      <c r="I461" s="541"/>
    </row>
    <row r="462" spans="6:20" ht="18">
      <c r="F462" s="542" t="s">
        <v>23</v>
      </c>
      <c r="G462" s="542"/>
      <c r="H462" s="542"/>
      <c r="I462" s="29">
        <v>20</v>
      </c>
      <c r="O462" s="30"/>
    </row>
    <row r="463" spans="6:20" ht="15">
      <c r="F463" s="543" t="s">
        <v>24</v>
      </c>
      <c r="G463" s="543"/>
      <c r="H463" s="543"/>
      <c r="I463" s="29">
        <f>0.7*I462/10</f>
        <v>1.4</v>
      </c>
    </row>
    <row r="464" spans="6:20" ht="15">
      <c r="F464" s="543" t="s">
        <v>25</v>
      </c>
      <c r="G464" s="543"/>
      <c r="H464" s="543"/>
      <c r="I464" s="29">
        <v>2</v>
      </c>
    </row>
    <row r="465" spans="3:21" ht="15">
      <c r="F465" s="543" t="s">
        <v>63</v>
      </c>
      <c r="G465" s="543"/>
      <c r="H465" s="543"/>
      <c r="I465" s="70">
        <v>6</v>
      </c>
    </row>
    <row r="466" spans="3:21" ht="15">
      <c r="F466" s="543" t="s">
        <v>71</v>
      </c>
      <c r="G466" s="543"/>
      <c r="H466" s="543"/>
      <c r="I466" s="70">
        <v>4</v>
      </c>
    </row>
    <row r="470" spans="3:21" ht="15">
      <c r="C470" s="6">
        <v>23317</v>
      </c>
      <c r="D470" s="6"/>
      <c r="E470" s="6"/>
      <c r="F470" s="8"/>
      <c r="G470" s="8"/>
      <c r="H470" s="8"/>
      <c r="I470" s="8"/>
      <c r="J470" s="9"/>
      <c r="K470" s="8"/>
      <c r="L470" s="8"/>
      <c r="M470" s="8"/>
      <c r="N470" s="9"/>
      <c r="O470" s="9"/>
      <c r="P470" s="8"/>
      <c r="Q470">
        <f>11*13</f>
        <v>143</v>
      </c>
    </row>
    <row r="471" spans="3:21" ht="15">
      <c r="H471" s="540" t="s">
        <v>1</v>
      </c>
      <c r="I471" s="540"/>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41" t="s">
        <v>22</v>
      </c>
      <c r="G489" s="541"/>
      <c r="H489" s="541"/>
      <c r="I489" s="541"/>
    </row>
    <row r="490" spans="6:19" ht="18">
      <c r="F490" s="542" t="s">
        <v>23</v>
      </c>
      <c r="G490" s="542"/>
      <c r="H490" s="542"/>
      <c r="I490" s="29">
        <v>20</v>
      </c>
      <c r="O490" s="30"/>
    </row>
    <row r="491" spans="6:19" ht="15">
      <c r="F491" s="543" t="s">
        <v>24</v>
      </c>
      <c r="G491" s="543"/>
      <c r="H491" s="543"/>
      <c r="I491" s="29">
        <f>0.7*I490/10</f>
        <v>1.4</v>
      </c>
    </row>
    <row r="492" spans="6:19" ht="15">
      <c r="F492" s="543" t="s">
        <v>25</v>
      </c>
      <c r="G492" s="543"/>
      <c r="H492" s="543"/>
      <c r="I492" s="29">
        <v>2</v>
      </c>
    </row>
    <row r="493" spans="6:19" ht="15">
      <c r="F493" s="543" t="s">
        <v>63</v>
      </c>
      <c r="G493" s="543"/>
      <c r="H493" s="543"/>
      <c r="I493" s="70">
        <v>6</v>
      </c>
    </row>
    <row r="494" spans="6:19" ht="15">
      <c r="F494" s="543" t="s">
        <v>71</v>
      </c>
      <c r="G494" s="543"/>
      <c r="H494" s="543"/>
      <c r="I494" s="70">
        <v>4</v>
      </c>
    </row>
    <row r="498" spans="3:21" ht="15">
      <c r="C498" s="6">
        <v>23338</v>
      </c>
      <c r="D498" s="6"/>
      <c r="E498" s="6"/>
      <c r="F498" s="8"/>
      <c r="G498" s="8"/>
      <c r="H498" s="8"/>
      <c r="I498" s="8"/>
      <c r="J498" s="9"/>
      <c r="K498" s="8"/>
      <c r="L498" s="8"/>
      <c r="M498" s="8"/>
      <c r="N498" s="9"/>
      <c r="O498" s="9"/>
      <c r="P498" s="8"/>
      <c r="Q498">
        <f>11*13</f>
        <v>143</v>
      </c>
    </row>
    <row r="499" spans="3:21" ht="15">
      <c r="H499" s="540" t="s">
        <v>1</v>
      </c>
      <c r="I499" s="540"/>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41" t="s">
        <v>22</v>
      </c>
      <c r="G517" s="541"/>
      <c r="H517" s="541"/>
      <c r="I517" s="541"/>
    </row>
    <row r="518" spans="3:19" ht="18">
      <c r="F518" s="542" t="s">
        <v>23</v>
      </c>
      <c r="G518" s="542"/>
      <c r="H518" s="542"/>
      <c r="I518" s="29">
        <v>20</v>
      </c>
      <c r="O518" s="30"/>
    </row>
    <row r="519" spans="3:19" ht="15">
      <c r="F519" s="543" t="s">
        <v>24</v>
      </c>
      <c r="G519" s="543"/>
      <c r="H519" s="543"/>
      <c r="I519" s="29">
        <f>0.7*I518/10</f>
        <v>1.4</v>
      </c>
    </row>
    <row r="520" spans="3:19" ht="15">
      <c r="F520" s="543" t="s">
        <v>25</v>
      </c>
      <c r="G520" s="543"/>
      <c r="H520" s="543"/>
      <c r="I520" s="29">
        <v>2</v>
      </c>
    </row>
    <row r="521" spans="3:19" ht="15">
      <c r="F521" s="543" t="s">
        <v>63</v>
      </c>
      <c r="G521" s="543"/>
      <c r="H521" s="543"/>
      <c r="I521" s="70">
        <v>6</v>
      </c>
    </row>
    <row r="522" spans="3:19" ht="15">
      <c r="F522" s="543" t="s">
        <v>71</v>
      </c>
      <c r="G522" s="543"/>
      <c r="H522" s="543"/>
      <c r="I522" s="70">
        <v>4</v>
      </c>
    </row>
    <row r="527" spans="3:19" ht="15">
      <c r="C527" s="6">
        <v>24015</v>
      </c>
      <c r="D527" s="6"/>
      <c r="E527" s="6"/>
      <c r="F527" s="8"/>
      <c r="G527" s="8"/>
      <c r="H527" s="8"/>
      <c r="I527" s="8"/>
      <c r="J527" s="9"/>
      <c r="K527" s="8"/>
      <c r="L527" s="8"/>
      <c r="M527" s="8"/>
      <c r="N527" s="9"/>
      <c r="O527" s="9"/>
      <c r="P527" s="8"/>
      <c r="Q527">
        <f>11*13</f>
        <v>143</v>
      </c>
    </row>
    <row r="528" spans="3:19" ht="15">
      <c r="H528" s="540" t="s">
        <v>1</v>
      </c>
      <c r="I528" s="540"/>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41" t="s">
        <v>22</v>
      </c>
      <c r="G546" s="541"/>
      <c r="H546" s="541"/>
      <c r="I546" s="541"/>
    </row>
    <row r="547" spans="3:19" ht="18">
      <c r="F547" s="542" t="s">
        <v>23</v>
      </c>
      <c r="G547" s="542"/>
      <c r="H547" s="542"/>
      <c r="I547" s="29">
        <v>20</v>
      </c>
      <c r="O547" s="30"/>
    </row>
    <row r="548" spans="3:19" ht="15">
      <c r="F548" s="543" t="s">
        <v>24</v>
      </c>
      <c r="G548" s="543"/>
      <c r="H548" s="543"/>
      <c r="I548" s="29">
        <f>0.7*I547/10</f>
        <v>1.4</v>
      </c>
    </row>
    <row r="549" spans="3:19" ht="15">
      <c r="F549" s="543" t="s">
        <v>25</v>
      </c>
      <c r="G549" s="543"/>
      <c r="H549" s="543"/>
      <c r="I549" s="29">
        <v>2</v>
      </c>
    </row>
    <row r="550" spans="3:19" ht="15">
      <c r="F550" s="543" t="s">
        <v>63</v>
      </c>
      <c r="G550" s="543"/>
      <c r="H550" s="543"/>
      <c r="I550" s="70">
        <v>6</v>
      </c>
    </row>
    <row r="551" spans="3:19" ht="15">
      <c r="F551" s="543" t="s">
        <v>71</v>
      </c>
      <c r="G551" s="543"/>
      <c r="H551" s="543"/>
      <c r="I551" s="70">
        <v>4</v>
      </c>
    </row>
    <row r="557" spans="3:19" ht="15">
      <c r="C557" s="6">
        <v>24036</v>
      </c>
      <c r="D557" s="6"/>
      <c r="E557" s="6"/>
      <c r="F557" s="8"/>
      <c r="G557" s="8"/>
      <c r="H557" s="8"/>
      <c r="I557" s="8"/>
      <c r="J557" s="9"/>
      <c r="K557" s="8"/>
      <c r="L557" s="8"/>
      <c r="M557" s="8"/>
      <c r="N557" s="9"/>
      <c r="O557" s="9"/>
      <c r="P557" s="8"/>
      <c r="Q557">
        <f>11*13</f>
        <v>143</v>
      </c>
    </row>
    <row r="558" spans="3:19" ht="15">
      <c r="H558" s="540" t="s">
        <v>1</v>
      </c>
      <c r="I558" s="540"/>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41" t="s">
        <v>22</v>
      </c>
      <c r="G576" s="541"/>
      <c r="H576" s="541"/>
      <c r="I576" s="541"/>
    </row>
    <row r="577" spans="3:20" ht="18">
      <c r="F577" s="542" t="s">
        <v>23</v>
      </c>
      <c r="G577" s="542"/>
      <c r="H577" s="542"/>
      <c r="I577" s="29">
        <v>20</v>
      </c>
      <c r="O577" s="30"/>
    </row>
    <row r="578" spans="3:20" ht="15">
      <c r="F578" s="543" t="s">
        <v>24</v>
      </c>
      <c r="G578" s="543"/>
      <c r="H578" s="543"/>
      <c r="I578" s="29">
        <f>0.7*I577/10</f>
        <v>1.4</v>
      </c>
    </row>
    <row r="579" spans="3:20" ht="15">
      <c r="F579" s="543" t="s">
        <v>25</v>
      </c>
      <c r="G579" s="543"/>
      <c r="H579" s="543"/>
      <c r="I579" s="29">
        <v>2</v>
      </c>
    </row>
    <row r="580" spans="3:20" ht="15">
      <c r="F580" s="543" t="s">
        <v>63</v>
      </c>
      <c r="G580" s="543"/>
      <c r="H580" s="543"/>
      <c r="I580" s="70">
        <v>6</v>
      </c>
    </row>
    <row r="581" spans="3:20" ht="15">
      <c r="F581" s="543" t="s">
        <v>71</v>
      </c>
      <c r="G581" s="543"/>
      <c r="H581" s="543"/>
      <c r="I581" s="70">
        <v>4</v>
      </c>
    </row>
    <row r="587" spans="3:20" ht="15">
      <c r="C587" s="6">
        <v>24057</v>
      </c>
      <c r="D587" s="6"/>
      <c r="E587" s="6"/>
      <c r="F587" s="8"/>
      <c r="G587" s="8"/>
      <c r="H587" s="8"/>
      <c r="I587" s="8"/>
      <c r="J587" s="9"/>
      <c r="K587" s="8"/>
      <c r="L587" s="8"/>
      <c r="M587" s="8"/>
      <c r="N587" s="9"/>
      <c r="O587" s="9"/>
      <c r="P587" s="8"/>
      <c r="Q587">
        <f>11*13</f>
        <v>143</v>
      </c>
    </row>
    <row r="588" spans="3:20" ht="15">
      <c r="H588" s="540" t="s">
        <v>1</v>
      </c>
      <c r="I588" s="540"/>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41" t="s">
        <v>22</v>
      </c>
      <c r="G606" s="541"/>
      <c r="H606" s="541"/>
      <c r="I606" s="541"/>
    </row>
    <row r="607" spans="6:21" ht="18">
      <c r="F607" s="542" t="s">
        <v>23</v>
      </c>
      <c r="G607" s="542"/>
      <c r="H607" s="542"/>
      <c r="I607" s="29">
        <v>20</v>
      </c>
      <c r="O607" s="30"/>
    </row>
    <row r="608" spans="6:21" ht="15">
      <c r="F608" s="543" t="s">
        <v>24</v>
      </c>
      <c r="G608" s="543"/>
      <c r="H608" s="543"/>
      <c r="I608" s="29">
        <f>0.7*I607/10</f>
        <v>1.4</v>
      </c>
      <c r="R608">
        <v>78</v>
      </c>
    </row>
    <row r="609" spans="3:23" ht="15">
      <c r="F609" s="543" t="s">
        <v>25</v>
      </c>
      <c r="G609" s="543"/>
      <c r="H609" s="543"/>
      <c r="I609" s="29">
        <v>2</v>
      </c>
      <c r="P609" t="s">
        <v>1940</v>
      </c>
      <c r="R609">
        <f>10*2.3</f>
        <v>23</v>
      </c>
      <c r="S609">
        <f>R609+R608</f>
        <v>101</v>
      </c>
    </row>
    <row r="610" spans="3:23" ht="15">
      <c r="F610" s="543" t="s">
        <v>63</v>
      </c>
      <c r="G610" s="543"/>
      <c r="H610" s="543"/>
      <c r="I610" s="70">
        <v>6</v>
      </c>
      <c r="P610">
        <f>366-277.25+83</f>
        <v>171.75</v>
      </c>
      <c r="R610">
        <f>366-276.8</f>
        <v>89.199999999999989</v>
      </c>
    </row>
    <row r="611" spans="3:23" ht="15">
      <c r="F611" s="543" t="s">
        <v>71</v>
      </c>
      <c r="G611" s="543"/>
      <c r="H611" s="543"/>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40" t="s">
        <v>1</v>
      </c>
      <c r="I615" s="540"/>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41" t="s">
        <v>22</v>
      </c>
      <c r="G633" s="541"/>
      <c r="H633" s="541"/>
      <c r="I633" s="541"/>
    </row>
    <row r="634" spans="6:21" ht="18">
      <c r="F634" s="542" t="s">
        <v>23</v>
      </c>
      <c r="G634" s="542"/>
      <c r="H634" s="542"/>
      <c r="I634" s="29">
        <v>20</v>
      </c>
      <c r="O634" s="30"/>
    </row>
    <row r="635" spans="6:21" ht="15">
      <c r="F635" s="543" t="s">
        <v>24</v>
      </c>
      <c r="G635" s="543"/>
      <c r="H635" s="543"/>
      <c r="I635" s="29">
        <f>0.7*I634/10</f>
        <v>1.4</v>
      </c>
    </row>
    <row r="636" spans="6:21" ht="15">
      <c r="F636" s="543" t="s">
        <v>25</v>
      </c>
      <c r="G636" s="543"/>
      <c r="H636" s="543"/>
      <c r="I636" s="29">
        <v>2</v>
      </c>
    </row>
    <row r="637" spans="6:21" ht="15">
      <c r="F637" s="543" t="s">
        <v>63</v>
      </c>
      <c r="G637" s="543"/>
      <c r="H637" s="543"/>
      <c r="I637" s="70">
        <v>6</v>
      </c>
    </row>
    <row r="638" spans="6:21" ht="15">
      <c r="F638" s="543" t="s">
        <v>71</v>
      </c>
      <c r="G638" s="543"/>
      <c r="H638" s="543"/>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68"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67"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66"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65"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64"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63"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62"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61"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60"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59"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58"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57"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56"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55"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54"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53"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2"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51"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50"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49"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48"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47"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pep_ssf_obsolete</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2026-07-22T03:47:47Z</dcterms:modified>
  <dc:language>en-US</dc:language>
</cp:coreProperties>
</file>