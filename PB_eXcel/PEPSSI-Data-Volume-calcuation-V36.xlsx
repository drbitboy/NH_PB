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0_DOCUMENTS\3MU69\0_LOADS\2026\"/>
    </mc:Choice>
  </mc:AlternateContent>
  <xr:revisionPtr revIDLastSave="0" documentId="13_ncr:1_{60260A1C-1CD4-40DD-8B67-151D60FE33FF}" xr6:coauthVersionLast="47" xr6:coauthVersionMax="47" xr10:uidLastSave="{00000000-0000-0000-0000-000000000000}"/>
  <bookViews>
    <workbookView xWindow="8" yWindow="862" windowWidth="19185" windowHeight="11266" tabRatio="500" firstSheet="2" activeTab="3" xr2:uid="{00000000-000D-0000-FFFF-FFFF00000000}"/>
  </bookViews>
  <sheets>
    <sheet name="pb_calc_pre_2025" sheetId="1" r:id="rId1"/>
    <sheet name="2025_pb" sheetId="2" r:id="rId2"/>
    <sheet name="Sheet2" sheetId="15" r:id="rId3"/>
    <sheet name="2025_pb_2" sheetId="3" r:id="rId4"/>
    <sheet name="calculations" sheetId="14" r:id="rId5"/>
    <sheet name="SWAP Data Volumns" sheetId="6" r:id="rId6"/>
    <sheet name="Overview 2025" sheetId="4" r:id="rId7"/>
    <sheet name="Sheet37" sheetId="5" r:id="rId8"/>
    <sheet name="swap_rates" sheetId="7" r:id="rId9"/>
    <sheet name="swap_rates_2" sheetId="8" r:id="rId10"/>
    <sheet name="Sheet1" sheetId="9" r:id="rId11"/>
    <sheet name="status tracker" sheetId="10" r:id="rId12"/>
    <sheet name="totals" sheetId="11" r:id="rId13"/>
    <sheet name="22144-hibernation 2022 +" sheetId="12" r:id="rId14"/>
    <sheet name="24267_pepssi" sheetId="13" r:id="rId15"/>
  </sheets>
  <definedNames>
    <definedName name="Daily_10M">#REF!</definedName>
    <definedName name="Daily_12H">#REF!</definedName>
    <definedName name="Daily_1H">#REF!</definedName>
    <definedName name="Daily_20M">#REF!</definedName>
    <definedName name="Daily_24H">#REF!</definedName>
    <definedName name="Daily_2H">#REF!</definedName>
    <definedName name="Daily_2M">#REF!</definedName>
    <definedName name="Daily_30M">#REF!</definedName>
    <definedName name="Daily_3H">#REF!</definedName>
    <definedName name="Daily_5M">#REF!</definedName>
    <definedName name="Daily_64s">#REF!</definedName>
    <definedName name="Daily_6H">#REF!</definedName>
    <definedName name="Daily_NEVER">#REF!</definedName>
    <definedName name="Yearly_10M">#REF!</definedName>
    <definedName name="Yearly_12H">#REF!</definedName>
    <definedName name="Yearly_1H">#REF!</definedName>
    <definedName name="Yearly_20M">#REF!</definedName>
    <definedName name="Yearly_24H">#REF!</definedName>
    <definedName name="Yearly_2H">#REF!</definedName>
    <definedName name="Yearly_2M">#REF!</definedName>
    <definedName name="Yearly_30M">#REF!</definedName>
    <definedName name="Yearly_3H">#REF!</definedName>
    <definedName name="Yearly_5M">#REF!</definedName>
    <definedName name="Yearly_64S">#REF!</definedName>
    <definedName name="Yearly_6H">#REF!</definedName>
    <definedName name="Yearly_NEV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43" i="3" l="1"/>
  <c r="AB311" i="3"/>
  <c r="W327" i="3" l="1"/>
  <c r="X327" i="3"/>
  <c r="M355" i="3"/>
  <c r="L380" i="3"/>
  <c r="W380" i="3"/>
  <c r="Q388" i="3"/>
  <c r="Y31" i="3"/>
  <c r="AF31" i="3" s="1"/>
  <c r="V31" i="3" l="1"/>
  <c r="Q356" i="3" l="1"/>
  <c r="O362" i="3"/>
  <c r="O343" i="3"/>
  <c r="P343" i="3"/>
  <c r="AB356" i="3"/>
  <c r="AC342" i="3"/>
  <c r="AB341" i="3"/>
  <c r="AC341" i="3"/>
  <c r="T341" i="3"/>
  <c r="AK356" i="3"/>
  <c r="AD309" i="3"/>
  <c r="L343" i="3" l="1"/>
  <c r="L328" i="3"/>
  <c r="L329" i="3"/>
  <c r="L376" i="3"/>
  <c r="AA377" i="3"/>
  <c r="W377" i="3"/>
  <c r="P377" i="3"/>
  <c r="O377" i="3"/>
  <c r="L377" i="3"/>
  <c r="AA376" i="3"/>
  <c r="W376" i="3"/>
  <c r="P376" i="3"/>
  <c r="O376" i="3"/>
  <c r="L362" i="3"/>
  <c r="AH362" i="3" l="1"/>
  <c r="AR362" i="3"/>
  <c r="AA362" i="3" s="1"/>
  <c r="W362" i="3" s="1"/>
  <c r="AH363" i="3"/>
  <c r="AR363" i="3"/>
  <c r="AA363" i="3" s="1"/>
  <c r="W363" i="3" s="1"/>
  <c r="AH364" i="3"/>
  <c r="AR364" i="3"/>
  <c r="AA364" i="3" s="1"/>
  <c r="W364" i="3" s="1"/>
  <c r="AH365" i="3"/>
  <c r="AR365" i="3"/>
  <c r="AA365" i="3" s="1"/>
  <c r="W365" i="3" s="1"/>
  <c r="Q361" i="3"/>
  <c r="R330" i="3"/>
  <c r="R356" i="3"/>
  <c r="AR343" i="3"/>
  <c r="AH343" i="3"/>
  <c r="Q341" i="3"/>
  <c r="R326" i="3"/>
  <c r="L342" i="3"/>
  <c r="AA343" i="3" l="1"/>
  <c r="W343" i="3" s="1"/>
  <c r="L363" i="3"/>
  <c r="P362" i="3"/>
  <c r="P356" i="3"/>
  <c r="L341" i="3"/>
  <c r="P341" i="3"/>
  <c r="Q327" i="3"/>
  <c r="S3" i="3"/>
  <c r="P327" i="3"/>
  <c r="L327" i="3"/>
  <c r="S2" i="3"/>
  <c r="S5" i="3"/>
  <c r="L365" i="3"/>
  <c r="L364" i="3"/>
  <c r="L330" i="3"/>
  <c r="L326" i="3"/>
  <c r="L325" i="3"/>
  <c r="L324" i="3"/>
  <c r="L374" i="3"/>
  <c r="L375" i="3"/>
  <c r="AA375" i="3"/>
  <c r="W375" i="3" s="1"/>
  <c r="P375" i="3"/>
  <c r="O375" i="3"/>
  <c r="AA374" i="3"/>
  <c r="W374" i="3" s="1"/>
  <c r="P374" i="3"/>
  <c r="O374" i="3"/>
  <c r="Q373" i="3"/>
  <c r="O373" i="3"/>
  <c r="P373" i="3"/>
  <c r="AA373" i="3"/>
  <c r="W373" i="3" s="1"/>
  <c r="AH373" i="3"/>
  <c r="AR373" i="3"/>
  <c r="AS373" i="3" s="1"/>
  <c r="AH374" i="3"/>
  <c r="AR374" i="3"/>
  <c r="AH375" i="3"/>
  <c r="AR375" i="3"/>
  <c r="AH376" i="3"/>
  <c r="AR376" i="3"/>
  <c r="AH377" i="3"/>
  <c r="AR377" i="3"/>
  <c r="AQ378" i="3"/>
  <c r="Y30" i="3"/>
  <c r="V30" i="3" s="1"/>
  <c r="P365" i="3"/>
  <c r="O365" i="3"/>
  <c r="P364" i="3"/>
  <c r="O364" i="3"/>
  <c r="P363" i="3"/>
  <c r="O363" i="3"/>
  <c r="P361" i="3"/>
  <c r="P342" i="3"/>
  <c r="O342" i="3"/>
  <c r="P330" i="3"/>
  <c r="O330" i="3"/>
  <c r="P329" i="3"/>
  <c r="O329" i="3"/>
  <c r="P328" i="3"/>
  <c r="O328" i="3"/>
  <c r="P326" i="3"/>
  <c r="O326" i="3"/>
  <c r="O325" i="3"/>
  <c r="O324" i="3"/>
  <c r="O323" i="3"/>
  <c r="P325" i="3"/>
  <c r="P324" i="3"/>
  <c r="L323" i="3"/>
  <c r="P323" i="3"/>
  <c r="S309" i="3"/>
  <c r="V311" i="3"/>
  <c r="AK311" i="3" s="1"/>
  <c r="P311" i="3"/>
  <c r="O311" i="3"/>
  <c r="V310" i="3"/>
  <c r="AK310" i="3" s="1"/>
  <c r="P310" i="3"/>
  <c r="O310" i="3"/>
  <c r="V309" i="3"/>
  <c r="AK309" i="3" s="1"/>
  <c r="P309" i="3"/>
  <c r="O309" i="3"/>
  <c r="V308" i="3"/>
  <c r="AK308" i="3" s="1"/>
  <c r="P308" i="3"/>
  <c r="O308" i="3"/>
  <c r="V307" i="3"/>
  <c r="AK307" i="3" s="1"/>
  <c r="AC307" i="3" s="1"/>
  <c r="P307" i="3"/>
  <c r="O307" i="3"/>
  <c r="AH342" i="3"/>
  <c r="AH330" i="3"/>
  <c r="AH329" i="3"/>
  <c r="AH328" i="3"/>
  <c r="AH326" i="3"/>
  <c r="AH325" i="3"/>
  <c r="AH324" i="3"/>
  <c r="AH323" i="3"/>
  <c r="AH311" i="3"/>
  <c r="AH310" i="3"/>
  <c r="AH309" i="3"/>
  <c r="AH308" i="3"/>
  <c r="AH307" i="3"/>
  <c r="AR342" i="3"/>
  <c r="AA342" i="3" s="1"/>
  <c r="W342" i="3" s="1"/>
  <c r="AR330" i="3"/>
  <c r="AA330" i="3" s="1"/>
  <c r="W330" i="3" s="1"/>
  <c r="AR329" i="3"/>
  <c r="AA329" i="3" s="1"/>
  <c r="W329" i="3" s="1"/>
  <c r="AR328" i="3"/>
  <c r="AA328" i="3" s="1"/>
  <c r="W328" i="3" s="1"/>
  <c r="AR326" i="3"/>
  <c r="AA326" i="3" s="1"/>
  <c r="W326" i="3" s="1"/>
  <c r="AR325" i="3"/>
  <c r="AA325" i="3" s="1"/>
  <c r="W325" i="3" s="1"/>
  <c r="AR324" i="3"/>
  <c r="AA324" i="3" s="1"/>
  <c r="W324" i="3" s="1"/>
  <c r="AR323" i="3"/>
  <c r="AA323" i="3" s="1"/>
  <c r="AR311" i="3"/>
  <c r="AA311" i="3" s="1"/>
  <c r="AR310" i="3"/>
  <c r="AA310" i="3" s="1"/>
  <c r="AR309" i="3"/>
  <c r="AA309" i="3" s="1"/>
  <c r="AT308" i="3"/>
  <c r="AR308" i="3"/>
  <c r="AA308" i="3" s="1"/>
  <c r="AR307" i="3"/>
  <c r="AA307" i="3" s="1"/>
  <c r="W307" i="3" s="1"/>
  <c r="G10" i="14"/>
  <c r="G7" i="14"/>
  <c r="H10" i="14"/>
  <c r="AS374" i="3" l="1"/>
  <c r="AS375" i="3" s="1"/>
  <c r="AS376" i="3" s="1"/>
  <c r="AS377" i="3" s="1"/>
  <c r="AC309" i="3"/>
  <c r="R373" i="3"/>
  <c r="Q374" i="3" s="1"/>
  <c r="R374" i="3" s="1"/>
  <c r="AF30" i="3"/>
  <c r="AR378" i="3"/>
  <c r="X307" i="3"/>
  <c r="Y307" i="3" s="1"/>
  <c r="S307" i="3"/>
  <c r="AS307" i="3"/>
  <c r="AS308" i="3" s="1"/>
  <c r="AS309" i="3" s="1"/>
  <c r="AS310" i="3" s="1"/>
  <c r="AS311" i="3" s="1"/>
  <c r="AS323" i="3" s="1"/>
  <c r="AS324" i="3" s="1"/>
  <c r="AS325" i="3" s="1"/>
  <c r="AS326" i="3" s="1"/>
  <c r="AS328" i="3" l="1"/>
  <c r="AS329" i="3" s="1"/>
  <c r="AS330" i="3" s="1"/>
  <c r="AS342" i="3" s="1"/>
  <c r="AS343" i="3" s="1"/>
  <c r="S374" i="3"/>
  <c r="T374" i="3" s="1"/>
  <c r="V374" i="3" s="1"/>
  <c r="Q375" i="3"/>
  <c r="R375" i="3" s="1"/>
  <c r="S375" i="3" s="1"/>
  <c r="T375" i="3" s="1"/>
  <c r="V375" i="3" s="1"/>
  <c r="AJ307" i="3"/>
  <c r="W308" i="3"/>
  <c r="X308" i="3" s="1"/>
  <c r="Y308" i="3" s="1"/>
  <c r="H9" i="14"/>
  <c r="AS362" i="3" l="1"/>
  <c r="AS363" i="3" s="1"/>
  <c r="AS364" i="3" s="1"/>
  <c r="AS365" i="3" s="1"/>
  <c r="AK375" i="3"/>
  <c r="X375" i="3"/>
  <c r="X374" i="3"/>
  <c r="AJ374" i="3" s="1"/>
  <c r="AK374" i="3"/>
  <c r="AJ308" i="3"/>
  <c r="W309" i="3"/>
  <c r="X309" i="3" s="1"/>
  <c r="Y309" i="3" s="1"/>
  <c r="I9" i="14"/>
  <c r="J9" i="14" s="1"/>
  <c r="A4" i="14"/>
  <c r="E9" i="14"/>
  <c r="M271" i="3"/>
  <c r="L270" i="3"/>
  <c r="L271" i="3" s="1"/>
  <c r="AC302" i="3"/>
  <c r="S4" i="3"/>
  <c r="P298" i="3"/>
  <c r="R297" i="3"/>
  <c r="AJ375" i="3" l="1"/>
  <c r="W310" i="3"/>
  <c r="X310" i="3" s="1"/>
  <c r="Y310" i="3" s="1"/>
  <c r="AJ309" i="3"/>
  <c r="L295" i="3"/>
  <c r="O287" i="3"/>
  <c r="P287" i="3"/>
  <c r="AH288" i="3"/>
  <c r="AH287" i="3"/>
  <c r="AA287" i="3"/>
  <c r="W287" i="3" s="1"/>
  <c r="P290" i="3"/>
  <c r="P285" i="3"/>
  <c r="P276" i="3"/>
  <c r="P280" i="3"/>
  <c r="P279" i="3"/>
  <c r="P278" i="3"/>
  <c r="P277" i="3"/>
  <c r="W311" i="3" l="1"/>
  <c r="X311" i="3" s="1"/>
  <c r="Y311" i="3" s="1"/>
  <c r="AJ310" i="3"/>
  <c r="L297" i="3"/>
  <c r="Q290" i="3"/>
  <c r="R284" i="3"/>
  <c r="AA276" i="3"/>
  <c r="T276" i="3"/>
  <c r="R276" i="3"/>
  <c r="L278" i="3"/>
  <c r="L279" i="3"/>
  <c r="L280" i="3"/>
  <c r="Y29" i="3"/>
  <c r="AF29" i="3" s="1"/>
  <c r="P297" i="3"/>
  <c r="O297" i="3"/>
  <c r="L296" i="3"/>
  <c r="L292" i="3"/>
  <c r="P291" i="3"/>
  <c r="O291" i="3"/>
  <c r="AA297" i="3"/>
  <c r="W297" i="3" s="1"/>
  <c r="AA296" i="3"/>
  <c r="W296" i="3" s="1"/>
  <c r="P296" i="3"/>
  <c r="O296" i="3"/>
  <c r="AA295" i="3"/>
  <c r="W295" i="3" s="1"/>
  <c r="P295" i="3"/>
  <c r="O295" i="3"/>
  <c r="L291" i="3"/>
  <c r="L285" i="3"/>
  <c r="Q277" i="3"/>
  <c r="X4" i="3"/>
  <c r="K144" i="6"/>
  <c r="K45" i="6"/>
  <c r="K54" i="6"/>
  <c r="K63" i="6"/>
  <c r="K72" i="6"/>
  <c r="K81" i="6"/>
  <c r="K90" i="6"/>
  <c r="K99" i="6"/>
  <c r="K135" i="6"/>
  <c r="K126" i="6"/>
  <c r="K117" i="6"/>
  <c r="K108" i="6"/>
  <c r="J54" i="6"/>
  <c r="J45" i="6"/>
  <c r="J72" i="6"/>
  <c r="J63" i="6"/>
  <c r="J81" i="6"/>
  <c r="J144" i="6"/>
  <c r="J135" i="6"/>
  <c r="J126" i="6"/>
  <c r="J117" i="6"/>
  <c r="J90" i="6"/>
  <c r="J99" i="6"/>
  <c r="J108" i="6"/>
  <c r="T288" i="3"/>
  <c r="Q288" i="3"/>
  <c r="W323" i="3" l="1"/>
  <c r="AJ311" i="3"/>
  <c r="O29" i="3"/>
  <c r="N29" i="3" s="1"/>
  <c r="V29" i="3"/>
  <c r="Q276" i="3" l="1"/>
  <c r="T284" i="3"/>
  <c r="V284" i="3" s="1"/>
  <c r="AK284" i="3" s="1"/>
  <c r="AC284" i="3" s="1"/>
  <c r="Q284" i="3"/>
  <c r="S284" i="3" s="1"/>
  <c r="AA292" i="3"/>
  <c r="W292" i="3" s="1"/>
  <c r="P292" i="3"/>
  <c r="O292" i="3"/>
  <c r="AA291" i="3"/>
  <c r="W291" i="3" s="1"/>
  <c r="AA288" i="3"/>
  <c r="P288" i="3"/>
  <c r="O288" i="3"/>
  <c r="AA284" i="3"/>
  <c r="W284" i="3" s="1"/>
  <c r="P284" i="3"/>
  <c r="O284" i="3"/>
  <c r="AA280" i="3"/>
  <c r="W280" i="3" s="1"/>
  <c r="O280" i="3"/>
  <c r="AA279" i="3"/>
  <c r="W279" i="3" s="1"/>
  <c r="O279" i="3"/>
  <c r="AA278" i="3"/>
  <c r="W278" i="3" s="1"/>
  <c r="O278" i="3"/>
  <c r="W276" i="3"/>
  <c r="O276" i="3"/>
  <c r="W244" i="3"/>
  <c r="Q244" i="3"/>
  <c r="P244" i="3"/>
  <c r="O244" i="3"/>
  <c r="W288" i="3" l="1"/>
  <c r="X284" i="3"/>
  <c r="W285" i="3" s="1"/>
  <c r="AJ284" i="3" l="1"/>
  <c r="AH276" i="3"/>
  <c r="AQ298" i="3"/>
  <c r="V252" i="3"/>
  <c r="Y252" i="3" s="1"/>
  <c r="U158" i="3"/>
  <c r="T158" i="3"/>
  <c r="S158" i="3"/>
  <c r="M157" i="3"/>
  <c r="P157" i="3" s="1"/>
  <c r="A223" i="3"/>
  <c r="A224" i="3" s="1"/>
  <c r="I635" i="12"/>
  <c r="U628" i="12"/>
  <c r="R628" i="12"/>
  <c r="M628" i="12"/>
  <c r="L628" i="12"/>
  <c r="S628" i="12" s="1"/>
  <c r="K628" i="12"/>
  <c r="I628" i="12"/>
  <c r="H628" i="12"/>
  <c r="M627" i="12"/>
  <c r="K627" i="12"/>
  <c r="I627" i="12"/>
  <c r="L627" i="12" s="1"/>
  <c r="M626" i="12"/>
  <c r="K626" i="12"/>
  <c r="I626" i="12"/>
  <c r="N625" i="12"/>
  <c r="V623" i="12"/>
  <c r="W622" i="12"/>
  <c r="K622" i="12"/>
  <c r="M621" i="12"/>
  <c r="I621" i="12"/>
  <c r="L621" i="12" s="1"/>
  <c r="U620" i="12"/>
  <c r="Q620" i="12"/>
  <c r="M620" i="12"/>
  <c r="L620" i="12"/>
  <c r="P620" i="12" s="1"/>
  <c r="I620" i="12"/>
  <c r="T619" i="12"/>
  <c r="N619" i="12"/>
  <c r="N620" i="12" s="1"/>
  <c r="M619" i="12"/>
  <c r="I619" i="12"/>
  <c r="L619" i="12" s="1"/>
  <c r="T618" i="12"/>
  <c r="N618" i="12"/>
  <c r="M618" i="12"/>
  <c r="L618" i="12"/>
  <c r="I618" i="12"/>
  <c r="U614" i="12"/>
  <c r="Q614" i="12"/>
  <c r="P614" i="12"/>
  <c r="P613" i="12"/>
  <c r="U612" i="12"/>
  <c r="R610" i="12"/>
  <c r="R611" i="12" s="1"/>
  <c r="P610" i="12"/>
  <c r="P612" i="12" s="1"/>
  <c r="Q611" i="12" s="1"/>
  <c r="Q612" i="12" s="1"/>
  <c r="R609" i="12"/>
  <c r="S609" i="12" s="1"/>
  <c r="I608" i="12"/>
  <c r="M601" i="12"/>
  <c r="K601" i="12"/>
  <c r="L601" i="12" s="1"/>
  <c r="I601" i="12"/>
  <c r="H601" i="12"/>
  <c r="S600" i="12"/>
  <c r="M600" i="12"/>
  <c r="K600" i="12"/>
  <c r="I600" i="12"/>
  <c r="L600" i="12" s="1"/>
  <c r="R600" i="12" s="1"/>
  <c r="P600" i="12" s="1"/>
  <c r="M599" i="12"/>
  <c r="K599" i="12"/>
  <c r="I599" i="12"/>
  <c r="L599" i="12" s="1"/>
  <c r="R599" i="12" s="1"/>
  <c r="N598" i="12"/>
  <c r="K595" i="12"/>
  <c r="M594" i="12"/>
  <c r="L594" i="12"/>
  <c r="I594" i="12"/>
  <c r="U593" i="12"/>
  <c r="M593" i="12"/>
  <c r="I593" i="12"/>
  <c r="L593" i="12" s="1"/>
  <c r="T592" i="12"/>
  <c r="P592" i="12"/>
  <c r="Q592" i="12" s="1"/>
  <c r="N592" i="12"/>
  <c r="N593" i="12" s="1"/>
  <c r="N594" i="12" s="1"/>
  <c r="M592" i="12"/>
  <c r="I592" i="12"/>
  <c r="L592" i="12" s="1"/>
  <c r="T591" i="12"/>
  <c r="R591" i="12"/>
  <c r="S591" i="12" s="1"/>
  <c r="N591" i="12"/>
  <c r="M591" i="12"/>
  <c r="L591" i="12"/>
  <c r="P591" i="12" s="1"/>
  <c r="I591" i="12"/>
  <c r="Q587" i="12"/>
  <c r="I578" i="12"/>
  <c r="M571" i="12"/>
  <c r="K571" i="12"/>
  <c r="L571" i="12" s="1"/>
  <c r="I571" i="12"/>
  <c r="H571" i="12"/>
  <c r="M570" i="12"/>
  <c r="K570" i="12"/>
  <c r="I570" i="12"/>
  <c r="L570" i="12" s="1"/>
  <c r="S569" i="12"/>
  <c r="M569" i="12"/>
  <c r="K569" i="12"/>
  <c r="I569" i="12"/>
  <c r="L569" i="12" s="1"/>
  <c r="R569" i="12" s="1"/>
  <c r="N568" i="12"/>
  <c r="K565" i="12"/>
  <c r="M564" i="12"/>
  <c r="L564" i="12"/>
  <c r="I564" i="12"/>
  <c r="U563" i="12"/>
  <c r="M563" i="12"/>
  <c r="L563" i="12"/>
  <c r="P563" i="12" s="1"/>
  <c r="Q563" i="12" s="1"/>
  <c r="I563" i="12"/>
  <c r="T562" i="12"/>
  <c r="P562" i="12"/>
  <c r="Q562" i="12" s="1"/>
  <c r="N562" i="12"/>
  <c r="N563" i="12" s="1"/>
  <c r="M562" i="12"/>
  <c r="I562" i="12"/>
  <c r="L562" i="12" s="1"/>
  <c r="R562" i="12" s="1"/>
  <c r="S562" i="12" s="1"/>
  <c r="T561" i="12"/>
  <c r="N561" i="12"/>
  <c r="M561" i="12"/>
  <c r="L561" i="12"/>
  <c r="I561" i="12"/>
  <c r="Q557" i="12"/>
  <c r="I548" i="12"/>
  <c r="M541" i="12"/>
  <c r="K541" i="12"/>
  <c r="L541" i="12" s="1"/>
  <c r="I541" i="12"/>
  <c r="H541" i="12"/>
  <c r="R540" i="12"/>
  <c r="P540" i="12" s="1"/>
  <c r="M540" i="12"/>
  <c r="K540" i="12"/>
  <c r="I540" i="12"/>
  <c r="L540" i="12" s="1"/>
  <c r="S540" i="12" s="1"/>
  <c r="Q540" i="12" s="1"/>
  <c r="M539" i="12"/>
  <c r="K539" i="12"/>
  <c r="I539" i="12"/>
  <c r="L539" i="12" s="1"/>
  <c r="N538" i="12"/>
  <c r="K535" i="12"/>
  <c r="M534" i="12"/>
  <c r="I534" i="12"/>
  <c r="L534" i="12" s="1"/>
  <c r="U533" i="12"/>
  <c r="M533" i="12"/>
  <c r="I533" i="12"/>
  <c r="L533" i="12" s="1"/>
  <c r="P533" i="12" s="1"/>
  <c r="Q533" i="12" s="1"/>
  <c r="T532" i="12"/>
  <c r="P532" i="12"/>
  <c r="Q532" i="12" s="1"/>
  <c r="N532" i="12"/>
  <c r="N533" i="12" s="1"/>
  <c r="M532" i="12"/>
  <c r="I532" i="12"/>
  <c r="L532" i="12" s="1"/>
  <c r="T531" i="12"/>
  <c r="Q531" i="12"/>
  <c r="N531" i="12"/>
  <c r="M531" i="12"/>
  <c r="R531" i="12" s="1"/>
  <c r="S531" i="12" s="1"/>
  <c r="L531" i="12"/>
  <c r="P531" i="12" s="1"/>
  <c r="I531" i="12"/>
  <c r="Q527" i="12"/>
  <c r="I519" i="12"/>
  <c r="M512" i="12"/>
  <c r="L512" i="12"/>
  <c r="K512" i="12"/>
  <c r="I512" i="12"/>
  <c r="H512" i="12"/>
  <c r="S511" i="12"/>
  <c r="M511" i="12"/>
  <c r="K511" i="12"/>
  <c r="I511" i="12"/>
  <c r="L511" i="12" s="1"/>
  <c r="R511" i="12" s="1"/>
  <c r="M510" i="12"/>
  <c r="K510" i="12"/>
  <c r="I510" i="12"/>
  <c r="L510" i="12" s="1"/>
  <c r="N509" i="12"/>
  <c r="K506" i="12"/>
  <c r="M505" i="12"/>
  <c r="I505" i="12"/>
  <c r="L505" i="12" s="1"/>
  <c r="U504" i="12"/>
  <c r="R504" i="12"/>
  <c r="S504" i="12" s="1"/>
  <c r="Q504" i="12"/>
  <c r="M504" i="12"/>
  <c r="L504" i="12"/>
  <c r="P504" i="12" s="1"/>
  <c r="I504" i="12"/>
  <c r="T503" i="12"/>
  <c r="N503" i="12"/>
  <c r="N504" i="12" s="1"/>
  <c r="N505" i="12" s="1"/>
  <c r="M503" i="12"/>
  <c r="I503" i="12"/>
  <c r="L503" i="12" s="1"/>
  <c r="T502" i="12"/>
  <c r="M502" i="12"/>
  <c r="L502" i="12"/>
  <c r="P502" i="12" s="1"/>
  <c r="I502" i="12"/>
  <c r="Q498" i="12"/>
  <c r="I491" i="12"/>
  <c r="M484" i="12"/>
  <c r="K484" i="12"/>
  <c r="I484" i="12"/>
  <c r="H484" i="12"/>
  <c r="R483" i="12"/>
  <c r="P483" i="12" s="1"/>
  <c r="M483" i="12"/>
  <c r="L483" i="12"/>
  <c r="S483" i="12" s="1"/>
  <c r="K483" i="12"/>
  <c r="I483" i="12"/>
  <c r="S482" i="12"/>
  <c r="R482" i="12"/>
  <c r="M482" i="12"/>
  <c r="K482" i="12"/>
  <c r="I482" i="12"/>
  <c r="L482" i="12" s="1"/>
  <c r="N481" i="12"/>
  <c r="K478" i="12"/>
  <c r="M477" i="12"/>
  <c r="I477" i="12"/>
  <c r="L477" i="12" s="1"/>
  <c r="U476" i="12"/>
  <c r="Q476" i="12"/>
  <c r="M476" i="12"/>
  <c r="L476" i="12"/>
  <c r="P476" i="12" s="1"/>
  <c r="I476" i="12"/>
  <c r="T475" i="12"/>
  <c r="N475" i="12"/>
  <c r="M475" i="12"/>
  <c r="I475" i="12"/>
  <c r="L475" i="12" s="1"/>
  <c r="P475" i="12" s="1"/>
  <c r="Q475" i="12" s="1"/>
  <c r="T474" i="12"/>
  <c r="P474" i="12"/>
  <c r="M474" i="12"/>
  <c r="L474" i="12"/>
  <c r="R474" i="12" s="1"/>
  <c r="S474" i="12" s="1"/>
  <c r="I474" i="12"/>
  <c r="Q470" i="12"/>
  <c r="I463" i="12"/>
  <c r="S456" i="12"/>
  <c r="M456" i="12"/>
  <c r="K456" i="12"/>
  <c r="I456" i="12"/>
  <c r="L456" i="12" s="1"/>
  <c r="R456" i="12" s="1"/>
  <c r="H456" i="12"/>
  <c r="R455" i="12"/>
  <c r="P455" i="12" s="1"/>
  <c r="M455" i="12"/>
  <c r="K455" i="12"/>
  <c r="L455" i="12" s="1"/>
  <c r="S455" i="12" s="1"/>
  <c r="Q455" i="12" s="1"/>
  <c r="I455" i="12"/>
  <c r="M454" i="12"/>
  <c r="L454" i="12"/>
  <c r="K454" i="12"/>
  <c r="I454" i="12"/>
  <c r="N453" i="12"/>
  <c r="K450" i="12"/>
  <c r="M449" i="12"/>
  <c r="I449" i="12"/>
  <c r="L449" i="12" s="1"/>
  <c r="P449" i="12" s="1"/>
  <c r="Q449" i="12" s="1"/>
  <c r="U448" i="12"/>
  <c r="M448" i="12"/>
  <c r="I448" i="12"/>
  <c r="L448" i="12" s="1"/>
  <c r="T447" i="12"/>
  <c r="M447" i="12"/>
  <c r="L447" i="12"/>
  <c r="I447" i="12"/>
  <c r="T446" i="12"/>
  <c r="N446" i="12"/>
  <c r="N447" i="12" s="1"/>
  <c r="N448" i="12" s="1"/>
  <c r="N449" i="12" s="1"/>
  <c r="R449" i="12" s="1"/>
  <c r="S449" i="12" s="1"/>
  <c r="M446" i="12"/>
  <c r="L446" i="12"/>
  <c r="I446" i="12"/>
  <c r="Q442" i="12"/>
  <c r="I434" i="12"/>
  <c r="S427" i="12"/>
  <c r="M427" i="12"/>
  <c r="K427" i="12"/>
  <c r="I427" i="12"/>
  <c r="L427" i="12" s="1"/>
  <c r="R427" i="12" s="1"/>
  <c r="H427" i="12"/>
  <c r="M426" i="12"/>
  <c r="K426" i="12"/>
  <c r="I426" i="12"/>
  <c r="L426" i="12" s="1"/>
  <c r="P425" i="12"/>
  <c r="M425" i="12"/>
  <c r="R425" i="12" s="1"/>
  <c r="L425" i="12"/>
  <c r="K425" i="12"/>
  <c r="I425" i="12"/>
  <c r="N424" i="12"/>
  <c r="K421" i="12"/>
  <c r="Q420" i="12"/>
  <c r="M420" i="12"/>
  <c r="L420" i="12"/>
  <c r="P420" i="12" s="1"/>
  <c r="I420" i="12"/>
  <c r="U419" i="12"/>
  <c r="M419" i="12"/>
  <c r="I419" i="12"/>
  <c r="L419" i="12" s="1"/>
  <c r="T418" i="12"/>
  <c r="N418" i="12"/>
  <c r="N419" i="12" s="1"/>
  <c r="N420" i="12" s="1"/>
  <c r="R420" i="12" s="1"/>
  <c r="S420" i="12" s="1"/>
  <c r="M418" i="12"/>
  <c r="L418" i="12"/>
  <c r="I418" i="12"/>
  <c r="T417" i="12"/>
  <c r="M417" i="12"/>
  <c r="I417" i="12"/>
  <c r="L417" i="12" s="1"/>
  <c r="Q413" i="12"/>
  <c r="I403" i="12"/>
  <c r="S396" i="12"/>
  <c r="Q396" i="12" s="1"/>
  <c r="R396" i="12"/>
  <c r="M396" i="12"/>
  <c r="L396" i="12"/>
  <c r="K396" i="12"/>
  <c r="I396" i="12"/>
  <c r="H396" i="12"/>
  <c r="S395" i="12"/>
  <c r="R395" i="12"/>
  <c r="Q395" i="12"/>
  <c r="M395" i="12"/>
  <c r="K395" i="12"/>
  <c r="I395" i="12"/>
  <c r="L395" i="12" s="1"/>
  <c r="M394" i="12"/>
  <c r="L394" i="12"/>
  <c r="K394" i="12"/>
  <c r="I394" i="12"/>
  <c r="N393" i="12"/>
  <c r="U392" i="12"/>
  <c r="K390" i="12"/>
  <c r="M389" i="12"/>
  <c r="I389" i="12"/>
  <c r="L389" i="12" s="1"/>
  <c r="P389" i="12" s="1"/>
  <c r="Q389" i="12" s="1"/>
  <c r="U388" i="12"/>
  <c r="M388" i="12"/>
  <c r="I388" i="12"/>
  <c r="L388" i="12" s="1"/>
  <c r="M387" i="12"/>
  <c r="L387" i="12"/>
  <c r="I387" i="12"/>
  <c r="U386" i="12"/>
  <c r="N386" i="12"/>
  <c r="N387" i="12" s="1"/>
  <c r="N388" i="12" s="1"/>
  <c r="N389" i="12" s="1"/>
  <c r="R389" i="12" s="1"/>
  <c r="S389" i="12" s="1"/>
  <c r="M386" i="12"/>
  <c r="I386" i="12"/>
  <c r="L386" i="12" s="1"/>
  <c r="U385" i="12"/>
  <c r="U382" i="12"/>
  <c r="Q382" i="12"/>
  <c r="U381" i="12"/>
  <c r="P375" i="12"/>
  <c r="N375" i="12"/>
  <c r="I375" i="12"/>
  <c r="P374" i="12"/>
  <c r="N374" i="12"/>
  <c r="M368" i="12"/>
  <c r="L368" i="12"/>
  <c r="K368" i="12"/>
  <c r="I368" i="12"/>
  <c r="H368" i="12"/>
  <c r="M367" i="12"/>
  <c r="L367" i="12"/>
  <c r="K367" i="12"/>
  <c r="I367" i="12"/>
  <c r="M366" i="12"/>
  <c r="K366" i="12"/>
  <c r="I366" i="12"/>
  <c r="L366" i="12" s="1"/>
  <c r="N365" i="12"/>
  <c r="K362" i="12"/>
  <c r="N361" i="12"/>
  <c r="M361" i="12"/>
  <c r="L361" i="12"/>
  <c r="I361" i="12"/>
  <c r="U360" i="12"/>
  <c r="N360" i="12"/>
  <c r="M360" i="12"/>
  <c r="L360" i="12"/>
  <c r="I360" i="12"/>
  <c r="N359" i="12"/>
  <c r="M359" i="12"/>
  <c r="I359" i="12"/>
  <c r="L359" i="12" s="1"/>
  <c r="M358" i="12"/>
  <c r="I358" i="12"/>
  <c r="L358" i="12" s="1"/>
  <c r="Q354" i="12"/>
  <c r="P348" i="12"/>
  <c r="N348" i="12"/>
  <c r="I348" i="12"/>
  <c r="P347" i="12"/>
  <c r="N347" i="12"/>
  <c r="M341" i="12"/>
  <c r="K341" i="12"/>
  <c r="I341" i="12"/>
  <c r="L341" i="12" s="1"/>
  <c r="H341" i="12"/>
  <c r="M340" i="12"/>
  <c r="K340" i="12"/>
  <c r="L340" i="12" s="1"/>
  <c r="I340" i="12"/>
  <c r="M339" i="12"/>
  <c r="K339" i="12"/>
  <c r="I339" i="12"/>
  <c r="L339" i="12" s="1"/>
  <c r="N338" i="12"/>
  <c r="K335" i="12"/>
  <c r="M334" i="12"/>
  <c r="L334" i="12"/>
  <c r="I334" i="12"/>
  <c r="U333" i="12"/>
  <c r="N333" i="12"/>
  <c r="N334" i="12" s="1"/>
  <c r="M333" i="12"/>
  <c r="P333" i="12" s="1"/>
  <c r="Q333" i="12" s="1"/>
  <c r="L333" i="12"/>
  <c r="I333" i="12"/>
  <c r="N332" i="12"/>
  <c r="M332" i="12"/>
  <c r="L332" i="12"/>
  <c r="I332" i="12"/>
  <c r="R331" i="12"/>
  <c r="P331" i="12"/>
  <c r="N331" i="12"/>
  <c r="M331" i="12"/>
  <c r="L331" i="12"/>
  <c r="I331" i="12"/>
  <c r="Q327" i="12"/>
  <c r="I322" i="12"/>
  <c r="M315" i="12"/>
  <c r="K315" i="12"/>
  <c r="L315" i="12" s="1"/>
  <c r="I315" i="12"/>
  <c r="H315" i="12"/>
  <c r="M314" i="12"/>
  <c r="K314" i="12"/>
  <c r="I314" i="12"/>
  <c r="L314" i="12" s="1"/>
  <c r="M313" i="12"/>
  <c r="K313" i="12"/>
  <c r="I313" i="12"/>
  <c r="L313" i="12" s="1"/>
  <c r="N312" i="12"/>
  <c r="K309" i="12"/>
  <c r="M308" i="12"/>
  <c r="I308" i="12"/>
  <c r="L308" i="12" s="1"/>
  <c r="U307" i="12"/>
  <c r="M307" i="12"/>
  <c r="L307" i="12"/>
  <c r="I307" i="12"/>
  <c r="N306" i="12"/>
  <c r="N307" i="12" s="1"/>
  <c r="N308" i="12" s="1"/>
  <c r="M306" i="12"/>
  <c r="R306" i="12" s="1"/>
  <c r="S306" i="12" s="1"/>
  <c r="L306" i="12"/>
  <c r="I306" i="12"/>
  <c r="S305" i="12"/>
  <c r="R305" i="12"/>
  <c r="Q305" i="12"/>
  <c r="P305" i="12"/>
  <c r="N305" i="12"/>
  <c r="M305" i="12"/>
  <c r="I305" i="12"/>
  <c r="L305" i="12" s="1"/>
  <c r="U304" i="12"/>
  <c r="Q301" i="12"/>
  <c r="P298" i="12"/>
  <c r="Q297" i="12"/>
  <c r="P297" i="12"/>
  <c r="N297" i="12"/>
  <c r="N296" i="12"/>
  <c r="I296" i="12"/>
  <c r="R295" i="12"/>
  <c r="Q295" i="12"/>
  <c r="P295" i="12"/>
  <c r="M289" i="12"/>
  <c r="K289" i="12"/>
  <c r="I289" i="12"/>
  <c r="H289" i="12"/>
  <c r="M288" i="12"/>
  <c r="L288" i="12"/>
  <c r="K288" i="12"/>
  <c r="I288" i="12"/>
  <c r="M287" i="12"/>
  <c r="K287" i="12"/>
  <c r="I287" i="12"/>
  <c r="L287" i="12" s="1"/>
  <c r="N286" i="12"/>
  <c r="K283" i="12"/>
  <c r="P282" i="12"/>
  <c r="Q282" i="12" s="1"/>
  <c r="N282" i="12"/>
  <c r="R282" i="12" s="1"/>
  <c r="S282" i="12" s="1"/>
  <c r="M282" i="12"/>
  <c r="I282" i="12"/>
  <c r="L282" i="12" s="1"/>
  <c r="R281" i="12"/>
  <c r="S281" i="12" s="1"/>
  <c r="P281" i="12"/>
  <c r="Q281" i="12" s="1"/>
  <c r="M281" i="12"/>
  <c r="I281" i="12"/>
  <c r="L281" i="12" s="1"/>
  <c r="P280" i="12"/>
  <c r="Q280" i="12" s="1"/>
  <c r="N280" i="12"/>
  <c r="N281" i="12" s="1"/>
  <c r="M280" i="12"/>
  <c r="I280" i="12"/>
  <c r="L280" i="12" s="1"/>
  <c r="R280" i="12" s="1"/>
  <c r="S280" i="12" s="1"/>
  <c r="N279" i="12"/>
  <c r="M279" i="12"/>
  <c r="L279" i="12"/>
  <c r="I279" i="12"/>
  <c r="I267" i="12"/>
  <c r="M260" i="12"/>
  <c r="K260" i="12"/>
  <c r="I260" i="12"/>
  <c r="L260" i="12" s="1"/>
  <c r="H260" i="12"/>
  <c r="M259" i="12"/>
  <c r="L259" i="12"/>
  <c r="K259" i="12"/>
  <c r="I259" i="12"/>
  <c r="M258" i="12"/>
  <c r="L258" i="12"/>
  <c r="K258" i="12"/>
  <c r="I258" i="12"/>
  <c r="N257" i="12"/>
  <c r="K254" i="12"/>
  <c r="P253" i="12"/>
  <c r="Q253" i="12" s="1"/>
  <c r="M253" i="12"/>
  <c r="I253" i="12"/>
  <c r="L253" i="12" s="1"/>
  <c r="N252" i="12"/>
  <c r="N253" i="12" s="1"/>
  <c r="M252" i="12"/>
  <c r="I252" i="12"/>
  <c r="L252" i="12" s="1"/>
  <c r="S251" i="12"/>
  <c r="P251" i="12"/>
  <c r="Q251" i="12" s="1"/>
  <c r="N251" i="12"/>
  <c r="M251" i="12"/>
  <c r="L251" i="12"/>
  <c r="R251" i="12" s="1"/>
  <c r="I251" i="12"/>
  <c r="R250" i="12"/>
  <c r="Q250" i="12"/>
  <c r="M250" i="12"/>
  <c r="I250" i="12"/>
  <c r="L250" i="12" s="1"/>
  <c r="P250" i="12" s="1"/>
  <c r="I239" i="12"/>
  <c r="N231" i="12" s="1"/>
  <c r="N232" i="12"/>
  <c r="M232" i="12"/>
  <c r="K232" i="12"/>
  <c r="I232" i="12"/>
  <c r="L232" i="12" s="1"/>
  <c r="H232" i="12"/>
  <c r="Q231" i="12"/>
  <c r="P231" i="12"/>
  <c r="M231" i="12"/>
  <c r="K231" i="12"/>
  <c r="I231" i="12"/>
  <c r="L231" i="12" s="1"/>
  <c r="P230" i="12"/>
  <c r="N230" i="12"/>
  <c r="M230" i="12"/>
  <c r="K230" i="12"/>
  <c r="I230" i="12"/>
  <c r="L230" i="12" s="1"/>
  <c r="K226" i="12"/>
  <c r="P225" i="12"/>
  <c r="Q225" i="12" s="1"/>
  <c r="M225" i="12"/>
  <c r="I225" i="12"/>
  <c r="L225" i="12" s="1"/>
  <c r="M224" i="12"/>
  <c r="L224" i="12"/>
  <c r="I224" i="12"/>
  <c r="M223" i="12"/>
  <c r="L223" i="12"/>
  <c r="P223" i="12" s="1"/>
  <c r="Q223" i="12" s="1"/>
  <c r="I223" i="12"/>
  <c r="M222" i="12"/>
  <c r="L222" i="12"/>
  <c r="P222" i="12" s="1"/>
  <c r="I222" i="12"/>
  <c r="S208" i="12"/>
  <c r="I199" i="12"/>
  <c r="P192" i="12"/>
  <c r="N192" i="12"/>
  <c r="M192" i="12"/>
  <c r="K192" i="12"/>
  <c r="I192" i="12"/>
  <c r="L192" i="12" s="1"/>
  <c r="H192" i="12"/>
  <c r="M191" i="12"/>
  <c r="K191" i="12"/>
  <c r="L191" i="12" s="1"/>
  <c r="I191" i="12"/>
  <c r="Q190" i="12"/>
  <c r="P190" i="12"/>
  <c r="N190" i="12"/>
  <c r="N191" i="12" s="1"/>
  <c r="M190" i="12"/>
  <c r="K190" i="12"/>
  <c r="I190" i="12"/>
  <c r="L190" i="12" s="1"/>
  <c r="K186" i="12"/>
  <c r="M185" i="12"/>
  <c r="I185" i="12"/>
  <c r="L185" i="12" s="1"/>
  <c r="P185" i="12" s="1"/>
  <c r="Q185" i="12" s="1"/>
  <c r="M184" i="12"/>
  <c r="P184" i="12" s="1"/>
  <c r="Q184" i="12" s="1"/>
  <c r="I184" i="12"/>
  <c r="L184" i="12" s="1"/>
  <c r="M183" i="12"/>
  <c r="I183" i="12"/>
  <c r="L183" i="12" s="1"/>
  <c r="M182" i="12"/>
  <c r="I182" i="12"/>
  <c r="L182" i="12" s="1"/>
  <c r="P182" i="12" s="1"/>
  <c r="I170" i="12"/>
  <c r="N163" i="12"/>
  <c r="M163" i="12"/>
  <c r="L163" i="12"/>
  <c r="K163" i="12"/>
  <c r="I163" i="12"/>
  <c r="H163" i="12"/>
  <c r="M162" i="12"/>
  <c r="K162" i="12"/>
  <c r="I162" i="12"/>
  <c r="L162" i="12" s="1"/>
  <c r="N161" i="12"/>
  <c r="N162" i="12" s="1"/>
  <c r="M161" i="12"/>
  <c r="L161" i="12"/>
  <c r="Q161" i="12" s="1"/>
  <c r="K161" i="12"/>
  <c r="I161" i="12"/>
  <c r="K157" i="12"/>
  <c r="M156" i="12"/>
  <c r="P156" i="12" s="1"/>
  <c r="Q156" i="12" s="1"/>
  <c r="L156" i="12"/>
  <c r="I156" i="12"/>
  <c r="M155" i="12"/>
  <c r="L155" i="12"/>
  <c r="I155" i="12"/>
  <c r="M154" i="12"/>
  <c r="I154" i="12"/>
  <c r="L154" i="12" s="1"/>
  <c r="P154" i="12" s="1"/>
  <c r="Q154" i="12" s="1"/>
  <c r="Q153" i="12"/>
  <c r="M153" i="12"/>
  <c r="I153" i="12"/>
  <c r="L153" i="12" s="1"/>
  <c r="P153" i="12" s="1"/>
  <c r="I140" i="12"/>
  <c r="N133" i="12"/>
  <c r="M133" i="12"/>
  <c r="K133" i="12"/>
  <c r="L133" i="12" s="1"/>
  <c r="I133" i="12"/>
  <c r="H133" i="12"/>
  <c r="N132" i="12"/>
  <c r="M132" i="12"/>
  <c r="L132" i="12"/>
  <c r="K132" i="12"/>
  <c r="I132" i="12"/>
  <c r="N131" i="12"/>
  <c r="M131" i="12"/>
  <c r="K131" i="12"/>
  <c r="L131" i="12" s="1"/>
  <c r="I131" i="12"/>
  <c r="K127" i="12"/>
  <c r="Q126" i="12"/>
  <c r="M126" i="12"/>
  <c r="L126" i="12"/>
  <c r="P126" i="12" s="1"/>
  <c r="I126" i="12"/>
  <c r="Q125" i="12"/>
  <c r="P125" i="12"/>
  <c r="M125" i="12"/>
  <c r="I125" i="12"/>
  <c r="L125" i="12" s="1"/>
  <c r="M124" i="12"/>
  <c r="I124" i="12"/>
  <c r="L124" i="12" s="1"/>
  <c r="P124" i="12" s="1"/>
  <c r="Q124" i="12" s="1"/>
  <c r="M123" i="12"/>
  <c r="L123" i="12"/>
  <c r="P123" i="12" s="1"/>
  <c r="I123" i="12"/>
  <c r="I111" i="12"/>
  <c r="M104" i="12"/>
  <c r="K104" i="12"/>
  <c r="I104" i="12"/>
  <c r="L104" i="12" s="1"/>
  <c r="H104" i="12"/>
  <c r="M103" i="12"/>
  <c r="K103" i="12"/>
  <c r="I103" i="12"/>
  <c r="L103" i="12" s="1"/>
  <c r="Q102" i="12"/>
  <c r="M102" i="12"/>
  <c r="L102" i="12"/>
  <c r="P102" i="12" s="1"/>
  <c r="K102" i="12"/>
  <c r="I102" i="12"/>
  <c r="K98" i="12"/>
  <c r="N97" i="12"/>
  <c r="M97" i="12"/>
  <c r="I97" i="12"/>
  <c r="L97" i="12" s="1"/>
  <c r="Q96" i="12"/>
  <c r="P96" i="12"/>
  <c r="N96" i="12"/>
  <c r="M96" i="12"/>
  <c r="I96" i="12"/>
  <c r="L96" i="12" s="1"/>
  <c r="N95" i="12"/>
  <c r="M95" i="12"/>
  <c r="I95" i="12"/>
  <c r="L95" i="12" s="1"/>
  <c r="P95" i="12" s="1"/>
  <c r="Q95" i="12" s="1"/>
  <c r="Q94" i="12"/>
  <c r="M94" i="12"/>
  <c r="L94" i="12"/>
  <c r="P94" i="12" s="1"/>
  <c r="I94" i="12"/>
  <c r="I81" i="12"/>
  <c r="Q74" i="12"/>
  <c r="P74" i="12"/>
  <c r="N74" i="12"/>
  <c r="M74" i="12"/>
  <c r="K74" i="12"/>
  <c r="I74" i="12"/>
  <c r="L74" i="12" s="1"/>
  <c r="H74" i="12"/>
  <c r="N73" i="12"/>
  <c r="M73" i="12"/>
  <c r="K73" i="12"/>
  <c r="L73" i="12" s="1"/>
  <c r="P73" i="12" s="1"/>
  <c r="I73" i="12"/>
  <c r="N72" i="12"/>
  <c r="M72" i="12"/>
  <c r="L72" i="12"/>
  <c r="K72" i="12"/>
  <c r="I72" i="12"/>
  <c r="K68" i="12"/>
  <c r="N67" i="12"/>
  <c r="M67" i="12"/>
  <c r="L67" i="12"/>
  <c r="P67" i="12" s="1"/>
  <c r="Q67" i="12" s="1"/>
  <c r="I67" i="12"/>
  <c r="P66" i="12"/>
  <c r="Q66" i="12" s="1"/>
  <c r="N66" i="12"/>
  <c r="M66" i="12"/>
  <c r="L66" i="12"/>
  <c r="I66" i="12"/>
  <c r="Q65" i="12"/>
  <c r="P65" i="12"/>
  <c r="N65" i="12"/>
  <c r="M65" i="12"/>
  <c r="I65" i="12"/>
  <c r="L65" i="12" s="1"/>
  <c r="M64" i="12"/>
  <c r="L64" i="12"/>
  <c r="P64" i="12" s="1"/>
  <c r="Q64" i="12" s="1"/>
  <c r="I64" i="12"/>
  <c r="M55" i="12"/>
  <c r="M54" i="12"/>
  <c r="M53" i="12"/>
  <c r="I53" i="12"/>
  <c r="M46" i="12"/>
  <c r="P46" i="12" s="1"/>
  <c r="L46" i="12"/>
  <c r="Q46" i="12" s="1"/>
  <c r="K46" i="12"/>
  <c r="I46" i="12"/>
  <c r="H46" i="12"/>
  <c r="P45" i="12"/>
  <c r="M45" i="12"/>
  <c r="L45" i="12"/>
  <c r="K45" i="12"/>
  <c r="I45" i="12"/>
  <c r="M44" i="12"/>
  <c r="K44" i="12"/>
  <c r="I44" i="12"/>
  <c r="L44" i="12" s="1"/>
  <c r="K40" i="12"/>
  <c r="M39" i="12"/>
  <c r="L39" i="12"/>
  <c r="I39" i="12"/>
  <c r="Q38" i="12"/>
  <c r="N38" i="12"/>
  <c r="M38" i="12"/>
  <c r="L38" i="12"/>
  <c r="P38" i="12" s="1"/>
  <c r="M37" i="12"/>
  <c r="L37" i="12"/>
  <c r="N36" i="12"/>
  <c r="M36" i="12"/>
  <c r="L36" i="12"/>
  <c r="P36" i="12" s="1"/>
  <c r="N29" i="12"/>
  <c r="I23" i="12"/>
  <c r="M16" i="12"/>
  <c r="L16" i="12"/>
  <c r="K16" i="12"/>
  <c r="H16" i="12"/>
  <c r="M15" i="12"/>
  <c r="K15" i="12"/>
  <c r="L15" i="12" s="1"/>
  <c r="M14" i="12"/>
  <c r="K14" i="12"/>
  <c r="L14" i="12" s="1"/>
  <c r="K10" i="12"/>
  <c r="N9" i="12"/>
  <c r="M9" i="12"/>
  <c r="L9" i="12"/>
  <c r="P9" i="12" s="1"/>
  <c r="Q9" i="12" s="1"/>
  <c r="I9" i="12"/>
  <c r="N8" i="12"/>
  <c r="M8" i="12"/>
  <c r="P8" i="12" s="1"/>
  <c r="Q8" i="12" s="1"/>
  <c r="L8" i="12"/>
  <c r="N7" i="12"/>
  <c r="M7" i="12"/>
  <c r="L7" i="12"/>
  <c r="P7" i="12" s="1"/>
  <c r="Q7" i="12" s="1"/>
  <c r="M6" i="12"/>
  <c r="L6" i="12"/>
  <c r="P6" i="12" s="1"/>
  <c r="D13" i="11"/>
  <c r="E12" i="11"/>
  <c r="D12" i="11"/>
  <c r="E11" i="11"/>
  <c r="E10" i="11"/>
  <c r="E9" i="11"/>
  <c r="E8" i="11"/>
  <c r="E7" i="11"/>
  <c r="D6" i="11"/>
  <c r="E6" i="11" s="1"/>
  <c r="T20" i="9"/>
  <c r="S20" i="9"/>
  <c r="R20" i="9"/>
  <c r="Q20" i="9"/>
  <c r="P20" i="9"/>
  <c r="O20" i="9"/>
  <c r="N20" i="9"/>
  <c r="M20" i="9"/>
  <c r="L20" i="9"/>
  <c r="T19" i="9"/>
  <c r="S19" i="9"/>
  <c r="R19" i="9"/>
  <c r="Q19" i="9"/>
  <c r="P19" i="9"/>
  <c r="O19" i="9"/>
  <c r="N19" i="9"/>
  <c r="M19" i="9"/>
  <c r="L19" i="9"/>
  <c r="T18" i="9"/>
  <c r="S18" i="9"/>
  <c r="R18" i="9"/>
  <c r="Q18" i="9"/>
  <c r="P18" i="9"/>
  <c r="O18" i="9"/>
  <c r="N18" i="9"/>
  <c r="M18" i="9"/>
  <c r="L18" i="9"/>
  <c r="T17" i="9"/>
  <c r="S17" i="9"/>
  <c r="R17" i="9"/>
  <c r="Q17" i="9"/>
  <c r="P17" i="9"/>
  <c r="O17" i="9"/>
  <c r="N17" i="9"/>
  <c r="M17" i="9"/>
  <c r="L17" i="9"/>
  <c r="T16" i="9"/>
  <c r="S16" i="9"/>
  <c r="R16" i="9"/>
  <c r="Q16" i="9"/>
  <c r="P16" i="9"/>
  <c r="O16" i="9"/>
  <c r="N16" i="9"/>
  <c r="M16" i="9"/>
  <c r="L16" i="9"/>
  <c r="T15" i="9"/>
  <c r="S15" i="9"/>
  <c r="R15" i="9"/>
  <c r="Q15" i="9"/>
  <c r="P15" i="9"/>
  <c r="O15" i="9"/>
  <c r="N15" i="9"/>
  <c r="M15" i="9"/>
  <c r="L15" i="9"/>
  <c r="C12" i="9"/>
  <c r="T11" i="9"/>
  <c r="S11" i="9"/>
  <c r="R11" i="9"/>
  <c r="Q11" i="9"/>
  <c r="P11" i="9"/>
  <c r="O11" i="9"/>
  <c r="N11" i="9"/>
  <c r="M11" i="9"/>
  <c r="L11" i="9"/>
  <c r="T10" i="9"/>
  <c r="S10" i="9"/>
  <c r="R10" i="9"/>
  <c r="Q10" i="9"/>
  <c r="P10" i="9"/>
  <c r="O10" i="9"/>
  <c r="N10" i="9"/>
  <c r="M10" i="9"/>
  <c r="L10" i="9"/>
  <c r="Z9" i="9"/>
  <c r="T9" i="9"/>
  <c r="S9" i="9"/>
  <c r="R9" i="9"/>
  <c r="Q9" i="9"/>
  <c r="P9" i="9"/>
  <c r="O9" i="9"/>
  <c r="N9" i="9"/>
  <c r="M9" i="9"/>
  <c r="L9" i="9"/>
  <c r="Z8" i="9"/>
  <c r="T8" i="9"/>
  <c r="S8" i="9"/>
  <c r="R8" i="9"/>
  <c r="Q8" i="9"/>
  <c r="P8" i="9"/>
  <c r="O8" i="9"/>
  <c r="N8" i="9"/>
  <c r="M8" i="9"/>
  <c r="L8" i="9"/>
  <c r="T7" i="9"/>
  <c r="S7" i="9"/>
  <c r="R7" i="9"/>
  <c r="Q7" i="9"/>
  <c r="P7" i="9"/>
  <c r="O7" i="9"/>
  <c r="N7" i="9"/>
  <c r="M7" i="9"/>
  <c r="L7" i="9"/>
  <c r="T6" i="9"/>
  <c r="S6" i="9"/>
  <c r="R6" i="9"/>
  <c r="Q6" i="9"/>
  <c r="P6" i="9"/>
  <c r="O6" i="9"/>
  <c r="N6" i="9"/>
  <c r="M6" i="9"/>
  <c r="L6" i="9"/>
  <c r="X4" i="9"/>
  <c r="W4" i="9"/>
  <c r="J28" i="8"/>
  <c r="K28" i="8" s="1"/>
  <c r="E28" i="8"/>
  <c r="J27" i="8"/>
  <c r="K27" i="8" s="1"/>
  <c r="E27" i="8"/>
  <c r="D27" i="8" s="1"/>
  <c r="J26" i="8"/>
  <c r="K26" i="8" s="1"/>
  <c r="E26" i="8"/>
  <c r="D26" i="8" s="1"/>
  <c r="J25" i="8"/>
  <c r="K25" i="8" s="1"/>
  <c r="E25" i="8"/>
  <c r="D25" i="8"/>
  <c r="K24" i="8"/>
  <c r="J24" i="8"/>
  <c r="E24" i="8"/>
  <c r="D24" i="8"/>
  <c r="J23" i="8"/>
  <c r="K23" i="8" s="1"/>
  <c r="E23" i="8"/>
  <c r="D23" i="8"/>
  <c r="J22" i="8"/>
  <c r="E22" i="8"/>
  <c r="H19" i="8"/>
  <c r="J19" i="8" s="1"/>
  <c r="E19" i="8"/>
  <c r="J18" i="8"/>
  <c r="H18" i="8"/>
  <c r="E18" i="8"/>
  <c r="J17" i="8"/>
  <c r="H17" i="8"/>
  <c r="E17" i="8"/>
  <c r="J16" i="8"/>
  <c r="K16" i="8" s="1"/>
  <c r="H16" i="8"/>
  <c r="E16" i="8"/>
  <c r="J15" i="8"/>
  <c r="H15" i="8"/>
  <c r="E15" i="8"/>
  <c r="H14" i="8"/>
  <c r="E14" i="8"/>
  <c r="J13" i="8"/>
  <c r="K13" i="8" s="1"/>
  <c r="E13" i="8"/>
  <c r="D13" i="8" s="1"/>
  <c r="G5" i="8"/>
  <c r="G2" i="8"/>
  <c r="K31" i="7"/>
  <c r="J31" i="7"/>
  <c r="D31" i="7" s="1"/>
  <c r="E31" i="7"/>
  <c r="K30" i="7"/>
  <c r="J30" i="7"/>
  <c r="E30" i="7"/>
  <c r="J29" i="7"/>
  <c r="D29" i="7" s="1"/>
  <c r="E29" i="7"/>
  <c r="K28" i="7"/>
  <c r="J28" i="7"/>
  <c r="E28" i="7"/>
  <c r="J27" i="7"/>
  <c r="K27" i="7" s="1"/>
  <c r="E27" i="7"/>
  <c r="D27" i="7" s="1"/>
  <c r="J26" i="7"/>
  <c r="K26" i="7" s="1"/>
  <c r="E26" i="7"/>
  <c r="D26" i="7"/>
  <c r="J25" i="7"/>
  <c r="K25" i="7" s="1"/>
  <c r="E25" i="7"/>
  <c r="H22" i="7"/>
  <c r="J22" i="7" s="1"/>
  <c r="K22" i="7" s="1"/>
  <c r="E22" i="7"/>
  <c r="D22" i="7"/>
  <c r="K21" i="7"/>
  <c r="J21" i="7"/>
  <c r="D21" i="7" s="1"/>
  <c r="H21" i="7"/>
  <c r="E21" i="7"/>
  <c r="H20" i="7"/>
  <c r="J20" i="7" s="1"/>
  <c r="K20" i="7" s="1"/>
  <c r="E20" i="7"/>
  <c r="H19" i="7"/>
  <c r="J19" i="7" s="1"/>
  <c r="K19" i="7" s="1"/>
  <c r="E19" i="7"/>
  <c r="D19" i="7" s="1"/>
  <c r="K18" i="7"/>
  <c r="J18" i="7"/>
  <c r="H18" i="7"/>
  <c r="E18" i="7"/>
  <c r="H17" i="7"/>
  <c r="J17" i="7" s="1"/>
  <c r="K17" i="7" s="1"/>
  <c r="E17" i="7"/>
  <c r="D17" i="7" s="1"/>
  <c r="J16" i="7"/>
  <c r="E16" i="7"/>
  <c r="G8" i="7"/>
  <c r="H5" i="7"/>
  <c r="G5" i="7"/>
  <c r="M3" i="7"/>
  <c r="I3" i="7"/>
  <c r="J3" i="7" s="1"/>
  <c r="K3" i="7" s="1"/>
  <c r="H3" i="7"/>
  <c r="G3" i="7"/>
  <c r="G208" i="6"/>
  <c r="C208" i="6"/>
  <c r="G202" i="6"/>
  <c r="G201" i="6"/>
  <c r="C200" i="6"/>
  <c r="C201" i="6" s="1"/>
  <c r="D164" i="6"/>
  <c r="D155" i="6"/>
  <c r="G155" i="6" s="1"/>
  <c r="I155" i="6" s="1"/>
  <c r="F153" i="6"/>
  <c r="F152" i="6"/>
  <c r="D143" i="6"/>
  <c r="F142" i="6"/>
  <c r="F140" i="6"/>
  <c r="D140" i="6"/>
  <c r="G140" i="6" s="1"/>
  <c r="I140" i="6" s="1"/>
  <c r="D134" i="6"/>
  <c r="F132" i="6"/>
  <c r="F131" i="6"/>
  <c r="F123" i="6"/>
  <c r="G123" i="6" s="1"/>
  <c r="I123" i="6" s="1"/>
  <c r="D123" i="6"/>
  <c r="F115" i="6"/>
  <c r="D107" i="6"/>
  <c r="F105" i="6"/>
  <c r="F104" i="6"/>
  <c r="D103" i="6"/>
  <c r="D98" i="6"/>
  <c r="F96" i="6"/>
  <c r="G87" i="6"/>
  <c r="I87" i="6" s="1"/>
  <c r="F87" i="6"/>
  <c r="D87" i="6"/>
  <c r="F86" i="6"/>
  <c r="D80" i="6"/>
  <c r="F78" i="6"/>
  <c r="F70" i="6"/>
  <c r="F68" i="6"/>
  <c r="D68" i="6"/>
  <c r="G68" i="6" s="1"/>
  <c r="I68" i="6" s="1"/>
  <c r="G62" i="6"/>
  <c r="I62" i="6" s="1"/>
  <c r="F62" i="6"/>
  <c r="D62" i="6"/>
  <c r="D53" i="6"/>
  <c r="F52" i="6"/>
  <c r="F51" i="6"/>
  <c r="D51" i="6"/>
  <c r="G51" i="6" s="1"/>
  <c r="I51" i="6" s="1"/>
  <c r="F49" i="6"/>
  <c r="F44" i="6"/>
  <c r="G44" i="6" s="1"/>
  <c r="I44" i="6" s="1"/>
  <c r="D44" i="6"/>
  <c r="F43" i="6"/>
  <c r="F42" i="6"/>
  <c r="F41" i="6"/>
  <c r="D31" i="6"/>
  <c r="G31" i="6" s="1"/>
  <c r="I31" i="6" s="1"/>
  <c r="F28" i="6"/>
  <c r="D27" i="6"/>
  <c r="I21" i="6"/>
  <c r="F151" i="6" s="1"/>
  <c r="I20" i="6"/>
  <c r="I19" i="6"/>
  <c r="I18" i="6"/>
  <c r="I17" i="6"/>
  <c r="I16" i="6"/>
  <c r="M15" i="6"/>
  <c r="I15" i="6"/>
  <c r="N14" i="6"/>
  <c r="M14" i="6"/>
  <c r="F50" i="6" s="1"/>
  <c r="I14" i="6"/>
  <c r="N13" i="6"/>
  <c r="M13" i="6" s="1"/>
  <c r="F59" i="6" s="1"/>
  <c r="I13" i="6"/>
  <c r="N12" i="6"/>
  <c r="M12" i="6"/>
  <c r="I12" i="6"/>
  <c r="N11" i="6"/>
  <c r="M11" i="6"/>
  <c r="F77" i="6" s="1"/>
  <c r="J11" i="6"/>
  <c r="I11" i="6"/>
  <c r="N10" i="6"/>
  <c r="M10" i="6" s="1"/>
  <c r="I10" i="6"/>
  <c r="M9" i="6"/>
  <c r="I9" i="6"/>
  <c r="M8" i="6"/>
  <c r="I8" i="6"/>
  <c r="E8" i="6"/>
  <c r="M7" i="6"/>
  <c r="F113" i="6" s="1"/>
  <c r="I7" i="6"/>
  <c r="E7" i="6"/>
  <c r="M6" i="6"/>
  <c r="F122" i="6" s="1"/>
  <c r="I6" i="6"/>
  <c r="E6" i="6"/>
  <c r="M5" i="6"/>
  <c r="I5" i="6"/>
  <c r="E5" i="6"/>
  <c r="M4" i="6"/>
  <c r="I4" i="6"/>
  <c r="E4" i="6"/>
  <c r="E3" i="6"/>
  <c r="P32" i="4"/>
  <c r="I32" i="4"/>
  <c r="L29" i="4"/>
  <c r="K29" i="4"/>
  <c r="P28" i="4"/>
  <c r="L28" i="4"/>
  <c r="D28" i="4"/>
  <c r="F26" i="4"/>
  <c r="G26" i="4" s="1"/>
  <c r="E25" i="4"/>
  <c r="G25" i="4" s="1"/>
  <c r="M21" i="4"/>
  <c r="F19" i="4"/>
  <c r="J19" i="4" s="1"/>
  <c r="H18" i="4"/>
  <c r="J18" i="4" s="1"/>
  <c r="F18" i="4"/>
  <c r="P17" i="4"/>
  <c r="Q17" i="4" s="1"/>
  <c r="O17" i="4"/>
  <c r="J17" i="4"/>
  <c r="F17" i="4"/>
  <c r="A14" i="4"/>
  <c r="A15" i="4" s="1"/>
  <c r="A13" i="4"/>
  <c r="O12" i="4"/>
  <c r="F12" i="4"/>
  <c r="P11" i="4"/>
  <c r="O10" i="4"/>
  <c r="F10" i="4"/>
  <c r="P8" i="4"/>
  <c r="O7" i="4"/>
  <c r="K7" i="4"/>
  <c r="K10" i="4" s="1"/>
  <c r="K12" i="4" s="1"/>
  <c r="F7" i="4"/>
  <c r="Q5" i="4"/>
  <c r="Q7" i="4" s="1"/>
  <c r="Q8" i="4" s="1"/>
  <c r="Q10" i="4" s="1"/>
  <c r="Q12" i="4" s="1"/>
  <c r="O5" i="4"/>
  <c r="K5" i="4"/>
  <c r="F5" i="4"/>
  <c r="W240" i="3"/>
  <c r="L240" i="3"/>
  <c r="W239" i="3"/>
  <c r="L239" i="3"/>
  <c r="W238" i="3"/>
  <c r="L238" i="3"/>
  <c r="W237" i="3"/>
  <c r="L237" i="3"/>
  <c r="W236" i="3"/>
  <c r="L236" i="3"/>
  <c r="W235" i="3"/>
  <c r="L235" i="3"/>
  <c r="W234" i="3"/>
  <c r="L234" i="3"/>
  <c r="W233" i="3"/>
  <c r="L233" i="3"/>
  <c r="W232" i="3"/>
  <c r="L232" i="3"/>
  <c r="W231" i="3"/>
  <c r="L231" i="3"/>
  <c r="W230" i="3"/>
  <c r="L230" i="3"/>
  <c r="W229" i="3"/>
  <c r="L229" i="3"/>
  <c r="AS226" i="3"/>
  <c r="AN226" i="3"/>
  <c r="AD226" i="3"/>
  <c r="AC226" i="3"/>
  <c r="M226" i="3"/>
  <c r="M225" i="3" s="1"/>
  <c r="M224" i="3" s="1"/>
  <c r="M223" i="3" s="1"/>
  <c r="M222" i="3" s="1"/>
  <c r="AR225" i="3"/>
  <c r="AR224" i="3"/>
  <c r="AR223" i="3"/>
  <c r="AC223" i="3"/>
  <c r="AR222" i="3"/>
  <c r="I222" i="3"/>
  <c r="AE221" i="3"/>
  <c r="AT220" i="3"/>
  <c r="AR220" i="3"/>
  <c r="AA220" i="3" s="1"/>
  <c r="W220" i="3" s="1"/>
  <c r="AH220" i="3"/>
  <c r="P220" i="3"/>
  <c r="O220" i="3"/>
  <c r="L220" i="3"/>
  <c r="P219" i="3"/>
  <c r="R218" i="3"/>
  <c r="Q219" i="3" s="1"/>
  <c r="Q218" i="3"/>
  <c r="AT217" i="3"/>
  <c r="AR217" i="3"/>
  <c r="AA217" i="3" s="1"/>
  <c r="W217" i="3" s="1"/>
  <c r="AH217" i="3"/>
  <c r="R217" i="3"/>
  <c r="Q217" i="3"/>
  <c r="P217" i="3"/>
  <c r="O217" i="3"/>
  <c r="AT216" i="3"/>
  <c r="AR216" i="3"/>
  <c r="AA216" i="3" s="1"/>
  <c r="W216" i="3" s="1"/>
  <c r="AH216" i="3"/>
  <c r="P216" i="3"/>
  <c r="O216" i="3"/>
  <c r="AT215" i="3"/>
  <c r="AR215" i="3"/>
  <c r="AA215" i="3" s="1"/>
  <c r="W215" i="3" s="1"/>
  <c r="AH215" i="3"/>
  <c r="P215" i="3"/>
  <c r="O215" i="3"/>
  <c r="AT214" i="3"/>
  <c r="AR214" i="3"/>
  <c r="AA214" i="3" s="1"/>
  <c r="W214" i="3" s="1"/>
  <c r="AH214" i="3"/>
  <c r="R214" i="3"/>
  <c r="Q214" i="3"/>
  <c r="P214" i="3"/>
  <c r="O214" i="3"/>
  <c r="AT213" i="3"/>
  <c r="AR213" i="3"/>
  <c r="AA213" i="3" s="1"/>
  <c r="W213" i="3" s="1"/>
  <c r="AH213" i="3"/>
  <c r="P213" i="3"/>
  <c r="O213" i="3"/>
  <c r="AB201" i="3"/>
  <c r="AC199" i="3"/>
  <c r="AH198" i="3"/>
  <c r="AA198" i="3"/>
  <c r="W198" i="3" s="1"/>
  <c r="P198" i="3"/>
  <c r="O198" i="3"/>
  <c r="AH197" i="3"/>
  <c r="AA197" i="3"/>
  <c r="W197" i="3" s="1"/>
  <c r="P197" i="3"/>
  <c r="O197" i="3"/>
  <c r="AQ196" i="3"/>
  <c r="AH196" i="3"/>
  <c r="AA196" i="3"/>
  <c r="W196" i="3" s="1"/>
  <c r="P196" i="3"/>
  <c r="O196" i="3"/>
  <c r="AQ195" i="3"/>
  <c r="AK195" i="3"/>
  <c r="AJ195" i="3"/>
  <c r="AH195" i="3"/>
  <c r="AA195" i="3"/>
  <c r="AQ194" i="3"/>
  <c r="AR194" i="3" s="1"/>
  <c r="AH194" i="3"/>
  <c r="AQ193" i="3"/>
  <c r="P192" i="3"/>
  <c r="AH191" i="3"/>
  <c r="AA191" i="3"/>
  <c r="W191" i="3" s="1"/>
  <c r="P191" i="3"/>
  <c r="O191" i="3"/>
  <c r="AH190" i="3"/>
  <c r="AA190" i="3"/>
  <c r="W190" i="3" s="1"/>
  <c r="P190" i="3"/>
  <c r="O190" i="3"/>
  <c r="AH189" i="3"/>
  <c r="AA189" i="3"/>
  <c r="W189" i="3" s="1"/>
  <c r="Q189" i="3"/>
  <c r="P189" i="3"/>
  <c r="O189" i="3"/>
  <c r="AH188" i="3"/>
  <c r="AA188" i="3"/>
  <c r="W188" i="3" s="1"/>
  <c r="P188" i="3"/>
  <c r="O188" i="3"/>
  <c r="AH187" i="3"/>
  <c r="AA187" i="3"/>
  <c r="W187" i="3" s="1"/>
  <c r="P187" i="3"/>
  <c r="O187" i="3"/>
  <c r="AH186" i="3"/>
  <c r="AA186" i="3"/>
  <c r="W186" i="3" s="1"/>
  <c r="P186" i="3"/>
  <c r="O186" i="3"/>
  <c r="AH185" i="3"/>
  <c r="AA185" i="3"/>
  <c r="W185" i="3" s="1"/>
  <c r="P185" i="3"/>
  <c r="O185" i="3"/>
  <c r="AH184" i="3"/>
  <c r="AA184" i="3"/>
  <c r="W184" i="3" s="1"/>
  <c r="P184" i="3"/>
  <c r="O184" i="3"/>
  <c r="AH183" i="3"/>
  <c r="AA183" i="3"/>
  <c r="W183" i="3" s="1"/>
  <c r="P183" i="3"/>
  <c r="O183" i="3"/>
  <c r="AH182" i="3"/>
  <c r="AA182" i="3"/>
  <c r="W182" i="3" s="1"/>
  <c r="P182" i="3"/>
  <c r="O182" i="3"/>
  <c r="AH181" i="3"/>
  <c r="AA181" i="3"/>
  <c r="W181" i="3" s="1"/>
  <c r="P181" i="3"/>
  <c r="O181" i="3"/>
  <c r="AH180" i="3"/>
  <c r="AA180" i="3"/>
  <c r="W180" i="3" s="1"/>
  <c r="P180" i="3"/>
  <c r="O180" i="3"/>
  <c r="AH179" i="3"/>
  <c r="AA179" i="3"/>
  <c r="W179" i="3" s="1"/>
  <c r="P179" i="3"/>
  <c r="O179" i="3"/>
  <c r="AH178" i="3"/>
  <c r="AA178" i="3"/>
  <c r="W178" i="3" s="1"/>
  <c r="P178" i="3"/>
  <c r="O178" i="3"/>
  <c r="AH177" i="3"/>
  <c r="AA177" i="3"/>
  <c r="W177" i="3" s="1"/>
  <c r="P177" i="3"/>
  <c r="O177" i="3"/>
  <c r="AH176" i="3"/>
  <c r="AA176" i="3"/>
  <c r="W176" i="3" s="1"/>
  <c r="P176" i="3"/>
  <c r="O176" i="3"/>
  <c r="AH175" i="3"/>
  <c r="AA175" i="3"/>
  <c r="W175" i="3" s="1"/>
  <c r="P175" i="3"/>
  <c r="O175" i="3"/>
  <c r="AH174" i="3"/>
  <c r="AA174" i="3"/>
  <c r="W174" i="3" s="1"/>
  <c r="P174" i="3"/>
  <c r="O174" i="3"/>
  <c r="AH173" i="3"/>
  <c r="AA173" i="3"/>
  <c r="W173" i="3" s="1"/>
  <c r="P173" i="3"/>
  <c r="O173" i="3"/>
  <c r="AH172" i="3"/>
  <c r="AA172" i="3"/>
  <c r="W172" i="3" s="1"/>
  <c r="P172" i="3"/>
  <c r="O172" i="3"/>
  <c r="AH171" i="3"/>
  <c r="AA171" i="3"/>
  <c r="W171" i="3" s="1"/>
  <c r="P171" i="3"/>
  <c r="O171" i="3"/>
  <c r="AH170" i="3"/>
  <c r="AA170" i="3"/>
  <c r="W170" i="3" s="1"/>
  <c r="P170" i="3"/>
  <c r="O170" i="3"/>
  <c r="P168" i="3"/>
  <c r="AH167" i="3"/>
  <c r="AA167" i="3"/>
  <c r="W167" i="3" s="1"/>
  <c r="P167" i="3"/>
  <c r="O167" i="3"/>
  <c r="R165" i="3"/>
  <c r="AR163" i="3"/>
  <c r="AH163" i="3"/>
  <c r="AA163" i="3"/>
  <c r="W163" i="3" s="1"/>
  <c r="R163" i="3"/>
  <c r="Q164" i="3" s="1"/>
  <c r="P163" i="3"/>
  <c r="O163" i="3"/>
  <c r="AN153" i="3"/>
  <c r="Y152" i="3"/>
  <c r="W152" i="3" s="1"/>
  <c r="Q152" i="3"/>
  <c r="O152" i="3"/>
  <c r="Y151" i="3"/>
  <c r="O151" i="3"/>
  <c r="L151" i="3"/>
  <c r="Y150" i="3"/>
  <c r="O150" i="3"/>
  <c r="L150" i="3"/>
  <c r="Y149" i="3"/>
  <c r="W149" i="3" s="1"/>
  <c r="O149" i="3"/>
  <c r="L149" i="3"/>
  <c r="Y148" i="3"/>
  <c r="W148" i="3" s="1"/>
  <c r="O148" i="3"/>
  <c r="L148" i="3"/>
  <c r="Y147" i="3"/>
  <c r="W147" i="3" s="1"/>
  <c r="O147" i="3"/>
  <c r="L147" i="3"/>
  <c r="Y146" i="3"/>
  <c r="W146" i="3" s="1"/>
  <c r="O146" i="3"/>
  <c r="L146" i="3"/>
  <c r="Y144" i="3"/>
  <c r="W144" i="3" s="1"/>
  <c r="O144" i="3"/>
  <c r="L144" i="3"/>
  <c r="Y143" i="3"/>
  <c r="W143" i="3" s="1"/>
  <c r="O143" i="3"/>
  <c r="L143" i="3"/>
  <c r="Q142" i="3"/>
  <c r="Q166" i="3" s="1"/>
  <c r="Y140" i="3"/>
  <c r="W140" i="3" s="1"/>
  <c r="R140" i="3"/>
  <c r="O140" i="3"/>
  <c r="L140" i="3"/>
  <c r="Y138" i="3"/>
  <c r="W138" i="3" s="1"/>
  <c r="O138" i="3"/>
  <c r="L138" i="3"/>
  <c r="Y137" i="3"/>
  <c r="W137" i="3" s="1"/>
  <c r="O137" i="3"/>
  <c r="L137" i="3"/>
  <c r="Y136" i="3"/>
  <c r="W136" i="3" s="1"/>
  <c r="O136" i="3"/>
  <c r="L136" i="3"/>
  <c r="Y135" i="3"/>
  <c r="W135" i="3" s="1"/>
  <c r="O135" i="3"/>
  <c r="L135" i="3"/>
  <c r="Y134" i="3"/>
  <c r="W134" i="3" s="1"/>
  <c r="O134" i="3"/>
  <c r="L134" i="3"/>
  <c r="Y133" i="3"/>
  <c r="O133" i="3"/>
  <c r="L133" i="3"/>
  <c r="Y132" i="3"/>
  <c r="O132" i="3"/>
  <c r="L132" i="3"/>
  <c r="AI131" i="3"/>
  <c r="Q131" i="3"/>
  <c r="Y124" i="3"/>
  <c r="R124" i="3"/>
  <c r="O124" i="3"/>
  <c r="W104" i="3"/>
  <c r="Y104" i="3" s="1"/>
  <c r="Y102" i="3"/>
  <c r="W102" i="3" s="1"/>
  <c r="AC102" i="3" s="1"/>
  <c r="AD102" i="3" s="1"/>
  <c r="Y101" i="3"/>
  <c r="W101" i="3" s="1"/>
  <c r="Y100" i="3"/>
  <c r="W100" i="3" s="1"/>
  <c r="Y99" i="3"/>
  <c r="W99" i="3" s="1"/>
  <c r="AC99" i="3" s="1"/>
  <c r="AD99" i="3" s="1"/>
  <c r="Y98" i="3"/>
  <c r="W98" i="3" s="1"/>
  <c r="Q97" i="3"/>
  <c r="AQ95" i="3"/>
  <c r="AQ98" i="3" s="1"/>
  <c r="AQ99" i="3" s="1"/>
  <c r="AQ100" i="3" s="1"/>
  <c r="AQ101" i="3" s="1"/>
  <c r="AQ102" i="3" s="1"/>
  <c r="Y95" i="3"/>
  <c r="R95" i="3"/>
  <c r="Q95" i="3"/>
  <c r="AB92" i="3"/>
  <c r="Z92" i="3"/>
  <c r="V92" i="3"/>
  <c r="W92" i="3" s="1"/>
  <c r="Y91" i="3"/>
  <c r="W91" i="3" s="1"/>
  <c r="Y90" i="3"/>
  <c r="W90" i="3" s="1"/>
  <c r="Y89" i="3"/>
  <c r="W89" i="3" s="1"/>
  <c r="Y88" i="3"/>
  <c r="W88" i="3" s="1"/>
  <c r="Y87" i="3"/>
  <c r="Q86" i="3"/>
  <c r="AQ84" i="3"/>
  <c r="AQ87" i="3" s="1"/>
  <c r="AQ88" i="3" s="1"/>
  <c r="AQ89" i="3" s="1"/>
  <c r="AQ90" i="3" s="1"/>
  <c r="AQ91" i="3" s="1"/>
  <c r="Y84" i="3"/>
  <c r="W84" i="3" s="1"/>
  <c r="R84" i="3"/>
  <c r="R74" i="3"/>
  <c r="Q75" i="3" s="1"/>
  <c r="R72" i="3"/>
  <c r="R70" i="3" s="1"/>
  <c r="Y70" i="3"/>
  <c r="Q70" i="3"/>
  <c r="AF68" i="3"/>
  <c r="Q68" i="3"/>
  <c r="Y66" i="3"/>
  <c r="R66" i="3"/>
  <c r="Y64" i="3"/>
  <c r="W64" i="3" s="1"/>
  <c r="R64" i="3"/>
  <c r="U61" i="3"/>
  <c r="AP58" i="3"/>
  <c r="AP59" i="3" s="1"/>
  <c r="AQ62" i="3" s="1"/>
  <c r="AQ63" i="3" s="1"/>
  <c r="AQ64" i="3" s="1"/>
  <c r="AQ69" i="3" s="1"/>
  <c r="AQ70" i="3" s="1"/>
  <c r="AQ71" i="3" s="1"/>
  <c r="AQ72" i="3" s="1"/>
  <c r="AQ73" i="3" s="1"/>
  <c r="AR73" i="3" s="1"/>
  <c r="AF51" i="3"/>
  <c r="Y51" i="3"/>
  <c r="W51" i="3" s="1"/>
  <c r="AJ50" i="3"/>
  <c r="AF49" i="3"/>
  <c r="Y49" i="3"/>
  <c r="L49" i="3"/>
  <c r="AF48" i="3"/>
  <c r="Y48" i="3"/>
  <c r="W48" i="3" s="1"/>
  <c r="L48" i="3"/>
  <c r="AF47" i="3"/>
  <c r="Y47" i="3"/>
  <c r="W47" i="3" s="1"/>
  <c r="Q47" i="3"/>
  <c r="AF44" i="3"/>
  <c r="Y44" i="3"/>
  <c r="W44" i="3" s="1"/>
  <c r="AF43" i="3"/>
  <c r="Y43" i="3"/>
  <c r="AB42" i="3"/>
  <c r="T42" i="3"/>
  <c r="V42" i="3" s="1"/>
  <c r="R42" i="3"/>
  <c r="Q43" i="3" s="1"/>
  <c r="Y41" i="3"/>
  <c r="W41" i="3" s="1"/>
  <c r="R41" i="3"/>
  <c r="Q42" i="3" s="1"/>
  <c r="Q41" i="3"/>
  <c r="AJ40" i="3"/>
  <c r="AE39" i="3"/>
  <c r="AF39" i="3" s="1"/>
  <c r="U39" i="3"/>
  <c r="AD38" i="3"/>
  <c r="AE38" i="3" s="1"/>
  <c r="M38" i="3"/>
  <c r="T37" i="3"/>
  <c r="V37" i="3" s="1"/>
  <c r="P37" i="3"/>
  <c r="Y28" i="3"/>
  <c r="AF28" i="3" s="1"/>
  <c r="Y27" i="3"/>
  <c r="AF27" i="3" s="1"/>
  <c r="Y26" i="3"/>
  <c r="AF26" i="3" s="1"/>
  <c r="Y25" i="3"/>
  <c r="AF25" i="3" s="1"/>
  <c r="Y24" i="3"/>
  <c r="AF24" i="3" s="1"/>
  <c r="Y23" i="3"/>
  <c r="AF23" i="3" s="1"/>
  <c r="Y21" i="3"/>
  <c r="AF21" i="3" s="1"/>
  <c r="Y20" i="3"/>
  <c r="AF20" i="3" s="1"/>
  <c r="Y19" i="3"/>
  <c r="AF19" i="3" s="1"/>
  <c r="Y18" i="3"/>
  <c r="V18" i="3" s="1"/>
  <c r="Y17" i="3"/>
  <c r="Y16" i="3"/>
  <c r="V16" i="3" s="1"/>
  <c r="Y15" i="3"/>
  <c r="AF15" i="3" s="1"/>
  <c r="Y14" i="3"/>
  <c r="AF14" i="3" s="1"/>
  <c r="AG14" i="3" s="1"/>
  <c r="Y13" i="3"/>
  <c r="V13" i="3" s="1"/>
  <c r="Y12" i="3"/>
  <c r="AF12" i="3" s="1"/>
  <c r="N12" i="3"/>
  <c r="Y11" i="3"/>
  <c r="AF11" i="3" s="1"/>
  <c r="O11" i="3"/>
  <c r="Y10" i="3"/>
  <c r="V10" i="3" s="1"/>
  <c r="V3" i="3" s="1"/>
  <c r="O10" i="3"/>
  <c r="X9" i="3"/>
  <c r="W9" i="3"/>
  <c r="R288" i="3" s="1"/>
  <c r="S9" i="3"/>
  <c r="T9" i="3" s="1"/>
  <c r="T8" i="3" s="1"/>
  <c r="O9" i="3"/>
  <c r="L8" i="3"/>
  <c r="M7" i="3"/>
  <c r="L7" i="3"/>
  <c r="V6" i="3"/>
  <c r="M6" i="3"/>
  <c r="L6" i="3"/>
  <c r="M5" i="3"/>
  <c r="L5" i="3"/>
  <c r="P4" i="3"/>
  <c r="Q4" i="3" s="1"/>
  <c r="X3" i="3"/>
  <c r="P3" i="3"/>
  <c r="Q3" i="3" s="1"/>
  <c r="P2" i="3"/>
  <c r="Q2" i="3" s="1"/>
  <c r="AQ215" i="2"/>
  <c r="AL215" i="2"/>
  <c r="AP214" i="2"/>
  <c r="AP215" i="2" s="1"/>
  <c r="AP213" i="2"/>
  <c r="AP212" i="2"/>
  <c r="AP211" i="2"/>
  <c r="AR210" i="2"/>
  <c r="AP210" i="2"/>
  <c r="Y210" i="2" s="1"/>
  <c r="W210" i="2" s="1"/>
  <c r="AF210" i="2"/>
  <c r="P210" i="2"/>
  <c r="O210" i="2"/>
  <c r="L210" i="2"/>
  <c r="Q209" i="2"/>
  <c r="P209" i="2"/>
  <c r="R208" i="2"/>
  <c r="S208" i="2" s="1"/>
  <c r="Q208" i="2"/>
  <c r="AR207" i="2"/>
  <c r="AP207" i="2"/>
  <c r="AF207" i="2"/>
  <c r="Y207" i="2"/>
  <c r="W207" i="2" s="1"/>
  <c r="S207" i="2"/>
  <c r="R207" i="2"/>
  <c r="Q207" i="2"/>
  <c r="P207" i="2"/>
  <c r="O207" i="2"/>
  <c r="AR206" i="2"/>
  <c r="AP206" i="2"/>
  <c r="AF206" i="2"/>
  <c r="Y206" i="2"/>
  <c r="W206" i="2"/>
  <c r="P206" i="2"/>
  <c r="O206" i="2"/>
  <c r="AR205" i="2"/>
  <c r="AP205" i="2"/>
  <c r="AF205" i="2"/>
  <c r="Y205" i="2"/>
  <c r="W205" i="2"/>
  <c r="P205" i="2"/>
  <c r="O205" i="2"/>
  <c r="AR204" i="2"/>
  <c r="AP204" i="2"/>
  <c r="Y204" i="2" s="1"/>
  <c r="W204" i="2" s="1"/>
  <c r="AF204" i="2"/>
  <c r="R204" i="2"/>
  <c r="S204" i="2" s="1"/>
  <c r="Q204" i="2"/>
  <c r="P204" i="2"/>
  <c r="O204" i="2"/>
  <c r="AR203" i="2"/>
  <c r="AP203" i="2"/>
  <c r="Y203" i="2" s="1"/>
  <c r="W203" i="2" s="1"/>
  <c r="AF203" i="2"/>
  <c r="P203" i="2"/>
  <c r="O203" i="2"/>
  <c r="AB191" i="2"/>
  <c r="AC189" i="2"/>
  <c r="AF188" i="2"/>
  <c r="Y188" i="2"/>
  <c r="W188" i="2" s="1"/>
  <c r="P188" i="2"/>
  <c r="O188" i="2"/>
  <c r="AF187" i="2"/>
  <c r="Y187" i="2"/>
  <c r="W187" i="2" s="1"/>
  <c r="P187" i="2"/>
  <c r="O187" i="2"/>
  <c r="AO186" i="2"/>
  <c r="AP186" i="2" s="1"/>
  <c r="AF186" i="2"/>
  <c r="Y186" i="2"/>
  <c r="W186" i="2"/>
  <c r="P186" i="2"/>
  <c r="O186" i="2"/>
  <c r="AO185" i="2"/>
  <c r="AI185" i="2"/>
  <c r="AH185" i="2"/>
  <c r="AF185" i="2"/>
  <c r="Y185" i="2"/>
  <c r="AP184" i="2"/>
  <c r="AP185" i="2" s="1"/>
  <c r="AO184" i="2"/>
  <c r="AF184" i="2"/>
  <c r="AO183" i="2"/>
  <c r="P182" i="2"/>
  <c r="AF181" i="2"/>
  <c r="Y181" i="2"/>
  <c r="W181" i="2" s="1"/>
  <c r="P181" i="2"/>
  <c r="O181" i="2"/>
  <c r="AF180" i="2"/>
  <c r="Y180" i="2"/>
  <c r="W180" i="2" s="1"/>
  <c r="P180" i="2"/>
  <c r="O180" i="2"/>
  <c r="AF179" i="2"/>
  <c r="Y179" i="2"/>
  <c r="W179" i="2"/>
  <c r="Q179" i="2"/>
  <c r="P179" i="2"/>
  <c r="O179" i="2"/>
  <c r="AF178" i="2"/>
  <c r="Y178" i="2"/>
  <c r="W178" i="2"/>
  <c r="P178" i="2"/>
  <c r="O178" i="2"/>
  <c r="AF177" i="2"/>
  <c r="Y177" i="2"/>
  <c r="W177" i="2"/>
  <c r="R177" i="2"/>
  <c r="Q178" i="2" s="1"/>
  <c r="P177" i="2"/>
  <c r="O177" i="2"/>
  <c r="AF176" i="2"/>
  <c r="Y176" i="2"/>
  <c r="W176" i="2"/>
  <c r="P176" i="2"/>
  <c r="O176" i="2"/>
  <c r="AF175" i="2"/>
  <c r="Y175" i="2"/>
  <c r="W175" i="2"/>
  <c r="P175" i="2"/>
  <c r="O175" i="2"/>
  <c r="AF174" i="2"/>
  <c r="Y174" i="2"/>
  <c r="W174" i="2"/>
  <c r="P174" i="2"/>
  <c r="O174" i="2"/>
  <c r="AF173" i="2"/>
  <c r="Y173" i="2"/>
  <c r="W173" i="2" s="1"/>
  <c r="P173" i="2"/>
  <c r="O173" i="2"/>
  <c r="AF172" i="2"/>
  <c r="Y172" i="2"/>
  <c r="W172" i="2"/>
  <c r="P172" i="2"/>
  <c r="O172" i="2"/>
  <c r="AF171" i="2"/>
  <c r="Y171" i="2"/>
  <c r="W171" i="2"/>
  <c r="P171" i="2"/>
  <c r="O171" i="2"/>
  <c r="AF170" i="2"/>
  <c r="Y170" i="2"/>
  <c r="W170" i="2" s="1"/>
  <c r="P170" i="2"/>
  <c r="O170" i="2"/>
  <c r="AF169" i="2"/>
  <c r="Y169" i="2"/>
  <c r="W169" i="2" s="1"/>
  <c r="P169" i="2"/>
  <c r="O169" i="2"/>
  <c r="AF168" i="2"/>
  <c r="Y168" i="2"/>
  <c r="W168" i="2"/>
  <c r="P168" i="2"/>
  <c r="O168" i="2"/>
  <c r="AF167" i="2"/>
  <c r="Y167" i="2"/>
  <c r="W167" i="2" s="1"/>
  <c r="P167" i="2"/>
  <c r="O167" i="2"/>
  <c r="AF166" i="2"/>
  <c r="Y166" i="2"/>
  <c r="W166" i="2"/>
  <c r="P166" i="2"/>
  <c r="O166" i="2"/>
  <c r="AF165" i="2"/>
  <c r="Y165" i="2"/>
  <c r="W165" i="2"/>
  <c r="P165" i="2"/>
  <c r="O165" i="2"/>
  <c r="AF164" i="2"/>
  <c r="Y164" i="2"/>
  <c r="W164" i="2"/>
  <c r="P164" i="2"/>
  <c r="O164" i="2"/>
  <c r="AF163" i="2"/>
  <c r="Y163" i="2"/>
  <c r="W163" i="2" s="1"/>
  <c r="P163" i="2"/>
  <c r="O163" i="2"/>
  <c r="AF162" i="2"/>
  <c r="Y162" i="2"/>
  <c r="W162" i="2"/>
  <c r="P162" i="2"/>
  <c r="O162" i="2"/>
  <c r="AF161" i="2"/>
  <c r="Y161" i="2"/>
  <c r="W161" i="2"/>
  <c r="P161" i="2"/>
  <c r="O161" i="2"/>
  <c r="AF160" i="2"/>
  <c r="Y160" i="2"/>
  <c r="W160" i="2" s="1"/>
  <c r="P160" i="2"/>
  <c r="O160" i="2"/>
  <c r="P158" i="2"/>
  <c r="AF157" i="2"/>
  <c r="Y157" i="2"/>
  <c r="W157" i="2"/>
  <c r="P157" i="2"/>
  <c r="O157" i="2"/>
  <c r="Q156" i="2"/>
  <c r="R155" i="2"/>
  <c r="AP153" i="2"/>
  <c r="AF153" i="2"/>
  <c r="Y153" i="2"/>
  <c r="W153" i="2" s="1"/>
  <c r="R153" i="2"/>
  <c r="P153" i="2"/>
  <c r="O153" i="2"/>
  <c r="AN143" i="2"/>
  <c r="AI142" i="2"/>
  <c r="Y142" i="2"/>
  <c r="W142" i="2" s="1"/>
  <c r="R142" i="2" s="1"/>
  <c r="S142" i="2" s="1"/>
  <c r="T142" i="2" s="1"/>
  <c r="V142" i="2" s="1"/>
  <c r="X142" i="2"/>
  <c r="AH142" i="2" s="1"/>
  <c r="Q142" i="2"/>
  <c r="O142" i="2"/>
  <c r="Y141" i="2"/>
  <c r="O141" i="2"/>
  <c r="L141" i="2"/>
  <c r="Y140" i="2"/>
  <c r="W140" i="2"/>
  <c r="O140" i="2"/>
  <c r="L140" i="2"/>
  <c r="Y139" i="2"/>
  <c r="W139" i="2" s="1"/>
  <c r="O139" i="2"/>
  <c r="L139" i="2"/>
  <c r="Y138" i="2"/>
  <c r="W138" i="2" s="1"/>
  <c r="O138" i="2"/>
  <c r="L138" i="2"/>
  <c r="Y137" i="2"/>
  <c r="W137" i="2" s="1"/>
  <c r="O137" i="2"/>
  <c r="L137" i="2"/>
  <c r="Y136" i="2"/>
  <c r="W136" i="2"/>
  <c r="O136" i="2"/>
  <c r="L136" i="2"/>
  <c r="Y134" i="2"/>
  <c r="W134" i="2"/>
  <c r="O134" i="2"/>
  <c r="L134" i="2"/>
  <c r="Y133" i="2"/>
  <c r="W133" i="2"/>
  <c r="O133" i="2"/>
  <c r="L133" i="2"/>
  <c r="Q132" i="2"/>
  <c r="Y130" i="2"/>
  <c r="W130" i="2" s="1"/>
  <c r="R130" i="2"/>
  <c r="O130" i="2"/>
  <c r="L130" i="2"/>
  <c r="Y128" i="2"/>
  <c r="W128" i="2"/>
  <c r="O128" i="2"/>
  <c r="L128" i="2"/>
  <c r="Y127" i="2"/>
  <c r="W127" i="2"/>
  <c r="O127" i="2"/>
  <c r="L127" i="2"/>
  <c r="Y126" i="2"/>
  <c r="W126" i="2"/>
  <c r="O126" i="2"/>
  <c r="L126" i="2"/>
  <c r="Y125" i="2"/>
  <c r="W125" i="2"/>
  <c r="O125" i="2"/>
  <c r="L125" i="2"/>
  <c r="Y124" i="2"/>
  <c r="W124" i="2" s="1"/>
  <c r="O124" i="2"/>
  <c r="L124" i="2"/>
  <c r="Y123" i="2"/>
  <c r="W123" i="2" s="1"/>
  <c r="O123" i="2"/>
  <c r="L123" i="2"/>
  <c r="Y122" i="2"/>
  <c r="O122" i="2"/>
  <c r="L122" i="2"/>
  <c r="AI121" i="2"/>
  <c r="Q121" i="2"/>
  <c r="Y114" i="2"/>
  <c r="R114" i="2"/>
  <c r="O114" i="2"/>
  <c r="Y94" i="2"/>
  <c r="W94" i="2"/>
  <c r="Y92" i="2"/>
  <c r="W92" i="2" s="1"/>
  <c r="AC91" i="2"/>
  <c r="AD91" i="2" s="1"/>
  <c r="Y91" i="2"/>
  <c r="W91" i="2"/>
  <c r="Y90" i="2"/>
  <c r="W90" i="2" s="1"/>
  <c r="AC89" i="2"/>
  <c r="AD89" i="2" s="1"/>
  <c r="Y89" i="2"/>
  <c r="W89" i="2" s="1"/>
  <c r="Y88" i="2"/>
  <c r="W88" i="2" s="1"/>
  <c r="Q87" i="2"/>
  <c r="AQ85" i="2"/>
  <c r="AQ88" i="2" s="1"/>
  <c r="AQ89" i="2" s="1"/>
  <c r="AQ90" i="2" s="1"/>
  <c r="AQ91" i="2" s="1"/>
  <c r="AQ92" i="2" s="1"/>
  <c r="Y85" i="2"/>
  <c r="W85" i="2"/>
  <c r="T85" i="2"/>
  <c r="V85" i="2" s="1"/>
  <c r="AI85" i="2" s="1"/>
  <c r="R85" i="2"/>
  <c r="S85" i="2" s="1"/>
  <c r="Q85" i="2"/>
  <c r="AB82" i="2"/>
  <c r="Z82" i="2"/>
  <c r="W82" i="2"/>
  <c r="V82" i="2"/>
  <c r="Y81" i="2"/>
  <c r="W81" i="2" s="1"/>
  <c r="Y80" i="2"/>
  <c r="W80" i="2" s="1"/>
  <c r="Y79" i="2"/>
  <c r="W79" i="2"/>
  <c r="Y78" i="2"/>
  <c r="W78" i="2" s="1"/>
  <c r="AQ77" i="2"/>
  <c r="AQ78" i="2" s="1"/>
  <c r="AQ79" i="2" s="1"/>
  <c r="AQ80" i="2" s="1"/>
  <c r="AQ81" i="2" s="1"/>
  <c r="Y77" i="2"/>
  <c r="W77" i="2"/>
  <c r="Q76" i="2"/>
  <c r="AQ74" i="2"/>
  <c r="Y74" i="2"/>
  <c r="W74" i="2" s="1"/>
  <c r="R74" i="2"/>
  <c r="Q65" i="2"/>
  <c r="R64" i="2"/>
  <c r="AQ63" i="2"/>
  <c r="AR63" i="2" s="1"/>
  <c r="R62" i="2"/>
  <c r="Y60" i="2"/>
  <c r="R60" i="2"/>
  <c r="S60" i="2" s="1"/>
  <c r="AA60" i="2" s="1"/>
  <c r="Q60" i="2"/>
  <c r="AF58" i="2"/>
  <c r="Q58" i="2"/>
  <c r="Y56" i="2"/>
  <c r="R56" i="2"/>
  <c r="Y54" i="2"/>
  <c r="W54" i="2"/>
  <c r="R54" i="2"/>
  <c r="U51" i="2"/>
  <c r="AP48" i="2"/>
  <c r="AP49" i="2" s="1"/>
  <c r="AQ52" i="2" s="1"/>
  <c r="AQ53" i="2" s="1"/>
  <c r="AQ54" i="2" s="1"/>
  <c r="AQ59" i="2" s="1"/>
  <c r="AQ60" i="2" s="1"/>
  <c r="AQ61" i="2" s="1"/>
  <c r="AQ62" i="2" s="1"/>
  <c r="Z43" i="2"/>
  <c r="AF41" i="2"/>
  <c r="Y41" i="2"/>
  <c r="W41" i="2"/>
  <c r="AJ40" i="2"/>
  <c r="AF39" i="2"/>
  <c r="Y39" i="2"/>
  <c r="W39" i="2"/>
  <c r="L39" i="2"/>
  <c r="AF38" i="2"/>
  <c r="Y38" i="2"/>
  <c r="W38" i="2" s="1"/>
  <c r="L38" i="2"/>
  <c r="AF37" i="2"/>
  <c r="Y37" i="2"/>
  <c r="W37" i="2"/>
  <c r="Q37" i="2"/>
  <c r="AF34" i="2"/>
  <c r="Y34" i="2"/>
  <c r="W34" i="2" s="1"/>
  <c r="AF33" i="2"/>
  <c r="Y33" i="2"/>
  <c r="AB32" i="2"/>
  <c r="T32" i="2"/>
  <c r="V32" i="2" s="1"/>
  <c r="R32" i="2"/>
  <c r="Y31" i="2"/>
  <c r="W31" i="2"/>
  <c r="R31" i="2"/>
  <c r="Q32" i="2" s="1"/>
  <c r="Q31" i="2"/>
  <c r="S31" i="2" s="1"/>
  <c r="AJ30" i="2"/>
  <c r="AF29" i="2"/>
  <c r="AE29" i="2"/>
  <c r="U29" i="2"/>
  <c r="AE28" i="2"/>
  <c r="AD28" i="2"/>
  <c r="M28" i="2"/>
  <c r="T27" i="2"/>
  <c r="V27" i="2" s="1"/>
  <c r="P27" i="2"/>
  <c r="Y21" i="2"/>
  <c r="AF20" i="2"/>
  <c r="Y20" i="2"/>
  <c r="V20" i="2"/>
  <c r="AF19" i="2"/>
  <c r="Y19" i="2"/>
  <c r="V19" i="2"/>
  <c r="Y18" i="2"/>
  <c r="AF18" i="2" s="1"/>
  <c r="V18" i="2"/>
  <c r="AF17" i="2"/>
  <c r="Y17" i="2"/>
  <c r="V17" i="2" s="1"/>
  <c r="T207" i="2" s="1"/>
  <c r="V207" i="2" s="1"/>
  <c r="AI207" i="2" s="1"/>
  <c r="AB207" i="2" s="1"/>
  <c r="Y16" i="2"/>
  <c r="Y15" i="2"/>
  <c r="V15" i="2" s="1"/>
  <c r="Y14" i="2"/>
  <c r="AF14" i="2" s="1"/>
  <c r="AG14" i="2" s="1"/>
  <c r="AF13" i="2"/>
  <c r="Y13" i="2"/>
  <c r="V13" i="2"/>
  <c r="Y12" i="2"/>
  <c r="AF12" i="2" s="1"/>
  <c r="V12" i="2"/>
  <c r="N12" i="2"/>
  <c r="Y11" i="2"/>
  <c r="O11" i="2"/>
  <c r="Y10" i="2"/>
  <c r="V10" i="2"/>
  <c r="O10" i="2"/>
  <c r="X9" i="2"/>
  <c r="W9" i="2"/>
  <c r="T9" i="2"/>
  <c r="T8" i="2" s="1"/>
  <c r="S9" i="2"/>
  <c r="O9" i="2"/>
  <c r="V6" i="2"/>
  <c r="Q5" i="2"/>
  <c r="P4" i="2"/>
  <c r="Q4" i="2" s="1"/>
  <c r="X3" i="2"/>
  <c r="P3" i="2"/>
  <c r="Q3" i="2" s="1"/>
  <c r="P2" i="2"/>
  <c r="Q2" i="2" s="1"/>
  <c r="H679" i="1"/>
  <c r="M674" i="1"/>
  <c r="N674" i="1" s="1"/>
  <c r="H674" i="1"/>
  <c r="G674" i="1"/>
  <c r="H671" i="1"/>
  <c r="H673" i="1" s="1"/>
  <c r="M670" i="1"/>
  <c r="N670" i="1" s="1"/>
  <c r="G670" i="1"/>
  <c r="N669" i="1"/>
  <c r="N675" i="1" s="1"/>
  <c r="M669" i="1"/>
  <c r="H669" i="1"/>
  <c r="G669" i="1" s="1"/>
  <c r="H668" i="1"/>
  <c r="H675" i="1" s="1"/>
  <c r="H667" i="1"/>
  <c r="H665" i="1"/>
  <c r="S662" i="1"/>
  <c r="Q662" i="1"/>
  <c r="M662" i="1"/>
  <c r="K662" i="1"/>
  <c r="S661" i="1"/>
  <c r="Q661" i="1"/>
  <c r="M661" i="1"/>
  <c r="K661" i="1"/>
  <c r="S660" i="1"/>
  <c r="Q660" i="1" s="1"/>
  <c r="K660" i="1"/>
  <c r="M660" i="1" s="1"/>
  <c r="N660" i="1" s="1"/>
  <c r="S659" i="1"/>
  <c r="Q659" i="1"/>
  <c r="M659" i="1"/>
  <c r="N659" i="1" s="1"/>
  <c r="P659" i="1" s="1"/>
  <c r="Y659" i="1" s="1"/>
  <c r="O656" i="1"/>
  <c r="R655" i="1"/>
  <c r="R654" i="1"/>
  <c r="P653" i="1"/>
  <c r="O653" i="1"/>
  <c r="S648" i="1"/>
  <c r="Q648" i="1"/>
  <c r="K648" i="1"/>
  <c r="M648" i="1" s="1"/>
  <c r="S647" i="1"/>
  <c r="Q647" i="1"/>
  <c r="S646" i="1"/>
  <c r="Q646" i="1"/>
  <c r="L646" i="1"/>
  <c r="K646" i="1"/>
  <c r="S645" i="1"/>
  <c r="Q645" i="1" s="1"/>
  <c r="S644" i="1"/>
  <c r="Q644" i="1" s="1"/>
  <c r="K644" i="1"/>
  <c r="S643" i="1"/>
  <c r="Q643" i="1" s="1"/>
  <c r="K643" i="1"/>
  <c r="M643" i="1" s="1"/>
  <c r="O640" i="1"/>
  <c r="R639" i="1"/>
  <c r="R638" i="1"/>
  <c r="N648" i="1" s="1"/>
  <c r="O637" i="1"/>
  <c r="P637" i="1" s="1"/>
  <c r="Q632" i="1"/>
  <c r="Q631" i="1"/>
  <c r="K631" i="1"/>
  <c r="Q630" i="1"/>
  <c r="M630" i="1"/>
  <c r="N630" i="1" s="1"/>
  <c r="P630" i="1" s="1"/>
  <c r="K630" i="1"/>
  <c r="O627" i="1"/>
  <c r="R626" i="1"/>
  <c r="R625" i="1" s="1"/>
  <c r="O624" i="1"/>
  <c r="P624" i="1" s="1"/>
  <c r="L619" i="1"/>
  <c r="Q617" i="1"/>
  <c r="M617" i="1"/>
  <c r="K617" i="1"/>
  <c r="Q616" i="1"/>
  <c r="K616" i="1"/>
  <c r="M616" i="1" s="1"/>
  <c r="N616" i="1" s="1"/>
  <c r="Q615" i="1"/>
  <c r="M615" i="1"/>
  <c r="N615" i="1" s="1"/>
  <c r="K615" i="1"/>
  <c r="Q614" i="1"/>
  <c r="K614" i="1"/>
  <c r="M614" i="1" s="1"/>
  <c r="Q613" i="1"/>
  <c r="L613" i="1"/>
  <c r="K612" i="1"/>
  <c r="Q611" i="1"/>
  <c r="L611" i="1"/>
  <c r="M611" i="1" s="1"/>
  <c r="N611" i="1" s="1"/>
  <c r="K611" i="1"/>
  <c r="Q610" i="1"/>
  <c r="K610" i="1"/>
  <c r="M610" i="1" s="1"/>
  <c r="N610" i="1" s="1"/>
  <c r="Q609" i="1"/>
  <c r="K609" i="1"/>
  <c r="M609" i="1" s="1"/>
  <c r="N609" i="1" s="1"/>
  <c r="Q608" i="1"/>
  <c r="M608" i="1"/>
  <c r="N608" i="1" s="1"/>
  <c r="P608" i="1" s="1"/>
  <c r="Y608" i="1" s="1"/>
  <c r="K608" i="1"/>
  <c r="H608" i="1"/>
  <c r="O605" i="1"/>
  <c r="R604" i="1"/>
  <c r="R603" i="1" s="1"/>
  <c r="P602" i="1"/>
  <c r="O602" i="1"/>
  <c r="S598" i="1"/>
  <c r="Q598" i="1" s="1"/>
  <c r="M598" i="1"/>
  <c r="N598" i="1" s="1"/>
  <c r="P598" i="1" s="1"/>
  <c r="R598" i="1" s="1"/>
  <c r="X598" i="1" s="1"/>
  <c r="Y598" i="1" s="1"/>
  <c r="K598" i="1"/>
  <c r="S597" i="1"/>
  <c r="Q597" i="1"/>
  <c r="N597" i="1"/>
  <c r="K597" i="1"/>
  <c r="M597" i="1" s="1"/>
  <c r="S596" i="1"/>
  <c r="Q596" i="1" s="1"/>
  <c r="K596" i="1"/>
  <c r="M596" i="1" s="1"/>
  <c r="N596" i="1" s="1"/>
  <c r="P596" i="1" s="1"/>
  <c r="O593" i="1"/>
  <c r="R592" i="1"/>
  <c r="R591" i="1" s="1"/>
  <c r="P590" i="1"/>
  <c r="O590" i="1"/>
  <c r="S586" i="1"/>
  <c r="Q586" i="1"/>
  <c r="S585" i="1"/>
  <c r="Q585" i="1"/>
  <c r="S584" i="1"/>
  <c r="Q584" i="1"/>
  <c r="K584" i="1"/>
  <c r="L584" i="1" s="1"/>
  <c r="T583" i="1"/>
  <c r="S583" i="1" s="1"/>
  <c r="Q583" i="1" s="1"/>
  <c r="O580" i="1"/>
  <c r="R579" i="1"/>
  <c r="R578" i="1" s="1"/>
  <c r="P577" i="1"/>
  <c r="O577" i="1"/>
  <c r="S571" i="1"/>
  <c r="Q571" i="1" s="1"/>
  <c r="K571" i="1"/>
  <c r="M571" i="1" s="1"/>
  <c r="N571" i="1" s="1"/>
  <c r="S570" i="1"/>
  <c r="Q570" i="1"/>
  <c r="S569" i="1"/>
  <c r="Q569" i="1" s="1"/>
  <c r="K569" i="1"/>
  <c r="S568" i="1"/>
  <c r="Q568" i="1"/>
  <c r="N568" i="1"/>
  <c r="P568" i="1" s="1"/>
  <c r="M568" i="1"/>
  <c r="O565" i="1"/>
  <c r="R564" i="1"/>
  <c r="R563" i="1" s="1"/>
  <c r="O562" i="1"/>
  <c r="P562" i="1" s="1"/>
  <c r="T559" i="1"/>
  <c r="R559" i="1"/>
  <c r="L559" i="1"/>
  <c r="M559" i="1" s="1"/>
  <c r="T558" i="1"/>
  <c r="R558" i="1" s="1"/>
  <c r="T557" i="1"/>
  <c r="R557" i="1" s="1"/>
  <c r="T556" i="1"/>
  <c r="R556" i="1"/>
  <c r="L556" i="1"/>
  <c r="P553" i="1"/>
  <c r="S552" i="1"/>
  <c r="S551" i="1"/>
  <c r="Q550" i="1"/>
  <c r="P550" i="1"/>
  <c r="T545" i="1"/>
  <c r="R545" i="1" s="1"/>
  <c r="N545" i="1"/>
  <c r="O545" i="1" s="1"/>
  <c r="L545" i="1"/>
  <c r="T544" i="1"/>
  <c r="R544" i="1" s="1"/>
  <c r="T543" i="1"/>
  <c r="R543" i="1"/>
  <c r="T542" i="1"/>
  <c r="R542" i="1" s="1"/>
  <c r="L542" i="1"/>
  <c r="M542" i="1" s="1"/>
  <c r="P539" i="1"/>
  <c r="S538" i="1"/>
  <c r="S537" i="1" s="1"/>
  <c r="Q536" i="1"/>
  <c r="P536" i="1"/>
  <c r="T531" i="1"/>
  <c r="R531" i="1" s="1"/>
  <c r="L531" i="1"/>
  <c r="N531" i="1" s="1"/>
  <c r="O531" i="1" s="1"/>
  <c r="T530" i="1"/>
  <c r="R530" i="1"/>
  <c r="O530" i="1"/>
  <c r="N530" i="1"/>
  <c r="L530" i="1"/>
  <c r="T529" i="1"/>
  <c r="R529" i="1"/>
  <c r="T528" i="1"/>
  <c r="R528" i="1"/>
  <c r="T527" i="1"/>
  <c r="R527" i="1" s="1"/>
  <c r="P524" i="1"/>
  <c r="S523" i="1"/>
  <c r="S522" i="1" s="1"/>
  <c r="P521" i="1"/>
  <c r="Q521" i="1" s="1"/>
  <c r="T515" i="1"/>
  <c r="R515" i="1"/>
  <c r="T514" i="1"/>
  <c r="R514" i="1"/>
  <c r="T513" i="1"/>
  <c r="R513" i="1"/>
  <c r="H513" i="1"/>
  <c r="T512" i="1"/>
  <c r="S512" i="1"/>
  <c r="R512" i="1"/>
  <c r="L512" i="1"/>
  <c r="P510" i="1"/>
  <c r="H510" i="1"/>
  <c r="S509" i="1"/>
  <c r="S508" i="1"/>
  <c r="Q507" i="1"/>
  <c r="P507" i="1"/>
  <c r="T497" i="1"/>
  <c r="U497" i="1" s="1"/>
  <c r="S497" i="1"/>
  <c r="Q496" i="1"/>
  <c r="U495" i="1"/>
  <c r="Q495" i="1"/>
  <c r="Q494" i="1"/>
  <c r="T491" i="1"/>
  <c r="R491" i="1" s="1"/>
  <c r="T490" i="1"/>
  <c r="R490" i="1" s="1"/>
  <c r="T489" i="1"/>
  <c r="R489" i="1" s="1"/>
  <c r="T488" i="1"/>
  <c r="T487" i="1"/>
  <c r="R487" i="1" s="1"/>
  <c r="T486" i="1"/>
  <c r="R486" i="1"/>
  <c r="O486" i="1"/>
  <c r="N486" i="1"/>
  <c r="T485" i="1"/>
  <c r="R485" i="1" s="1"/>
  <c r="S485" i="1" s="1"/>
  <c r="S486" i="1" s="1"/>
  <c r="S487" i="1" s="1"/>
  <c r="R488" i="1" s="1"/>
  <c r="Q485" i="1"/>
  <c r="M485" i="1"/>
  <c r="L485" i="1"/>
  <c r="P482" i="1"/>
  <c r="S481" i="1"/>
  <c r="S480" i="1" s="1"/>
  <c r="P479" i="1"/>
  <c r="L495" i="1" s="1"/>
  <c r="L474" i="1"/>
  <c r="M473" i="1"/>
  <c r="N473" i="1" s="1"/>
  <c r="O473" i="1" s="1"/>
  <c r="L473" i="1"/>
  <c r="R472" i="1"/>
  <c r="M472" i="1"/>
  <c r="R471" i="1"/>
  <c r="R470" i="1"/>
  <c r="R469" i="1"/>
  <c r="R468" i="1"/>
  <c r="R467" i="1"/>
  <c r="P464" i="1"/>
  <c r="S463" i="1"/>
  <c r="S462" i="1" s="1"/>
  <c r="I463" i="1"/>
  <c r="P461" i="1"/>
  <c r="Q461" i="1" s="1"/>
  <c r="R456" i="1"/>
  <c r="R455" i="1"/>
  <c r="R454" i="1"/>
  <c r="R453" i="1"/>
  <c r="R452" i="1"/>
  <c r="R451" i="1"/>
  <c r="R450" i="1"/>
  <c r="R449" i="1"/>
  <c r="R448" i="1"/>
  <c r="W446" i="1"/>
  <c r="P445" i="1"/>
  <c r="S444" i="1"/>
  <c r="I444" i="1"/>
  <c r="S443" i="1"/>
  <c r="V442" i="1"/>
  <c r="P442" i="1"/>
  <c r="Q442" i="1" s="1"/>
  <c r="E436" i="1"/>
  <c r="T435" i="1"/>
  <c r="R436" i="1" s="1"/>
  <c r="H435" i="1"/>
  <c r="G435" i="1"/>
  <c r="F435" i="1"/>
  <c r="D435" i="1" s="1"/>
  <c r="E435" i="1"/>
  <c r="C435" i="1" s="1"/>
  <c r="R434" i="1"/>
  <c r="R433" i="1"/>
  <c r="R432" i="1"/>
  <c r="R431" i="1"/>
  <c r="R430" i="1"/>
  <c r="C430" i="1"/>
  <c r="R429" i="1"/>
  <c r="R428" i="1"/>
  <c r="R427" i="1"/>
  <c r="R426" i="1"/>
  <c r="R425" i="1"/>
  <c r="Q423" i="1"/>
  <c r="M423" i="1"/>
  <c r="L423" i="1"/>
  <c r="G423" i="1"/>
  <c r="R422" i="1"/>
  <c r="N422" i="1"/>
  <c r="O422" i="1" s="1"/>
  <c r="M422" i="1"/>
  <c r="L422" i="1"/>
  <c r="W420" i="1"/>
  <c r="P419" i="1"/>
  <c r="S418" i="1"/>
  <c r="S417" i="1"/>
  <c r="N614" i="1" s="1"/>
  <c r="P416" i="1"/>
  <c r="Q416" i="1" s="1"/>
  <c r="L412" i="1"/>
  <c r="U410" i="1"/>
  <c r="AA410" i="1" s="1"/>
  <c r="T409" i="1"/>
  <c r="R408" i="1"/>
  <c r="L407" i="1"/>
  <c r="I407" i="1"/>
  <c r="M406" i="1"/>
  <c r="L406" i="1"/>
  <c r="I406" i="1"/>
  <c r="Q405" i="1"/>
  <c r="M405" i="1"/>
  <c r="N405" i="1" s="1"/>
  <c r="L405" i="1"/>
  <c r="I405" i="1" s="1"/>
  <c r="J405" i="1"/>
  <c r="X404" i="1"/>
  <c r="R404" i="1"/>
  <c r="M404" i="1"/>
  <c r="X403" i="1"/>
  <c r="Q408" i="1" s="1"/>
  <c r="S408" i="1" s="1"/>
  <c r="R409" i="1" s="1"/>
  <c r="R403" i="1"/>
  <c r="R402" i="1"/>
  <c r="L401" i="1"/>
  <c r="I401" i="1"/>
  <c r="R400" i="1"/>
  <c r="M400" i="1"/>
  <c r="J400" i="1"/>
  <c r="R399" i="1"/>
  <c r="R398" i="1"/>
  <c r="L397" i="1"/>
  <c r="I397" i="1" s="1"/>
  <c r="W396" i="1"/>
  <c r="X396" i="1" s="1"/>
  <c r="R396" i="1"/>
  <c r="M396" i="1"/>
  <c r="J396" i="1"/>
  <c r="S394" i="1"/>
  <c r="R395" i="1" s="1"/>
  <c r="R394" i="1"/>
  <c r="Q394" i="1"/>
  <c r="R393" i="1"/>
  <c r="L393" i="1"/>
  <c r="I393" i="1" s="1"/>
  <c r="P391" i="1"/>
  <c r="S390" i="1"/>
  <c r="S389" i="1"/>
  <c r="O405" i="1" s="1"/>
  <c r="P388" i="1"/>
  <c r="Q388" i="1" s="1"/>
  <c r="N386" i="1"/>
  <c r="O386" i="1" s="1"/>
  <c r="Q386" i="1" s="1"/>
  <c r="N385" i="1"/>
  <c r="O385" i="1" s="1"/>
  <c r="Q385" i="1" s="1"/>
  <c r="S387" i="1" s="1"/>
  <c r="U384" i="1"/>
  <c r="M384" i="1" s="1"/>
  <c r="N384" i="1" s="1"/>
  <c r="O384" i="1" s="1"/>
  <c r="Q384" i="1" s="1"/>
  <c r="S384" i="1" s="1"/>
  <c r="L382" i="1"/>
  <c r="L381" i="1"/>
  <c r="N381" i="1" s="1"/>
  <c r="M380" i="1"/>
  <c r="N380" i="1" s="1"/>
  <c r="L380" i="1"/>
  <c r="N378" i="1"/>
  <c r="N377" i="1"/>
  <c r="O376" i="1"/>
  <c r="Q376" i="1" s="1"/>
  <c r="S376" i="1" s="1"/>
  <c r="N376" i="1"/>
  <c r="N375" i="1"/>
  <c r="N374" i="1"/>
  <c r="U367" i="1"/>
  <c r="M367" i="1" s="1"/>
  <c r="L367" i="1"/>
  <c r="N365" i="1"/>
  <c r="W363" i="1"/>
  <c r="N363" i="1"/>
  <c r="W362" i="1"/>
  <c r="O375" i="1" s="1"/>
  <c r="Q375" i="1" s="1"/>
  <c r="N362" i="1"/>
  <c r="N361" i="1"/>
  <c r="N360" i="1"/>
  <c r="O360" i="1" s="1"/>
  <c r="Q360" i="1" s="1"/>
  <c r="S360" i="1" s="1"/>
  <c r="N359" i="1"/>
  <c r="N358" i="1"/>
  <c r="N357" i="1"/>
  <c r="N356" i="1"/>
  <c r="P354" i="1"/>
  <c r="N352" i="1"/>
  <c r="R349" i="1"/>
  <c r="N344" i="1"/>
  <c r="N343" i="1"/>
  <c r="R342" i="1"/>
  <c r="R339" i="1"/>
  <c r="N338" i="1"/>
  <c r="N337" i="1"/>
  <c r="N336" i="1"/>
  <c r="N335" i="1"/>
  <c r="P333" i="1"/>
  <c r="N331" i="1"/>
  <c r="N330" i="1"/>
  <c r="N329" i="1"/>
  <c r="A329" i="1"/>
  <c r="N328" i="1"/>
  <c r="N327" i="1"/>
  <c r="N326" i="1"/>
  <c r="A326" i="1"/>
  <c r="A327" i="1" s="1"/>
  <c r="A328" i="1" s="1"/>
  <c r="A330" i="1" s="1"/>
  <c r="N325" i="1"/>
  <c r="N324" i="1"/>
  <c r="I323" i="1"/>
  <c r="N320" i="1"/>
  <c r="N319" i="1"/>
  <c r="N317" i="1"/>
  <c r="I315" i="1"/>
  <c r="H315" i="1"/>
  <c r="J313" i="1"/>
  <c r="N312" i="1"/>
  <c r="N311" i="1"/>
  <c r="J311" i="1"/>
  <c r="N310" i="1"/>
  <c r="N309" i="1"/>
  <c r="H307" i="1"/>
  <c r="H308" i="1" s="1"/>
  <c r="I305" i="1"/>
  <c r="H305" i="1"/>
  <c r="N304" i="1"/>
  <c r="N303" i="1"/>
  <c r="N302" i="1"/>
  <c r="N301" i="1"/>
  <c r="H300" i="1"/>
  <c r="H298" i="1"/>
  <c r="H297" i="1"/>
  <c r="N294" i="1"/>
  <c r="N293" i="1"/>
  <c r="I293" i="1"/>
  <c r="N292" i="1"/>
  <c r="N291" i="1"/>
  <c r="N290" i="1"/>
  <c r="N289" i="1"/>
  <c r="I289" i="1"/>
  <c r="I290" i="1" s="1"/>
  <c r="N288" i="1"/>
  <c r="N287" i="1"/>
  <c r="N286" i="1"/>
  <c r="V285" i="1"/>
  <c r="N285" i="1"/>
  <c r="V284" i="1"/>
  <c r="N284" i="1"/>
  <c r="V283" i="1"/>
  <c r="N283" i="1"/>
  <c r="V282" i="1"/>
  <c r="N282" i="1"/>
  <c r="V281" i="1"/>
  <c r="N281" i="1"/>
  <c r="H281" i="1"/>
  <c r="I281" i="1" s="1"/>
  <c r="V280" i="1"/>
  <c r="N280" i="1"/>
  <c r="V279" i="1"/>
  <c r="N279" i="1"/>
  <c r="V278" i="1"/>
  <c r="N278" i="1"/>
  <c r="V277" i="1"/>
  <c r="N277" i="1"/>
  <c r="V276" i="1"/>
  <c r="N276" i="1"/>
  <c r="V275" i="1"/>
  <c r="N275" i="1"/>
  <c r="V274" i="1"/>
  <c r="N274" i="1"/>
  <c r="F274" i="1"/>
  <c r="V273" i="1"/>
  <c r="N273" i="1"/>
  <c r="V272" i="1"/>
  <c r="N272" i="1"/>
  <c r="V271" i="1"/>
  <c r="N271" i="1"/>
  <c r="V270" i="1"/>
  <c r="N270" i="1"/>
  <c r="W268" i="1"/>
  <c r="O268" i="1"/>
  <c r="I267" i="1"/>
  <c r="X266" i="1"/>
  <c r="W266" i="1"/>
  <c r="O266" i="1"/>
  <c r="P266" i="1" s="1"/>
  <c r="S260" i="1"/>
  <c r="Q260" i="1" s="1"/>
  <c r="R260" i="1"/>
  <c r="P260" i="1" s="1"/>
  <c r="M260" i="1"/>
  <c r="K260" i="1"/>
  <c r="I260" i="1"/>
  <c r="L260" i="1" s="1"/>
  <c r="H260" i="1"/>
  <c r="M259" i="1"/>
  <c r="L259" i="1"/>
  <c r="R259" i="1" s="1"/>
  <c r="P259" i="1" s="1"/>
  <c r="K259" i="1"/>
  <c r="I259" i="1"/>
  <c r="M258" i="1"/>
  <c r="L258" i="1"/>
  <c r="K258" i="1"/>
  <c r="I258" i="1"/>
  <c r="K254" i="1"/>
  <c r="N253" i="1"/>
  <c r="M253" i="1"/>
  <c r="L253" i="1"/>
  <c r="P253" i="1" s="1"/>
  <c r="Q253" i="1" s="1"/>
  <c r="I253" i="1"/>
  <c r="N252" i="1"/>
  <c r="M252" i="1"/>
  <c r="I252" i="1"/>
  <c r="L252" i="1" s="1"/>
  <c r="E252" i="1"/>
  <c r="E253" i="1" s="1"/>
  <c r="N251" i="1"/>
  <c r="M251" i="1"/>
  <c r="I251" i="1"/>
  <c r="L251" i="1" s="1"/>
  <c r="M250" i="1"/>
  <c r="P250" i="1" s="1"/>
  <c r="I250" i="1"/>
  <c r="L250" i="1" s="1"/>
  <c r="E250" i="1"/>
  <c r="I239" i="1"/>
  <c r="N232" i="1"/>
  <c r="M232" i="1"/>
  <c r="K232" i="1"/>
  <c r="I232" i="1"/>
  <c r="L232" i="1" s="1"/>
  <c r="H232" i="1"/>
  <c r="M231" i="1"/>
  <c r="L231" i="1"/>
  <c r="K231" i="1"/>
  <c r="I231" i="1"/>
  <c r="M230" i="1"/>
  <c r="L230" i="1"/>
  <c r="K230" i="1"/>
  <c r="I230" i="1"/>
  <c r="K226" i="1"/>
  <c r="M225" i="1"/>
  <c r="L225" i="1"/>
  <c r="P225" i="1" s="1"/>
  <c r="Q225" i="1" s="1"/>
  <c r="I225" i="1"/>
  <c r="M224" i="1"/>
  <c r="I224" i="1"/>
  <c r="L224" i="1" s="1"/>
  <c r="P224" i="1" s="1"/>
  <c r="Q224" i="1" s="1"/>
  <c r="P223" i="1"/>
  <c r="Q223" i="1" s="1"/>
  <c r="M223" i="1"/>
  <c r="I223" i="1"/>
  <c r="L223" i="1" s="1"/>
  <c r="M222" i="1"/>
  <c r="L222" i="1"/>
  <c r="P222" i="1" s="1"/>
  <c r="I222" i="1"/>
  <c r="S208" i="1"/>
  <c r="I199" i="1"/>
  <c r="N192" i="1"/>
  <c r="M192" i="1"/>
  <c r="Q192" i="1" s="1"/>
  <c r="L192" i="1"/>
  <c r="K192" i="1"/>
  <c r="I192" i="1"/>
  <c r="H192" i="1"/>
  <c r="N191" i="1"/>
  <c r="M191" i="1"/>
  <c r="K191" i="1"/>
  <c r="I191" i="1"/>
  <c r="L191" i="1" s="1"/>
  <c r="Q190" i="1"/>
  <c r="N190" i="1"/>
  <c r="M190" i="1"/>
  <c r="K190" i="1"/>
  <c r="I190" i="1"/>
  <c r="L190" i="1" s="1"/>
  <c r="P190" i="1" s="1"/>
  <c r="K186" i="1"/>
  <c r="M185" i="1"/>
  <c r="L185" i="1"/>
  <c r="P185" i="1" s="1"/>
  <c r="Q185" i="1" s="1"/>
  <c r="I185" i="1"/>
  <c r="M184" i="1"/>
  <c r="I184" i="1"/>
  <c r="L184" i="1" s="1"/>
  <c r="P184" i="1" s="1"/>
  <c r="Q184" i="1" s="1"/>
  <c r="M183" i="1"/>
  <c r="P183" i="1" s="1"/>
  <c r="Q183" i="1" s="1"/>
  <c r="L183" i="1"/>
  <c r="I183" i="1"/>
  <c r="M182" i="1"/>
  <c r="I182" i="1"/>
  <c r="L182" i="1" s="1"/>
  <c r="P182" i="1" s="1"/>
  <c r="I170" i="1"/>
  <c r="N163" i="1"/>
  <c r="M163" i="1"/>
  <c r="K163" i="1"/>
  <c r="L163" i="1" s="1"/>
  <c r="Q163" i="1" s="1"/>
  <c r="I163" i="1"/>
  <c r="H163" i="1"/>
  <c r="M162" i="1"/>
  <c r="K162" i="1"/>
  <c r="I162" i="1"/>
  <c r="L162" i="1" s="1"/>
  <c r="P161" i="1"/>
  <c r="N161" i="1"/>
  <c r="N162" i="1" s="1"/>
  <c r="M161" i="1"/>
  <c r="K161" i="1"/>
  <c r="L161" i="1" s="1"/>
  <c r="Q161" i="1" s="1"/>
  <c r="I161" i="1"/>
  <c r="K157" i="1"/>
  <c r="M156" i="1"/>
  <c r="P156" i="1" s="1"/>
  <c r="Q156" i="1" s="1"/>
  <c r="L156" i="1"/>
  <c r="I156" i="1"/>
  <c r="Q155" i="1"/>
  <c r="P155" i="1"/>
  <c r="M155" i="1"/>
  <c r="L155" i="1"/>
  <c r="I155" i="1"/>
  <c r="M154" i="1"/>
  <c r="I154" i="1"/>
  <c r="L154" i="1" s="1"/>
  <c r="P154" i="1" s="1"/>
  <c r="Q154" i="1" s="1"/>
  <c r="M153" i="1"/>
  <c r="I153" i="1"/>
  <c r="L153" i="1" s="1"/>
  <c r="P153" i="1" s="1"/>
  <c r="I140" i="1"/>
  <c r="N133" i="1"/>
  <c r="M133" i="1"/>
  <c r="P133" i="1" s="1"/>
  <c r="L133" i="1"/>
  <c r="K133" i="1"/>
  <c r="I133" i="1"/>
  <c r="H133" i="1"/>
  <c r="M132" i="1"/>
  <c r="L132" i="1"/>
  <c r="K132" i="1"/>
  <c r="I132" i="1"/>
  <c r="N131" i="1"/>
  <c r="N132" i="1" s="1"/>
  <c r="M131" i="1"/>
  <c r="K131" i="1"/>
  <c r="L131" i="1" s="1"/>
  <c r="I131" i="1"/>
  <c r="K127" i="1"/>
  <c r="M126" i="1"/>
  <c r="L126" i="1"/>
  <c r="P126" i="1" s="1"/>
  <c r="Q126" i="1" s="1"/>
  <c r="I126" i="1"/>
  <c r="M125" i="1"/>
  <c r="I125" i="1"/>
  <c r="L125" i="1" s="1"/>
  <c r="P125" i="1" s="1"/>
  <c r="Q124" i="1"/>
  <c r="P124" i="1"/>
  <c r="M124" i="1"/>
  <c r="L124" i="1"/>
  <c r="I124" i="1"/>
  <c r="M123" i="1"/>
  <c r="L123" i="1"/>
  <c r="P123" i="1" s="1"/>
  <c r="Q123" i="1" s="1"/>
  <c r="I123" i="1"/>
  <c r="I111" i="1"/>
  <c r="Q103" i="1" s="1"/>
  <c r="M104" i="1"/>
  <c r="K104" i="1"/>
  <c r="I104" i="1"/>
  <c r="L104" i="1" s="1"/>
  <c r="H104" i="1"/>
  <c r="P103" i="1"/>
  <c r="M103" i="1"/>
  <c r="L103" i="1"/>
  <c r="K103" i="1"/>
  <c r="I103" i="1"/>
  <c r="M102" i="1"/>
  <c r="L102" i="1"/>
  <c r="K102" i="1"/>
  <c r="I102" i="1"/>
  <c r="K98" i="1"/>
  <c r="N97" i="1"/>
  <c r="M97" i="1"/>
  <c r="I97" i="1"/>
  <c r="L97" i="1" s="1"/>
  <c r="P97" i="1" s="1"/>
  <c r="Q97" i="1" s="1"/>
  <c r="N96" i="1"/>
  <c r="M96" i="1"/>
  <c r="L96" i="1"/>
  <c r="P96" i="1" s="1"/>
  <c r="Q96" i="1" s="1"/>
  <c r="I96" i="1"/>
  <c r="N95" i="1"/>
  <c r="M95" i="1"/>
  <c r="I95" i="1"/>
  <c r="L95" i="1" s="1"/>
  <c r="P95" i="1" s="1"/>
  <c r="Q95" i="1" s="1"/>
  <c r="M94" i="1"/>
  <c r="P94" i="1" s="1"/>
  <c r="L94" i="1"/>
  <c r="I94" i="1"/>
  <c r="I81" i="1"/>
  <c r="N74" i="1"/>
  <c r="M74" i="1"/>
  <c r="K74" i="1"/>
  <c r="I74" i="1"/>
  <c r="L74" i="1" s="1"/>
  <c r="H74" i="1"/>
  <c r="N73" i="1"/>
  <c r="M73" i="1"/>
  <c r="K73" i="1"/>
  <c r="I73" i="1"/>
  <c r="L73" i="1" s="1"/>
  <c r="Q73" i="1" s="1"/>
  <c r="Q72" i="1"/>
  <c r="P72" i="1"/>
  <c r="N72" i="1"/>
  <c r="M72" i="1"/>
  <c r="K72" i="1"/>
  <c r="I72" i="1"/>
  <c r="L72" i="1" s="1"/>
  <c r="K68" i="1"/>
  <c r="N67" i="1"/>
  <c r="M67" i="1"/>
  <c r="L67" i="1"/>
  <c r="P67" i="1" s="1"/>
  <c r="Q67" i="1" s="1"/>
  <c r="I67" i="1"/>
  <c r="P66" i="1"/>
  <c r="Q66" i="1" s="1"/>
  <c r="N66" i="1"/>
  <c r="M66" i="1"/>
  <c r="L66" i="1"/>
  <c r="I66" i="1"/>
  <c r="N65" i="1"/>
  <c r="M65" i="1"/>
  <c r="I65" i="1"/>
  <c r="L65" i="1" s="1"/>
  <c r="P65" i="1" s="1"/>
  <c r="Q65" i="1" s="1"/>
  <c r="M64" i="1"/>
  <c r="L64" i="1"/>
  <c r="P64" i="1" s="1"/>
  <c r="I64" i="1"/>
  <c r="M55" i="1"/>
  <c r="M54" i="1"/>
  <c r="M53" i="1"/>
  <c r="I53" i="1"/>
  <c r="M46" i="1"/>
  <c r="L46" i="1"/>
  <c r="P46" i="1" s="1"/>
  <c r="K46" i="1"/>
  <c r="I46" i="1"/>
  <c r="H46" i="1"/>
  <c r="M45" i="1"/>
  <c r="K45" i="1"/>
  <c r="I45" i="1"/>
  <c r="L45" i="1" s="1"/>
  <c r="M44" i="1"/>
  <c r="K44" i="1"/>
  <c r="L44" i="1" s="1"/>
  <c r="I44" i="1"/>
  <c r="K40" i="1"/>
  <c r="N39" i="1"/>
  <c r="M39" i="1"/>
  <c r="I39" i="1"/>
  <c r="L39" i="1" s="1"/>
  <c r="P39" i="1" s="1"/>
  <c r="Q39" i="1" s="1"/>
  <c r="M38" i="1"/>
  <c r="L38" i="1"/>
  <c r="M37" i="1"/>
  <c r="L37" i="1"/>
  <c r="N36" i="1"/>
  <c r="M36" i="1"/>
  <c r="L36" i="1"/>
  <c r="P36" i="1" s="1"/>
  <c r="Q36" i="1" s="1"/>
  <c r="N29" i="1"/>
  <c r="I23" i="1"/>
  <c r="M16" i="1"/>
  <c r="Q16" i="1" s="1"/>
  <c r="L16" i="1"/>
  <c r="K16" i="1"/>
  <c r="H16" i="1"/>
  <c r="M15" i="1"/>
  <c r="L15" i="1"/>
  <c r="K15" i="1"/>
  <c r="M14" i="1"/>
  <c r="K14" i="1"/>
  <c r="L14" i="1" s="1"/>
  <c r="K10" i="1"/>
  <c r="N9" i="1"/>
  <c r="M9" i="1"/>
  <c r="I9" i="1"/>
  <c r="L9" i="1" s="1"/>
  <c r="P9" i="1" s="1"/>
  <c r="Q9" i="1" s="1"/>
  <c r="N8" i="1"/>
  <c r="M8" i="1"/>
  <c r="L8" i="1"/>
  <c r="P8" i="1" s="1"/>
  <c r="Q8" i="1" s="1"/>
  <c r="N7" i="1"/>
  <c r="M7" i="1"/>
  <c r="P7" i="1" s="1"/>
  <c r="L7" i="1"/>
  <c r="Q6" i="1"/>
  <c r="P6" i="1"/>
  <c r="M6" i="1"/>
  <c r="L6" i="1"/>
  <c r="V20" i="3" l="1"/>
  <c r="R187" i="3" s="1"/>
  <c r="V25" i="3"/>
  <c r="V11" i="3"/>
  <c r="AF18" i="3"/>
  <c r="V12" i="3"/>
  <c r="S42" i="3"/>
  <c r="Q5" i="3"/>
  <c r="AR195" i="3"/>
  <c r="AR196" i="3" s="1"/>
  <c r="Y53" i="3"/>
  <c r="AF13" i="3"/>
  <c r="V23" i="3"/>
  <c r="S95" i="3"/>
  <c r="T95" i="3" s="1"/>
  <c r="V95" i="3" s="1"/>
  <c r="AI95" i="3" s="1"/>
  <c r="V26" i="3"/>
  <c r="V21" i="3"/>
  <c r="S41" i="3"/>
  <c r="T41" i="3" s="1"/>
  <c r="V41" i="3" s="1"/>
  <c r="AI41" i="3" s="1"/>
  <c r="V24" i="3"/>
  <c r="V14" i="3"/>
  <c r="V15" i="3"/>
  <c r="V28" i="3"/>
  <c r="R47" i="3"/>
  <c r="S47" i="3" s="1"/>
  <c r="T47" i="3" s="1"/>
  <c r="V47" i="3" s="1"/>
  <c r="V19" i="3"/>
  <c r="P98" i="1"/>
  <c r="Q94" i="1"/>
  <c r="Q98" i="1" s="1"/>
  <c r="N542" i="1"/>
  <c r="O542" i="1" s="1"/>
  <c r="Q542" i="1" s="1"/>
  <c r="S542" i="1" s="1"/>
  <c r="L543" i="1"/>
  <c r="Q191" i="1"/>
  <c r="P191" i="1"/>
  <c r="P193" i="1" s="1"/>
  <c r="L569" i="1"/>
  <c r="Q7" i="1"/>
  <c r="Q10" i="1" s="1"/>
  <c r="Q19" i="1" s="1"/>
  <c r="P10" i="1"/>
  <c r="Q44" i="1"/>
  <c r="Q47" i="1" s="1"/>
  <c r="P44" i="1"/>
  <c r="P47" i="1" s="1"/>
  <c r="M584" i="1"/>
  <c r="N584" i="1" s="1"/>
  <c r="P584" i="1" s="1"/>
  <c r="R584" i="1" s="1"/>
  <c r="K585" i="1"/>
  <c r="L585" i="1" s="1"/>
  <c r="P616" i="1"/>
  <c r="AC60" i="2"/>
  <c r="AB60" i="2"/>
  <c r="AD60" i="2" s="1"/>
  <c r="Z92" i="2"/>
  <c r="AB31" i="2"/>
  <c r="T31" i="2"/>
  <c r="V31" i="2" s="1"/>
  <c r="AI31" i="2" s="1"/>
  <c r="Q154" i="2"/>
  <c r="P621" i="12"/>
  <c r="Q621" i="12" s="1"/>
  <c r="Q131" i="1"/>
  <c r="P131" i="1"/>
  <c r="P134" i="1" s="1"/>
  <c r="J404" i="1"/>
  <c r="P615" i="1"/>
  <c r="Y615" i="1" s="1"/>
  <c r="Q182" i="1"/>
  <c r="Q186" i="1" s="1"/>
  <c r="P186" i="1"/>
  <c r="Q473" i="1"/>
  <c r="AC92" i="2"/>
  <c r="AD92" i="2" s="1"/>
  <c r="P231" i="1"/>
  <c r="Q231" i="1"/>
  <c r="Q422" i="1"/>
  <c r="Q545" i="1"/>
  <c r="V16" i="2"/>
  <c r="AF16" i="2"/>
  <c r="W151" i="3"/>
  <c r="K647" i="1"/>
  <c r="M647" i="1" s="1"/>
  <c r="N647" i="1" s="1"/>
  <c r="P647" i="1" s="1"/>
  <c r="Y647" i="1" s="1"/>
  <c r="M646" i="1"/>
  <c r="N646" i="1" s="1"/>
  <c r="P646" i="1" s="1"/>
  <c r="Y646" i="1" s="1"/>
  <c r="P609" i="1"/>
  <c r="R179" i="2"/>
  <c r="P16" i="1"/>
  <c r="Q487" i="1"/>
  <c r="Q530" i="1"/>
  <c r="N231" i="1"/>
  <c r="N230" i="1"/>
  <c r="Q64" i="1"/>
  <c r="Q68" i="1" s="1"/>
  <c r="P68" i="1"/>
  <c r="Q127" i="1"/>
  <c r="Q133" i="1"/>
  <c r="S258" i="1"/>
  <c r="R258" i="1"/>
  <c r="Q486" i="1"/>
  <c r="K583" i="1"/>
  <c r="M583" i="1" s="1"/>
  <c r="N583" i="1" s="1"/>
  <c r="P583" i="1" s="1"/>
  <c r="R583" i="1" s="1"/>
  <c r="X583" i="1" s="1"/>
  <c r="N559" i="1"/>
  <c r="O559" i="1" s="1"/>
  <c r="Q559" i="1" s="1"/>
  <c r="S559" i="1" s="1"/>
  <c r="X31" i="2"/>
  <c r="P226" i="1"/>
  <c r="Q222" i="1"/>
  <c r="Q226" i="1" s="1"/>
  <c r="S375" i="1"/>
  <c r="J406" i="1"/>
  <c r="N406" i="1"/>
  <c r="O406" i="1" s="1"/>
  <c r="Q406" i="1" s="1"/>
  <c r="Q74" i="1"/>
  <c r="Q75" i="1" s="1"/>
  <c r="P74" i="1"/>
  <c r="Q125" i="1"/>
  <c r="P127" i="1"/>
  <c r="P102" i="1"/>
  <c r="P105" i="1" s="1"/>
  <c r="Q102" i="1"/>
  <c r="Q105" i="1" s="1"/>
  <c r="T214" i="3"/>
  <c r="V214" i="3" s="1"/>
  <c r="AK214" i="3" s="1"/>
  <c r="O381" i="1"/>
  <c r="Q381" i="1" s="1"/>
  <c r="AC85" i="2"/>
  <c r="AD85" i="2" s="1"/>
  <c r="X85" i="2"/>
  <c r="S218" i="3"/>
  <c r="Q222" i="12"/>
  <c r="Q226" i="12" s="1"/>
  <c r="P254" i="1"/>
  <c r="N367" i="1"/>
  <c r="O367" i="1" s="1"/>
  <c r="Q367" i="1" s="1"/>
  <c r="S367" i="1" s="1"/>
  <c r="Q250" i="1"/>
  <c r="Q254" i="1" s="1"/>
  <c r="Y42" i="2"/>
  <c r="Z124" i="2"/>
  <c r="Z125" i="2" s="1"/>
  <c r="Z126" i="2" s="1"/>
  <c r="Z127" i="2" s="1"/>
  <c r="Z128" i="2" s="1"/>
  <c r="Z130" i="2" s="1"/>
  <c r="Z133" i="2" s="1"/>
  <c r="R250" i="1"/>
  <c r="P571" i="1"/>
  <c r="R571" i="1" s="1"/>
  <c r="P251" i="1"/>
  <c r="Q251" i="1" s="1"/>
  <c r="R251" i="1"/>
  <c r="S251" i="1" s="1"/>
  <c r="M543" i="1"/>
  <c r="S571" i="12"/>
  <c r="Q571" i="12" s="1"/>
  <c r="R571" i="12"/>
  <c r="P571" i="12" s="1"/>
  <c r="P157" i="1"/>
  <c r="P73" i="1"/>
  <c r="P75" i="1" s="1"/>
  <c r="P192" i="1"/>
  <c r="R596" i="1"/>
  <c r="X596" i="1" s="1"/>
  <c r="Y596" i="1" s="1"/>
  <c r="R178" i="2"/>
  <c r="S178" i="2" s="1"/>
  <c r="T178" i="2" s="1"/>
  <c r="V178" i="2" s="1"/>
  <c r="AC88" i="2"/>
  <c r="AD88" i="2" s="1"/>
  <c r="W114" i="2"/>
  <c r="Z114" i="2"/>
  <c r="Z122" i="2" s="1"/>
  <c r="S512" i="12"/>
  <c r="Q512" i="12" s="1"/>
  <c r="R512" i="12"/>
  <c r="P512" i="12" s="1"/>
  <c r="P104" i="1"/>
  <c r="Q104" i="1"/>
  <c r="Q230" i="1"/>
  <c r="Q233" i="1" s="1"/>
  <c r="P230" i="1"/>
  <c r="P233" i="1" s="1"/>
  <c r="P648" i="1"/>
  <c r="Y648" i="1" s="1"/>
  <c r="Q162" i="1"/>
  <c r="Q164" i="1" s="1"/>
  <c r="P162" i="1"/>
  <c r="P164" i="1" s="1"/>
  <c r="Q153" i="1"/>
  <c r="Q157" i="1" s="1"/>
  <c r="AC100" i="3"/>
  <c r="AD100" i="3" s="1"/>
  <c r="Q73" i="12"/>
  <c r="Q191" i="12"/>
  <c r="P191" i="12"/>
  <c r="P193" i="12" s="1"/>
  <c r="R252" i="1"/>
  <c r="S252" i="1" s="1"/>
  <c r="P252" i="1"/>
  <c r="Q252" i="1" s="1"/>
  <c r="V3" i="2"/>
  <c r="S177" i="2"/>
  <c r="T177" i="2" s="1"/>
  <c r="V177" i="2" s="1"/>
  <c r="AI177" i="2" s="1"/>
  <c r="R358" i="12"/>
  <c r="P358" i="12"/>
  <c r="Z91" i="3"/>
  <c r="W87" i="3"/>
  <c r="P482" i="12"/>
  <c r="P611" i="1"/>
  <c r="R659" i="1"/>
  <c r="X659" i="1" s="1"/>
  <c r="Q482" i="12"/>
  <c r="W141" i="2"/>
  <c r="AC101" i="3"/>
  <c r="AD101" i="3" s="1"/>
  <c r="Q16" i="12"/>
  <c r="P16" i="12"/>
  <c r="O377" i="1"/>
  <c r="Q377" i="1" s="1"/>
  <c r="S377" i="1" s="1"/>
  <c r="P660" i="1"/>
  <c r="Y660" i="1" s="1"/>
  <c r="P279" i="12"/>
  <c r="R279" i="12"/>
  <c r="R315" i="12"/>
  <c r="P315" i="12" s="1"/>
  <c r="S315" i="12"/>
  <c r="Q315" i="12" s="1"/>
  <c r="Q46" i="1"/>
  <c r="P163" i="1"/>
  <c r="O363" i="1"/>
  <c r="Q363" i="1" s="1"/>
  <c r="S363" i="1" s="1"/>
  <c r="S530" i="1"/>
  <c r="T60" i="2"/>
  <c r="V60" i="2" s="1"/>
  <c r="AI60" i="2" s="1"/>
  <c r="Z76" i="3"/>
  <c r="P232" i="1"/>
  <c r="Q232" i="1"/>
  <c r="W60" i="2"/>
  <c r="X60" i="2" s="1"/>
  <c r="Y61" i="2"/>
  <c r="R164" i="3"/>
  <c r="S164" i="3" s="1"/>
  <c r="R167" i="3"/>
  <c r="P10" i="12"/>
  <c r="Q6" i="12"/>
  <c r="Q10" i="12" s="1"/>
  <c r="Q14" i="1"/>
  <c r="Q17" i="1" s="1"/>
  <c r="P14" i="1"/>
  <c r="U382" i="1"/>
  <c r="M382" i="1" s="1"/>
  <c r="N382" i="1" s="1"/>
  <c r="O382" i="1" s="1"/>
  <c r="Q382" i="1" s="1"/>
  <c r="S382" i="1" s="1"/>
  <c r="U370" i="1"/>
  <c r="M370" i="1" s="1"/>
  <c r="N370" i="1" s="1"/>
  <c r="O370" i="1" s="1"/>
  <c r="Q370" i="1" s="1"/>
  <c r="S370" i="1" s="1"/>
  <c r="U383" i="1"/>
  <c r="M383" i="1" s="1"/>
  <c r="N383" i="1" s="1"/>
  <c r="O383" i="1" s="1"/>
  <c r="Q383" i="1" s="1"/>
  <c r="S383" i="1" s="1"/>
  <c r="U369" i="1"/>
  <c r="M369" i="1" s="1"/>
  <c r="N369" i="1" s="1"/>
  <c r="O369" i="1" s="1"/>
  <c r="Q369" i="1" s="1"/>
  <c r="S369" i="1" s="1"/>
  <c r="O362" i="1"/>
  <c r="Q362" i="1" s="1"/>
  <c r="S362" i="1" s="1"/>
  <c r="O378" i="1"/>
  <c r="Q378" i="1" s="1"/>
  <c r="S378" i="1" s="1"/>
  <c r="X362" i="1"/>
  <c r="P428" i="12"/>
  <c r="P15" i="1"/>
  <c r="Q15" i="1"/>
  <c r="Q36" i="12"/>
  <c r="P597" i="1"/>
  <c r="R597" i="1"/>
  <c r="X597" i="1" s="1"/>
  <c r="Y597" i="1" s="1"/>
  <c r="R253" i="1"/>
  <c r="S253" i="1" s="1"/>
  <c r="R568" i="1"/>
  <c r="Y630" i="1"/>
  <c r="R630" i="1"/>
  <c r="X630" i="1" s="1"/>
  <c r="Z66" i="2"/>
  <c r="H677" i="1"/>
  <c r="S32" i="2"/>
  <c r="Q33" i="2"/>
  <c r="P610" i="1"/>
  <c r="Y610" i="1" s="1"/>
  <c r="R503" i="12"/>
  <c r="S503" i="12" s="1"/>
  <c r="P503" i="12"/>
  <c r="Q503" i="12" s="1"/>
  <c r="Q193" i="1"/>
  <c r="V11" i="2"/>
  <c r="AF11" i="2"/>
  <c r="X177" i="2"/>
  <c r="AH177" i="2" s="1"/>
  <c r="P252" i="12"/>
  <c r="Q252" i="12" s="1"/>
  <c r="Q254" i="12" s="1"/>
  <c r="R252" i="12"/>
  <c r="S252" i="12" s="1"/>
  <c r="T204" i="2"/>
  <c r="V204" i="2" s="1"/>
  <c r="AI204" i="2" s="1"/>
  <c r="V27" i="3"/>
  <c r="N37" i="1"/>
  <c r="P37" i="1" s="1"/>
  <c r="N38" i="1"/>
  <c r="R505" i="12"/>
  <c r="S505" i="12" s="1"/>
  <c r="P505" i="12"/>
  <c r="Q505" i="12" s="1"/>
  <c r="M402" i="1"/>
  <c r="X207" i="2"/>
  <c r="AC98" i="3"/>
  <c r="AD98" i="3" s="1"/>
  <c r="N661" i="1"/>
  <c r="P661" i="1" s="1"/>
  <c r="Y661" i="1" s="1"/>
  <c r="Q132" i="1"/>
  <c r="P132" i="1"/>
  <c r="F76" i="6"/>
  <c r="F112" i="6"/>
  <c r="F130" i="6"/>
  <c r="F139" i="6"/>
  <c r="F58" i="6"/>
  <c r="F121" i="6"/>
  <c r="F94" i="6"/>
  <c r="F40" i="6"/>
  <c r="F85" i="6"/>
  <c r="F103" i="6"/>
  <c r="F67" i="6"/>
  <c r="F27" i="6"/>
  <c r="K18" i="8"/>
  <c r="D18" i="8"/>
  <c r="O361" i="1"/>
  <c r="Q361" i="1" s="1"/>
  <c r="S361" i="1" s="1"/>
  <c r="S545" i="1"/>
  <c r="S259" i="1"/>
  <c r="Q259" i="1" s="1"/>
  <c r="N643" i="1"/>
  <c r="P643" i="1" s="1"/>
  <c r="Y643" i="1" s="1"/>
  <c r="AF15" i="2"/>
  <c r="Y65" i="2"/>
  <c r="Q164" i="12"/>
  <c r="N476" i="12"/>
  <c r="R475" i="12"/>
  <c r="R417" i="12"/>
  <c r="P417" i="12"/>
  <c r="Q45" i="1"/>
  <c r="P45" i="1"/>
  <c r="Q531" i="1"/>
  <c r="Z81" i="2"/>
  <c r="P38" i="1"/>
  <c r="Q38" i="1" s="1"/>
  <c r="M393" i="1"/>
  <c r="R648" i="1"/>
  <c r="X648" i="1" s="1"/>
  <c r="N662" i="1"/>
  <c r="P662" i="1" s="1"/>
  <c r="W70" i="3"/>
  <c r="Y71" i="3"/>
  <c r="G27" i="6"/>
  <c r="I27" i="6" s="1"/>
  <c r="K19" i="8"/>
  <c r="D19" i="8"/>
  <c r="Q14" i="12"/>
  <c r="Q17" i="12" s="1"/>
  <c r="P14" i="12"/>
  <c r="P17" i="12" s="1"/>
  <c r="Q123" i="12"/>
  <c r="Q127" i="12" s="1"/>
  <c r="P127" i="12"/>
  <c r="R608" i="1"/>
  <c r="X608" i="1" s="1"/>
  <c r="Q44" i="12"/>
  <c r="P44" i="12"/>
  <c r="P47" i="12" s="1"/>
  <c r="S309" i="12"/>
  <c r="AC90" i="2"/>
  <c r="AD90" i="2" s="1"/>
  <c r="W124" i="3"/>
  <c r="Z124" i="3"/>
  <c r="Z132" i="3" s="1"/>
  <c r="Z133" i="3" s="1"/>
  <c r="Z134" i="3" s="1"/>
  <c r="Z135" i="3" s="1"/>
  <c r="Z136" i="3" s="1"/>
  <c r="Z137" i="3" s="1"/>
  <c r="Z138" i="3" s="1"/>
  <c r="Z140" i="3" s="1"/>
  <c r="Z143" i="3" s="1"/>
  <c r="P68" i="12"/>
  <c r="P97" i="12"/>
  <c r="Q97" i="12" s="1"/>
  <c r="Q98" i="12" s="1"/>
  <c r="Q107" i="12" s="1"/>
  <c r="Q133" i="12"/>
  <c r="P133" i="12"/>
  <c r="P162" i="12"/>
  <c r="Q162" i="12"/>
  <c r="L626" i="12"/>
  <c r="Q474" i="12"/>
  <c r="M556" i="1"/>
  <c r="O670" i="1"/>
  <c r="Y43" i="2"/>
  <c r="S259" i="12"/>
  <c r="Q259" i="12" s="1"/>
  <c r="R259" i="12"/>
  <c r="P259" i="12" s="1"/>
  <c r="R307" i="12"/>
  <c r="S307" i="12" s="1"/>
  <c r="P307" i="12"/>
  <c r="Q307" i="12" s="1"/>
  <c r="R361" i="12"/>
  <c r="S361" i="12" s="1"/>
  <c r="P361" i="12"/>
  <c r="Q361" i="12" s="1"/>
  <c r="Q591" i="12"/>
  <c r="Z53" i="3"/>
  <c r="W49" i="3"/>
  <c r="Y75" i="3"/>
  <c r="D23" i="7"/>
  <c r="B18" i="7" s="1"/>
  <c r="R308" i="12"/>
  <c r="S308" i="12" s="1"/>
  <c r="P308" i="12"/>
  <c r="Q308" i="12" s="1"/>
  <c r="N617" i="1"/>
  <c r="P617" i="1" s="1"/>
  <c r="L644" i="1"/>
  <c r="R661" i="1"/>
  <c r="X661" i="1" s="1"/>
  <c r="W95" i="3"/>
  <c r="Z102" i="3"/>
  <c r="W150" i="3"/>
  <c r="D52" i="6"/>
  <c r="G52" i="6" s="1"/>
  <c r="I52" i="6" s="1"/>
  <c r="D79" i="6"/>
  <c r="D154" i="6"/>
  <c r="G154" i="6" s="1"/>
  <c r="I154" i="6" s="1"/>
  <c r="D133" i="6"/>
  <c r="D106" i="6"/>
  <c r="D115" i="6"/>
  <c r="G115" i="6" s="1"/>
  <c r="I115" i="6" s="1"/>
  <c r="D88" i="6"/>
  <c r="D142" i="6"/>
  <c r="G142" i="6" s="1"/>
  <c r="I142" i="6" s="1"/>
  <c r="D61" i="6"/>
  <c r="D43" i="6"/>
  <c r="G43" i="6" s="1"/>
  <c r="I43" i="6" s="1"/>
  <c r="D124" i="6"/>
  <c r="G124" i="6" s="1"/>
  <c r="I124" i="6" s="1"/>
  <c r="D70" i="6"/>
  <c r="G70" i="6" s="1"/>
  <c r="I70" i="6" s="1"/>
  <c r="D97" i="6"/>
  <c r="G97" i="6" s="1"/>
  <c r="I97" i="6" s="1"/>
  <c r="D30" i="6"/>
  <c r="G30" i="6" s="1"/>
  <c r="I30" i="6" s="1"/>
  <c r="P614" i="1"/>
  <c r="Y614" i="1" s="1"/>
  <c r="R152" i="3"/>
  <c r="G134" i="6"/>
  <c r="I134" i="6" s="1"/>
  <c r="P419" i="12"/>
  <c r="Q419" i="12" s="1"/>
  <c r="R419" i="12"/>
  <c r="S419" i="12" s="1"/>
  <c r="Q479" i="1"/>
  <c r="Z123" i="2"/>
  <c r="G53" i="6"/>
  <c r="I53" i="6" s="1"/>
  <c r="D17" i="8"/>
  <c r="K17" i="8"/>
  <c r="R37" i="2"/>
  <c r="W133" i="3"/>
  <c r="AF21" i="2"/>
  <c r="V21" i="2"/>
  <c r="R154" i="2"/>
  <c r="S154" i="2" s="1"/>
  <c r="T154" i="2" s="1"/>
  <c r="V154" i="2" s="1"/>
  <c r="AI154" i="2" s="1"/>
  <c r="R157" i="2"/>
  <c r="S531" i="1"/>
  <c r="C209" i="6"/>
  <c r="S287" i="12"/>
  <c r="R287" i="12"/>
  <c r="Q45" i="12"/>
  <c r="S314" i="12"/>
  <c r="Q314" i="12" s="1"/>
  <c r="R314" i="12"/>
  <c r="P314" i="12" s="1"/>
  <c r="R618" i="12"/>
  <c r="P618" i="12"/>
  <c r="Q153" i="2"/>
  <c r="S153" i="2" s="1"/>
  <c r="T153" i="2" s="1"/>
  <c r="V153" i="2" s="1"/>
  <c r="D25" i="7"/>
  <c r="R309" i="12"/>
  <c r="S366" i="12"/>
  <c r="R366" i="12"/>
  <c r="R386" i="12"/>
  <c r="P386" i="12"/>
  <c r="S454" i="12"/>
  <c r="R454" i="12"/>
  <c r="R446" i="12"/>
  <c r="P446" i="12"/>
  <c r="K16" i="7"/>
  <c r="D16" i="7"/>
  <c r="P104" i="12"/>
  <c r="Q104" i="12"/>
  <c r="L631" i="1"/>
  <c r="V14" i="2"/>
  <c r="Q72" i="12"/>
  <c r="Q75" i="12" s="1"/>
  <c r="P72" i="12"/>
  <c r="P75" i="12" s="1"/>
  <c r="P186" i="12"/>
  <c r="Q182" i="12"/>
  <c r="Q186" i="12" s="1"/>
  <c r="T208" i="2"/>
  <c r="V208" i="2" s="1"/>
  <c r="AI208" i="2" s="1"/>
  <c r="AB208" i="2" s="1"/>
  <c r="AF17" i="3"/>
  <c r="V17" i="3"/>
  <c r="R244" i="3" s="1"/>
  <c r="S244" i="3" s="1"/>
  <c r="H17" i="4"/>
  <c r="F98" i="6"/>
  <c r="F61" i="6"/>
  <c r="F79" i="6"/>
  <c r="F133" i="6"/>
  <c r="F106" i="6"/>
  <c r="F116" i="6"/>
  <c r="F125" i="6"/>
  <c r="F89" i="6"/>
  <c r="F143" i="6"/>
  <c r="F107" i="6"/>
  <c r="F88" i="6"/>
  <c r="F124" i="6"/>
  <c r="F71" i="6"/>
  <c r="F53" i="6"/>
  <c r="F80" i="6"/>
  <c r="G80" i="6" s="1"/>
  <c r="I80" i="6" s="1"/>
  <c r="F97" i="6"/>
  <c r="F134" i="6"/>
  <c r="S260" i="12"/>
  <c r="Q260" i="12" s="1"/>
  <c r="R260" i="12"/>
  <c r="P260" i="12" s="1"/>
  <c r="AC142" i="2"/>
  <c r="AD142" i="2" s="1"/>
  <c r="D104" i="6"/>
  <c r="G104" i="6" s="1"/>
  <c r="I104" i="6" s="1"/>
  <c r="D122" i="6"/>
  <c r="G122" i="6" s="1"/>
  <c r="I122" i="6" s="1"/>
  <c r="D50" i="6"/>
  <c r="G50" i="6" s="1"/>
  <c r="I50" i="6" s="1"/>
  <c r="D41" i="6"/>
  <c r="G41" i="6" s="1"/>
  <c r="I41" i="6" s="1"/>
  <c r="D77" i="6"/>
  <c r="G77" i="6" s="1"/>
  <c r="I77" i="6" s="1"/>
  <c r="D113" i="6"/>
  <c r="G113" i="6" s="1"/>
  <c r="I113" i="6" s="1"/>
  <c r="D95" i="6"/>
  <c r="D152" i="6"/>
  <c r="G152" i="6" s="1"/>
  <c r="I152" i="6" s="1"/>
  <c r="D86" i="6"/>
  <c r="G86" i="6" s="1"/>
  <c r="I86" i="6" s="1"/>
  <c r="D59" i="6"/>
  <c r="G59" i="6" s="1"/>
  <c r="I59" i="6" s="1"/>
  <c r="D131" i="6"/>
  <c r="G131" i="6" s="1"/>
  <c r="I131" i="6" s="1"/>
  <c r="D28" i="6"/>
  <c r="G28" i="6" s="1"/>
  <c r="I28" i="6" s="1"/>
  <c r="L3" i="7"/>
  <c r="P183" i="12"/>
  <c r="Q183" i="12" s="1"/>
  <c r="S339" i="12"/>
  <c r="R339" i="12"/>
  <c r="P388" i="12"/>
  <c r="Q388" i="12" s="1"/>
  <c r="R388" i="12"/>
  <c r="S388" i="12" s="1"/>
  <c r="P232" i="12"/>
  <c r="P233" i="12" s="1"/>
  <c r="Q232" i="12"/>
  <c r="S70" i="3"/>
  <c r="D67" i="6"/>
  <c r="D139" i="6"/>
  <c r="D40" i="6"/>
  <c r="G40" i="6" s="1"/>
  <c r="I40" i="6" s="1"/>
  <c r="I45" i="6" s="1"/>
  <c r="C176" i="6" s="1"/>
  <c r="D112" i="6"/>
  <c r="D85" i="6"/>
  <c r="D151" i="6"/>
  <c r="G151" i="6" s="1"/>
  <c r="I151" i="6" s="1"/>
  <c r="D121" i="6"/>
  <c r="D76" i="6"/>
  <c r="D49" i="6"/>
  <c r="G49" i="6" s="1"/>
  <c r="I49" i="6" s="1"/>
  <c r="D130" i="6"/>
  <c r="G130" i="6" s="1"/>
  <c r="I130" i="6" s="1"/>
  <c r="D94" i="6"/>
  <c r="G94" i="6" s="1"/>
  <c r="I94" i="6" s="1"/>
  <c r="D58" i="6"/>
  <c r="G98" i="6"/>
  <c r="I98" i="6" s="1"/>
  <c r="R564" i="12"/>
  <c r="S564" i="12" s="1"/>
  <c r="P564" i="12"/>
  <c r="Q564" i="12" s="1"/>
  <c r="G103" i="6"/>
  <c r="I103" i="6" s="1"/>
  <c r="K22" i="8"/>
  <c r="D22" i="8"/>
  <c r="D29" i="8" s="1"/>
  <c r="Q193" i="12"/>
  <c r="E13" i="11"/>
  <c r="P224" i="12"/>
  <c r="Q224" i="12" s="1"/>
  <c r="P569" i="12"/>
  <c r="P395" i="12"/>
  <c r="Q68" i="12"/>
  <c r="P447" i="12"/>
  <c r="Q447" i="12" s="1"/>
  <c r="R447" i="12"/>
  <c r="S447" i="12" s="1"/>
  <c r="AF16" i="3"/>
  <c r="D141" i="6"/>
  <c r="G141" i="6" s="1"/>
  <c r="I141" i="6" s="1"/>
  <c r="D29" i="6"/>
  <c r="D132" i="6"/>
  <c r="G132" i="6" s="1"/>
  <c r="I132" i="6" s="1"/>
  <c r="D69" i="6"/>
  <c r="G69" i="6" s="1"/>
  <c r="I69" i="6" s="1"/>
  <c r="D105" i="6"/>
  <c r="G105" i="6" s="1"/>
  <c r="I105" i="6" s="1"/>
  <c r="D78" i="6"/>
  <c r="G78" i="6" s="1"/>
  <c r="I78" i="6" s="1"/>
  <c r="D114" i="6"/>
  <c r="D60" i="6"/>
  <c r="D153" i="6"/>
  <c r="G153" i="6" s="1"/>
  <c r="I153" i="6" s="1"/>
  <c r="D96" i="6"/>
  <c r="G96" i="6" s="1"/>
  <c r="I96" i="6" s="1"/>
  <c r="D42" i="6"/>
  <c r="G42" i="6" s="1"/>
  <c r="I42" i="6" s="1"/>
  <c r="Q131" i="12"/>
  <c r="P131" i="12"/>
  <c r="R428" i="12"/>
  <c r="G107" i="6"/>
  <c r="I107" i="6" s="1"/>
  <c r="G143" i="6"/>
  <c r="I143" i="6" s="1"/>
  <c r="S367" i="12"/>
  <c r="Q367" i="12" s="1"/>
  <c r="R367" i="12"/>
  <c r="P367" i="12" s="1"/>
  <c r="P418" i="12"/>
  <c r="Q418" i="12" s="1"/>
  <c r="P477" i="12"/>
  <c r="Q477" i="12" s="1"/>
  <c r="N534" i="12"/>
  <c r="R533" i="12"/>
  <c r="S533" i="12" s="1"/>
  <c r="S541" i="12"/>
  <c r="Q541" i="12" s="1"/>
  <c r="R541" i="12"/>
  <c r="P541" i="12" s="1"/>
  <c r="D20" i="7"/>
  <c r="S426" i="12"/>
  <c r="Q426" i="12" s="1"/>
  <c r="R426" i="12"/>
  <c r="P426" i="12" s="1"/>
  <c r="Q502" i="12"/>
  <c r="P506" i="12"/>
  <c r="K15" i="8"/>
  <c r="D15" i="8"/>
  <c r="S258" i="12"/>
  <c r="R258" i="12"/>
  <c r="P335" i="12"/>
  <c r="R448" i="12"/>
  <c r="S448" i="12" s="1"/>
  <c r="P448" i="12"/>
  <c r="Q448" i="12" s="1"/>
  <c r="Q456" i="12"/>
  <c r="Q600" i="12"/>
  <c r="N621" i="12"/>
  <c r="R621" i="12" s="1"/>
  <c r="S621" i="12" s="1"/>
  <c r="R620" i="12"/>
  <c r="S620" i="12" s="1"/>
  <c r="S217" i="3"/>
  <c r="K29" i="7"/>
  <c r="Q331" i="12"/>
  <c r="R418" i="12"/>
  <c r="S418" i="12" s="1"/>
  <c r="R502" i="12"/>
  <c r="S250" i="12"/>
  <c r="S288" i="12"/>
  <c r="Q288" i="12" s="1"/>
  <c r="R288" i="12"/>
  <c r="P288" i="12" s="1"/>
  <c r="R313" i="12"/>
  <c r="R335" i="12"/>
  <c r="S331" i="12"/>
  <c r="S340" i="12"/>
  <c r="Q340" i="12" s="1"/>
  <c r="R340" i="12"/>
  <c r="P340" i="12" s="1"/>
  <c r="P161" i="12"/>
  <c r="P164" i="12" s="1"/>
  <c r="R332" i="12"/>
  <c r="S332" i="12" s="1"/>
  <c r="P332" i="12"/>
  <c r="Q332" i="12" s="1"/>
  <c r="P561" i="12"/>
  <c r="R561" i="12"/>
  <c r="Y52" i="3"/>
  <c r="Q15" i="12"/>
  <c r="P15" i="12"/>
  <c r="L289" i="12"/>
  <c r="S313" i="12"/>
  <c r="S341" i="12"/>
  <c r="Q341" i="12" s="1"/>
  <c r="R341" i="12"/>
  <c r="P341" i="12" s="1"/>
  <c r="J14" i="8"/>
  <c r="K14" i="8" s="1"/>
  <c r="H5" i="8" s="1"/>
  <c r="I5" i="8" s="1"/>
  <c r="J5" i="8" s="1"/>
  <c r="K5" i="8"/>
  <c r="D28" i="8"/>
  <c r="Q192" i="12"/>
  <c r="S627" i="12"/>
  <c r="Q627" i="12" s="1"/>
  <c r="R627" i="12"/>
  <c r="P627" i="12" s="1"/>
  <c r="R534" i="12"/>
  <c r="S534" i="12" s="1"/>
  <c r="P534" i="12"/>
  <c r="Q534" i="12" s="1"/>
  <c r="Q535" i="12" s="1"/>
  <c r="R253" i="12"/>
  <c r="S253" i="12" s="1"/>
  <c r="R333" i="12"/>
  <c r="S333" i="12" s="1"/>
  <c r="P359" i="12"/>
  <c r="Q359" i="12" s="1"/>
  <c r="R359" i="12"/>
  <c r="S359" i="12" s="1"/>
  <c r="P396" i="12"/>
  <c r="P427" i="12"/>
  <c r="L484" i="12"/>
  <c r="R592" i="12"/>
  <c r="R619" i="12"/>
  <c r="S619" i="12" s="1"/>
  <c r="P619" i="12"/>
  <c r="Q619" i="12" s="1"/>
  <c r="S214" i="3"/>
  <c r="AR226" i="3"/>
  <c r="D30" i="7"/>
  <c r="P155" i="12"/>
  <c r="Q155" i="12" s="1"/>
  <c r="Q157" i="12" s="1"/>
  <c r="Q166" i="12" s="1"/>
  <c r="Q427" i="12"/>
  <c r="Q628" i="12"/>
  <c r="Q132" i="12"/>
  <c r="P132" i="12"/>
  <c r="Q569" i="12"/>
  <c r="S601" i="12"/>
  <c r="Q601" i="12" s="1"/>
  <c r="R601" i="12"/>
  <c r="P601" i="12" s="1"/>
  <c r="N37" i="12"/>
  <c r="P37" i="12" s="1"/>
  <c r="Q37" i="12" s="1"/>
  <c r="N39" i="12"/>
  <c r="P39" i="12" s="1"/>
  <c r="Q39" i="12" s="1"/>
  <c r="Q163" i="12"/>
  <c r="P163" i="12"/>
  <c r="R360" i="12"/>
  <c r="S360" i="12" s="1"/>
  <c r="P360" i="12"/>
  <c r="Q360" i="12" s="1"/>
  <c r="R387" i="12"/>
  <c r="S387" i="12" s="1"/>
  <c r="P387" i="12"/>
  <c r="Q387" i="12" s="1"/>
  <c r="S394" i="12"/>
  <c r="R394" i="12"/>
  <c r="S570" i="12"/>
  <c r="Q570" i="12" s="1"/>
  <c r="R570" i="12"/>
  <c r="P570" i="12" s="1"/>
  <c r="P628" i="12"/>
  <c r="F69" i="6"/>
  <c r="F141" i="6"/>
  <c r="F95" i="6"/>
  <c r="F60" i="6"/>
  <c r="F114" i="6"/>
  <c r="F29" i="6"/>
  <c r="Q230" i="12"/>
  <c r="P535" i="12"/>
  <c r="R539" i="12"/>
  <c r="S539" i="12"/>
  <c r="P334" i="12"/>
  <c r="Q334" i="12" s="1"/>
  <c r="R334" i="12"/>
  <c r="S334" i="12" s="1"/>
  <c r="S368" i="12"/>
  <c r="Q368" i="12" s="1"/>
  <c r="R368" i="12"/>
  <c r="P368" i="12" s="1"/>
  <c r="N564" i="12"/>
  <c r="R563" i="12"/>
  <c r="S563" i="12" s="1"/>
  <c r="P103" i="12"/>
  <c r="P105" i="12" s="1"/>
  <c r="Q103" i="12"/>
  <c r="Q105" i="12" s="1"/>
  <c r="P306" i="12"/>
  <c r="Q306" i="12" s="1"/>
  <c r="Q309" i="12" s="1"/>
  <c r="R510" i="12"/>
  <c r="S510" i="12"/>
  <c r="R593" i="12"/>
  <c r="S593" i="12" s="1"/>
  <c r="P593" i="12"/>
  <c r="Q593" i="12" s="1"/>
  <c r="R594" i="12"/>
  <c r="S594" i="12" s="1"/>
  <c r="P594" i="12"/>
  <c r="Q594" i="12" s="1"/>
  <c r="D16" i="8"/>
  <c r="Q483" i="12"/>
  <c r="Q511" i="12"/>
  <c r="R613" i="12"/>
  <c r="R612" i="12"/>
  <c r="S612" i="12" s="1"/>
  <c r="D89" i="6"/>
  <c r="D125" i="6"/>
  <c r="D71" i="6"/>
  <c r="G71" i="6" s="1"/>
  <c r="I71" i="6" s="1"/>
  <c r="D116" i="6"/>
  <c r="P456" i="12"/>
  <c r="P599" i="12"/>
  <c r="D28" i="7"/>
  <c r="S425" i="12"/>
  <c r="P511" i="12"/>
  <c r="R532" i="12"/>
  <c r="S599" i="12"/>
  <c r="S288" i="3" l="1"/>
  <c r="V288" i="3" s="1"/>
  <c r="AK288" i="3" s="1"/>
  <c r="Q48" i="3"/>
  <c r="R48" i="3" s="1"/>
  <c r="S48" i="3" s="1"/>
  <c r="T48" i="3" s="1"/>
  <c r="AB41" i="3"/>
  <c r="AD42" i="3" s="1"/>
  <c r="AB47" i="3"/>
  <c r="AC47" i="3" s="1"/>
  <c r="R189" i="3"/>
  <c r="Q190" i="3" s="1"/>
  <c r="R190" i="3" s="1"/>
  <c r="T244" i="3"/>
  <c r="V244" i="3" s="1"/>
  <c r="X244" i="3" s="1"/>
  <c r="Y244" i="3"/>
  <c r="X41" i="3"/>
  <c r="W42" i="3" s="1"/>
  <c r="X42" i="3" s="1"/>
  <c r="W43" i="3" s="1"/>
  <c r="M585" i="1"/>
  <c r="N585" i="1" s="1"/>
  <c r="P585" i="1" s="1"/>
  <c r="R585" i="1" s="1"/>
  <c r="K586" i="1"/>
  <c r="M586" i="1" s="1"/>
  <c r="N586" i="1" s="1"/>
  <c r="P586" i="1" s="1"/>
  <c r="R586" i="1" s="1"/>
  <c r="X586" i="1" s="1"/>
  <c r="AI153" i="2"/>
  <c r="AB153" i="2" s="1"/>
  <c r="AB154" i="2" s="1"/>
  <c r="X153" i="2"/>
  <c r="Q544" i="12"/>
  <c r="G139" i="6"/>
  <c r="I139" i="6" s="1"/>
  <c r="I144" i="6" s="1"/>
  <c r="C165" i="6" s="1"/>
  <c r="D165" i="6" s="1"/>
  <c r="S417" i="12"/>
  <c r="S421" i="12" s="1"/>
  <c r="S430" i="12" s="1"/>
  <c r="R421" i="12"/>
  <c r="R430" i="12" s="1"/>
  <c r="R643" i="1"/>
  <c r="X643" i="1" s="1"/>
  <c r="S261" i="1"/>
  <c r="Q258" i="1"/>
  <c r="Q261" i="1" s="1"/>
  <c r="Q263" i="1" s="1"/>
  <c r="R616" i="1"/>
  <c r="X616" i="1" s="1"/>
  <c r="Y616" i="1"/>
  <c r="Q417" i="12"/>
  <c r="Q421" i="12" s="1"/>
  <c r="Q430" i="12" s="1"/>
  <c r="P421" i="12"/>
  <c r="Q233" i="12"/>
  <c r="Q235" i="12" s="1"/>
  <c r="Q572" i="12"/>
  <c r="S572" i="12"/>
  <c r="T217" i="3"/>
  <c r="V217" i="3" s="1"/>
  <c r="Y217" i="3"/>
  <c r="G29" i="6"/>
  <c r="I29" i="6" s="1"/>
  <c r="G67" i="6"/>
  <c r="I67" i="6" s="1"/>
  <c r="I72" i="6" s="1"/>
  <c r="C173" i="6" s="1"/>
  <c r="Q195" i="12"/>
  <c r="S475" i="12"/>
  <c r="Q19" i="12"/>
  <c r="P136" i="1"/>
  <c r="R646" i="1"/>
  <c r="X646" i="1" s="1"/>
  <c r="P195" i="12"/>
  <c r="P454" i="12"/>
  <c r="P457" i="12" s="1"/>
  <c r="R457" i="12"/>
  <c r="S152" i="3"/>
  <c r="T152" i="3" s="1"/>
  <c r="Q163" i="3"/>
  <c r="S163" i="3" s="1"/>
  <c r="N477" i="12"/>
  <c r="R477" i="12" s="1"/>
  <c r="S477" i="12" s="1"/>
  <c r="R476" i="12"/>
  <c r="S476" i="12" s="1"/>
  <c r="P19" i="12"/>
  <c r="Y609" i="1"/>
  <c r="R609" i="1"/>
  <c r="X609" i="1" s="1"/>
  <c r="O299" i="1"/>
  <c r="O297" i="1" s="1"/>
  <c r="P297" i="1" s="1"/>
  <c r="P77" i="1"/>
  <c r="P565" i="12"/>
  <c r="Q561" i="12"/>
  <c r="Q565" i="12" s="1"/>
  <c r="Q574" i="12" s="1"/>
  <c r="Q386" i="12"/>
  <c r="Q390" i="12" s="1"/>
  <c r="P390" i="12"/>
  <c r="D14" i="8"/>
  <c r="Q168" i="3"/>
  <c r="R369" i="12"/>
  <c r="P366" i="12"/>
  <c r="P369" i="12" s="1"/>
  <c r="S37" i="2"/>
  <c r="T37" i="2" s="1"/>
  <c r="Q38" i="2"/>
  <c r="R38" i="2" s="1"/>
  <c r="K645" i="1"/>
  <c r="M645" i="1" s="1"/>
  <c r="N645" i="1" s="1"/>
  <c r="P645" i="1" s="1"/>
  <c r="M644" i="1"/>
  <c r="N644" i="1" s="1"/>
  <c r="P644" i="1" s="1"/>
  <c r="Q40" i="12"/>
  <c r="T164" i="3"/>
  <c r="V164" i="3" s="1"/>
  <c r="AK164" i="3" s="1"/>
  <c r="Y164" i="3"/>
  <c r="S279" i="12"/>
  <c r="S283" i="12" s="1"/>
  <c r="R283" i="12"/>
  <c r="R292" i="12" s="1"/>
  <c r="Q77" i="1"/>
  <c r="Q134" i="1"/>
  <c r="Q136" i="1" s="1"/>
  <c r="D20" i="8"/>
  <c r="AA70" i="3"/>
  <c r="T70" i="3"/>
  <c r="V70" i="3" s="1"/>
  <c r="AI70" i="3" s="1"/>
  <c r="P287" i="12"/>
  <c r="P290" i="12" s="1"/>
  <c r="R290" i="12"/>
  <c r="S290" i="12"/>
  <c r="Q287" i="12"/>
  <c r="Q290" i="12" s="1"/>
  <c r="AC95" i="3"/>
  <c r="AD95" i="3" s="1"/>
  <c r="X95" i="3"/>
  <c r="I32" i="6"/>
  <c r="C181" i="6" s="1"/>
  <c r="D181" i="6" s="1"/>
  <c r="R390" i="12"/>
  <c r="S386" i="12"/>
  <c r="S390" i="12" s="1"/>
  <c r="S602" i="12"/>
  <c r="Q599" i="12"/>
  <c r="Q602" i="12" s="1"/>
  <c r="S335" i="12"/>
  <c r="H15" i="4"/>
  <c r="K17" i="4"/>
  <c r="K18" i="4" s="1"/>
  <c r="S369" i="12"/>
  <c r="Q366" i="12"/>
  <c r="Q369" i="12" s="1"/>
  <c r="Y617" i="1"/>
  <c r="R617" i="1"/>
  <c r="X617" i="1" s="1"/>
  <c r="W208" i="2"/>
  <c r="X208" i="2" s="1"/>
  <c r="AH207" i="2"/>
  <c r="P40" i="12"/>
  <c r="P49" i="12" s="1"/>
  <c r="Q279" i="12"/>
  <c r="Q283" i="12" s="1"/>
  <c r="Q292" i="12" s="1"/>
  <c r="P283" i="12"/>
  <c r="AI47" i="3"/>
  <c r="X47" i="3"/>
  <c r="AH47" i="3" s="1"/>
  <c r="P263" i="1"/>
  <c r="R344" i="12"/>
  <c r="T335" i="12"/>
  <c r="R513" i="12"/>
  <c r="P510" i="12"/>
  <c r="P513" i="12" s="1"/>
  <c r="Q188" i="3"/>
  <c r="R188" i="3" s="1"/>
  <c r="S188" i="3" s="1"/>
  <c r="S187" i="3"/>
  <c r="T535" i="12"/>
  <c r="Q77" i="12"/>
  <c r="Q478" i="12"/>
  <c r="Q47" i="12"/>
  <c r="N402" i="1"/>
  <c r="O402" i="1" s="1"/>
  <c r="Q402" i="1" s="1"/>
  <c r="S402" i="1" s="1"/>
  <c r="L403" i="1"/>
  <c r="J402" i="1"/>
  <c r="P226" i="12"/>
  <c r="P235" i="12" s="1"/>
  <c r="R238" i="12" s="1"/>
  <c r="Q235" i="1"/>
  <c r="M569" i="1"/>
  <c r="N569" i="1" s="1"/>
  <c r="P569" i="1" s="1"/>
  <c r="R569" i="1" s="1"/>
  <c r="K570" i="1"/>
  <c r="M570" i="1" s="1"/>
  <c r="N570" i="1" s="1"/>
  <c r="P570" i="1" s="1"/>
  <c r="R570" i="1" s="1"/>
  <c r="Q454" i="12"/>
  <c r="Q457" i="12" s="1"/>
  <c r="S457" i="12"/>
  <c r="R535" i="12"/>
  <c r="S532" i="12"/>
  <c r="S535" i="12" s="1"/>
  <c r="L557" i="1"/>
  <c r="M557" i="1" s="1"/>
  <c r="N556" i="1"/>
  <c r="O556" i="1" s="1"/>
  <c r="Q556" i="1" s="1"/>
  <c r="S556" i="1" s="1"/>
  <c r="P258" i="12"/>
  <c r="P261" i="12" s="1"/>
  <c r="R261" i="12"/>
  <c r="D32" i="7"/>
  <c r="P478" i="12"/>
  <c r="Y662" i="1"/>
  <c r="R662" i="1"/>
  <c r="X662" i="1" s="1"/>
  <c r="T218" i="3"/>
  <c r="V218" i="3" s="1"/>
  <c r="AK218" i="3" s="1"/>
  <c r="Y218" i="3"/>
  <c r="P235" i="1"/>
  <c r="R238" i="1" s="1"/>
  <c r="R647" i="1"/>
  <c r="X647" i="1" s="1"/>
  <c r="Q136" i="12"/>
  <c r="R316" i="12"/>
  <c r="R318" i="12" s="1"/>
  <c r="P313" i="12"/>
  <c r="P316" i="12" s="1"/>
  <c r="R254" i="12"/>
  <c r="D176" i="6"/>
  <c r="H192" i="6"/>
  <c r="D192" i="6"/>
  <c r="S513" i="12"/>
  <c r="Q510" i="12"/>
  <c r="Q513" i="12" s="1"/>
  <c r="S342" i="12"/>
  <c r="Q339" i="12"/>
  <c r="Q342" i="12" s="1"/>
  <c r="G58" i="6"/>
  <c r="I58" i="6" s="1"/>
  <c r="S316" i="12"/>
  <c r="S318" i="12" s="1"/>
  <c r="Q313" i="12"/>
  <c r="Q316" i="12" s="1"/>
  <c r="Q318" i="12" s="1"/>
  <c r="Q134" i="12"/>
  <c r="I135" i="6"/>
  <c r="C166" i="6" s="1"/>
  <c r="D166" i="6" s="1"/>
  <c r="R626" i="12"/>
  <c r="S626" i="12"/>
  <c r="I54" i="6"/>
  <c r="C175" i="6" s="1"/>
  <c r="G88" i="6"/>
  <c r="I88" i="6" s="1"/>
  <c r="Q595" i="12"/>
  <c r="Q604" i="12" s="1"/>
  <c r="S358" i="12"/>
  <c r="S362" i="12" s="1"/>
  <c r="S371" i="12" s="1"/>
  <c r="R362" i="12"/>
  <c r="P166" i="1"/>
  <c r="S428" i="12"/>
  <c r="Q425" i="12"/>
  <c r="Q428" i="12" s="1"/>
  <c r="P394" i="12"/>
  <c r="P397" i="12" s="1"/>
  <c r="R397" i="12"/>
  <c r="S261" i="12"/>
  <c r="Q258" i="12"/>
  <c r="Q261" i="12" s="1"/>
  <c r="Q263" i="12" s="1"/>
  <c r="AH31" i="2"/>
  <c r="W32" i="2"/>
  <c r="X32" i="2" s="1"/>
  <c r="W33" i="2" s="1"/>
  <c r="S422" i="1"/>
  <c r="R423" i="1" s="1"/>
  <c r="S423" i="1" s="1"/>
  <c r="R424" i="1" s="1"/>
  <c r="Q421" i="1"/>
  <c r="S254" i="12"/>
  <c r="S263" i="12" s="1"/>
  <c r="S592" i="12"/>
  <c r="S595" i="12" s="1"/>
  <c r="S604" i="12" s="1"/>
  <c r="R595" i="12"/>
  <c r="R604" i="12" s="1"/>
  <c r="P572" i="12"/>
  <c r="N393" i="1"/>
  <c r="J393" i="1"/>
  <c r="L395" i="1"/>
  <c r="P254" i="12"/>
  <c r="P98" i="12"/>
  <c r="P107" i="12" s="1"/>
  <c r="Q618" i="12"/>
  <c r="Q622" i="12" s="1"/>
  <c r="P622" i="12"/>
  <c r="P595" i="12"/>
  <c r="S381" i="1"/>
  <c r="R572" i="12"/>
  <c r="P134" i="12"/>
  <c r="P136" i="12" s="1"/>
  <c r="P602" i="12"/>
  <c r="R602" i="12"/>
  <c r="P309" i="12"/>
  <c r="Q506" i="12"/>
  <c r="Q515" i="12" s="1"/>
  <c r="P362" i="12"/>
  <c r="Q358" i="12"/>
  <c r="Q362" i="12" s="1"/>
  <c r="Q371" i="12" s="1"/>
  <c r="L544" i="1"/>
  <c r="N544" i="1" s="1"/>
  <c r="O544" i="1" s="1"/>
  <c r="Q544" i="1" s="1"/>
  <c r="S544" i="1" s="1"/>
  <c r="N543" i="1"/>
  <c r="O543" i="1" s="1"/>
  <c r="Q543" i="1" s="1"/>
  <c r="S543" i="1" s="1"/>
  <c r="W87" i="2"/>
  <c r="AH85" i="2"/>
  <c r="S484" i="12"/>
  <c r="R484" i="12"/>
  <c r="S289" i="12"/>
  <c r="Q289" i="12" s="1"/>
  <c r="R289" i="12"/>
  <c r="P289" i="12" s="1"/>
  <c r="G76" i="6"/>
  <c r="I76" i="6" s="1"/>
  <c r="G116" i="6"/>
  <c r="I116" i="6" s="1"/>
  <c r="S502" i="12"/>
  <c r="S506" i="12" s="1"/>
  <c r="S515" i="12" s="1"/>
  <c r="R506" i="12"/>
  <c r="R515" i="12" s="1"/>
  <c r="G60" i="6"/>
  <c r="I60" i="6" s="1"/>
  <c r="G121" i="6"/>
  <c r="I121" i="6" s="1"/>
  <c r="I126" i="6" s="1"/>
  <c r="C167" i="6" s="1"/>
  <c r="D167" i="6" s="1"/>
  <c r="S618" i="12"/>
  <c r="S622" i="12" s="1"/>
  <c r="R622" i="12"/>
  <c r="Q158" i="2"/>
  <c r="R610" i="1"/>
  <c r="X610" i="1" s="1"/>
  <c r="G106" i="6"/>
  <c r="I106" i="6" s="1"/>
  <c r="I108" i="6" s="1"/>
  <c r="C169" i="6" s="1"/>
  <c r="D169" i="6" s="1"/>
  <c r="AD31" i="2"/>
  <c r="AC31" i="2"/>
  <c r="AD32" i="2"/>
  <c r="Q107" i="1"/>
  <c r="R450" i="12"/>
  <c r="R459" i="12" s="1"/>
  <c r="S446" i="12"/>
  <c r="S450" i="12" s="1"/>
  <c r="S459" i="12" s="1"/>
  <c r="B15" i="8"/>
  <c r="K632" i="1"/>
  <c r="M632" i="1" s="1"/>
  <c r="N632" i="1" s="1"/>
  <c r="P632" i="1" s="1"/>
  <c r="M631" i="1"/>
  <c r="N631" i="1" s="1"/>
  <c r="P631" i="1" s="1"/>
  <c r="I99" i="6"/>
  <c r="C170" i="6" s="1"/>
  <c r="D170" i="6" s="1"/>
  <c r="G61" i="6"/>
  <c r="I61" i="6" s="1"/>
  <c r="G114" i="6"/>
  <c r="I114" i="6" s="1"/>
  <c r="I156" i="6"/>
  <c r="G133" i="6"/>
  <c r="I133" i="6" s="1"/>
  <c r="Q37" i="1"/>
  <c r="Q40" i="1" s="1"/>
  <c r="Q49" i="1" s="1"/>
  <c r="P40" i="1"/>
  <c r="P49" i="1" s="1"/>
  <c r="R660" i="1"/>
  <c r="X660" i="1" s="1"/>
  <c r="X178" i="2"/>
  <c r="AH178" i="2" s="1"/>
  <c r="AI178" i="2"/>
  <c r="R615" i="1"/>
  <c r="X615" i="1" s="1"/>
  <c r="X214" i="3"/>
  <c r="AJ214" i="3" s="1"/>
  <c r="P107" i="1"/>
  <c r="W65" i="2"/>
  <c r="AH60" i="2"/>
  <c r="P157" i="12"/>
  <c r="P166" i="12" s="1"/>
  <c r="S397" i="12"/>
  <c r="Q394" i="12"/>
  <c r="Q397" i="12" s="1"/>
  <c r="T506" i="12"/>
  <c r="P515" i="12"/>
  <c r="G125" i="6"/>
  <c r="I125" i="6" s="1"/>
  <c r="S542" i="12"/>
  <c r="Q539" i="12"/>
  <c r="Q542" i="12" s="1"/>
  <c r="Q335" i="12"/>
  <c r="G85" i="6"/>
  <c r="I85" i="6" s="1"/>
  <c r="Q166" i="1"/>
  <c r="S179" i="2"/>
  <c r="T179" i="2" s="1"/>
  <c r="V179" i="2" s="1"/>
  <c r="Q180" i="2"/>
  <c r="R180" i="2" s="1"/>
  <c r="P195" i="1"/>
  <c r="R614" i="1"/>
  <c r="X614" i="1" s="1"/>
  <c r="Y611" i="1"/>
  <c r="R611" i="1"/>
  <c r="P339" i="12"/>
  <c r="P342" i="12" s="1"/>
  <c r="P344" i="12" s="1"/>
  <c r="R342" i="12"/>
  <c r="G89" i="6"/>
  <c r="I89" i="6" s="1"/>
  <c r="R542" i="12"/>
  <c r="P539" i="12"/>
  <c r="P542" i="12" s="1"/>
  <c r="P544" i="12" s="1"/>
  <c r="S561" i="12"/>
  <c r="S565" i="12" s="1"/>
  <c r="S574" i="12" s="1"/>
  <c r="R565" i="12"/>
  <c r="R574" i="12" s="1"/>
  <c r="G112" i="6"/>
  <c r="I112" i="6" s="1"/>
  <c r="I117" i="6" s="1"/>
  <c r="C168" i="6" s="1"/>
  <c r="D168" i="6" s="1"/>
  <c r="G95" i="6"/>
  <c r="I95" i="6" s="1"/>
  <c r="Q446" i="12"/>
  <c r="Q450" i="12" s="1"/>
  <c r="Q459" i="12" s="1"/>
  <c r="P450" i="12"/>
  <c r="G79" i="6"/>
  <c r="I79" i="6" s="1"/>
  <c r="P77" i="12"/>
  <c r="X204" i="2"/>
  <c r="AH204" i="2" s="1"/>
  <c r="P17" i="1"/>
  <c r="P19" i="1" s="1"/>
  <c r="R205" i="1" s="1"/>
  <c r="R254" i="1"/>
  <c r="S250" i="1"/>
  <c r="S254" i="1" s="1"/>
  <c r="Q195" i="1"/>
  <c r="P258" i="1"/>
  <c r="P261" i="1" s="1"/>
  <c r="R261" i="1"/>
  <c r="AC41" i="3" l="1"/>
  <c r="AE41" i="3" s="1"/>
  <c r="AD41" i="3"/>
  <c r="Q49" i="3"/>
  <c r="R49" i="3" s="1"/>
  <c r="S49" i="3" s="1"/>
  <c r="T49" i="3" s="1"/>
  <c r="X288" i="3"/>
  <c r="W290" i="3" s="1"/>
  <c r="Z244" i="3"/>
  <c r="Z164" i="3"/>
  <c r="AH41" i="3"/>
  <c r="S189" i="3"/>
  <c r="Y189" i="3" s="1"/>
  <c r="Z217" i="3"/>
  <c r="Q192" i="3"/>
  <c r="S168" i="3"/>
  <c r="Y163" i="3"/>
  <c r="T163" i="3"/>
  <c r="V163" i="3" s="1"/>
  <c r="AC87" i="2"/>
  <c r="AD87" i="2" s="1"/>
  <c r="AD93" i="2" s="1"/>
  <c r="R87" i="2"/>
  <c r="O393" i="1"/>
  <c r="Q393" i="1" s="1"/>
  <c r="H193" i="6"/>
  <c r="D193" i="6"/>
  <c r="D199" i="6" s="1"/>
  <c r="D175" i="6"/>
  <c r="V152" i="3"/>
  <c r="AC152" i="3"/>
  <c r="AD152" i="3" s="1"/>
  <c r="P430" i="12"/>
  <c r="T421" i="12"/>
  <c r="R629" i="12"/>
  <c r="R631" i="12" s="1"/>
  <c r="P626" i="12"/>
  <c r="P629" i="12" s="1"/>
  <c r="P631" i="12" s="1"/>
  <c r="AB48" i="3"/>
  <c r="AC48" i="3" s="1"/>
  <c r="V48" i="3"/>
  <c r="X70" i="3"/>
  <c r="R43" i="3"/>
  <c r="AH208" i="2"/>
  <c r="W209" i="2"/>
  <c r="P318" i="12"/>
  <c r="T309" i="12"/>
  <c r="T565" i="12"/>
  <c r="P574" i="12"/>
  <c r="I63" i="6"/>
  <c r="C174" i="6" s="1"/>
  <c r="T478" i="12"/>
  <c r="P487" i="12"/>
  <c r="Q399" i="12"/>
  <c r="Q612" i="1"/>
  <c r="X611" i="1"/>
  <c r="S612" i="1" s="1"/>
  <c r="S292" i="12"/>
  <c r="R478" i="12"/>
  <c r="R487" i="12" s="1"/>
  <c r="R33" i="2"/>
  <c r="T283" i="12"/>
  <c r="P292" i="12"/>
  <c r="Q626" i="12"/>
  <c r="Q629" i="12" s="1"/>
  <c r="S629" i="12"/>
  <c r="I403" i="1"/>
  <c r="M403" i="1"/>
  <c r="R65" i="2"/>
  <c r="S65" i="2" s="1"/>
  <c r="S263" i="1"/>
  <c r="AE31" i="2"/>
  <c r="AE32" i="2"/>
  <c r="AB70" i="3"/>
  <c r="AD70" i="3" s="1"/>
  <c r="AC70" i="3"/>
  <c r="T187" i="3"/>
  <c r="V187" i="3" s="1"/>
  <c r="Y187" i="3"/>
  <c r="T188" i="3"/>
  <c r="V188" i="3" s="1"/>
  <c r="Y188" i="3"/>
  <c r="N557" i="1"/>
  <c r="O557" i="1" s="1"/>
  <c r="Q557" i="1" s="1"/>
  <c r="S557" i="1" s="1"/>
  <c r="L558" i="1"/>
  <c r="N558" i="1" s="1"/>
  <c r="O558" i="1" s="1"/>
  <c r="Q558" i="1" s="1"/>
  <c r="S558" i="1" s="1"/>
  <c r="I90" i="6"/>
  <c r="C171" i="6" s="1"/>
  <c r="D171" i="6" s="1"/>
  <c r="T595" i="12"/>
  <c r="P604" i="12"/>
  <c r="S544" i="12"/>
  <c r="Y644" i="1"/>
  <c r="R644" i="1"/>
  <c r="X644" i="1" s="1"/>
  <c r="W270" i="1"/>
  <c r="Y270" i="1" s="1"/>
  <c r="O365" i="1"/>
  <c r="Q365" i="1" s="1"/>
  <c r="S365" i="1" s="1"/>
  <c r="M366" i="1" s="1"/>
  <c r="N366" i="1" s="1"/>
  <c r="O366" i="1" s="1"/>
  <c r="Q366" i="1" s="1"/>
  <c r="O343" i="1"/>
  <c r="Q343" i="1" s="1"/>
  <c r="O276" i="1"/>
  <c r="Q276" i="1" s="1"/>
  <c r="O271" i="1"/>
  <c r="Q271" i="1" s="1"/>
  <c r="O374" i="1"/>
  <c r="Q374" i="1" s="1"/>
  <c r="O320" i="1"/>
  <c r="Q320" i="1" s="1"/>
  <c r="W275" i="1"/>
  <c r="Y275" i="1" s="1"/>
  <c r="O338" i="1"/>
  <c r="O302" i="1"/>
  <c r="Q302" i="1" s="1"/>
  <c r="W279" i="1"/>
  <c r="Y279" i="1" s="1"/>
  <c r="W285" i="1"/>
  <c r="Y285" i="1" s="1"/>
  <c r="W278" i="1"/>
  <c r="Y278" i="1" s="1"/>
  <c r="W284" i="1"/>
  <c r="Y284" i="1" s="1"/>
  <c r="O329" i="1"/>
  <c r="Q329" i="1" s="1"/>
  <c r="O311" i="1"/>
  <c r="Q311" i="1" s="1"/>
  <c r="W283" i="1"/>
  <c r="Y283" i="1" s="1"/>
  <c r="W276" i="1"/>
  <c r="Y276" i="1" s="1"/>
  <c r="O301" i="1"/>
  <c r="Q301" i="1" s="1"/>
  <c r="W272" i="1"/>
  <c r="Y272" i="1" s="1"/>
  <c r="W281" i="1"/>
  <c r="Y281" i="1" s="1"/>
  <c r="O309" i="1"/>
  <c r="Q309" i="1" s="1"/>
  <c r="O326" i="1"/>
  <c r="Q326" i="1" s="1"/>
  <c r="O294" i="1"/>
  <c r="Q294" i="1" s="1"/>
  <c r="W274" i="1"/>
  <c r="Y274" i="1" s="1"/>
  <c r="O312" i="1"/>
  <c r="Q312" i="1" s="1"/>
  <c r="O380" i="1"/>
  <c r="Q380" i="1" s="1"/>
  <c r="O304" i="1"/>
  <c r="Q304" i="1" s="1"/>
  <c r="O317" i="1"/>
  <c r="Q317" i="1" s="1"/>
  <c r="O331" i="1"/>
  <c r="Q331" i="1" s="1"/>
  <c r="O272" i="1"/>
  <c r="Q272" i="1" s="1"/>
  <c r="O319" i="1"/>
  <c r="Q319" i="1" s="1"/>
  <c r="W277" i="1"/>
  <c r="Y277" i="1" s="1"/>
  <c r="O335" i="1"/>
  <c r="Q335" i="1" s="1"/>
  <c r="O327" i="1"/>
  <c r="Q327" i="1" s="1"/>
  <c r="O359" i="1"/>
  <c r="Q359" i="1" s="1"/>
  <c r="S359" i="1" s="1"/>
  <c r="O324" i="1"/>
  <c r="Q324" i="1" s="1"/>
  <c r="W271" i="1"/>
  <c r="Y271" i="1" s="1"/>
  <c r="O336" i="1"/>
  <c r="O328" i="1"/>
  <c r="Q328" i="1" s="1"/>
  <c r="O337" i="1"/>
  <c r="O356" i="1"/>
  <c r="Q356" i="1" s="1"/>
  <c r="O310" i="1"/>
  <c r="Q310" i="1" s="1"/>
  <c r="W282" i="1"/>
  <c r="Y282" i="1" s="1"/>
  <c r="O358" i="1"/>
  <c r="Q358" i="1" s="1"/>
  <c r="S358" i="1" s="1"/>
  <c r="W273" i="1"/>
  <c r="Y273" i="1" s="1"/>
  <c r="O277" i="1"/>
  <c r="Q277" i="1" s="1"/>
  <c r="W280" i="1"/>
  <c r="Y280" i="1" s="1"/>
  <c r="O357" i="1"/>
  <c r="Q357" i="1" s="1"/>
  <c r="S357" i="1" s="1"/>
  <c r="O273" i="1"/>
  <c r="Q273" i="1" s="1"/>
  <c r="O275" i="1"/>
  <c r="Q275" i="1" s="1"/>
  <c r="O344" i="1"/>
  <c r="Q344" i="1" s="1"/>
  <c r="O270" i="1"/>
  <c r="O303" i="1"/>
  <c r="Q303" i="1" s="1"/>
  <c r="O274" i="1"/>
  <c r="Q274" i="1" s="1"/>
  <c r="O330" i="1"/>
  <c r="Q330" i="1" s="1"/>
  <c r="O280" i="1"/>
  <c r="Q280" i="1" s="1"/>
  <c r="O325" i="1"/>
  <c r="Q325" i="1" s="1"/>
  <c r="W154" i="2"/>
  <c r="X154" i="2" s="1"/>
  <c r="AH153" i="2"/>
  <c r="S399" i="12"/>
  <c r="Y645" i="1"/>
  <c r="R645" i="1"/>
  <c r="X645" i="1" s="1"/>
  <c r="H195" i="6"/>
  <c r="H201" i="6" s="1"/>
  <c r="D173" i="6"/>
  <c r="D195" i="6"/>
  <c r="R263" i="1"/>
  <c r="AI179" i="2"/>
  <c r="X179" i="2"/>
  <c r="AH179" i="2" s="1"/>
  <c r="S478" i="12"/>
  <c r="S487" i="12" s="1"/>
  <c r="Q344" i="12"/>
  <c r="R399" i="12"/>
  <c r="S38" i="2"/>
  <c r="T38" i="2" s="1"/>
  <c r="Q39" i="2"/>
  <c r="R39" i="2" s="1"/>
  <c r="P371" i="12"/>
  <c r="T362" i="12"/>
  <c r="Q487" i="12"/>
  <c r="S180" i="2"/>
  <c r="T180" i="2" s="1"/>
  <c r="V180" i="2" s="1"/>
  <c r="Q181" i="2"/>
  <c r="S181" i="2" s="1"/>
  <c r="T181" i="2" s="1"/>
  <c r="V181" i="2" s="1"/>
  <c r="S190" i="3"/>
  <c r="Q191" i="3"/>
  <c r="S191" i="3" s="1"/>
  <c r="I81" i="6"/>
  <c r="C172" i="6" s="1"/>
  <c r="D172" i="6" s="1"/>
  <c r="T450" i="12"/>
  <c r="P459" i="12"/>
  <c r="Q631" i="12"/>
  <c r="R631" i="1"/>
  <c r="X631" i="1" s="1"/>
  <c r="Y631" i="1"/>
  <c r="V37" i="2"/>
  <c r="AB37" i="2"/>
  <c r="AC37" i="2" s="1"/>
  <c r="Q484" i="12"/>
  <c r="Q485" i="12" s="1"/>
  <c r="S485" i="12"/>
  <c r="I395" i="1"/>
  <c r="M395" i="1"/>
  <c r="Z218" i="3"/>
  <c r="T390" i="12"/>
  <c r="P399" i="12"/>
  <c r="S158" i="2"/>
  <c r="T158" i="2" s="1"/>
  <c r="V158" i="2" s="1"/>
  <c r="AI158" i="2" s="1"/>
  <c r="Q182" i="2"/>
  <c r="S631" i="12"/>
  <c r="V622" i="12"/>
  <c r="S344" i="12"/>
  <c r="Q49" i="12"/>
  <c r="T622" i="12"/>
  <c r="R544" i="12"/>
  <c r="R632" i="1"/>
  <c r="X632" i="1" s="1"/>
  <c r="Y632" i="1"/>
  <c r="P484" i="12"/>
  <c r="P485" i="12" s="1"/>
  <c r="R485" i="12"/>
  <c r="P263" i="12"/>
  <c r="T254" i="12"/>
  <c r="R371" i="12"/>
  <c r="R263" i="12"/>
  <c r="W97" i="3"/>
  <c r="AH95" i="3"/>
  <c r="R205" i="12"/>
  <c r="AK217" i="3"/>
  <c r="AD217" i="3" s="1"/>
  <c r="AD218" i="3" s="1"/>
  <c r="X217" i="3"/>
  <c r="W218" i="3" s="1"/>
  <c r="AE42" i="3" l="1"/>
  <c r="Q66" i="3"/>
  <c r="S66" i="3" s="1"/>
  <c r="T66" i="3" s="1"/>
  <c r="AB66" i="3" s="1"/>
  <c r="AC66" i="3" s="1"/>
  <c r="Z187" i="3"/>
  <c r="AJ288" i="3"/>
  <c r="AB288" i="3"/>
  <c r="T189" i="3"/>
  <c r="V189" i="3" s="1"/>
  <c r="Z189" i="3" s="1"/>
  <c r="Z188" i="3"/>
  <c r="AK188" i="3"/>
  <c r="X188" i="3"/>
  <c r="AJ188" i="3" s="1"/>
  <c r="AJ217" i="3"/>
  <c r="X218" i="3"/>
  <c r="Q56" i="2"/>
  <c r="S56" i="2" s="1"/>
  <c r="T56" i="2" s="1"/>
  <c r="S39" i="2"/>
  <c r="T39" i="2" s="1"/>
  <c r="S335" i="1"/>
  <c r="T335" i="1" s="1"/>
  <c r="M341" i="1" s="1"/>
  <c r="N395" i="1"/>
  <c r="L396" i="1"/>
  <c r="J395" i="1"/>
  <c r="P270" i="1"/>
  <c r="Q270" i="1"/>
  <c r="S374" i="1"/>
  <c r="T375" i="1"/>
  <c r="W156" i="2"/>
  <c r="AH154" i="2"/>
  <c r="AK187" i="3"/>
  <c r="X187" i="3"/>
  <c r="AJ187" i="3" s="1"/>
  <c r="L612" i="1"/>
  <c r="AI152" i="3"/>
  <c r="X152" i="3"/>
  <c r="AH152" i="3" s="1"/>
  <c r="S380" i="1"/>
  <c r="T381" i="1"/>
  <c r="S393" i="1"/>
  <c r="AK163" i="3"/>
  <c r="AD163" i="3" s="1"/>
  <c r="AD164" i="3" s="1"/>
  <c r="X163" i="3"/>
  <c r="Q387" i="1"/>
  <c r="S356" i="1"/>
  <c r="T356" i="1" s="1"/>
  <c r="Y168" i="3"/>
  <c r="T168" i="3"/>
  <c r="V168" i="3" s="1"/>
  <c r="AK168" i="3" s="1"/>
  <c r="V38" i="2"/>
  <c r="AB38" i="2"/>
  <c r="AC38" i="2" s="1"/>
  <c r="AC97" i="3"/>
  <c r="AD97" i="3" s="1"/>
  <c r="AD103" i="3" s="1"/>
  <c r="R97" i="3"/>
  <c r="Q88" i="2"/>
  <c r="R88" i="2" s="1"/>
  <c r="S87" i="2"/>
  <c r="T87" i="2" s="1"/>
  <c r="V87" i="2" s="1"/>
  <c r="H208" i="6"/>
  <c r="D208" i="6"/>
  <c r="R209" i="2"/>
  <c r="S209" i="2" s="1"/>
  <c r="T209" i="2" s="1"/>
  <c r="V209" i="2" s="1"/>
  <c r="AI209" i="2" s="1"/>
  <c r="AB209" i="2" s="1"/>
  <c r="AB210" i="2" s="1"/>
  <c r="AB211" i="2" s="1"/>
  <c r="AB212" i="2" s="1"/>
  <c r="Y191" i="3"/>
  <c r="T191" i="3"/>
  <c r="V191" i="3" s="1"/>
  <c r="S337" i="1"/>
  <c r="Q337" i="1"/>
  <c r="S43" i="3"/>
  <c r="Q44" i="3"/>
  <c r="R44" i="3" s="1"/>
  <c r="S338" i="1"/>
  <c r="Q338" i="1"/>
  <c r="T190" i="3"/>
  <c r="V190" i="3" s="1"/>
  <c r="Y190" i="3"/>
  <c r="AH70" i="3"/>
  <c r="W75" i="3"/>
  <c r="H200" i="6"/>
  <c r="H199" i="6"/>
  <c r="H206" i="6"/>
  <c r="J403" i="1"/>
  <c r="L404" i="1"/>
  <c r="N403" i="1"/>
  <c r="O403" i="1" s="1"/>
  <c r="Q403" i="1" s="1"/>
  <c r="S403" i="1" s="1"/>
  <c r="Z163" i="3"/>
  <c r="S336" i="1"/>
  <c r="Q336" i="1"/>
  <c r="AI48" i="3"/>
  <c r="X48" i="3"/>
  <c r="AH48" i="3" s="1"/>
  <c r="H194" i="6"/>
  <c r="H207" i="6" s="1"/>
  <c r="D174" i="6"/>
  <c r="D194" i="6"/>
  <c r="X37" i="2"/>
  <c r="AH37" i="2" s="1"/>
  <c r="AI37" i="2"/>
  <c r="T65" i="2"/>
  <c r="V65" i="2" s="1"/>
  <c r="AA65" i="2"/>
  <c r="AI181" i="2"/>
  <c r="X181" i="2"/>
  <c r="AI180" i="2"/>
  <c r="X180" i="2"/>
  <c r="AH180" i="2" s="1"/>
  <c r="Q34" i="2"/>
  <c r="R34" i="2" s="1"/>
  <c r="S33" i="2"/>
  <c r="V49" i="3"/>
  <c r="AB49" i="3"/>
  <c r="AC49" i="3" s="1"/>
  <c r="V66" i="3" l="1"/>
  <c r="AI66" i="3" s="1"/>
  <c r="X189" i="3"/>
  <c r="AJ189" i="3" s="1"/>
  <c r="AK189" i="3"/>
  <c r="AI49" i="3"/>
  <c r="X49" i="3"/>
  <c r="AH49" i="3" s="1"/>
  <c r="AB33" i="2"/>
  <c r="T33" i="2"/>
  <c r="V33" i="2" s="1"/>
  <c r="AC65" i="2"/>
  <c r="AB65" i="2"/>
  <c r="Q89" i="2"/>
  <c r="R89" i="2" s="1"/>
  <c r="S88" i="2"/>
  <c r="T88" i="2" s="1"/>
  <c r="V88" i="2" s="1"/>
  <c r="H209" i="6"/>
  <c r="G209" i="6"/>
  <c r="I396" i="1"/>
  <c r="N396" i="1"/>
  <c r="O396" i="1" s="1"/>
  <c r="Q396" i="1" s="1"/>
  <c r="S396" i="1" s="1"/>
  <c r="R397" i="1" s="1"/>
  <c r="H202" i="6"/>
  <c r="M612" i="1"/>
  <c r="N612" i="1" s="1"/>
  <c r="P612" i="1" s="1"/>
  <c r="K613" i="1"/>
  <c r="M613" i="1" s="1"/>
  <c r="N613" i="1" s="1"/>
  <c r="P613" i="1" s="1"/>
  <c r="S97" i="3"/>
  <c r="T97" i="3" s="1"/>
  <c r="V97" i="3" s="1"/>
  <c r="Q98" i="3"/>
  <c r="R98" i="3" s="1"/>
  <c r="S44" i="3"/>
  <c r="Q51" i="3"/>
  <c r="R51" i="3" s="1"/>
  <c r="AB56" i="2"/>
  <c r="AC56" i="2" s="1"/>
  <c r="V56" i="2"/>
  <c r="AI56" i="2" s="1"/>
  <c r="R156" i="2"/>
  <c r="O395" i="1"/>
  <c r="Q395" i="1" s="1"/>
  <c r="AB43" i="3"/>
  <c r="T43" i="3"/>
  <c r="V43" i="3" s="1"/>
  <c r="AJ218" i="3"/>
  <c r="W219" i="3"/>
  <c r="AI38" i="2"/>
  <c r="X38" i="2"/>
  <c r="AH38" i="2" s="1"/>
  <c r="AK190" i="3"/>
  <c r="X190" i="3"/>
  <c r="AJ190" i="3" s="1"/>
  <c r="D206" i="6"/>
  <c r="D209" i="6" s="1"/>
  <c r="D200" i="6"/>
  <c r="D201" i="6" s="1"/>
  <c r="N341" i="1"/>
  <c r="O341" i="1" s="1"/>
  <c r="Q341" i="1" s="1"/>
  <c r="S341" i="1" s="1"/>
  <c r="L342" i="1"/>
  <c r="N342" i="1" s="1"/>
  <c r="O342" i="1" s="1"/>
  <c r="Q342" i="1" s="1"/>
  <c r="S342" i="1" s="1"/>
  <c r="S343" i="1" s="1"/>
  <c r="V39" i="2"/>
  <c r="AB39" i="2"/>
  <c r="AC39" i="2" s="1"/>
  <c r="Z191" i="3"/>
  <c r="I404" i="1"/>
  <c r="N404" i="1"/>
  <c r="O404" i="1" s="1"/>
  <c r="Q404" i="1" s="1"/>
  <c r="S404" i="1" s="1"/>
  <c r="R405" i="1" s="1"/>
  <c r="S405" i="1" s="1"/>
  <c r="R406" i="1" s="1"/>
  <c r="S406" i="1" s="1"/>
  <c r="R407" i="1" s="1"/>
  <c r="AI87" i="2"/>
  <c r="X87" i="2"/>
  <c r="AH87" i="2" s="1"/>
  <c r="S34" i="2"/>
  <c r="Q41" i="2"/>
  <c r="R41" i="2" s="1"/>
  <c r="AH181" i="2"/>
  <c r="W182" i="2"/>
  <c r="R75" i="3"/>
  <c r="AI65" i="2"/>
  <c r="X65" i="2"/>
  <c r="AH65" i="2" s="1"/>
  <c r="Z190" i="3"/>
  <c r="Z168" i="3"/>
  <c r="W164" i="3"/>
  <c r="X164" i="3" s="1"/>
  <c r="AJ163" i="3"/>
  <c r="X191" i="3"/>
  <c r="W192" i="3" s="1"/>
  <c r="AK191" i="3"/>
  <c r="X209" i="2"/>
  <c r="AH209" i="2" s="1"/>
  <c r="S75" i="3" l="1"/>
  <c r="AA75" i="3" s="1"/>
  <c r="Q298" i="3"/>
  <c r="S51" i="3"/>
  <c r="Q64" i="3"/>
  <c r="S64" i="3" s="1"/>
  <c r="Q99" i="3"/>
  <c r="R99" i="3" s="1"/>
  <c r="S98" i="3"/>
  <c r="T98" i="3" s="1"/>
  <c r="V98" i="3" s="1"/>
  <c r="M397" i="1"/>
  <c r="S344" i="1"/>
  <c r="T344" i="1" s="1"/>
  <c r="M345" i="1" s="1"/>
  <c r="AI88" i="2"/>
  <c r="X88" i="2"/>
  <c r="AH88" i="2" s="1"/>
  <c r="AD33" i="2"/>
  <c r="AE33" i="2" s="1"/>
  <c r="AC33" i="2"/>
  <c r="M407" i="1"/>
  <c r="W166" i="3"/>
  <c r="AJ164" i="3"/>
  <c r="AD65" i="2"/>
  <c r="AI97" i="3"/>
  <c r="X97" i="3"/>
  <c r="AH97" i="3" s="1"/>
  <c r="AJ191" i="3"/>
  <c r="S89" i="2"/>
  <c r="T89" i="2" s="1"/>
  <c r="V89" i="2" s="1"/>
  <c r="Q90" i="2"/>
  <c r="R90" i="2" s="1"/>
  <c r="R182" i="2"/>
  <c r="AI33" i="2"/>
  <c r="X33" i="2"/>
  <c r="AH33" i="2" s="1"/>
  <c r="Q54" i="2"/>
  <c r="S54" i="2" s="1"/>
  <c r="S41" i="2"/>
  <c r="AB34" i="2"/>
  <c r="T34" i="2"/>
  <c r="V34" i="2" s="1"/>
  <c r="T44" i="3"/>
  <c r="V44" i="3" s="1"/>
  <c r="AB44" i="3"/>
  <c r="X39" i="2"/>
  <c r="AH39" i="2" s="1"/>
  <c r="AI39" i="2"/>
  <c r="Y613" i="1"/>
  <c r="R613" i="1"/>
  <c r="X613" i="1" s="1"/>
  <c r="Y612" i="1"/>
  <c r="R612" i="1"/>
  <c r="X612" i="1" s="1"/>
  <c r="R219" i="3"/>
  <c r="AI43" i="3"/>
  <c r="X43" i="3"/>
  <c r="AH43" i="3" s="1"/>
  <c r="AD43" i="3"/>
  <c r="AE43" i="3" s="1"/>
  <c r="AC43" i="3"/>
  <c r="S395" i="1"/>
  <c r="S156" i="2"/>
  <c r="T156" i="2" s="1"/>
  <c r="V156" i="2" s="1"/>
  <c r="Q157" i="2"/>
  <c r="S157" i="2" s="1"/>
  <c r="T157" i="2" s="1"/>
  <c r="V157" i="2" s="1"/>
  <c r="T75" i="3" l="1"/>
  <c r="V75" i="3" s="1"/>
  <c r="AC75" i="3" s="1"/>
  <c r="AD34" i="2"/>
  <c r="AC34" i="2"/>
  <c r="AE34" i="2" s="1"/>
  <c r="T41" i="2"/>
  <c r="V41" i="2" s="1"/>
  <c r="AB41" i="2"/>
  <c r="L347" i="1"/>
  <c r="N345" i="1"/>
  <c r="O345" i="1" s="1"/>
  <c r="Q345" i="1" s="1"/>
  <c r="L346" i="1"/>
  <c r="N346" i="1" s="1"/>
  <c r="O346" i="1" s="1"/>
  <c r="Q346" i="1" s="1"/>
  <c r="S346" i="1" s="1"/>
  <c r="T346" i="1" s="1"/>
  <c r="M347" i="1" s="1"/>
  <c r="AI98" i="3"/>
  <c r="X98" i="3"/>
  <c r="AH98" i="3" s="1"/>
  <c r="AA54" i="2"/>
  <c r="T54" i="2"/>
  <c r="V54" i="2" s="1"/>
  <c r="AI156" i="2"/>
  <c r="AB156" i="2" s="1"/>
  <c r="X156" i="2"/>
  <c r="AH156" i="2" s="1"/>
  <c r="S182" i="2"/>
  <c r="T182" i="2" s="1"/>
  <c r="V182" i="2" s="1"/>
  <c r="Q186" i="2"/>
  <c r="R186" i="2" s="1"/>
  <c r="S186" i="2" s="1"/>
  <c r="T186" i="2" s="1"/>
  <c r="V186" i="2" s="1"/>
  <c r="J397" i="1"/>
  <c r="L398" i="1"/>
  <c r="N397" i="1"/>
  <c r="Q100" i="3"/>
  <c r="R100" i="3" s="1"/>
  <c r="S99" i="3"/>
  <c r="T99" i="3" s="1"/>
  <c r="V99" i="3" s="1"/>
  <c r="R166" i="3"/>
  <c r="AC44" i="3"/>
  <c r="AE44" i="3" s="1"/>
  <c r="AD44" i="3"/>
  <c r="N407" i="1"/>
  <c r="O407" i="1" s="1"/>
  <c r="Q407" i="1" s="1"/>
  <c r="S407" i="1" s="1"/>
  <c r="L409" i="1"/>
  <c r="J407" i="1"/>
  <c r="AB75" i="3"/>
  <c r="AI89" i="2"/>
  <c r="X89" i="2"/>
  <c r="AH89" i="2" s="1"/>
  <c r="T64" i="3"/>
  <c r="V64" i="3" s="1"/>
  <c r="AA64" i="3"/>
  <c r="AI44" i="3"/>
  <c r="X44" i="3"/>
  <c r="AH44" i="3" s="1"/>
  <c r="AI34" i="2"/>
  <c r="X34" i="2"/>
  <c r="AH34" i="2" s="1"/>
  <c r="AI157" i="2"/>
  <c r="X157" i="2"/>
  <c r="Q91" i="2"/>
  <c r="R91" i="2" s="1"/>
  <c r="S90" i="2"/>
  <c r="T90" i="2" s="1"/>
  <c r="V90" i="2" s="1"/>
  <c r="S219" i="3"/>
  <c r="R192" i="3"/>
  <c r="AB51" i="3"/>
  <c r="T51" i="3"/>
  <c r="V51" i="3" s="1"/>
  <c r="X75" i="3" l="1"/>
  <c r="AH75" i="3" s="1"/>
  <c r="AI75" i="3"/>
  <c r="AK244" i="3"/>
  <c r="AD244" i="3" s="1"/>
  <c r="AJ244" i="3"/>
  <c r="S100" i="3"/>
  <c r="T100" i="3" s="1"/>
  <c r="V100" i="3" s="1"/>
  <c r="Q101" i="3"/>
  <c r="R101" i="3" s="1"/>
  <c r="AI182" i="2"/>
  <c r="X182" i="2"/>
  <c r="AH182" i="2" s="1"/>
  <c r="O397" i="1"/>
  <c r="Q397" i="1" s="1"/>
  <c r="AI54" i="2"/>
  <c r="X54" i="2"/>
  <c r="AC41" i="2"/>
  <c r="AD41" i="2"/>
  <c r="S166" i="3"/>
  <c r="Q167" i="3"/>
  <c r="S167" i="3" s="1"/>
  <c r="AI90" i="2"/>
  <c r="X90" i="2"/>
  <c r="AH90" i="2" s="1"/>
  <c r="Q92" i="2"/>
  <c r="R92" i="2" s="1"/>
  <c r="S91" i="2"/>
  <c r="T91" i="2" s="1"/>
  <c r="V91" i="2" s="1"/>
  <c r="W158" i="2"/>
  <c r="X158" i="2" s="1"/>
  <c r="AH157" i="2"/>
  <c r="AI186" i="2"/>
  <c r="X186" i="2"/>
  <c r="AH186" i="2" s="1"/>
  <c r="AC64" i="3"/>
  <c r="AB64" i="3"/>
  <c r="AD64" i="3" s="1"/>
  <c r="L348" i="1"/>
  <c r="N347" i="1"/>
  <c r="O347" i="1" s="1"/>
  <c r="Q347" i="1" s="1"/>
  <c r="S347" i="1" s="1"/>
  <c r="AI41" i="2"/>
  <c r="X41" i="2"/>
  <c r="AH41" i="2" s="1"/>
  <c r="I398" i="1"/>
  <c r="M398" i="1"/>
  <c r="AI64" i="3"/>
  <c r="X64" i="3"/>
  <c r="AB157" i="2"/>
  <c r="AB158" i="2" s="1"/>
  <c r="AB177" i="2" s="1"/>
  <c r="AB178" i="2" s="1"/>
  <c r="AB179" i="2" s="1"/>
  <c r="AB180" i="2" s="1"/>
  <c r="AB181" i="2" s="1"/>
  <c r="AB182" i="2" s="1"/>
  <c r="AC54" i="2"/>
  <c r="AB54" i="2"/>
  <c r="AD75" i="3"/>
  <c r="AI51" i="3"/>
  <c r="X51" i="3"/>
  <c r="AH51" i="3" s="1"/>
  <c r="AD51" i="3"/>
  <c r="AC51" i="3"/>
  <c r="AI99" i="3"/>
  <c r="X99" i="3"/>
  <c r="AH99" i="3" s="1"/>
  <c r="S345" i="1"/>
  <c r="I409" i="1"/>
  <c r="M409" i="1"/>
  <c r="Q196" i="3"/>
  <c r="R196" i="3" s="1"/>
  <c r="S196" i="3" s="1"/>
  <c r="T196" i="3" s="1"/>
  <c r="V196" i="3" s="1"/>
  <c r="S192" i="3"/>
  <c r="Y219" i="3"/>
  <c r="T219" i="3"/>
  <c r="V219" i="3" s="1"/>
  <c r="AB76" i="3" l="1"/>
  <c r="Y167" i="3"/>
  <c r="T167" i="3"/>
  <c r="V167" i="3" s="1"/>
  <c r="AH54" i="2"/>
  <c r="W56" i="2"/>
  <c r="X56" i="2" s="1"/>
  <c r="AB186" i="2"/>
  <c r="AB189" i="2" s="1"/>
  <c r="J398" i="1"/>
  <c r="N398" i="1"/>
  <c r="L399" i="1"/>
  <c r="Z219" i="3"/>
  <c r="Q102" i="3"/>
  <c r="R102" i="3" s="1"/>
  <c r="S101" i="3"/>
  <c r="T101" i="3" s="1"/>
  <c r="V101" i="3" s="1"/>
  <c r="W159" i="2"/>
  <c r="AH158" i="2"/>
  <c r="Q94" i="2"/>
  <c r="R94" i="2" s="1"/>
  <c r="S94" i="2" s="1"/>
  <c r="T94" i="2" s="1"/>
  <c r="V94" i="2" s="1"/>
  <c r="Q135" i="2"/>
  <c r="S92" i="2"/>
  <c r="T92" i="2" s="1"/>
  <c r="V92" i="2" s="1"/>
  <c r="L424" i="1"/>
  <c r="J409" i="1"/>
  <c r="N409" i="1"/>
  <c r="O409" i="1" s="1"/>
  <c r="Q409" i="1" s="1"/>
  <c r="AI100" i="3"/>
  <c r="X100" i="3"/>
  <c r="AH100" i="3" s="1"/>
  <c r="AI91" i="2"/>
  <c r="X91" i="2"/>
  <c r="AH91" i="2" s="1"/>
  <c r="AD54" i="2"/>
  <c r="AB66" i="2"/>
  <c r="AB42" i="2"/>
  <c r="AE41" i="2"/>
  <c r="AH64" i="3"/>
  <c r="W66" i="3"/>
  <c r="X66" i="3" s="1"/>
  <c r="S397" i="1"/>
  <c r="AK196" i="3"/>
  <c r="X196" i="3"/>
  <c r="AJ196" i="3" s="1"/>
  <c r="AE51" i="3"/>
  <c r="AB52" i="3"/>
  <c r="T166" i="3"/>
  <c r="V166" i="3" s="1"/>
  <c r="Y166" i="3"/>
  <c r="AK219" i="3"/>
  <c r="X219" i="3"/>
  <c r="AJ219" i="3" s="1"/>
  <c r="Y192" i="3"/>
  <c r="T192" i="3"/>
  <c r="V192" i="3" s="1"/>
  <c r="N348" i="1"/>
  <c r="O348" i="1" s="1"/>
  <c r="Q348" i="1" s="1"/>
  <c r="L349" i="1"/>
  <c r="AD219" i="3" l="1"/>
  <c r="AD220" i="3" s="1"/>
  <c r="AB221" i="3" s="1"/>
  <c r="AB222" i="3" s="1"/>
  <c r="G418" i="1"/>
  <c r="M424" i="1"/>
  <c r="Z192" i="3"/>
  <c r="AI94" i="2"/>
  <c r="X94" i="2"/>
  <c r="AH94" i="2" s="1"/>
  <c r="Q104" i="3"/>
  <c r="R104" i="3" s="1"/>
  <c r="S104" i="3" s="1"/>
  <c r="T104" i="3" s="1"/>
  <c r="V104" i="3" s="1"/>
  <c r="S102" i="3"/>
  <c r="T102" i="3" s="1"/>
  <c r="V102" i="3" s="1"/>
  <c r="Q145" i="3"/>
  <c r="S348" i="1"/>
  <c r="T348" i="1" s="1"/>
  <c r="M349" i="1" s="1"/>
  <c r="N349" i="1" s="1"/>
  <c r="O349" i="1" s="1"/>
  <c r="Q349" i="1" s="1"/>
  <c r="S349" i="1" s="1"/>
  <c r="Q350" i="1"/>
  <c r="Q413" i="1"/>
  <c r="S409" i="1"/>
  <c r="Z166" i="3"/>
  <c r="Y193" i="3"/>
  <c r="AA193" i="3" s="1"/>
  <c r="AK166" i="3"/>
  <c r="AD166" i="3" s="1"/>
  <c r="X166" i="3"/>
  <c r="AJ166" i="3" s="1"/>
  <c r="AI101" i="3"/>
  <c r="X101" i="3"/>
  <c r="AH101" i="3" s="1"/>
  <c r="W68" i="3"/>
  <c r="AH66" i="3"/>
  <c r="AK167" i="3"/>
  <c r="X167" i="3"/>
  <c r="AK192" i="3"/>
  <c r="X192" i="3"/>
  <c r="AJ192" i="3" s="1"/>
  <c r="AI92" i="2"/>
  <c r="X92" i="2"/>
  <c r="AH92" i="2" s="1"/>
  <c r="M399" i="1"/>
  <c r="I399" i="1"/>
  <c r="O398" i="1"/>
  <c r="Q398" i="1" s="1"/>
  <c r="W58" i="2"/>
  <c r="AH56" i="2"/>
  <c r="Z167" i="3"/>
  <c r="AD167" i="3" l="1"/>
  <c r="AD168" i="3" s="1"/>
  <c r="AD187" i="3" s="1"/>
  <c r="AD188" i="3" s="1"/>
  <c r="AD189" i="3" s="1"/>
  <c r="AD190" i="3" s="1"/>
  <c r="AD191" i="3" s="1"/>
  <c r="AD192" i="3" s="1"/>
  <c r="AD196" i="3" s="1"/>
  <c r="AB199" i="3" s="1"/>
  <c r="AI102" i="3"/>
  <c r="X102" i="3"/>
  <c r="AH102" i="3" s="1"/>
  <c r="R58" i="2"/>
  <c r="S398" i="1"/>
  <c r="X104" i="3"/>
  <c r="AH104" i="3" s="1"/>
  <c r="AI104" i="3"/>
  <c r="AJ167" i="3"/>
  <c r="W168" i="3"/>
  <c r="X168" i="3" s="1"/>
  <c r="L425" i="1"/>
  <c r="M425" i="1" s="1"/>
  <c r="N424" i="1"/>
  <c r="O424" i="1" s="1"/>
  <c r="Q424" i="1" s="1"/>
  <c r="R68" i="3"/>
  <c r="J399" i="1"/>
  <c r="N399" i="1"/>
  <c r="O399" i="1" s="1"/>
  <c r="Q399" i="1" s="1"/>
  <c r="S399" i="1" s="1"/>
  <c r="L400" i="1"/>
  <c r="I418" i="1"/>
  <c r="H418" i="1"/>
  <c r="Q84" i="3" l="1"/>
  <c r="S84" i="3" s="1"/>
  <c r="T84" i="3" s="1"/>
  <c r="V84" i="3" s="1"/>
  <c r="S68" i="3"/>
  <c r="T68" i="3" s="1"/>
  <c r="N400" i="1"/>
  <c r="O400" i="1" s="1"/>
  <c r="Q400" i="1" s="1"/>
  <c r="S400" i="1" s="1"/>
  <c r="R401" i="1" s="1"/>
  <c r="I400" i="1"/>
  <c r="S424" i="1"/>
  <c r="W169" i="3"/>
  <c r="AJ168" i="3"/>
  <c r="N425" i="1"/>
  <c r="O425" i="1" s="1"/>
  <c r="Q425" i="1" s="1"/>
  <c r="S425" i="1" s="1"/>
  <c r="L426" i="1"/>
  <c r="M426" i="1" s="1"/>
  <c r="S58" i="2"/>
  <c r="T58" i="2" s="1"/>
  <c r="Q74" i="2"/>
  <c r="S74" i="2" s="1"/>
  <c r="T74" i="2" s="1"/>
  <c r="V74" i="2" s="1"/>
  <c r="AB58" i="2" l="1"/>
  <c r="AC58" i="2" s="1"/>
  <c r="V58" i="2"/>
  <c r="L427" i="1"/>
  <c r="M427" i="1" s="1"/>
  <c r="N426" i="1"/>
  <c r="O426" i="1" s="1"/>
  <c r="Q426" i="1" s="1"/>
  <c r="S426" i="1" s="1"/>
  <c r="M401" i="1"/>
  <c r="V68" i="3"/>
  <c r="AB68" i="3"/>
  <c r="AC68" i="3" s="1"/>
  <c r="AI74" i="2"/>
  <c r="AC74" i="2"/>
  <c r="X74" i="2"/>
  <c r="AI84" i="3"/>
  <c r="AC84" i="3"/>
  <c r="X84" i="3"/>
  <c r="AE84" i="3" l="1"/>
  <c r="AD84" i="3"/>
  <c r="J401" i="1"/>
  <c r="N401" i="1"/>
  <c r="L402" i="1"/>
  <c r="I402" i="1" s="1"/>
  <c r="AI68" i="3"/>
  <c r="X68" i="3"/>
  <c r="AH68" i="3" s="1"/>
  <c r="AI58" i="2"/>
  <c r="X58" i="2"/>
  <c r="AH58" i="2" s="1"/>
  <c r="W86" i="3"/>
  <c r="AH84" i="3"/>
  <c r="AH74" i="2"/>
  <c r="W76" i="2"/>
  <c r="AE74" i="2"/>
  <c r="AD74" i="2"/>
  <c r="N427" i="1"/>
  <c r="O427" i="1" s="1"/>
  <c r="Q427" i="1" s="1"/>
  <c r="L428" i="1"/>
  <c r="M428" i="1" s="1"/>
  <c r="L429" i="1" l="1"/>
  <c r="M429" i="1" s="1"/>
  <c r="N428" i="1"/>
  <c r="O428" i="1" s="1"/>
  <c r="Q428" i="1" s="1"/>
  <c r="S428" i="1" s="1"/>
  <c r="S427" i="1"/>
  <c r="R76" i="2"/>
  <c r="R86" i="3"/>
  <c r="O401" i="1"/>
  <c r="Q401" i="1" s="1"/>
  <c r="N410" i="1"/>
  <c r="Q410" i="1" l="1"/>
  <c r="R410" i="1" s="1"/>
  <c r="S401" i="1"/>
  <c r="Q77" i="2"/>
  <c r="R77" i="2" s="1"/>
  <c r="S76" i="2"/>
  <c r="T76" i="2" s="1"/>
  <c r="V76" i="2" s="1"/>
  <c r="N412" i="1"/>
  <c r="M412" i="1" s="1"/>
  <c r="O410" i="1"/>
  <c r="P410" i="1" s="1"/>
  <c r="V410" i="1" s="1"/>
  <c r="X410" i="1" s="1"/>
  <c r="N429" i="1"/>
  <c r="O429" i="1" s="1"/>
  <c r="Q429" i="1" s="1"/>
  <c r="S429" i="1" s="1"/>
  <c r="L430" i="1"/>
  <c r="M430" i="1" s="1"/>
  <c r="S86" i="3"/>
  <c r="T86" i="3" s="1"/>
  <c r="V86" i="3" s="1"/>
  <c r="Q87" i="3"/>
  <c r="R87" i="3" s="1"/>
  <c r="AC86" i="3" l="1"/>
  <c r="AI86" i="3"/>
  <c r="X86" i="3"/>
  <c r="AH86" i="3" s="1"/>
  <c r="S77" i="2"/>
  <c r="T77" i="2" s="1"/>
  <c r="V77" i="2" s="1"/>
  <c r="Q78" i="2"/>
  <c r="R78" i="2" s="1"/>
  <c r="Q88" i="3"/>
  <c r="R88" i="3" s="1"/>
  <c r="S87" i="3"/>
  <c r="T87" i="3" s="1"/>
  <c r="V87" i="3" s="1"/>
  <c r="L431" i="1"/>
  <c r="M431" i="1" s="1"/>
  <c r="N430" i="1"/>
  <c r="O430" i="1" s="1"/>
  <c r="Q430" i="1" s="1"/>
  <c r="S430" i="1" s="1"/>
  <c r="AI76" i="2"/>
  <c r="AC76" i="2"/>
  <c r="X76" i="2"/>
  <c r="AH76" i="2" s="1"/>
  <c r="AI87" i="3" l="1"/>
  <c r="AC87" i="3"/>
  <c r="X87" i="3"/>
  <c r="AH87" i="3" s="1"/>
  <c r="AC77" i="2"/>
  <c r="AI77" i="2"/>
  <c r="X77" i="2"/>
  <c r="AH77" i="2" s="1"/>
  <c r="AE76" i="2"/>
  <c r="AD76" i="2"/>
  <c r="L432" i="1"/>
  <c r="M432" i="1" s="1"/>
  <c r="N431" i="1"/>
  <c r="O431" i="1" s="1"/>
  <c r="Q431" i="1" s="1"/>
  <c r="S431" i="1" s="1"/>
  <c r="S88" i="3"/>
  <c r="T88" i="3" s="1"/>
  <c r="V88" i="3" s="1"/>
  <c r="Q89" i="3"/>
  <c r="R89" i="3" s="1"/>
  <c r="Q79" i="2"/>
  <c r="R79" i="2" s="1"/>
  <c r="S78" i="2"/>
  <c r="T78" i="2" s="1"/>
  <c r="V78" i="2" s="1"/>
  <c r="AD86" i="3"/>
  <c r="AE86" i="3"/>
  <c r="L433" i="1" l="1"/>
  <c r="M433" i="1" s="1"/>
  <c r="N432" i="1"/>
  <c r="O432" i="1" s="1"/>
  <c r="Q432" i="1" s="1"/>
  <c r="S432" i="1" s="1"/>
  <c r="S79" i="2"/>
  <c r="T79" i="2" s="1"/>
  <c r="V79" i="2" s="1"/>
  <c r="Q80" i="2"/>
  <c r="R80" i="2" s="1"/>
  <c r="Q90" i="3"/>
  <c r="R90" i="3" s="1"/>
  <c r="S89" i="3"/>
  <c r="T89" i="3" s="1"/>
  <c r="V89" i="3" s="1"/>
  <c r="AE87" i="3"/>
  <c r="AD87" i="3"/>
  <c r="AI78" i="2"/>
  <c r="AC78" i="2"/>
  <c r="X78" i="2"/>
  <c r="AH78" i="2" s="1"/>
  <c r="AI88" i="3"/>
  <c r="X88" i="3"/>
  <c r="AH88" i="3" s="1"/>
  <c r="AC88" i="3"/>
  <c r="AE77" i="2"/>
  <c r="AD77" i="2"/>
  <c r="Q91" i="3" l="1"/>
  <c r="R91" i="3" s="1"/>
  <c r="S90" i="3"/>
  <c r="T90" i="3" s="1"/>
  <c r="V90" i="3" s="1"/>
  <c r="AD88" i="3"/>
  <c r="AE88" i="3"/>
  <c r="AC79" i="2"/>
  <c r="AI79" i="2"/>
  <c r="X79" i="2"/>
  <c r="AH79" i="2" s="1"/>
  <c r="AD78" i="2"/>
  <c r="AE78" i="2"/>
  <c r="S80" i="2"/>
  <c r="T80" i="2" s="1"/>
  <c r="V80" i="2" s="1"/>
  <c r="Q81" i="2"/>
  <c r="R81" i="2" s="1"/>
  <c r="L434" i="1"/>
  <c r="M434" i="1" s="1"/>
  <c r="N433" i="1"/>
  <c r="O433" i="1" s="1"/>
  <c r="Q433" i="1" s="1"/>
  <c r="S433" i="1" s="1"/>
  <c r="AI89" i="3"/>
  <c r="AC89" i="3"/>
  <c r="X89" i="3"/>
  <c r="AH89" i="3" s="1"/>
  <c r="L448" i="1" l="1"/>
  <c r="M448" i="1" s="1"/>
  <c r="N434" i="1"/>
  <c r="O434" i="1" s="1"/>
  <c r="Q434" i="1" s="1"/>
  <c r="N436" i="1"/>
  <c r="O436" i="1" s="1"/>
  <c r="Q436" i="1" s="1"/>
  <c r="S436" i="1" s="1"/>
  <c r="T436" i="1" s="1"/>
  <c r="AI80" i="2"/>
  <c r="AC80" i="2"/>
  <c r="X80" i="2"/>
  <c r="AH80" i="2" s="1"/>
  <c r="S91" i="3"/>
  <c r="T91" i="3" s="1"/>
  <c r="V91" i="3" s="1"/>
  <c r="Q124" i="3"/>
  <c r="S124" i="3" s="1"/>
  <c r="T124" i="3" s="1"/>
  <c r="AE89" i="3"/>
  <c r="AD89" i="3"/>
  <c r="S81" i="2"/>
  <c r="T81" i="2" s="1"/>
  <c r="V81" i="2" s="1"/>
  <c r="Q114" i="2"/>
  <c r="S114" i="2" s="1"/>
  <c r="T114" i="2" s="1"/>
  <c r="AD79" i="2"/>
  <c r="AE79" i="2"/>
  <c r="AC90" i="3"/>
  <c r="AI90" i="3"/>
  <c r="X90" i="3"/>
  <c r="AH90" i="3" s="1"/>
  <c r="AI81" i="2" l="1"/>
  <c r="AC81" i="2"/>
  <c r="X81" i="2"/>
  <c r="AH81" i="2" s="1"/>
  <c r="X91" i="3"/>
  <c r="AH91" i="3" s="1"/>
  <c r="AI91" i="3"/>
  <c r="AC91" i="3"/>
  <c r="AE90" i="3"/>
  <c r="AD90" i="3"/>
  <c r="AE80" i="2"/>
  <c r="AD80" i="2"/>
  <c r="V114" i="2"/>
  <c r="AC114" i="2"/>
  <c r="S434" i="1"/>
  <c r="Q435" i="1"/>
  <c r="AC124" i="3"/>
  <c r="V124" i="3"/>
  <c r="L449" i="1"/>
  <c r="M449" i="1" s="1"/>
  <c r="N448" i="1"/>
  <c r="O448" i="1" s="1"/>
  <c r="Q448" i="1" s="1"/>
  <c r="S448" i="1" s="1"/>
  <c r="AE124" i="3" l="1"/>
  <c r="AD124" i="3"/>
  <c r="AI124" i="3"/>
  <c r="X124" i="3"/>
  <c r="L450" i="1"/>
  <c r="M450" i="1" s="1"/>
  <c r="N449" i="1"/>
  <c r="O449" i="1" s="1"/>
  <c r="Q449" i="1" s="1"/>
  <c r="S449" i="1" s="1"/>
  <c r="AI114" i="2"/>
  <c r="X114" i="2"/>
  <c r="AD81" i="2"/>
  <c r="AD82" i="2" s="1"/>
  <c r="AE81" i="2"/>
  <c r="AE114" i="2"/>
  <c r="AD114" i="2"/>
  <c r="AE91" i="3"/>
  <c r="AD91" i="3"/>
  <c r="AD92" i="3" s="1"/>
  <c r="AH114" i="2" l="1"/>
  <c r="W121" i="2"/>
  <c r="L451" i="1"/>
  <c r="M451" i="1" s="1"/>
  <c r="N450" i="1"/>
  <c r="O450" i="1" s="1"/>
  <c r="Q450" i="1" s="1"/>
  <c r="S450" i="1" s="1"/>
  <c r="AH124" i="3"/>
  <c r="W131" i="3"/>
  <c r="R131" i="3" l="1"/>
  <c r="AC131" i="3"/>
  <c r="N451" i="1"/>
  <c r="O451" i="1" s="1"/>
  <c r="Q451" i="1" s="1"/>
  <c r="S451" i="1" s="1"/>
  <c r="L452" i="1"/>
  <c r="M452" i="1" s="1"/>
  <c r="AC121" i="2"/>
  <c r="R121" i="2"/>
  <c r="AE121" i="2" l="1"/>
  <c r="AD121" i="2"/>
  <c r="N452" i="1"/>
  <c r="O452" i="1" s="1"/>
  <c r="Q452" i="1" s="1"/>
  <c r="S452" i="1" s="1"/>
  <c r="L453" i="1"/>
  <c r="M453" i="1" s="1"/>
  <c r="Q122" i="2"/>
  <c r="S121" i="2"/>
  <c r="T121" i="2" s="1"/>
  <c r="V121" i="2" s="1"/>
  <c r="AD131" i="3"/>
  <c r="AE131" i="3"/>
  <c r="S131" i="3"/>
  <c r="T131" i="3" s="1"/>
  <c r="V131" i="3" s="1"/>
  <c r="Q132" i="3"/>
  <c r="L454" i="1" l="1"/>
  <c r="M454" i="1" s="1"/>
  <c r="N453" i="1"/>
  <c r="O453" i="1" s="1"/>
  <c r="Q453" i="1" s="1"/>
  <c r="S453" i="1" s="1"/>
  <c r="AI132" i="3"/>
  <c r="X131" i="3"/>
  <c r="AI122" i="2"/>
  <c r="X121" i="2"/>
  <c r="W122" i="2" l="1"/>
  <c r="AH122" i="2"/>
  <c r="AH132" i="3"/>
  <c r="W132" i="3"/>
  <c r="N454" i="1"/>
  <c r="O454" i="1" s="1"/>
  <c r="Q454" i="1" s="1"/>
  <c r="S454" i="1" s="1"/>
  <c r="L455" i="1"/>
  <c r="M455" i="1" s="1"/>
  <c r="R132" i="3" l="1"/>
  <c r="L456" i="1"/>
  <c r="M456" i="1" s="1"/>
  <c r="N455" i="1"/>
  <c r="O455" i="1" s="1"/>
  <c r="Q455" i="1" s="1"/>
  <c r="S455" i="1" s="1"/>
  <c r="R122" i="2"/>
  <c r="S132" i="3" l="1"/>
  <c r="T132" i="3" s="1"/>
  <c r="Q133" i="3"/>
  <c r="R133" i="3" s="1"/>
  <c r="Q123" i="2"/>
  <c r="R123" i="2" s="1"/>
  <c r="S122" i="2"/>
  <c r="T122" i="2" s="1"/>
  <c r="L467" i="1"/>
  <c r="M467" i="1" s="1"/>
  <c r="N456" i="1"/>
  <c r="O456" i="1" s="1"/>
  <c r="Q456" i="1" s="1"/>
  <c r="S456" i="1" s="1"/>
  <c r="Q134" i="3" l="1"/>
  <c r="R134" i="3" s="1"/>
  <c r="S133" i="3"/>
  <c r="T133" i="3" s="1"/>
  <c r="N467" i="1"/>
  <c r="O467" i="1" s="1"/>
  <c r="Q467" i="1" s="1"/>
  <c r="S467" i="1" s="1"/>
  <c r="L468" i="1"/>
  <c r="M468" i="1" s="1"/>
  <c r="AC122" i="2"/>
  <c r="V122" i="2"/>
  <c r="Q124" i="2"/>
  <c r="R124" i="2" s="1"/>
  <c r="S123" i="2"/>
  <c r="T123" i="2" s="1"/>
  <c r="AC132" i="3"/>
  <c r="V132" i="3"/>
  <c r="S124" i="2" l="1"/>
  <c r="T124" i="2" s="1"/>
  <c r="Q125" i="2"/>
  <c r="R125" i="2" s="1"/>
  <c r="AD132" i="3"/>
  <c r="AE132" i="3"/>
  <c r="AE122" i="2"/>
  <c r="AD122" i="2"/>
  <c r="V133" i="3"/>
  <c r="AC133" i="3"/>
  <c r="AI133" i="3"/>
  <c r="X132" i="3"/>
  <c r="AH133" i="3" s="1"/>
  <c r="AC123" i="2"/>
  <c r="V123" i="2"/>
  <c r="AI123" i="2"/>
  <c r="X122" i="2"/>
  <c r="AH123" i="2" s="1"/>
  <c r="L469" i="1"/>
  <c r="M469" i="1" s="1"/>
  <c r="N468" i="1"/>
  <c r="O468" i="1" s="1"/>
  <c r="Q468" i="1" s="1"/>
  <c r="S468" i="1" s="1"/>
  <c r="S134" i="3"/>
  <c r="T134" i="3" s="1"/>
  <c r="Q135" i="3"/>
  <c r="R135" i="3" s="1"/>
  <c r="AD133" i="3" l="1"/>
  <c r="AE133" i="3"/>
  <c r="S135" i="3"/>
  <c r="T135" i="3" s="1"/>
  <c r="Q136" i="3"/>
  <c r="R136" i="3" s="1"/>
  <c r="L470" i="1"/>
  <c r="M470" i="1" s="1"/>
  <c r="N469" i="1"/>
  <c r="O469" i="1" s="1"/>
  <c r="Q469" i="1" s="1"/>
  <c r="S469" i="1" s="1"/>
  <c r="AI124" i="2"/>
  <c r="X123" i="2"/>
  <c r="AH124" i="2" s="1"/>
  <c r="V134" i="3"/>
  <c r="AC134" i="3"/>
  <c r="AE123" i="2"/>
  <c r="AD123" i="2"/>
  <c r="AI134" i="3"/>
  <c r="X133" i="3"/>
  <c r="AH134" i="3" s="1"/>
  <c r="Q126" i="2"/>
  <c r="R126" i="2" s="1"/>
  <c r="S125" i="2"/>
  <c r="T125" i="2" s="1"/>
  <c r="V124" i="2"/>
  <c r="AC124" i="2"/>
  <c r="AI135" i="3" l="1"/>
  <c r="X134" i="3"/>
  <c r="AH135" i="3" s="1"/>
  <c r="AE124" i="2"/>
  <c r="AD124" i="2"/>
  <c r="AI125" i="2"/>
  <c r="X124" i="2"/>
  <c r="AH125" i="2" s="1"/>
  <c r="S126" i="2"/>
  <c r="T126" i="2" s="1"/>
  <c r="Q127" i="2"/>
  <c r="R127" i="2" s="1"/>
  <c r="AE134" i="3"/>
  <c r="AD134" i="3"/>
  <c r="N470" i="1"/>
  <c r="O470" i="1" s="1"/>
  <c r="Q470" i="1" s="1"/>
  <c r="S470" i="1" s="1"/>
  <c r="L471" i="1"/>
  <c r="M471" i="1" s="1"/>
  <c r="AC135" i="3"/>
  <c r="V135" i="3"/>
  <c r="X135" i="3" s="1"/>
  <c r="AC125" i="2"/>
  <c r="V125" i="2"/>
  <c r="X125" i="2" s="1"/>
  <c r="Q137" i="3"/>
  <c r="R137" i="3" s="1"/>
  <c r="S136" i="3"/>
  <c r="T136" i="3" s="1"/>
  <c r="AC136" i="3" l="1"/>
  <c r="V136" i="3"/>
  <c r="S137" i="3"/>
  <c r="T137" i="3" s="1"/>
  <c r="Q138" i="3"/>
  <c r="R138" i="3" s="1"/>
  <c r="AE125" i="2"/>
  <c r="AD125" i="2"/>
  <c r="N471" i="1"/>
  <c r="O471" i="1" s="1"/>
  <c r="Q471" i="1" s="1"/>
  <c r="S471" i="1" s="1"/>
  <c r="L472" i="1"/>
  <c r="N472" i="1" s="1"/>
  <c r="O472" i="1" s="1"/>
  <c r="Q472" i="1" s="1"/>
  <c r="S472" i="1" s="1"/>
  <c r="R473" i="1" s="1"/>
  <c r="S473" i="1" s="1"/>
  <c r="R474" i="1" s="1"/>
  <c r="S127" i="2"/>
  <c r="T127" i="2" s="1"/>
  <c r="Q128" i="2"/>
  <c r="R128" i="2" s="1"/>
  <c r="AE135" i="3"/>
  <c r="AD135" i="3"/>
  <c r="AC126" i="2"/>
  <c r="V126" i="2"/>
  <c r="AE126" i="2" l="1"/>
  <c r="AD126" i="2"/>
  <c r="M474" i="1"/>
  <c r="AI136" i="3"/>
  <c r="X136" i="3"/>
  <c r="AH136" i="3" s="1"/>
  <c r="AI126" i="2"/>
  <c r="X126" i="2"/>
  <c r="AH126" i="2" s="1"/>
  <c r="Q130" i="2"/>
  <c r="S130" i="2" s="1"/>
  <c r="T130" i="2" s="1"/>
  <c r="S128" i="2"/>
  <c r="T128" i="2" s="1"/>
  <c r="AC127" i="2"/>
  <c r="V127" i="2"/>
  <c r="S138" i="3"/>
  <c r="T138" i="3" s="1"/>
  <c r="Q140" i="3"/>
  <c r="S140" i="3" s="1"/>
  <c r="T140" i="3" s="1"/>
  <c r="AC137" i="3"/>
  <c r="V137" i="3"/>
  <c r="AE136" i="3"/>
  <c r="AD136" i="3"/>
  <c r="V130" i="2" l="1"/>
  <c r="AC130" i="2"/>
  <c r="AD130" i="2" s="1"/>
  <c r="AI137" i="3"/>
  <c r="X137" i="3"/>
  <c r="AH137" i="3" s="1"/>
  <c r="AD137" i="3"/>
  <c r="AE137" i="3"/>
  <c r="AC138" i="3"/>
  <c r="AD138" i="3" s="1"/>
  <c r="AD129" i="3" s="1"/>
  <c r="V138" i="3"/>
  <c r="AE127" i="2"/>
  <c r="AD127" i="2"/>
  <c r="AC140" i="3"/>
  <c r="AD140" i="3" s="1"/>
  <c r="V140" i="3"/>
  <c r="X127" i="2"/>
  <c r="AH127" i="2" s="1"/>
  <c r="AI127" i="2"/>
  <c r="V128" i="2"/>
  <c r="AC128" i="2"/>
  <c r="AD128" i="2" s="1"/>
  <c r="AD119" i="2" s="1"/>
  <c r="N474" i="1"/>
  <c r="O474" i="1" s="1"/>
  <c r="Q474" i="1" s="1"/>
  <c r="S474" i="1" s="1"/>
  <c r="L488" i="1"/>
  <c r="M488" i="1" s="1"/>
  <c r="N488" i="1" l="1"/>
  <c r="O488" i="1" s="1"/>
  <c r="Q488" i="1" s="1"/>
  <c r="S488" i="1" s="1"/>
  <c r="L489" i="1"/>
  <c r="M489" i="1" s="1"/>
  <c r="AI128" i="2"/>
  <c r="X128" i="2"/>
  <c r="AH128" i="2" s="1"/>
  <c r="AI138" i="3"/>
  <c r="X138" i="3"/>
  <c r="AH138" i="3" s="1"/>
  <c r="AI140" i="3"/>
  <c r="X140" i="3"/>
  <c r="AI130" i="2"/>
  <c r="X130" i="2"/>
  <c r="W142" i="3" l="1"/>
  <c r="AH140" i="3"/>
  <c r="L490" i="1"/>
  <c r="M490" i="1" s="1"/>
  <c r="N489" i="1"/>
  <c r="O489" i="1" s="1"/>
  <c r="Q489" i="1" s="1"/>
  <c r="S489" i="1" s="1"/>
  <c r="AH130" i="2"/>
  <c r="W132" i="2"/>
  <c r="R132" i="2" l="1"/>
  <c r="N490" i="1"/>
  <c r="O490" i="1" s="1"/>
  <c r="Q490" i="1" s="1"/>
  <c r="S490" i="1" s="1"/>
  <c r="L491" i="1"/>
  <c r="M491" i="1" s="1"/>
  <c r="R142" i="3"/>
  <c r="S142" i="3" l="1"/>
  <c r="T142" i="3" s="1"/>
  <c r="Q143" i="3"/>
  <c r="R143" i="3" s="1"/>
  <c r="L513" i="1"/>
  <c r="M513" i="1" s="1"/>
  <c r="N491" i="1"/>
  <c r="O491" i="1" s="1"/>
  <c r="Q491" i="1" s="1"/>
  <c r="S491" i="1" s="1"/>
  <c r="Q133" i="2"/>
  <c r="R133" i="2" s="1"/>
  <c r="S132" i="2"/>
  <c r="T132" i="2" s="1"/>
  <c r="AC132" i="2" l="1"/>
  <c r="AD132" i="2" s="1"/>
  <c r="V132" i="2"/>
  <c r="Q144" i="3"/>
  <c r="S144" i="3" s="1"/>
  <c r="T144" i="3" s="1"/>
  <c r="S143" i="3"/>
  <c r="T143" i="3" s="1"/>
  <c r="S133" i="2"/>
  <c r="T133" i="2" s="1"/>
  <c r="Q134" i="2"/>
  <c r="S134" i="2" s="1"/>
  <c r="T134" i="2" s="1"/>
  <c r="N513" i="1"/>
  <c r="O513" i="1" s="1"/>
  <c r="Q513" i="1" s="1"/>
  <c r="S513" i="1" s="1"/>
  <c r="L514" i="1"/>
  <c r="M514" i="1" s="1"/>
  <c r="V142" i="3"/>
  <c r="AC142" i="3"/>
  <c r="AD142" i="3" s="1"/>
  <c r="AI142" i="3" l="1"/>
  <c r="X142" i="3"/>
  <c r="AH142" i="3" s="1"/>
  <c r="V143" i="3"/>
  <c r="AC143" i="3"/>
  <c r="AD143" i="3" s="1"/>
  <c r="L515" i="1"/>
  <c r="M515" i="1" s="1"/>
  <c r="N514" i="1"/>
  <c r="O514" i="1" s="1"/>
  <c r="Q514" i="1" s="1"/>
  <c r="S514" i="1" s="1"/>
  <c r="AC134" i="2"/>
  <c r="AD134" i="2" s="1"/>
  <c r="V134" i="2"/>
  <c r="AI132" i="2"/>
  <c r="X132" i="2"/>
  <c r="AH132" i="2" s="1"/>
  <c r="AC133" i="2"/>
  <c r="AD133" i="2" s="1"/>
  <c r="V133" i="2"/>
  <c r="AC144" i="3"/>
  <c r="AD144" i="3" s="1"/>
  <c r="V144" i="3"/>
  <c r="AI144" i="3" l="1"/>
  <c r="AA144" i="3" s="1"/>
  <c r="Z144" i="3" s="1"/>
  <c r="Z152" i="3" s="1"/>
  <c r="AA152" i="3" s="1"/>
  <c r="X144" i="3"/>
  <c r="AI133" i="2"/>
  <c r="X133" i="2"/>
  <c r="AH133" i="2" s="1"/>
  <c r="AI134" i="2"/>
  <c r="AA134" i="2" s="1"/>
  <c r="Z134" i="2" s="1"/>
  <c r="Z142" i="2" s="1"/>
  <c r="AA142" i="2" s="1"/>
  <c r="X134" i="2"/>
  <c r="L527" i="1"/>
  <c r="M527" i="1" s="1"/>
  <c r="N515" i="1"/>
  <c r="O515" i="1" s="1"/>
  <c r="Q515" i="1" s="1"/>
  <c r="S515" i="1" s="1"/>
  <c r="AI143" i="3"/>
  <c r="X143" i="3"/>
  <c r="AH143" i="3" s="1"/>
  <c r="AH144" i="3" l="1"/>
  <c r="W145" i="3"/>
  <c r="N527" i="1"/>
  <c r="O527" i="1" s="1"/>
  <c r="Q527" i="1" s="1"/>
  <c r="S527" i="1" s="1"/>
  <c r="L528" i="1"/>
  <c r="M528" i="1" s="1"/>
  <c r="W135" i="2"/>
  <c r="AH134" i="2"/>
  <c r="R145" i="3" l="1"/>
  <c r="Z145" i="3"/>
  <c r="Z146" i="3" s="1"/>
  <c r="Z147" i="3" s="1"/>
  <c r="Z148" i="3" s="1"/>
  <c r="Z149" i="3" s="1"/>
  <c r="Z150" i="3" s="1"/>
  <c r="Z151" i="3" s="1"/>
  <c r="Z135" i="2"/>
  <c r="Z136" i="2" s="1"/>
  <c r="Z137" i="2" s="1"/>
  <c r="Z138" i="2" s="1"/>
  <c r="Z139" i="2" s="1"/>
  <c r="Z140" i="2" s="1"/>
  <c r="Z141" i="2" s="1"/>
  <c r="R135" i="2"/>
  <c r="L529" i="1"/>
  <c r="N529" i="1" s="1"/>
  <c r="O529" i="1" s="1"/>
  <c r="Q529" i="1" s="1"/>
  <c r="S529" i="1" s="1"/>
  <c r="N528" i="1"/>
  <c r="O528" i="1" s="1"/>
  <c r="Q528" i="1" s="1"/>
  <c r="S528" i="1" s="1"/>
  <c r="Q146" i="3" l="1"/>
  <c r="R146" i="3" s="1"/>
  <c r="S145" i="3"/>
  <c r="T145" i="3" s="1"/>
  <c r="Q136" i="2"/>
  <c r="R136" i="2" s="1"/>
  <c r="S135" i="2"/>
  <c r="T135" i="2" s="1"/>
  <c r="AC135" i="2" l="1"/>
  <c r="AD135" i="2" s="1"/>
  <c r="V135" i="2"/>
  <c r="V145" i="3"/>
  <c r="AC145" i="3"/>
  <c r="AD145" i="3" s="1"/>
  <c r="Q137" i="2"/>
  <c r="R137" i="2" s="1"/>
  <c r="S136" i="2"/>
  <c r="T136" i="2" s="1"/>
  <c r="S146" i="3"/>
  <c r="T146" i="3" s="1"/>
  <c r="Q147" i="3"/>
  <c r="R147" i="3" s="1"/>
  <c r="AC146" i="3" l="1"/>
  <c r="AD146" i="3" s="1"/>
  <c r="V146" i="3"/>
  <c r="S137" i="2"/>
  <c r="T137" i="2" s="1"/>
  <c r="Q138" i="2"/>
  <c r="R138" i="2" s="1"/>
  <c r="AI135" i="2"/>
  <c r="X135" i="2"/>
  <c r="AH135" i="2" s="1"/>
  <c r="S147" i="3"/>
  <c r="T147" i="3" s="1"/>
  <c r="Q148" i="3"/>
  <c r="R148" i="3" s="1"/>
  <c r="AC136" i="2"/>
  <c r="AD136" i="2" s="1"/>
  <c r="V136" i="2"/>
  <c r="AI145" i="3"/>
  <c r="X145" i="3"/>
  <c r="AH145" i="3" s="1"/>
  <c r="AI136" i="2" l="1"/>
  <c r="X136" i="2"/>
  <c r="AH136" i="2" s="1"/>
  <c r="AC147" i="3"/>
  <c r="AD147" i="3" s="1"/>
  <c r="V147" i="3"/>
  <c r="AI146" i="3"/>
  <c r="X146" i="3"/>
  <c r="AH146" i="3" s="1"/>
  <c r="S148" i="3"/>
  <c r="T148" i="3" s="1"/>
  <c r="Q149" i="3"/>
  <c r="R149" i="3" s="1"/>
  <c r="S138" i="2"/>
  <c r="T138" i="2" s="1"/>
  <c r="Q139" i="2"/>
  <c r="R139" i="2" s="1"/>
  <c r="V137" i="2"/>
  <c r="AC137" i="2"/>
  <c r="AD137" i="2" s="1"/>
  <c r="AI137" i="2" l="1"/>
  <c r="X137" i="2"/>
  <c r="AH137" i="2" s="1"/>
  <c r="Q140" i="2"/>
  <c r="R140" i="2" s="1"/>
  <c r="S139" i="2"/>
  <c r="T139" i="2" s="1"/>
  <c r="AC138" i="2"/>
  <c r="AD138" i="2" s="1"/>
  <c r="V138" i="2"/>
  <c r="AI147" i="3"/>
  <c r="X147" i="3"/>
  <c r="AH147" i="3" s="1"/>
  <c r="S149" i="3"/>
  <c r="T149" i="3" s="1"/>
  <c r="Q150" i="3"/>
  <c r="R150" i="3" s="1"/>
  <c r="AC148" i="3"/>
  <c r="AD148" i="3" s="1"/>
  <c r="V148" i="3"/>
  <c r="S150" i="3" l="1"/>
  <c r="T150" i="3" s="1"/>
  <c r="Q151" i="3"/>
  <c r="R151" i="3" s="1"/>
  <c r="AI148" i="3"/>
  <c r="X148" i="3"/>
  <c r="AH148" i="3" s="1"/>
  <c r="AC149" i="3"/>
  <c r="AD149" i="3" s="1"/>
  <c r="V149" i="3"/>
  <c r="AI138" i="2"/>
  <c r="X138" i="2"/>
  <c r="AH138" i="2" s="1"/>
  <c r="AC139" i="2"/>
  <c r="AD139" i="2" s="1"/>
  <c r="V139" i="2"/>
  <c r="S140" i="2"/>
  <c r="T140" i="2" s="1"/>
  <c r="Q141" i="2"/>
  <c r="R141" i="2" s="1"/>
  <c r="AI139" i="2" l="1"/>
  <c r="X139" i="2"/>
  <c r="AH139" i="2" s="1"/>
  <c r="Q144" i="2"/>
  <c r="R144" i="2" s="1"/>
  <c r="S141" i="2"/>
  <c r="T141" i="2" s="1"/>
  <c r="V140" i="2"/>
  <c r="AC140" i="2"/>
  <c r="AD140" i="2" s="1"/>
  <c r="AI149" i="3"/>
  <c r="X149" i="3"/>
  <c r="AH149" i="3" s="1"/>
  <c r="Q154" i="3"/>
  <c r="R154" i="3" s="1"/>
  <c r="S151" i="3"/>
  <c r="T151" i="3" s="1"/>
  <c r="V150" i="3"/>
  <c r="AC150" i="3"/>
  <c r="AD150" i="3" s="1"/>
  <c r="AC151" i="3" l="1"/>
  <c r="AD151" i="3" s="1"/>
  <c r="V151" i="3"/>
  <c r="AI150" i="3"/>
  <c r="X150" i="3"/>
  <c r="AH150" i="3" s="1"/>
  <c r="Q155" i="3"/>
  <c r="R155" i="3" s="1"/>
  <c r="S154" i="3"/>
  <c r="T154" i="3" s="1"/>
  <c r="V154" i="3" s="1"/>
  <c r="X140" i="2"/>
  <c r="AH140" i="2" s="1"/>
  <c r="AI140" i="2"/>
  <c r="AC141" i="2"/>
  <c r="AD141" i="2" s="1"/>
  <c r="V141" i="2"/>
  <c r="S144" i="2"/>
  <c r="T144" i="2" s="1"/>
  <c r="V144" i="2" s="1"/>
  <c r="Q145" i="2"/>
  <c r="R145" i="2" s="1"/>
  <c r="S145" i="2" l="1"/>
  <c r="T145" i="2" s="1"/>
  <c r="V145" i="2" s="1"/>
  <c r="Q159" i="2"/>
  <c r="R159" i="2" s="1"/>
  <c r="AI144" i="2"/>
  <c r="X144" i="2"/>
  <c r="AH144" i="2" s="1"/>
  <c r="AI141" i="2"/>
  <c r="X141" i="2"/>
  <c r="AH141" i="2" s="1"/>
  <c r="X154" i="3"/>
  <c r="AH154" i="3" s="1"/>
  <c r="AI154" i="3"/>
  <c r="S155" i="3"/>
  <c r="T155" i="3" s="1"/>
  <c r="V155" i="3" s="1"/>
  <c r="Q169" i="3"/>
  <c r="R169" i="3" s="1"/>
  <c r="AI151" i="3"/>
  <c r="X151" i="3"/>
  <c r="AH151" i="3" s="1"/>
  <c r="Q170" i="3" l="1"/>
  <c r="R170" i="3" s="1"/>
  <c r="S169" i="3"/>
  <c r="T169" i="3" s="1"/>
  <c r="V169" i="3" s="1"/>
  <c r="X155" i="3"/>
  <c r="AH155" i="3" s="1"/>
  <c r="AI155" i="3"/>
  <c r="AH156" i="3" s="1"/>
  <c r="Q160" i="2"/>
  <c r="R160" i="2" s="1"/>
  <c r="S159" i="2"/>
  <c r="T159" i="2" s="1"/>
  <c r="V159" i="2" s="1"/>
  <c r="AI145" i="2"/>
  <c r="AH146" i="2" s="1"/>
  <c r="X145" i="2"/>
  <c r="AH145" i="2" s="1"/>
  <c r="S160" i="2" l="1"/>
  <c r="T160" i="2" s="1"/>
  <c r="V160" i="2" s="1"/>
  <c r="Q161" i="2"/>
  <c r="R161" i="2" s="1"/>
  <c r="AI159" i="2"/>
  <c r="AA159" i="2" s="1"/>
  <c r="X159" i="2"/>
  <c r="AH159" i="2" s="1"/>
  <c r="AK169" i="3"/>
  <c r="AC169" i="3" s="1"/>
  <c r="X169" i="3"/>
  <c r="AJ169" i="3" s="1"/>
  <c r="S170" i="3"/>
  <c r="T170" i="3" s="1"/>
  <c r="V170" i="3" s="1"/>
  <c r="Q171" i="3"/>
  <c r="R171" i="3" s="1"/>
  <c r="AK170" i="3" l="1"/>
  <c r="AC170" i="3" s="1"/>
  <c r="X170" i="3"/>
  <c r="AJ170" i="3" s="1"/>
  <c r="Q172" i="3"/>
  <c r="R172" i="3" s="1"/>
  <c r="S171" i="3"/>
  <c r="T171" i="3" s="1"/>
  <c r="V171" i="3" s="1"/>
  <c r="S161" i="2"/>
  <c r="T161" i="2" s="1"/>
  <c r="V161" i="2" s="1"/>
  <c r="Q162" i="2"/>
  <c r="R162" i="2" s="1"/>
  <c r="AI160" i="2"/>
  <c r="AA160" i="2" s="1"/>
  <c r="X160" i="2"/>
  <c r="AH160" i="2" s="1"/>
  <c r="S162" i="2" l="1"/>
  <c r="T162" i="2" s="1"/>
  <c r="V162" i="2" s="1"/>
  <c r="Q163" i="2"/>
  <c r="R163" i="2" s="1"/>
  <c r="AI161" i="2"/>
  <c r="AA161" i="2" s="1"/>
  <c r="X161" i="2"/>
  <c r="AH161" i="2" s="1"/>
  <c r="AK171" i="3"/>
  <c r="AC171" i="3" s="1"/>
  <c r="X171" i="3"/>
  <c r="AJ171" i="3" s="1"/>
  <c r="Q173" i="3"/>
  <c r="R173" i="3" s="1"/>
  <c r="S172" i="3"/>
  <c r="T172" i="3" s="1"/>
  <c r="V172" i="3" s="1"/>
  <c r="AK172" i="3" l="1"/>
  <c r="AC172" i="3" s="1"/>
  <c r="X172" i="3"/>
  <c r="AJ172" i="3" s="1"/>
  <c r="S173" i="3"/>
  <c r="T173" i="3" s="1"/>
  <c r="V173" i="3" s="1"/>
  <c r="Q174" i="3"/>
  <c r="R174" i="3" s="1"/>
  <c r="S163" i="2"/>
  <c r="T163" i="2" s="1"/>
  <c r="V163" i="2" s="1"/>
  <c r="Q164" i="2"/>
  <c r="R164" i="2" s="1"/>
  <c r="AI162" i="2"/>
  <c r="AA162" i="2" s="1"/>
  <c r="X162" i="2"/>
  <c r="AH162" i="2" s="1"/>
  <c r="AK173" i="3" l="1"/>
  <c r="AC173" i="3" s="1"/>
  <c r="X173" i="3"/>
  <c r="AJ173" i="3" s="1"/>
  <c r="Q165" i="2"/>
  <c r="R165" i="2" s="1"/>
  <c r="S164" i="2"/>
  <c r="T164" i="2" s="1"/>
  <c r="V164" i="2" s="1"/>
  <c r="AI163" i="2"/>
  <c r="AA163" i="2" s="1"/>
  <c r="X163" i="2"/>
  <c r="AH163" i="2" s="1"/>
  <c r="S174" i="3"/>
  <c r="T174" i="3" s="1"/>
  <c r="V174" i="3" s="1"/>
  <c r="Q175" i="3"/>
  <c r="R175" i="3" s="1"/>
  <c r="AK174" i="3" l="1"/>
  <c r="AC174" i="3" s="1"/>
  <c r="X174" i="3"/>
  <c r="AJ174" i="3" s="1"/>
  <c r="Q166" i="2"/>
  <c r="R166" i="2" s="1"/>
  <c r="S165" i="2"/>
  <c r="T165" i="2" s="1"/>
  <c r="V165" i="2" s="1"/>
  <c r="Q176" i="3"/>
  <c r="R176" i="3" s="1"/>
  <c r="S175" i="3"/>
  <c r="T175" i="3" s="1"/>
  <c r="V175" i="3" s="1"/>
  <c r="AI164" i="2"/>
  <c r="AA164" i="2" s="1"/>
  <c r="X164" i="2"/>
  <c r="AH164" i="2" s="1"/>
  <c r="AI165" i="2" l="1"/>
  <c r="AA165" i="2" s="1"/>
  <c r="X165" i="2"/>
  <c r="AH165" i="2" s="1"/>
  <c r="AK175" i="3"/>
  <c r="AC175" i="3" s="1"/>
  <c r="X175" i="3"/>
  <c r="AJ175" i="3" s="1"/>
  <c r="Q177" i="3"/>
  <c r="R177" i="3" s="1"/>
  <c r="S176" i="3"/>
  <c r="T176" i="3" s="1"/>
  <c r="V176" i="3" s="1"/>
  <c r="S166" i="2"/>
  <c r="T166" i="2" s="1"/>
  <c r="V166" i="2" s="1"/>
  <c r="Q167" i="2"/>
  <c r="R167" i="2" s="1"/>
  <c r="Q168" i="2" l="1"/>
  <c r="R168" i="2" s="1"/>
  <c r="S167" i="2"/>
  <c r="T167" i="2" s="1"/>
  <c r="V167" i="2" s="1"/>
  <c r="AI166" i="2"/>
  <c r="AA166" i="2" s="1"/>
  <c r="X166" i="2"/>
  <c r="AH166" i="2" s="1"/>
  <c r="AK176" i="3"/>
  <c r="AC176" i="3" s="1"/>
  <c r="X176" i="3"/>
  <c r="AJ176" i="3" s="1"/>
  <c r="Q178" i="3"/>
  <c r="R178" i="3" s="1"/>
  <c r="S177" i="3"/>
  <c r="T177" i="3" s="1"/>
  <c r="V177" i="3" s="1"/>
  <c r="AI167" i="2" l="1"/>
  <c r="AA167" i="2" s="1"/>
  <c r="X167" i="2"/>
  <c r="AH167" i="2" s="1"/>
  <c r="AK177" i="3"/>
  <c r="AC177" i="3" s="1"/>
  <c r="X177" i="3"/>
  <c r="AJ177" i="3" s="1"/>
  <c r="Q179" i="3"/>
  <c r="R179" i="3" s="1"/>
  <c r="S178" i="3"/>
  <c r="T178" i="3" s="1"/>
  <c r="V178" i="3" s="1"/>
  <c r="Q169" i="2"/>
  <c r="R169" i="2" s="1"/>
  <c r="S168" i="2"/>
  <c r="T168" i="2" s="1"/>
  <c r="V168" i="2" s="1"/>
  <c r="AI168" i="2" l="1"/>
  <c r="AA168" i="2" s="1"/>
  <c r="X168" i="2"/>
  <c r="AH168" i="2" s="1"/>
  <c r="Q170" i="2"/>
  <c r="R170" i="2" s="1"/>
  <c r="S169" i="2"/>
  <c r="T169" i="2" s="1"/>
  <c r="V169" i="2" s="1"/>
  <c r="AK178" i="3"/>
  <c r="AC178" i="3" s="1"/>
  <c r="X178" i="3"/>
  <c r="AJ178" i="3" s="1"/>
  <c r="S179" i="3"/>
  <c r="T179" i="3" s="1"/>
  <c r="V179" i="3" s="1"/>
  <c r="Q180" i="3"/>
  <c r="R180" i="3" s="1"/>
  <c r="AI169" i="2" l="1"/>
  <c r="AA169" i="2" s="1"/>
  <c r="X169" i="2"/>
  <c r="AH169" i="2" s="1"/>
  <c r="S180" i="3"/>
  <c r="T180" i="3" s="1"/>
  <c r="V180" i="3" s="1"/>
  <c r="Q181" i="3"/>
  <c r="R181" i="3" s="1"/>
  <c r="AK179" i="3"/>
  <c r="AC179" i="3" s="1"/>
  <c r="X179" i="3"/>
  <c r="AJ179" i="3" s="1"/>
  <c r="S170" i="2"/>
  <c r="T170" i="2" s="1"/>
  <c r="V170" i="2" s="1"/>
  <c r="Q171" i="2"/>
  <c r="R171" i="2" s="1"/>
  <c r="Q172" i="2" l="1"/>
  <c r="R172" i="2" s="1"/>
  <c r="S171" i="2"/>
  <c r="T171" i="2" s="1"/>
  <c r="V171" i="2" s="1"/>
  <c r="AK180" i="3"/>
  <c r="AC180" i="3" s="1"/>
  <c r="X180" i="3"/>
  <c r="AJ180" i="3" s="1"/>
  <c r="AI170" i="2"/>
  <c r="AA170" i="2" s="1"/>
  <c r="X170" i="2"/>
  <c r="AH170" i="2" s="1"/>
  <c r="Q182" i="3"/>
  <c r="R182" i="3" s="1"/>
  <c r="S181" i="3"/>
  <c r="T181" i="3" s="1"/>
  <c r="V181" i="3" s="1"/>
  <c r="AK181" i="3" l="1"/>
  <c r="AC181" i="3" s="1"/>
  <c r="X181" i="3"/>
  <c r="AJ181" i="3" s="1"/>
  <c r="AI171" i="2"/>
  <c r="AA171" i="2" s="1"/>
  <c r="X171" i="2"/>
  <c r="AH171" i="2" s="1"/>
  <c r="S182" i="3"/>
  <c r="T182" i="3" s="1"/>
  <c r="V182" i="3" s="1"/>
  <c r="Q183" i="3"/>
  <c r="R183" i="3" s="1"/>
  <c r="S172" i="2"/>
  <c r="T172" i="2" s="1"/>
  <c r="V172" i="2" s="1"/>
  <c r="Q173" i="2"/>
  <c r="R173" i="2" s="1"/>
  <c r="AK182" i="3" l="1"/>
  <c r="AC182" i="3" s="1"/>
  <c r="X182" i="3"/>
  <c r="AJ182" i="3" s="1"/>
  <c r="AI172" i="2"/>
  <c r="AA172" i="2" s="1"/>
  <c r="X172" i="2"/>
  <c r="AH172" i="2" s="1"/>
  <c r="Q184" i="3"/>
  <c r="R184" i="3" s="1"/>
  <c r="S183" i="3"/>
  <c r="T183" i="3" s="1"/>
  <c r="V183" i="3" s="1"/>
  <c r="Q174" i="2"/>
  <c r="R174" i="2" s="1"/>
  <c r="S173" i="2"/>
  <c r="T173" i="2" s="1"/>
  <c r="V173" i="2" s="1"/>
  <c r="AI173" i="2" l="1"/>
  <c r="AA173" i="2" s="1"/>
  <c r="X173" i="2"/>
  <c r="AH173" i="2" s="1"/>
  <c r="AK183" i="3"/>
  <c r="AC183" i="3" s="1"/>
  <c r="X183" i="3"/>
  <c r="AJ183" i="3" s="1"/>
  <c r="Q175" i="2"/>
  <c r="R175" i="2" s="1"/>
  <c r="S174" i="2"/>
  <c r="T174" i="2" s="1"/>
  <c r="V174" i="2" s="1"/>
  <c r="Q185" i="3"/>
  <c r="R185" i="3" s="1"/>
  <c r="S184" i="3"/>
  <c r="T184" i="3" s="1"/>
  <c r="V184" i="3" s="1"/>
  <c r="AK184" i="3" l="1"/>
  <c r="AC184" i="3" s="1"/>
  <c r="X184" i="3"/>
  <c r="AJ184" i="3" s="1"/>
  <c r="Q186" i="3"/>
  <c r="R186" i="3" s="1"/>
  <c r="S185" i="3"/>
  <c r="T185" i="3" s="1"/>
  <c r="V185" i="3" s="1"/>
  <c r="X174" i="2"/>
  <c r="AH174" i="2" s="1"/>
  <c r="AI174" i="2"/>
  <c r="AA174" i="2" s="1"/>
  <c r="Q176" i="2"/>
  <c r="R176" i="2" s="1"/>
  <c r="S175" i="2"/>
  <c r="T175" i="2" s="1"/>
  <c r="V175" i="2" s="1"/>
  <c r="AI175" i="2" l="1"/>
  <c r="AA175" i="2" s="1"/>
  <c r="X175" i="2"/>
  <c r="AH175" i="2" s="1"/>
  <c r="S176" i="2"/>
  <c r="T176" i="2" s="1"/>
  <c r="V176" i="2" s="1"/>
  <c r="Q187" i="2"/>
  <c r="R187" i="2" s="1"/>
  <c r="AK185" i="3"/>
  <c r="AC185" i="3" s="1"/>
  <c r="X185" i="3"/>
  <c r="AJ185" i="3" s="1"/>
  <c r="Q197" i="3"/>
  <c r="R197" i="3" s="1"/>
  <c r="S186" i="3"/>
  <c r="T186" i="3" s="1"/>
  <c r="V186" i="3" s="1"/>
  <c r="X176" i="2" l="1"/>
  <c r="AH176" i="2" s="1"/>
  <c r="AI176" i="2"/>
  <c r="AA176" i="2" s="1"/>
  <c r="AK186" i="3"/>
  <c r="AC186" i="3" s="1"/>
  <c r="X186" i="3"/>
  <c r="AJ186" i="3" s="1"/>
  <c r="Q188" i="2"/>
  <c r="R188" i="2" s="1"/>
  <c r="S187" i="2"/>
  <c r="T187" i="2" s="1"/>
  <c r="V187" i="2" s="1"/>
  <c r="S197" i="3"/>
  <c r="T197" i="3" s="1"/>
  <c r="V197" i="3" s="1"/>
  <c r="Q198" i="3"/>
  <c r="R198" i="3" s="1"/>
  <c r="S198" i="3" l="1"/>
  <c r="T198" i="3" s="1"/>
  <c r="V198" i="3" s="1"/>
  <c r="Q213" i="3"/>
  <c r="R213" i="3" s="1"/>
  <c r="AK197" i="3"/>
  <c r="AC197" i="3" s="1"/>
  <c r="X197" i="3"/>
  <c r="AJ197" i="3" s="1"/>
  <c r="S188" i="2"/>
  <c r="T188" i="2" s="1"/>
  <c r="V188" i="2" s="1"/>
  <c r="Q203" i="2"/>
  <c r="R203" i="2" s="1"/>
  <c r="AI187" i="2"/>
  <c r="AA187" i="2" s="1"/>
  <c r="X187" i="2"/>
  <c r="AH187" i="2" s="1"/>
  <c r="Q205" i="2" l="1"/>
  <c r="R205" i="2" s="1"/>
  <c r="S203" i="2"/>
  <c r="T203" i="2" s="1"/>
  <c r="V203" i="2" s="1"/>
  <c r="AI188" i="2"/>
  <c r="AA188" i="2" s="1"/>
  <c r="X188" i="2"/>
  <c r="AH188" i="2" s="1"/>
  <c r="Q215" i="3"/>
  <c r="R215" i="3" s="1"/>
  <c r="S213" i="3"/>
  <c r="T213" i="3" s="1"/>
  <c r="V213" i="3" s="1"/>
  <c r="AK198" i="3"/>
  <c r="AC198" i="3" s="1"/>
  <c r="X198" i="3"/>
  <c r="AJ198" i="3" s="1"/>
  <c r="AK213" i="3" l="1"/>
  <c r="AC213" i="3" s="1"/>
  <c r="AC214" i="3" s="1"/>
  <c r="X213" i="3"/>
  <c r="AJ213" i="3" s="1"/>
  <c r="Q216" i="3"/>
  <c r="R216" i="3" s="1"/>
  <c r="S215" i="3"/>
  <c r="T215" i="3" s="1"/>
  <c r="V215" i="3" s="1"/>
  <c r="AI203" i="2"/>
  <c r="AA203" i="2" s="1"/>
  <c r="AA204" i="2" s="1"/>
  <c r="X203" i="2"/>
  <c r="AH203" i="2" s="1"/>
  <c r="S205" i="2"/>
  <c r="T205" i="2" s="1"/>
  <c r="V205" i="2" s="1"/>
  <c r="Q206" i="2"/>
  <c r="R206" i="2" s="1"/>
  <c r="S206" i="2" l="1"/>
  <c r="T206" i="2" s="1"/>
  <c r="V206" i="2" s="1"/>
  <c r="Q210" i="2"/>
  <c r="R210" i="2" s="1"/>
  <c r="S210" i="2" s="1"/>
  <c r="T210" i="2" s="1"/>
  <c r="V210" i="2" s="1"/>
  <c r="AI205" i="2"/>
  <c r="X205" i="2"/>
  <c r="AH205" i="2" s="1"/>
  <c r="AA205" i="2"/>
  <c r="AK215" i="3"/>
  <c r="X215" i="3"/>
  <c r="AJ215" i="3" s="1"/>
  <c r="Q220" i="3"/>
  <c r="R220" i="3" s="1"/>
  <c r="S216" i="3"/>
  <c r="T216" i="3" s="1"/>
  <c r="V216" i="3" s="1"/>
  <c r="AC215" i="3"/>
  <c r="Q229" i="3" l="1"/>
  <c r="R229" i="3" s="1"/>
  <c r="S220" i="3"/>
  <c r="T220" i="3" s="1"/>
  <c r="V220" i="3" s="1"/>
  <c r="AK216" i="3"/>
  <c r="AC216" i="3" s="1"/>
  <c r="AC220" i="3" s="1"/>
  <c r="X216" i="3"/>
  <c r="AJ216" i="3" s="1"/>
  <c r="X210" i="2"/>
  <c r="AH210" i="2" s="1"/>
  <c r="AI210" i="2"/>
  <c r="AA210" i="2" s="1"/>
  <c r="AI206" i="2"/>
  <c r="AA206" i="2" s="1"/>
  <c r="X206" i="2"/>
  <c r="AH206" i="2" s="1"/>
  <c r="AK220" i="3" l="1"/>
  <c r="X220" i="3"/>
  <c r="AJ220" i="3" s="1"/>
  <c r="Q230" i="3"/>
  <c r="R230" i="3" s="1"/>
  <c r="S229" i="3"/>
  <c r="T229" i="3" s="1"/>
  <c r="V229" i="3" s="1"/>
  <c r="Q231" i="3" l="1"/>
  <c r="R231" i="3" s="1"/>
  <c r="S230" i="3"/>
  <c r="T230" i="3" s="1"/>
  <c r="V230" i="3" s="1"/>
  <c r="AK229" i="3"/>
  <c r="AC229" i="3" s="1"/>
  <c r="X229" i="3"/>
  <c r="AJ229" i="3" s="1"/>
  <c r="Q232" i="3" l="1"/>
  <c r="R232" i="3" s="1"/>
  <c r="S231" i="3"/>
  <c r="T231" i="3" s="1"/>
  <c r="V231" i="3" s="1"/>
  <c r="AK230" i="3"/>
  <c r="AC230" i="3" s="1"/>
  <c r="X230" i="3"/>
  <c r="AJ230" i="3" s="1"/>
  <c r="AK231" i="3" l="1"/>
  <c r="AC231" i="3" s="1"/>
  <c r="X231" i="3"/>
  <c r="AJ231" i="3" s="1"/>
  <c r="Q233" i="3"/>
  <c r="R233" i="3" s="1"/>
  <c r="S232" i="3"/>
  <c r="T232" i="3" s="1"/>
  <c r="V232" i="3" s="1"/>
  <c r="AK232" i="3" l="1"/>
  <c r="AC232" i="3" s="1"/>
  <c r="X232" i="3"/>
  <c r="AJ232" i="3" s="1"/>
  <c r="S233" i="3"/>
  <c r="T233" i="3" s="1"/>
  <c r="V233" i="3" s="1"/>
  <c r="Q234" i="3"/>
  <c r="R234" i="3" s="1"/>
  <c r="Q235" i="3" l="1"/>
  <c r="R235" i="3" s="1"/>
  <c r="S234" i="3"/>
  <c r="T234" i="3" s="1"/>
  <c r="V234" i="3" s="1"/>
  <c r="AK233" i="3"/>
  <c r="AC233" i="3" s="1"/>
  <c r="X233" i="3"/>
  <c r="AJ233" i="3" s="1"/>
  <c r="AK234" i="3" l="1"/>
  <c r="AC234" i="3" s="1"/>
  <c r="X234" i="3"/>
  <c r="AJ234" i="3" s="1"/>
  <c r="Q236" i="3"/>
  <c r="R236" i="3" s="1"/>
  <c r="S235" i="3"/>
  <c r="T235" i="3" s="1"/>
  <c r="V235" i="3" s="1"/>
  <c r="AK235" i="3" l="1"/>
  <c r="AC235" i="3" s="1"/>
  <c r="X235" i="3"/>
  <c r="AJ235" i="3" s="1"/>
  <c r="S236" i="3"/>
  <c r="T236" i="3" s="1"/>
  <c r="V236" i="3" s="1"/>
  <c r="Q237" i="3"/>
  <c r="R237" i="3" s="1"/>
  <c r="Q238" i="3" l="1"/>
  <c r="R238" i="3" s="1"/>
  <c r="S237" i="3"/>
  <c r="T237" i="3" s="1"/>
  <c r="V237" i="3" s="1"/>
  <c r="X237" i="3" s="1"/>
  <c r="AK236" i="3"/>
  <c r="AC236" i="3" s="1"/>
  <c r="AC237" i="3" s="1"/>
  <c r="AC238" i="3" s="1"/>
  <c r="AC239" i="3" s="1"/>
  <c r="AC240" i="3" s="1"/>
  <c r="X236" i="3"/>
  <c r="AJ236" i="3" s="1"/>
  <c r="S238" i="3" l="1"/>
  <c r="T238" i="3" s="1"/>
  <c r="V238" i="3" s="1"/>
  <c r="X238" i="3" s="1"/>
  <c r="Q239" i="3"/>
  <c r="R239" i="3" s="1"/>
  <c r="S239" i="3" l="1"/>
  <c r="T239" i="3" s="1"/>
  <c r="V239" i="3" s="1"/>
  <c r="X239" i="3" s="1"/>
  <c r="Q240" i="3"/>
  <c r="R240" i="3" s="1"/>
  <c r="Q287" i="3" s="1"/>
  <c r="Y22" i="3"/>
  <c r="V22" i="3" s="1"/>
  <c r="R287" i="3" l="1"/>
  <c r="Q295" i="3" s="1"/>
  <c r="R295" i="3" s="1"/>
  <c r="Q297" i="3" s="1"/>
  <c r="S240" i="3"/>
  <c r="T240" i="3" s="1"/>
  <c r="V240" i="3" s="1"/>
  <c r="X240" i="3" s="1"/>
  <c r="AF22" i="3"/>
  <c r="S295" i="3" l="1"/>
  <c r="T295" i="3" s="1"/>
  <c r="V295" i="3" s="1"/>
  <c r="AK295" i="3" s="1"/>
  <c r="S287" i="3"/>
  <c r="T287" i="3" s="1"/>
  <c r="V287" i="3" s="1"/>
  <c r="X295" i="3" l="1"/>
  <c r="AJ295" i="3" s="1"/>
  <c r="AK287" i="3"/>
  <c r="AC287" i="3" s="1"/>
  <c r="AC295" i="3" s="1"/>
  <c r="X287" i="3"/>
  <c r="AJ287" i="3" s="1"/>
  <c r="S297" i="3" l="1"/>
  <c r="T297" i="3" s="1"/>
  <c r="V297" i="3" s="1"/>
  <c r="V276" i="3"/>
  <c r="X276" i="3" s="1"/>
  <c r="S276" i="3"/>
  <c r="AK297" i="3" l="1"/>
  <c r="AC297" i="3" s="1"/>
  <c r="X297" i="3"/>
  <c r="AK276" i="3"/>
  <c r="AD276" i="3" s="1"/>
  <c r="AJ276" i="3"/>
  <c r="W277" i="3"/>
  <c r="AJ297" i="3" l="1"/>
  <c r="W298" i="3"/>
  <c r="R277" i="3"/>
  <c r="R298" i="3" l="1"/>
  <c r="S277" i="3"/>
  <c r="T277" i="3" s="1"/>
  <c r="V277" i="3" s="1"/>
  <c r="Q278" i="3"/>
  <c r="R278" i="3" s="1"/>
  <c r="S298" i="3" l="1"/>
  <c r="T298" i="3" s="1"/>
  <c r="V298" i="3" s="1"/>
  <c r="AK298" i="3" s="1"/>
  <c r="AC298" i="3" s="1"/>
  <c r="AC300" i="3" s="1"/>
  <c r="Q323" i="3"/>
  <c r="R323" i="3" s="1"/>
  <c r="S278" i="3"/>
  <c r="T278" i="3" s="1"/>
  <c r="V278" i="3" s="1"/>
  <c r="Q279" i="3"/>
  <c r="R279" i="3" s="1"/>
  <c r="AK277" i="3"/>
  <c r="AD277" i="3" s="1"/>
  <c r="X277" i="3"/>
  <c r="AJ277" i="3" s="1"/>
  <c r="X298" i="3" l="1"/>
  <c r="AJ298" i="3" s="1"/>
  <c r="S323" i="3"/>
  <c r="T323" i="3" s="1"/>
  <c r="V323" i="3" s="1"/>
  <c r="Q324" i="3"/>
  <c r="X278" i="3"/>
  <c r="AJ278" i="3" s="1"/>
  <c r="AK278" i="3"/>
  <c r="AD278" i="3" s="1"/>
  <c r="S279" i="3"/>
  <c r="T279" i="3" s="1"/>
  <c r="V279" i="3" s="1"/>
  <c r="Q280" i="3"/>
  <c r="R280" i="3" s="1"/>
  <c r="AK323" i="3" l="1"/>
  <c r="AC323" i="3" s="1"/>
  <c r="X323" i="3"/>
  <c r="S280" i="3"/>
  <c r="T280" i="3" s="1"/>
  <c r="V280" i="3" s="1"/>
  <c r="Q285" i="3"/>
  <c r="X279" i="3"/>
  <c r="AJ279" i="3" s="1"/>
  <c r="AK279" i="3"/>
  <c r="AD279" i="3" s="1"/>
  <c r="R324" i="3" l="1"/>
  <c r="AJ323" i="3"/>
  <c r="R285" i="3"/>
  <c r="S373" i="3" s="1"/>
  <c r="T373" i="3" s="1"/>
  <c r="V373" i="3" s="1"/>
  <c r="X280" i="3"/>
  <c r="AJ280" i="3" s="1"/>
  <c r="AK280" i="3"/>
  <c r="AD280" i="3" s="1"/>
  <c r="AK373" i="3" l="1"/>
  <c r="AC373" i="3" s="1"/>
  <c r="AC374" i="3" s="1"/>
  <c r="AC375" i="3" s="1"/>
  <c r="X373" i="3"/>
  <c r="AJ373" i="3" s="1"/>
  <c r="S285" i="3"/>
  <c r="T285" i="3" s="1"/>
  <c r="V285" i="3" s="1"/>
  <c r="AK285" i="3" s="1"/>
  <c r="AD285" i="3" s="1"/>
  <c r="S324" i="3"/>
  <c r="T324" i="3" s="1"/>
  <c r="V324" i="3" s="1"/>
  <c r="Q325" i="3"/>
  <c r="R290" i="3"/>
  <c r="Q291" i="3" s="1"/>
  <c r="R291" i="3" s="1"/>
  <c r="X285" i="3" l="1"/>
  <c r="AJ285" i="3" s="1"/>
  <c r="X324" i="3"/>
  <c r="AK324" i="3"/>
  <c r="AC324" i="3" s="1"/>
  <c r="S291" i="3"/>
  <c r="T291" i="3" s="1"/>
  <c r="V291" i="3" s="1"/>
  <c r="Q292" i="3"/>
  <c r="R292" i="3" s="1"/>
  <c r="Q296" i="3" s="1"/>
  <c r="R296" i="3" s="1"/>
  <c r="S290" i="3"/>
  <c r="T290" i="3" s="1"/>
  <c r="V290" i="3" s="1"/>
  <c r="AJ324" i="3" l="1"/>
  <c r="X291" i="3"/>
  <c r="AJ291" i="3" s="1"/>
  <c r="AK291" i="3"/>
  <c r="X290" i="3"/>
  <c r="AJ290" i="3" s="1"/>
  <c r="AK290" i="3"/>
  <c r="AD290" i="3" s="1"/>
  <c r="AD291" i="3" s="1"/>
  <c r="S292" i="3"/>
  <c r="T292" i="3" s="1"/>
  <c r="V292" i="3" s="1"/>
  <c r="S296" i="3"/>
  <c r="T296" i="3" s="1"/>
  <c r="V296" i="3" s="1"/>
  <c r="R325" i="3" l="1"/>
  <c r="AK292" i="3"/>
  <c r="AD292" i="3" s="1"/>
  <c r="X292" i="3"/>
  <c r="AJ292" i="3" s="1"/>
  <c r="AK296" i="3"/>
  <c r="X296" i="3"/>
  <c r="AJ296" i="3" s="1"/>
  <c r="S325" i="3" l="1"/>
  <c r="T325" i="3" s="1"/>
  <c r="V325" i="3" s="1"/>
  <c r="Q326" i="3"/>
  <c r="AD296" i="3"/>
  <c r="AD300" i="3" s="1"/>
  <c r="AK325" i="3" l="1"/>
  <c r="AC325" i="3" s="1"/>
  <c r="X325" i="3"/>
  <c r="AJ325" i="3" l="1"/>
  <c r="S326" i="3" l="1"/>
  <c r="T326" i="3" s="1"/>
  <c r="V326" i="3" s="1"/>
  <c r="AK326" i="3" l="1"/>
  <c r="AC326" i="3" s="1"/>
  <c r="X326" i="3"/>
  <c r="R327" i="3" l="1"/>
  <c r="Q328" i="3" s="1"/>
  <c r="AJ326" i="3"/>
  <c r="R328" i="3" l="1"/>
  <c r="S327" i="3"/>
  <c r="T327" i="3" s="1"/>
  <c r="V327" i="3" s="1"/>
  <c r="S328" i="3" l="1"/>
  <c r="Q329" i="3"/>
  <c r="T328" i="3" l="1"/>
  <c r="V328" i="3" s="1"/>
  <c r="X328" i="3" l="1"/>
  <c r="AJ328" i="3" s="1"/>
  <c r="AK328" i="3"/>
  <c r="AC328" i="3" s="1"/>
  <c r="R329" i="3" l="1"/>
  <c r="S329" i="3" s="1"/>
  <c r="Q330" i="3" l="1"/>
  <c r="T329" i="3"/>
  <c r="V329" i="3" s="1"/>
  <c r="AK329" i="3" l="1"/>
  <c r="AC329" i="3" s="1"/>
  <c r="X329" i="3"/>
  <c r="AJ329" i="3" s="1"/>
  <c r="S330" i="3" l="1"/>
  <c r="T330" i="3" s="1"/>
  <c r="V330" i="3" s="1"/>
  <c r="AK330" i="3" l="1"/>
  <c r="AC330" i="3" s="1"/>
  <c r="X330" i="3"/>
  <c r="AJ330" i="3" l="1"/>
  <c r="W341" i="3"/>
  <c r="R341" i="3" l="1"/>
  <c r="S341" i="3" l="1"/>
  <c r="V341" i="3" s="1"/>
  <c r="Q342" i="3"/>
  <c r="R342" i="3" s="1"/>
  <c r="Q343" i="3" s="1"/>
  <c r="S343" i="3" s="1"/>
  <c r="T343" i="3" s="1"/>
  <c r="V343" i="3" s="1"/>
  <c r="AB343" i="3" s="1"/>
  <c r="X341" i="3" l="1"/>
  <c r="AJ341" i="3" s="1"/>
  <c r="AK341" i="3"/>
  <c r="AK343" i="3"/>
  <c r="X343" i="3"/>
  <c r="S342" i="3"/>
  <c r="AJ343" i="3" l="1"/>
  <c r="W356" i="3"/>
  <c r="T342" i="3"/>
  <c r="V342" i="3" s="1"/>
  <c r="X342" i="3" s="1"/>
  <c r="AK342" i="3" l="1"/>
  <c r="AC343" i="3" s="1"/>
  <c r="AC356" i="3" s="1"/>
  <c r="S356" i="3"/>
  <c r="T356" i="3" s="1"/>
  <c r="V356" i="3" s="1"/>
  <c r="X356" i="3" l="1"/>
  <c r="AJ342" i="3"/>
  <c r="W361" i="3" l="1"/>
  <c r="AJ356" i="3"/>
  <c r="R361" i="3"/>
  <c r="S361" i="3" l="1"/>
  <c r="T361" i="3" s="1"/>
  <c r="Q362" i="3"/>
  <c r="V361" i="3"/>
  <c r="AB361" i="3" l="1"/>
  <c r="AK361" i="3"/>
  <c r="AC361" i="3" s="1"/>
  <c r="X361" i="3"/>
  <c r="AJ361" i="3" s="1"/>
  <c r="R362" i="3" l="1"/>
  <c r="S362" i="3" l="1"/>
  <c r="T362" i="3" s="1"/>
  <c r="V362" i="3" s="1"/>
  <c r="AK362" i="3" s="1"/>
  <c r="AC362" i="3" s="1"/>
  <c r="Q363" i="3"/>
  <c r="X362" i="3"/>
  <c r="AJ362" i="3" s="1"/>
  <c r="R363" i="3"/>
  <c r="Q364" i="3" s="1"/>
  <c r="S363" i="3" l="1"/>
  <c r="T363" i="3" l="1"/>
  <c r="V363" i="3" s="1"/>
  <c r="AK363" i="3" s="1"/>
  <c r="AC363" i="3" s="1"/>
  <c r="X363" i="3" l="1"/>
  <c r="AJ363" i="3" s="1"/>
  <c r="R364" i="3" l="1"/>
  <c r="Q365" i="3" s="1"/>
  <c r="S364" i="3" l="1"/>
  <c r="T364" i="3" l="1"/>
  <c r="V364" i="3" s="1"/>
  <c r="AK364" i="3" s="1"/>
  <c r="AC364" i="3" s="1"/>
  <c r="X364" i="3" l="1"/>
  <c r="AJ364" i="3" s="1"/>
  <c r="R365" i="3" l="1"/>
  <c r="Q376" i="3" s="1"/>
  <c r="R376" i="3" s="1"/>
  <c r="Q377" i="3" l="1"/>
  <c r="R377" i="3" s="1"/>
  <c r="S376" i="3"/>
  <c r="T376" i="3" s="1"/>
  <c r="V376" i="3" s="1"/>
  <c r="X376" i="3" s="1"/>
  <c r="S365" i="3"/>
  <c r="S377" i="3" l="1"/>
  <c r="T377" i="3" s="1"/>
  <c r="V377" i="3" s="1"/>
  <c r="X377" i="3" s="1"/>
  <c r="AJ377" i="3" s="1"/>
  <c r="Q380" i="3"/>
  <c r="R380" i="3" s="1"/>
  <c r="S380" i="3" s="1"/>
  <c r="T380" i="3" s="1"/>
  <c r="V380" i="3" s="1"/>
  <c r="X380" i="3" s="1"/>
  <c r="T365" i="3"/>
  <c r="V365" i="3" s="1"/>
  <c r="AK365" i="3" s="1"/>
  <c r="AC365" i="3" s="1"/>
  <c r="X365" i="3" l="1"/>
  <c r="AJ365" i="3" s="1"/>
  <c r="AK376" i="3" l="1"/>
  <c r="AC376" i="3" s="1"/>
  <c r="AJ376" i="3" l="1"/>
  <c r="AK377" i="3" l="1"/>
  <c r="AC37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6" authorId="0" shapeId="0" xr:uid="{00000000-0006-0000-0000-000001000000}">
      <text>
        <r>
          <rPr>
            <sz val="10"/>
            <rFont val="Arial"/>
            <family val="2"/>
          </rPr>
          <t xml:space="preserve">Jaskulek, Steve:
</t>
        </r>
        <r>
          <rPr>
            <sz val="9"/>
            <color rgb="FF000000"/>
            <rFont val="Tahoma"/>
            <family val="2"/>
          </rPr>
          <t>Based on looking at some flight V5 data</t>
        </r>
      </text>
    </comment>
    <comment ref="I8" authorId="0" shapeId="0" xr:uid="{00000000-0006-0000-0000-000002000000}">
      <text>
        <r>
          <rPr>
            <sz val="10"/>
            <rFont val="Arial"/>
            <family val="2"/>
          </rPr>
          <t xml:space="preserve">Jaskulek, Steve:
</t>
        </r>
        <r>
          <rPr>
            <sz val="9"/>
            <color rgb="FF000000"/>
            <rFont val="Tahoma"/>
            <family val="2"/>
          </rPr>
          <t>Based on looking at some flight V5 data</t>
        </r>
      </text>
    </comment>
    <comment ref="I14" authorId="0" shapeId="0" xr:uid="{00000000-0006-0000-0000-000003000000}">
      <text>
        <r>
          <rPr>
            <sz val="10"/>
            <rFont val="Arial"/>
            <family val="2"/>
          </rPr>
          <t xml:space="preserve">Jaskulek, Steve:
</t>
        </r>
        <r>
          <rPr>
            <sz val="9"/>
            <color rgb="FF000000"/>
            <rFont val="Tahoma"/>
            <family val="2"/>
          </rPr>
          <t>Based on looking at some flight data</t>
        </r>
      </text>
    </comment>
    <comment ref="I15" authorId="0" shapeId="0" xr:uid="{00000000-0006-0000-0000-000004000000}">
      <text>
        <r>
          <rPr>
            <sz val="10"/>
            <rFont val="Arial"/>
            <family val="2"/>
          </rPr>
          <t xml:space="preserve">Jaskulek, Steve:
</t>
        </r>
        <r>
          <rPr>
            <sz val="9"/>
            <color rgb="FF000000"/>
            <rFont val="Tahoma"/>
            <family val="2"/>
          </rPr>
          <t>Based on looking at some flight data</t>
        </r>
      </text>
    </comment>
    <comment ref="I16" authorId="0" shapeId="0" xr:uid="{00000000-0006-0000-0000-000005000000}">
      <text>
        <r>
          <rPr>
            <sz val="10"/>
            <rFont val="Arial"/>
            <family val="2"/>
          </rPr>
          <t xml:space="preserve">Jaskulek, Steve:
</t>
        </r>
        <r>
          <rPr>
            <sz val="9"/>
            <color rgb="FF000000"/>
            <rFont val="Tahoma"/>
            <family val="2"/>
          </rPr>
          <t>Based on looking at some flight data</t>
        </r>
      </text>
    </comment>
    <comment ref="I23" authorId="0" shapeId="0" xr:uid="{00000000-0006-0000-0000-000006000000}">
      <text>
        <r>
          <rPr>
            <sz val="10"/>
            <rFont val="Arial"/>
            <family val="2"/>
          </rPr>
          <t xml:space="preserve">Jaskulek, Steve:
</t>
        </r>
        <r>
          <rPr>
            <sz val="9"/>
            <color rgb="FF000000"/>
            <rFont val="Tahoma"/>
            <family val="2"/>
          </rPr>
          <t>based on Grahams's estimate of buffer size</t>
        </r>
      </text>
    </comment>
    <comment ref="I25" authorId="0" shapeId="0" xr:uid="{00000000-0006-0000-0000-000007000000}">
      <text>
        <r>
          <rPr>
            <sz val="10"/>
            <rFont val="Arial"/>
            <family val="2"/>
          </rPr>
          <t xml:space="preserve">Jaskulek, Steve:
</t>
        </r>
        <r>
          <rPr>
            <sz val="9"/>
            <color rgb="FF000000"/>
            <rFont val="Tahoma"/>
            <family val="2"/>
          </rPr>
          <t>limited either by solar activity or by allowed number of bursts (commanded)</t>
        </r>
      </text>
    </comment>
    <comment ref="I26" authorId="0" shapeId="0" xr:uid="{00000000-0006-0000-0000-000008000000}">
      <text>
        <r>
          <rPr>
            <sz val="10"/>
            <rFont val="Arial"/>
            <family val="2"/>
          </rPr>
          <t xml:space="preserve">Jaskulek, Steve:
</t>
        </r>
        <r>
          <rPr>
            <sz val="9"/>
            <color rgb="FF000000"/>
            <rFont val="Tahoma"/>
            <family val="2"/>
          </rPr>
          <t>limited either by solar activity or by allowed number of bursts (commanded)</t>
        </r>
      </text>
    </comment>
    <comment ref="I44" authorId="0" shapeId="0" xr:uid="{00000000-0006-0000-0000-000009000000}">
      <text>
        <r>
          <rPr>
            <sz val="10"/>
            <rFont val="Arial"/>
            <family val="2"/>
          </rPr>
          <t xml:space="preserve">Jaskulek, Steve:
</t>
        </r>
        <r>
          <rPr>
            <sz val="9"/>
            <color rgb="FF000000"/>
            <rFont val="Tahoma"/>
            <family val="2"/>
          </rPr>
          <t>Based on looking at some flight data</t>
        </r>
      </text>
    </comment>
    <comment ref="I45" authorId="0" shapeId="0" xr:uid="{00000000-0006-0000-0000-00000A000000}">
      <text>
        <r>
          <rPr>
            <sz val="10"/>
            <rFont val="Arial"/>
            <family val="2"/>
          </rPr>
          <t xml:space="preserve">Jaskulek, Steve:
</t>
        </r>
        <r>
          <rPr>
            <sz val="9"/>
            <color rgb="FF000000"/>
            <rFont val="Tahoma"/>
            <family val="2"/>
          </rPr>
          <t>Based on looking at some flight data</t>
        </r>
      </text>
    </comment>
    <comment ref="I46" authorId="0" shapeId="0" xr:uid="{00000000-0006-0000-0000-00000B000000}">
      <text>
        <r>
          <rPr>
            <sz val="10"/>
            <rFont val="Arial"/>
            <family val="2"/>
          </rPr>
          <t xml:space="preserve">Jaskulek, Steve:
</t>
        </r>
        <r>
          <rPr>
            <sz val="9"/>
            <color rgb="FF000000"/>
            <rFont val="Tahoma"/>
            <family val="2"/>
          </rPr>
          <t>Based on looking at some flight data</t>
        </r>
      </text>
    </comment>
    <comment ref="I53" authorId="0" shapeId="0" xr:uid="{00000000-0006-0000-0000-00000C000000}">
      <text>
        <r>
          <rPr>
            <sz val="10"/>
            <rFont val="Arial"/>
            <family val="2"/>
          </rPr>
          <t xml:space="preserve">Jaskulek, Steve:
</t>
        </r>
        <r>
          <rPr>
            <sz val="9"/>
            <color rgb="FF000000"/>
            <rFont val="Tahoma"/>
            <family val="2"/>
          </rPr>
          <t>based on Grahams's estimate of buffer size</t>
        </r>
      </text>
    </comment>
    <comment ref="I55" authorId="0" shapeId="0" xr:uid="{00000000-0006-0000-0000-00000D000000}">
      <text>
        <r>
          <rPr>
            <sz val="10"/>
            <rFont val="Arial"/>
            <family val="2"/>
          </rPr>
          <t xml:space="preserve">Jaskulek, Steve:
</t>
        </r>
        <r>
          <rPr>
            <sz val="9"/>
            <color rgb="FF000000"/>
            <rFont val="Tahoma"/>
            <family val="2"/>
          </rPr>
          <t>limited either by solar activity or by allowed number of bursts (commanded)</t>
        </r>
      </text>
    </comment>
    <comment ref="I56" authorId="0" shapeId="0" xr:uid="{00000000-0006-0000-0000-00000E000000}">
      <text>
        <r>
          <rPr>
            <sz val="10"/>
            <rFont val="Arial"/>
            <family val="2"/>
          </rPr>
          <t xml:space="preserve">Jaskulek, Steve:
</t>
        </r>
        <r>
          <rPr>
            <sz val="9"/>
            <color rgb="FF000000"/>
            <rFont val="Tahoma"/>
            <family val="2"/>
          </rPr>
          <t>limited either by solar activity or by allowed number of bursts (commanded)</t>
        </r>
      </text>
    </comment>
    <comment ref="I64" authorId="0" shapeId="0" xr:uid="{00000000-0006-0000-0000-00000F000000}">
      <text>
        <r>
          <rPr>
            <sz val="10"/>
            <rFont val="Arial"/>
            <family val="2"/>
          </rPr>
          <t xml:space="preserve">Jaskulek, Steve:
</t>
        </r>
        <r>
          <rPr>
            <sz val="9"/>
            <color rgb="FF000000"/>
            <rFont val="Tahoma"/>
            <family val="2"/>
          </rPr>
          <t>Based on looking at some flight data</t>
        </r>
      </text>
    </comment>
    <comment ref="I65" authorId="0" shapeId="0" xr:uid="{00000000-0006-0000-0000-000010000000}">
      <text>
        <r>
          <rPr>
            <sz val="10"/>
            <rFont val="Arial"/>
            <family val="2"/>
          </rPr>
          <t xml:space="preserve">Jaskulek, Steve:
</t>
        </r>
        <r>
          <rPr>
            <sz val="9"/>
            <color rgb="FF000000"/>
            <rFont val="Tahoma"/>
            <family val="2"/>
          </rPr>
          <t>Based on looking at some flight data</t>
        </r>
      </text>
    </comment>
    <comment ref="I66" authorId="0" shapeId="0" xr:uid="{00000000-0006-0000-0000-000011000000}">
      <text>
        <r>
          <rPr>
            <sz val="10"/>
            <rFont val="Arial"/>
            <family val="2"/>
          </rPr>
          <t xml:space="preserve">Jaskulek, Steve:
</t>
        </r>
        <r>
          <rPr>
            <sz val="9"/>
            <color rgb="FF000000"/>
            <rFont val="Tahoma"/>
            <family val="2"/>
          </rPr>
          <t>Based on looking at some flight data</t>
        </r>
      </text>
    </comment>
    <comment ref="I72" authorId="0" shapeId="0" xr:uid="{00000000-0006-0000-0000-000012000000}">
      <text>
        <r>
          <rPr>
            <sz val="10"/>
            <rFont val="Arial"/>
            <family val="2"/>
          </rPr>
          <t xml:space="preserve">Jaskulek, Steve:
</t>
        </r>
        <r>
          <rPr>
            <sz val="9"/>
            <color rgb="FF000000"/>
            <rFont val="Tahoma"/>
            <family val="2"/>
          </rPr>
          <t>Based on looking at some flight data</t>
        </r>
      </text>
    </comment>
    <comment ref="I73" authorId="0" shapeId="0" xr:uid="{00000000-0006-0000-0000-000013000000}">
      <text>
        <r>
          <rPr>
            <sz val="10"/>
            <rFont val="Arial"/>
            <family val="2"/>
          </rPr>
          <t xml:space="preserve">Jaskulek, Steve:
</t>
        </r>
        <r>
          <rPr>
            <sz val="9"/>
            <color rgb="FF000000"/>
            <rFont val="Tahoma"/>
            <family val="2"/>
          </rPr>
          <t>Based on looking at some flight data</t>
        </r>
      </text>
    </comment>
    <comment ref="I74" authorId="0" shapeId="0" xr:uid="{00000000-0006-0000-0000-000014000000}">
      <text>
        <r>
          <rPr>
            <sz val="10"/>
            <rFont val="Arial"/>
            <family val="2"/>
          </rPr>
          <t xml:space="preserve">Jaskulek, Steve:
</t>
        </r>
        <r>
          <rPr>
            <sz val="9"/>
            <color rgb="FF000000"/>
            <rFont val="Tahoma"/>
            <family val="2"/>
          </rPr>
          <t>Based on looking at some flight data</t>
        </r>
      </text>
    </comment>
    <comment ref="I81" authorId="0" shapeId="0" xr:uid="{00000000-0006-0000-0000-000015000000}">
      <text>
        <r>
          <rPr>
            <sz val="10"/>
            <rFont val="Arial"/>
            <family val="2"/>
          </rPr>
          <t xml:space="preserve">Jaskulek, Steve:
</t>
        </r>
        <r>
          <rPr>
            <sz val="9"/>
            <color rgb="FF000000"/>
            <rFont val="Tahoma"/>
            <family val="2"/>
          </rPr>
          <t>based on Grahams's estimate of buffer size</t>
        </r>
      </text>
    </comment>
    <comment ref="I83" authorId="0" shapeId="0" xr:uid="{00000000-0006-0000-0000-000016000000}">
      <text>
        <r>
          <rPr>
            <sz val="10"/>
            <rFont val="Arial"/>
            <family val="2"/>
          </rPr>
          <t xml:space="preserve">Jaskulek, Steve:
</t>
        </r>
        <r>
          <rPr>
            <sz val="9"/>
            <color rgb="FF000000"/>
            <rFont val="Tahoma"/>
            <family val="2"/>
          </rPr>
          <t>limited either by solar activity or by allowed number of bursts (commanded)</t>
        </r>
      </text>
    </comment>
    <comment ref="I84" authorId="0" shapeId="0" xr:uid="{00000000-0006-0000-0000-000017000000}">
      <text>
        <r>
          <rPr>
            <sz val="10"/>
            <rFont val="Arial"/>
            <family val="2"/>
          </rPr>
          <t xml:space="preserve">Jaskulek, Steve:
</t>
        </r>
        <r>
          <rPr>
            <sz val="9"/>
            <color rgb="FF000000"/>
            <rFont val="Tahoma"/>
            <family val="2"/>
          </rPr>
          <t>limited either by solar activity or by allowed number of bursts (commanded)</t>
        </r>
      </text>
    </comment>
    <comment ref="I94" authorId="0" shapeId="0" xr:uid="{00000000-0006-0000-0000-000018000000}">
      <text>
        <r>
          <rPr>
            <sz val="10"/>
            <rFont val="Arial"/>
            <family val="2"/>
          </rPr>
          <t xml:space="preserve">Jaskulek, Steve:
</t>
        </r>
        <r>
          <rPr>
            <sz val="9"/>
            <color rgb="FF000000"/>
            <rFont val="Tahoma"/>
            <family val="2"/>
          </rPr>
          <t>Based on looking at some flight data</t>
        </r>
      </text>
    </comment>
    <comment ref="I95" authorId="0" shapeId="0" xr:uid="{00000000-0006-0000-0000-000019000000}">
      <text>
        <r>
          <rPr>
            <sz val="10"/>
            <rFont val="Arial"/>
            <family val="2"/>
          </rPr>
          <t xml:space="preserve">Jaskulek, Steve:
</t>
        </r>
        <r>
          <rPr>
            <sz val="9"/>
            <color rgb="FF000000"/>
            <rFont val="Tahoma"/>
            <family val="2"/>
          </rPr>
          <t>Based on looking at some flight data</t>
        </r>
      </text>
    </comment>
    <comment ref="I96" authorId="0" shapeId="0" xr:uid="{00000000-0006-0000-0000-00001A000000}">
      <text>
        <r>
          <rPr>
            <sz val="10"/>
            <rFont val="Arial"/>
            <family val="2"/>
          </rPr>
          <t xml:space="preserve">Jaskulek, Steve:
</t>
        </r>
        <r>
          <rPr>
            <sz val="9"/>
            <color rgb="FF000000"/>
            <rFont val="Tahoma"/>
            <family val="2"/>
          </rPr>
          <t>Based on looking at some flight data</t>
        </r>
      </text>
    </comment>
    <comment ref="I102" authorId="0" shapeId="0" xr:uid="{00000000-0006-0000-0000-00001B000000}">
      <text>
        <r>
          <rPr>
            <sz val="10"/>
            <rFont val="Arial"/>
            <family val="2"/>
          </rPr>
          <t xml:space="preserve">Jaskulek, Steve:
</t>
        </r>
        <r>
          <rPr>
            <sz val="9"/>
            <color rgb="FF000000"/>
            <rFont val="Tahoma"/>
            <family val="2"/>
          </rPr>
          <t>Based on looking at some flight data</t>
        </r>
      </text>
    </comment>
    <comment ref="I103" authorId="0" shapeId="0" xr:uid="{00000000-0006-0000-0000-00001C000000}">
      <text>
        <r>
          <rPr>
            <sz val="10"/>
            <rFont val="Arial"/>
            <family val="2"/>
          </rPr>
          <t xml:space="preserve">Jaskulek, Steve:
</t>
        </r>
        <r>
          <rPr>
            <sz val="9"/>
            <color rgb="FF000000"/>
            <rFont val="Tahoma"/>
            <family val="2"/>
          </rPr>
          <t>Based on looking at some flight data</t>
        </r>
      </text>
    </comment>
    <comment ref="I104" authorId="0" shapeId="0" xr:uid="{00000000-0006-0000-0000-00001D000000}">
      <text>
        <r>
          <rPr>
            <sz val="10"/>
            <rFont val="Arial"/>
            <family val="2"/>
          </rPr>
          <t xml:space="preserve">Jaskulek, Steve:
</t>
        </r>
        <r>
          <rPr>
            <sz val="9"/>
            <color rgb="FF000000"/>
            <rFont val="Tahoma"/>
            <family val="2"/>
          </rPr>
          <t>Based on looking at some flight data</t>
        </r>
      </text>
    </comment>
    <comment ref="I111" authorId="0" shapeId="0" xr:uid="{00000000-0006-0000-0000-00001E000000}">
      <text>
        <r>
          <rPr>
            <sz val="10"/>
            <rFont val="Arial"/>
            <family val="2"/>
          </rPr>
          <t xml:space="preserve">Jaskulek, Steve:
</t>
        </r>
        <r>
          <rPr>
            <sz val="9"/>
            <color rgb="FF000000"/>
            <rFont val="Tahoma"/>
            <family val="2"/>
          </rPr>
          <t>based on Grahams's estimate of buffer size</t>
        </r>
      </text>
    </comment>
    <comment ref="I113" authorId="0" shapeId="0" xr:uid="{00000000-0006-0000-0000-00001F000000}">
      <text>
        <r>
          <rPr>
            <sz val="10"/>
            <rFont val="Arial"/>
            <family val="2"/>
          </rPr>
          <t xml:space="preserve">Jaskulek, Steve:
</t>
        </r>
        <r>
          <rPr>
            <sz val="9"/>
            <color rgb="FF000000"/>
            <rFont val="Tahoma"/>
            <family val="2"/>
          </rPr>
          <t>limited either by solar activity or by allowed number of bursts (commanded)</t>
        </r>
      </text>
    </comment>
    <comment ref="I114" authorId="0" shapeId="0" xr:uid="{00000000-0006-0000-0000-000020000000}">
      <text>
        <r>
          <rPr>
            <sz val="10"/>
            <rFont val="Arial"/>
            <family val="2"/>
          </rPr>
          <t xml:space="preserve">Jaskulek, Steve:
</t>
        </r>
        <r>
          <rPr>
            <sz val="9"/>
            <color rgb="FF000000"/>
            <rFont val="Tahoma"/>
            <family val="2"/>
          </rPr>
          <t>limited either by solar activity or by allowed number of bursts (commanded)</t>
        </r>
      </text>
    </comment>
    <comment ref="I123" authorId="0" shapeId="0" xr:uid="{00000000-0006-0000-0000-000021000000}">
      <text>
        <r>
          <rPr>
            <sz val="10"/>
            <rFont val="Arial"/>
            <family val="2"/>
          </rPr>
          <t xml:space="preserve">Jaskulek, Steve:
</t>
        </r>
        <r>
          <rPr>
            <sz val="9"/>
            <color rgb="FF000000"/>
            <rFont val="Tahoma"/>
            <family val="2"/>
          </rPr>
          <t>Based on looking at some flight data</t>
        </r>
      </text>
    </comment>
    <comment ref="I124" authorId="0" shapeId="0" xr:uid="{00000000-0006-0000-0000-000022000000}">
      <text>
        <r>
          <rPr>
            <sz val="10"/>
            <rFont val="Arial"/>
            <family val="2"/>
          </rPr>
          <t xml:space="preserve">Jaskulek, Steve:
</t>
        </r>
        <r>
          <rPr>
            <sz val="9"/>
            <color rgb="FF000000"/>
            <rFont val="Tahoma"/>
            <family val="2"/>
          </rPr>
          <t>Based on looking at some flight data</t>
        </r>
      </text>
    </comment>
    <comment ref="I125" authorId="0" shapeId="0" xr:uid="{00000000-0006-0000-0000-000023000000}">
      <text>
        <r>
          <rPr>
            <sz val="10"/>
            <rFont val="Arial"/>
            <family val="2"/>
          </rPr>
          <t xml:space="preserve">Jaskulek, Steve:
</t>
        </r>
        <r>
          <rPr>
            <sz val="9"/>
            <color rgb="FF000000"/>
            <rFont val="Tahoma"/>
            <family val="2"/>
          </rPr>
          <t>Based on looking at some flight data</t>
        </r>
      </text>
    </comment>
    <comment ref="I131" authorId="0" shapeId="0" xr:uid="{00000000-0006-0000-0000-000024000000}">
      <text>
        <r>
          <rPr>
            <sz val="10"/>
            <rFont val="Arial"/>
            <family val="2"/>
          </rPr>
          <t xml:space="preserve">Jaskulek, Steve:
</t>
        </r>
        <r>
          <rPr>
            <sz val="9"/>
            <color rgb="FF000000"/>
            <rFont val="Tahoma"/>
            <family val="2"/>
          </rPr>
          <t>Based on looking at some flight data</t>
        </r>
      </text>
    </comment>
    <comment ref="I132" authorId="0" shapeId="0" xr:uid="{00000000-0006-0000-0000-000025000000}">
      <text>
        <r>
          <rPr>
            <sz val="10"/>
            <rFont val="Arial"/>
            <family val="2"/>
          </rPr>
          <t xml:space="preserve">Jaskulek, Steve:
</t>
        </r>
        <r>
          <rPr>
            <sz val="9"/>
            <color rgb="FF000000"/>
            <rFont val="Tahoma"/>
            <family val="2"/>
          </rPr>
          <t>Based on looking at some flight data</t>
        </r>
      </text>
    </comment>
    <comment ref="I133" authorId="0" shapeId="0" xr:uid="{00000000-0006-0000-0000-000026000000}">
      <text>
        <r>
          <rPr>
            <sz val="10"/>
            <rFont val="Arial"/>
            <family val="2"/>
          </rPr>
          <t xml:space="preserve">Jaskulek, Steve:
</t>
        </r>
        <r>
          <rPr>
            <sz val="9"/>
            <color rgb="FF000000"/>
            <rFont val="Tahoma"/>
            <family val="2"/>
          </rPr>
          <t>Based on looking at some flight data</t>
        </r>
      </text>
    </comment>
    <comment ref="I140" authorId="0" shapeId="0" xr:uid="{00000000-0006-0000-0000-000027000000}">
      <text>
        <r>
          <rPr>
            <sz val="10"/>
            <rFont val="Arial"/>
            <family val="2"/>
          </rPr>
          <t xml:space="preserve">Jaskulek, Steve:
</t>
        </r>
        <r>
          <rPr>
            <sz val="9"/>
            <color rgb="FF000000"/>
            <rFont val="Tahoma"/>
            <family val="2"/>
          </rPr>
          <t>based on Grahams's estimate of buffer size</t>
        </r>
      </text>
    </comment>
    <comment ref="I142" authorId="0" shapeId="0" xr:uid="{00000000-0006-0000-0000-000028000000}">
      <text>
        <r>
          <rPr>
            <sz val="10"/>
            <rFont val="Arial"/>
            <family val="2"/>
          </rPr>
          <t xml:space="preserve">Jaskulek, Steve:
</t>
        </r>
        <r>
          <rPr>
            <sz val="9"/>
            <color rgb="FF000000"/>
            <rFont val="Tahoma"/>
            <family val="2"/>
          </rPr>
          <t>limited either by solar activity or by allowed number of bursts (commanded)</t>
        </r>
      </text>
    </comment>
    <comment ref="I143" authorId="0" shapeId="0" xr:uid="{00000000-0006-0000-0000-000029000000}">
      <text>
        <r>
          <rPr>
            <sz val="10"/>
            <rFont val="Arial"/>
            <family val="2"/>
          </rPr>
          <t xml:space="preserve">Jaskulek, Steve:
</t>
        </r>
        <r>
          <rPr>
            <sz val="9"/>
            <color rgb="FF000000"/>
            <rFont val="Tahoma"/>
            <family val="2"/>
          </rPr>
          <t>limited either by solar activity or by allowed number of bursts (commanded)</t>
        </r>
      </text>
    </comment>
    <comment ref="I153" authorId="0" shapeId="0" xr:uid="{00000000-0006-0000-0000-00002A000000}">
      <text>
        <r>
          <rPr>
            <sz val="10"/>
            <rFont val="Arial"/>
            <family val="2"/>
          </rPr>
          <t xml:space="preserve">Jaskulek, Steve:
</t>
        </r>
        <r>
          <rPr>
            <sz val="9"/>
            <color rgb="FF000000"/>
            <rFont val="Tahoma"/>
            <family val="2"/>
          </rPr>
          <t>Based on looking at some flight data</t>
        </r>
      </text>
    </comment>
    <comment ref="I154" authorId="0" shapeId="0" xr:uid="{00000000-0006-0000-0000-00002B000000}">
      <text>
        <r>
          <rPr>
            <sz val="10"/>
            <rFont val="Arial"/>
            <family val="2"/>
          </rPr>
          <t xml:space="preserve">Jaskulek, Steve:
</t>
        </r>
        <r>
          <rPr>
            <sz val="9"/>
            <color rgb="FF000000"/>
            <rFont val="Tahoma"/>
            <family val="2"/>
          </rPr>
          <t>Based on looking at some flight data</t>
        </r>
      </text>
    </comment>
    <comment ref="I155" authorId="0" shapeId="0" xr:uid="{00000000-0006-0000-0000-00002C000000}">
      <text>
        <r>
          <rPr>
            <sz val="10"/>
            <rFont val="Arial"/>
            <family val="2"/>
          </rPr>
          <t xml:space="preserve">Jaskulek, Steve:
</t>
        </r>
        <r>
          <rPr>
            <sz val="9"/>
            <color rgb="FF000000"/>
            <rFont val="Tahoma"/>
            <family val="2"/>
          </rPr>
          <t>Based on looking at some flight data</t>
        </r>
      </text>
    </comment>
    <comment ref="I161" authorId="0" shapeId="0" xr:uid="{00000000-0006-0000-0000-00002D000000}">
      <text>
        <r>
          <rPr>
            <sz val="10"/>
            <rFont val="Arial"/>
            <family val="2"/>
          </rPr>
          <t xml:space="preserve">Jaskulek, Steve:
</t>
        </r>
        <r>
          <rPr>
            <sz val="9"/>
            <color rgb="FF000000"/>
            <rFont val="Tahoma"/>
            <family val="2"/>
          </rPr>
          <t>Based on looking at some flight data</t>
        </r>
      </text>
    </comment>
    <comment ref="I162" authorId="0" shapeId="0" xr:uid="{00000000-0006-0000-0000-00002E000000}">
      <text>
        <r>
          <rPr>
            <sz val="10"/>
            <rFont val="Arial"/>
            <family val="2"/>
          </rPr>
          <t xml:space="preserve">Jaskulek, Steve:
</t>
        </r>
        <r>
          <rPr>
            <sz val="9"/>
            <color rgb="FF000000"/>
            <rFont val="Tahoma"/>
            <family val="2"/>
          </rPr>
          <t>Based on looking at some flight data</t>
        </r>
      </text>
    </comment>
    <comment ref="I163" authorId="0" shapeId="0" xr:uid="{00000000-0006-0000-0000-00002F000000}">
      <text>
        <r>
          <rPr>
            <sz val="10"/>
            <rFont val="Arial"/>
            <family val="2"/>
          </rPr>
          <t xml:space="preserve">Jaskulek, Steve:
</t>
        </r>
        <r>
          <rPr>
            <sz val="9"/>
            <color rgb="FF000000"/>
            <rFont val="Tahoma"/>
            <family val="2"/>
          </rPr>
          <t>Based on looking at some flight data</t>
        </r>
      </text>
    </comment>
    <comment ref="I170" authorId="0" shapeId="0" xr:uid="{00000000-0006-0000-0000-000030000000}">
      <text>
        <r>
          <rPr>
            <sz val="10"/>
            <rFont val="Arial"/>
            <family val="2"/>
          </rPr>
          <t xml:space="preserve">Jaskulek, Steve:
</t>
        </r>
        <r>
          <rPr>
            <sz val="9"/>
            <color rgb="FF000000"/>
            <rFont val="Tahoma"/>
            <family val="2"/>
          </rPr>
          <t>based on Grahams's estimate of buffer size</t>
        </r>
      </text>
    </comment>
    <comment ref="I172" authorId="0" shapeId="0" xr:uid="{00000000-0006-0000-0000-000031000000}">
      <text>
        <r>
          <rPr>
            <sz val="10"/>
            <rFont val="Arial"/>
            <family val="2"/>
          </rPr>
          <t xml:space="preserve">Jaskulek, Steve:
</t>
        </r>
        <r>
          <rPr>
            <sz val="9"/>
            <color rgb="FF000000"/>
            <rFont val="Tahoma"/>
            <family val="2"/>
          </rPr>
          <t>limited either by solar activity or by allowed number of bursts (commanded)</t>
        </r>
      </text>
    </comment>
    <comment ref="I173" authorId="0" shapeId="0" xr:uid="{00000000-0006-0000-0000-000032000000}">
      <text>
        <r>
          <rPr>
            <sz val="10"/>
            <rFont val="Arial"/>
            <family val="2"/>
          </rPr>
          <t xml:space="preserve">Jaskulek, Steve:
</t>
        </r>
        <r>
          <rPr>
            <sz val="9"/>
            <color rgb="FF000000"/>
            <rFont val="Tahoma"/>
            <family val="2"/>
          </rPr>
          <t>limited either by solar activity or by allowed number of bursts (commanded)</t>
        </r>
      </text>
    </comment>
    <comment ref="I182" authorId="0" shapeId="0" xr:uid="{00000000-0006-0000-0000-000033000000}">
      <text>
        <r>
          <rPr>
            <sz val="10"/>
            <rFont val="Arial"/>
            <family val="2"/>
          </rPr>
          <t xml:space="preserve">Jaskulek, Steve:
</t>
        </r>
        <r>
          <rPr>
            <sz val="9"/>
            <color rgb="FF000000"/>
            <rFont val="Tahoma"/>
            <family val="2"/>
          </rPr>
          <t>Based on looking at some flight data</t>
        </r>
      </text>
    </comment>
    <comment ref="I183" authorId="0" shapeId="0" xr:uid="{00000000-0006-0000-0000-000034000000}">
      <text>
        <r>
          <rPr>
            <sz val="10"/>
            <rFont val="Arial"/>
            <family val="2"/>
          </rPr>
          <t xml:space="preserve">Jaskulek, Steve:
</t>
        </r>
        <r>
          <rPr>
            <sz val="9"/>
            <color rgb="FF000000"/>
            <rFont val="Tahoma"/>
            <family val="2"/>
          </rPr>
          <t>Based on looking at some flight data</t>
        </r>
      </text>
    </comment>
    <comment ref="I184" authorId="0" shapeId="0" xr:uid="{00000000-0006-0000-0000-000035000000}">
      <text>
        <r>
          <rPr>
            <sz val="10"/>
            <rFont val="Arial"/>
            <family val="2"/>
          </rPr>
          <t xml:space="preserve">Jaskulek, Steve:
</t>
        </r>
        <r>
          <rPr>
            <sz val="9"/>
            <color rgb="FF000000"/>
            <rFont val="Tahoma"/>
            <family val="2"/>
          </rPr>
          <t>Based on looking at some flight data</t>
        </r>
      </text>
    </comment>
    <comment ref="I190" authorId="0" shapeId="0" xr:uid="{00000000-0006-0000-0000-000036000000}">
      <text>
        <r>
          <rPr>
            <sz val="10"/>
            <rFont val="Arial"/>
            <family val="2"/>
          </rPr>
          <t xml:space="preserve">Jaskulek, Steve:
</t>
        </r>
        <r>
          <rPr>
            <sz val="9"/>
            <color rgb="FF000000"/>
            <rFont val="Tahoma"/>
            <family val="2"/>
          </rPr>
          <t>Based on looking at some flight data</t>
        </r>
      </text>
    </comment>
    <comment ref="I191" authorId="0" shapeId="0" xr:uid="{00000000-0006-0000-0000-000037000000}">
      <text>
        <r>
          <rPr>
            <sz val="10"/>
            <rFont val="Arial"/>
            <family val="2"/>
          </rPr>
          <t xml:space="preserve">Jaskulek, Steve:
</t>
        </r>
        <r>
          <rPr>
            <sz val="9"/>
            <color rgb="FF000000"/>
            <rFont val="Tahoma"/>
            <family val="2"/>
          </rPr>
          <t>Based on looking at some flight data</t>
        </r>
      </text>
    </comment>
    <comment ref="I192" authorId="0" shapeId="0" xr:uid="{00000000-0006-0000-0000-000038000000}">
      <text>
        <r>
          <rPr>
            <sz val="10"/>
            <rFont val="Arial"/>
            <family val="2"/>
          </rPr>
          <t xml:space="preserve">Jaskulek, Steve:
</t>
        </r>
        <r>
          <rPr>
            <sz val="9"/>
            <color rgb="FF000000"/>
            <rFont val="Tahoma"/>
            <family val="2"/>
          </rPr>
          <t>Based on looking at some flight data</t>
        </r>
      </text>
    </comment>
    <comment ref="I199" authorId="0" shapeId="0" xr:uid="{00000000-0006-0000-0000-000039000000}">
      <text>
        <r>
          <rPr>
            <sz val="10"/>
            <rFont val="Arial"/>
            <family val="2"/>
          </rPr>
          <t xml:space="preserve">Jaskulek, Steve:
</t>
        </r>
        <r>
          <rPr>
            <sz val="9"/>
            <color rgb="FF000000"/>
            <rFont val="Tahoma"/>
            <family val="2"/>
          </rPr>
          <t>based on Grahams's estimate of buffer size</t>
        </r>
      </text>
    </comment>
    <comment ref="I201" authorId="0" shapeId="0" xr:uid="{00000000-0006-0000-0000-00003A000000}">
      <text>
        <r>
          <rPr>
            <sz val="10"/>
            <rFont val="Arial"/>
            <family val="2"/>
          </rPr>
          <t xml:space="preserve">Jaskulek, Steve:
</t>
        </r>
        <r>
          <rPr>
            <sz val="9"/>
            <color rgb="FF000000"/>
            <rFont val="Tahoma"/>
            <family val="2"/>
          </rPr>
          <t>limited either by solar activity or by allowed number of bursts (commanded)</t>
        </r>
      </text>
    </comment>
    <comment ref="I202" authorId="0" shapeId="0" xr:uid="{00000000-0006-0000-0000-00003B000000}">
      <text>
        <r>
          <rPr>
            <sz val="10"/>
            <rFont val="Arial"/>
            <family val="2"/>
          </rPr>
          <t xml:space="preserve">Jaskulek, Steve:
</t>
        </r>
        <r>
          <rPr>
            <sz val="9"/>
            <color rgb="FF000000"/>
            <rFont val="Tahoma"/>
            <family val="2"/>
          </rPr>
          <t>limited either by solar activity or by allowed number of bursts (commanded)</t>
        </r>
      </text>
    </comment>
    <comment ref="I222" authorId="0" shapeId="0" xr:uid="{00000000-0006-0000-0000-00003C000000}">
      <text>
        <r>
          <rPr>
            <sz val="10"/>
            <rFont val="Arial"/>
            <family val="2"/>
          </rPr>
          <t xml:space="preserve">Jaskulek, Steve:
</t>
        </r>
        <r>
          <rPr>
            <sz val="9"/>
            <color rgb="FF000000"/>
            <rFont val="Tahoma"/>
            <family val="2"/>
          </rPr>
          <t>Based on looking at some flight data</t>
        </r>
      </text>
    </comment>
    <comment ref="I223" authorId="0" shapeId="0" xr:uid="{00000000-0006-0000-0000-00003D000000}">
      <text>
        <r>
          <rPr>
            <sz val="10"/>
            <rFont val="Arial"/>
            <family val="2"/>
          </rPr>
          <t xml:space="preserve">Jaskulek, Steve:
</t>
        </r>
        <r>
          <rPr>
            <sz val="9"/>
            <color rgb="FF000000"/>
            <rFont val="Tahoma"/>
            <family val="2"/>
          </rPr>
          <t>Based on looking at some flight data</t>
        </r>
      </text>
    </comment>
    <comment ref="I224" authorId="0" shapeId="0" xr:uid="{00000000-0006-0000-0000-00003E000000}">
      <text>
        <r>
          <rPr>
            <sz val="10"/>
            <rFont val="Arial"/>
            <family val="2"/>
          </rPr>
          <t xml:space="preserve">Jaskulek, Steve:
</t>
        </r>
        <r>
          <rPr>
            <sz val="9"/>
            <color rgb="FF000000"/>
            <rFont val="Tahoma"/>
            <family val="2"/>
          </rPr>
          <t>Based on looking at some flight data</t>
        </r>
      </text>
    </comment>
    <comment ref="I230" authorId="0" shapeId="0" xr:uid="{00000000-0006-0000-0000-00003F000000}">
      <text>
        <r>
          <rPr>
            <sz val="10"/>
            <rFont val="Arial"/>
            <family val="2"/>
          </rPr>
          <t xml:space="preserve">Jaskulek, Steve:
</t>
        </r>
        <r>
          <rPr>
            <sz val="9"/>
            <color rgb="FF000000"/>
            <rFont val="Tahoma"/>
            <family val="2"/>
          </rPr>
          <t>Based on looking at some flight data</t>
        </r>
      </text>
    </comment>
    <comment ref="I231" authorId="0" shapeId="0" xr:uid="{00000000-0006-0000-0000-000040000000}">
      <text>
        <r>
          <rPr>
            <sz val="10"/>
            <rFont val="Arial"/>
            <family val="2"/>
          </rPr>
          <t xml:space="preserve">Jaskulek, Steve:
</t>
        </r>
        <r>
          <rPr>
            <sz val="9"/>
            <color rgb="FF000000"/>
            <rFont val="Tahoma"/>
            <family val="2"/>
          </rPr>
          <t>Based on looking at some flight data</t>
        </r>
      </text>
    </comment>
    <comment ref="I232" authorId="0" shapeId="0" xr:uid="{00000000-0006-0000-0000-000041000000}">
      <text>
        <r>
          <rPr>
            <sz val="10"/>
            <rFont val="Arial"/>
            <family val="2"/>
          </rPr>
          <t xml:space="preserve">Jaskulek, Steve:
</t>
        </r>
        <r>
          <rPr>
            <sz val="9"/>
            <color rgb="FF000000"/>
            <rFont val="Tahoma"/>
            <family val="2"/>
          </rPr>
          <t>Based on looking at some flight data</t>
        </r>
      </text>
    </comment>
    <comment ref="I239" authorId="0" shapeId="0" xr:uid="{00000000-0006-0000-0000-000042000000}">
      <text>
        <r>
          <rPr>
            <sz val="10"/>
            <rFont val="Arial"/>
            <family val="2"/>
          </rPr>
          <t xml:space="preserve">Jaskulek, Steve:
</t>
        </r>
        <r>
          <rPr>
            <sz val="9"/>
            <color rgb="FF000000"/>
            <rFont val="Tahoma"/>
            <family val="2"/>
          </rPr>
          <t>based on Grahams's estimate of buffer size</t>
        </r>
      </text>
    </comment>
    <comment ref="I241" authorId="0" shapeId="0" xr:uid="{00000000-0006-0000-0000-000043000000}">
      <text>
        <r>
          <rPr>
            <sz val="10"/>
            <rFont val="Arial"/>
            <family val="2"/>
          </rPr>
          <t xml:space="preserve">Jaskulek, Steve:
</t>
        </r>
        <r>
          <rPr>
            <sz val="9"/>
            <color rgb="FF000000"/>
            <rFont val="Tahoma"/>
            <family val="2"/>
          </rPr>
          <t>limited either by solar activity or by allowed number of bursts (commanded)</t>
        </r>
      </text>
    </comment>
    <comment ref="I242" authorId="0" shapeId="0" xr:uid="{00000000-0006-0000-0000-000044000000}">
      <text>
        <r>
          <rPr>
            <sz val="10"/>
            <rFont val="Arial"/>
            <family val="2"/>
          </rPr>
          <t xml:space="preserve">Jaskulek, Steve:
</t>
        </r>
        <r>
          <rPr>
            <sz val="9"/>
            <color rgb="FF000000"/>
            <rFont val="Tahoma"/>
            <family val="2"/>
          </rPr>
          <t>limited either by solar activity or by allowed number of bursts (commanded)</t>
        </r>
      </text>
    </comment>
    <comment ref="I250" authorId="0" shapeId="0" xr:uid="{00000000-0006-0000-0000-000045000000}">
      <text>
        <r>
          <rPr>
            <sz val="10"/>
            <rFont val="Arial"/>
            <family val="2"/>
          </rPr>
          <t xml:space="preserve">Jaskulek, Steve:
</t>
        </r>
        <r>
          <rPr>
            <sz val="9"/>
            <color rgb="FF000000"/>
            <rFont val="Tahoma"/>
            <family val="2"/>
          </rPr>
          <t>Based on looking at some flight data</t>
        </r>
      </text>
    </comment>
    <comment ref="N250" authorId="0" shapeId="0" xr:uid="{00000000-0006-0000-0000-00004C000000}">
      <text>
        <r>
          <rPr>
            <sz val="10"/>
            <rFont val="Arial"/>
            <family val="2"/>
          </rPr>
          <t xml:space="preserve">Peter Kollmann:
</t>
        </r>
        <r>
          <rPr>
            <sz val="9"/>
            <color rgb="FF000000"/>
            <rFont val="Tahoma"/>
            <family val="2"/>
          </rPr>
          <t>=107-86=21
for 23086
28=135-107
for 23107</t>
        </r>
      </text>
    </comment>
    <comment ref="I251" authorId="0" shapeId="0" xr:uid="{00000000-0006-0000-0000-000046000000}">
      <text>
        <r>
          <rPr>
            <sz val="10"/>
            <rFont val="Arial"/>
            <family val="2"/>
          </rPr>
          <t xml:space="preserve">Jaskulek, Steve:
</t>
        </r>
        <r>
          <rPr>
            <sz val="9"/>
            <color rgb="FF000000"/>
            <rFont val="Tahoma"/>
            <family val="2"/>
          </rPr>
          <t>Based on looking at some flight data</t>
        </r>
      </text>
    </comment>
    <comment ref="I252" authorId="0" shapeId="0" xr:uid="{00000000-0006-0000-0000-000047000000}">
      <text>
        <r>
          <rPr>
            <sz val="10"/>
            <rFont val="Arial"/>
            <family val="2"/>
          </rPr>
          <t xml:space="preserve">Jaskulek, Steve:
</t>
        </r>
        <r>
          <rPr>
            <sz val="9"/>
            <color rgb="FF000000"/>
            <rFont val="Tahoma"/>
            <family val="2"/>
          </rPr>
          <t>Based on looking at some flight data</t>
        </r>
      </text>
    </comment>
    <comment ref="P254" authorId="0" shapeId="0" xr:uid="{00000000-0006-0000-0000-00004E000000}">
      <text>
        <r>
          <rPr>
            <sz val="10"/>
            <rFont val="Arial"/>
            <family val="2"/>
          </rPr>
          <t xml:space="preserve">Peter Kollmann:
</t>
        </r>
        <r>
          <rPr>
            <sz val="9"/>
            <color rgb="FF000000"/>
            <rFont val="Tahoma"/>
            <family val="2"/>
          </rPr>
          <t>2.25Mb/day for PEPSSI-90 rate with 3600,90,7200,300</t>
        </r>
      </text>
    </comment>
    <comment ref="N257" authorId="0" shapeId="0" xr:uid="{00000000-0006-0000-0000-00004D000000}">
      <text>
        <r>
          <rPr>
            <sz val="10"/>
            <rFont val="Arial"/>
            <family val="2"/>
          </rPr>
          <t xml:space="preserve">Peter Kollmann:
</t>
        </r>
        <r>
          <rPr>
            <sz val="9"/>
            <color rgb="FF000000"/>
            <rFont val="Tahoma"/>
            <family val="2"/>
          </rPr>
          <t>66days for DOY69 to 135</t>
        </r>
      </text>
    </comment>
    <comment ref="I258" authorId="0" shapeId="0" xr:uid="{00000000-0006-0000-0000-000048000000}">
      <text>
        <r>
          <rPr>
            <sz val="10"/>
            <rFont val="Arial"/>
            <family val="2"/>
          </rPr>
          <t xml:space="preserve">Jaskulek, Steve:
</t>
        </r>
        <r>
          <rPr>
            <sz val="9"/>
            <color rgb="FF000000"/>
            <rFont val="Tahoma"/>
            <family val="2"/>
          </rPr>
          <t>Based on looking at some flight data</t>
        </r>
      </text>
    </comment>
    <comment ref="I259" authorId="0" shapeId="0" xr:uid="{00000000-0006-0000-0000-000049000000}">
      <text>
        <r>
          <rPr>
            <sz val="10"/>
            <rFont val="Arial"/>
            <family val="2"/>
          </rPr>
          <t xml:space="preserve">Jaskulek, Steve:
</t>
        </r>
        <r>
          <rPr>
            <sz val="9"/>
            <color rgb="FF000000"/>
            <rFont val="Tahoma"/>
            <family val="2"/>
          </rPr>
          <t>Based on looking at some flight data</t>
        </r>
      </text>
    </comment>
    <comment ref="Q259" authorId="0" shapeId="0" xr:uid="{00000000-0006-0000-0000-00004F000000}">
      <text>
        <r>
          <rPr>
            <sz val="10"/>
            <rFont val="Arial"/>
            <family val="2"/>
          </rPr>
          <t xml:space="preserve">Peter Kollmann:
</t>
        </r>
        <r>
          <rPr>
            <sz val="9"/>
            <color rgb="FF000000"/>
            <rFont val="Tahoma"/>
            <family val="2"/>
          </rPr>
          <t xml:space="preserve">Trigger assessment always comes down (though technically with the HK data)
</t>
        </r>
      </text>
    </comment>
    <comment ref="I260" authorId="0" shapeId="0" xr:uid="{00000000-0006-0000-0000-00004A000000}">
      <text>
        <r>
          <rPr>
            <sz val="10"/>
            <rFont val="Arial"/>
            <family val="2"/>
          </rPr>
          <t xml:space="preserve">Jaskulek, Steve:
</t>
        </r>
        <r>
          <rPr>
            <sz val="9"/>
            <color rgb="FF000000"/>
            <rFont val="Tahoma"/>
            <family val="2"/>
          </rPr>
          <t>Based on looking at some flight data</t>
        </r>
      </text>
    </comment>
    <comment ref="Q263" authorId="0" shapeId="0" xr:uid="{00000000-0006-0000-0000-000050000000}">
      <text>
        <r>
          <rPr>
            <sz val="10"/>
            <rFont val="Arial"/>
            <family val="2"/>
          </rPr>
          <t xml:space="preserve">Peter Kollmann:
</t>
        </r>
        <r>
          <rPr>
            <sz val="9"/>
            <color rgb="FF000000"/>
            <rFont val="Tahoma"/>
            <family val="2"/>
          </rPr>
          <t>2.25Mb/day for PEPSSI-90 rate with 3600,90,7200,300</t>
        </r>
      </text>
    </comment>
    <comment ref="I267" authorId="0" shapeId="0" xr:uid="{00000000-0006-0000-0000-00004B000000}">
      <text>
        <r>
          <rPr>
            <sz val="10"/>
            <rFont val="Arial"/>
            <family val="2"/>
          </rPr>
          <t xml:space="preserve">Jaskulek, Steve:
</t>
        </r>
        <r>
          <rPr>
            <sz val="9"/>
            <color rgb="FF000000"/>
            <rFont val="Tahoma"/>
            <family val="2"/>
          </rPr>
          <t>based on Grahams's estimate of buffer size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6" authorId="0" shapeId="0" xr:uid="{00000000-0006-0000-0B00-000001000000}">
      <text>
        <r>
          <rPr>
            <sz val="10"/>
            <rFont val="Arial"/>
            <family val="2"/>
          </rPr>
          <t xml:space="preserve">Jaskulek, Steve:
</t>
        </r>
        <r>
          <rPr>
            <sz val="9"/>
            <color rgb="FF000000"/>
            <rFont val="Tahoma"/>
            <family val="2"/>
          </rPr>
          <t>Based on looking at some flight V5 data</t>
        </r>
      </text>
    </comment>
    <comment ref="I8" authorId="0" shapeId="0" xr:uid="{00000000-0006-0000-0B00-000002000000}">
      <text>
        <r>
          <rPr>
            <sz val="10"/>
            <rFont val="Arial"/>
            <family val="2"/>
          </rPr>
          <t xml:space="preserve">Jaskulek, Steve:
</t>
        </r>
        <r>
          <rPr>
            <sz val="9"/>
            <color rgb="FF000000"/>
            <rFont val="Tahoma"/>
            <family val="2"/>
          </rPr>
          <t>Based on looking at some flight V5 data</t>
        </r>
      </text>
    </comment>
    <comment ref="I14" authorId="0" shapeId="0" xr:uid="{00000000-0006-0000-0B00-000003000000}">
      <text>
        <r>
          <rPr>
            <sz val="10"/>
            <rFont val="Arial"/>
            <family val="2"/>
          </rPr>
          <t xml:space="preserve">Jaskulek, Steve:
</t>
        </r>
        <r>
          <rPr>
            <sz val="9"/>
            <color rgb="FF000000"/>
            <rFont val="Tahoma"/>
            <family val="2"/>
          </rPr>
          <t>Based on looking at some flight data</t>
        </r>
      </text>
    </comment>
    <comment ref="I15" authorId="0" shapeId="0" xr:uid="{00000000-0006-0000-0B00-000004000000}">
      <text>
        <r>
          <rPr>
            <sz val="10"/>
            <rFont val="Arial"/>
            <family val="2"/>
          </rPr>
          <t xml:space="preserve">Jaskulek, Steve:
</t>
        </r>
        <r>
          <rPr>
            <sz val="9"/>
            <color rgb="FF000000"/>
            <rFont val="Tahoma"/>
            <family val="2"/>
          </rPr>
          <t>Based on looking at some flight data</t>
        </r>
      </text>
    </comment>
    <comment ref="I16" authorId="0" shapeId="0" xr:uid="{00000000-0006-0000-0B00-000005000000}">
      <text>
        <r>
          <rPr>
            <sz val="10"/>
            <rFont val="Arial"/>
            <family val="2"/>
          </rPr>
          <t xml:space="preserve">Jaskulek, Steve:
</t>
        </r>
        <r>
          <rPr>
            <sz val="9"/>
            <color rgb="FF000000"/>
            <rFont val="Tahoma"/>
            <family val="2"/>
          </rPr>
          <t>Based on looking at some flight data</t>
        </r>
      </text>
    </comment>
    <comment ref="I23" authorId="0" shapeId="0" xr:uid="{00000000-0006-0000-0B00-000006000000}">
      <text>
        <r>
          <rPr>
            <sz val="10"/>
            <rFont val="Arial"/>
            <family val="2"/>
          </rPr>
          <t xml:space="preserve">Jaskulek, Steve:
</t>
        </r>
        <r>
          <rPr>
            <sz val="9"/>
            <color rgb="FF000000"/>
            <rFont val="Tahoma"/>
            <family val="2"/>
          </rPr>
          <t>based on Grahams's estimate of buffer size</t>
        </r>
      </text>
    </comment>
    <comment ref="I25" authorId="0" shapeId="0" xr:uid="{00000000-0006-0000-0B00-000007000000}">
      <text>
        <r>
          <rPr>
            <sz val="10"/>
            <rFont val="Arial"/>
            <family val="2"/>
          </rPr>
          <t xml:space="preserve">Jaskulek, Steve:
</t>
        </r>
        <r>
          <rPr>
            <sz val="9"/>
            <color rgb="FF000000"/>
            <rFont val="Tahoma"/>
            <family val="2"/>
          </rPr>
          <t>limited either by solar activity or by allowed number of bursts (commanded)</t>
        </r>
      </text>
    </comment>
    <comment ref="I26" authorId="0" shapeId="0" xr:uid="{00000000-0006-0000-0B00-000008000000}">
      <text>
        <r>
          <rPr>
            <sz val="10"/>
            <rFont val="Arial"/>
            <family val="2"/>
          </rPr>
          <t xml:space="preserve">Jaskulek, Steve:
</t>
        </r>
        <r>
          <rPr>
            <sz val="9"/>
            <color rgb="FF000000"/>
            <rFont val="Tahoma"/>
            <family val="2"/>
          </rPr>
          <t>limited either by solar activity or by allowed number of bursts (commanded)</t>
        </r>
      </text>
    </comment>
    <comment ref="I44" authorId="0" shapeId="0" xr:uid="{00000000-0006-0000-0B00-000009000000}">
      <text>
        <r>
          <rPr>
            <sz val="10"/>
            <rFont val="Arial"/>
            <family val="2"/>
          </rPr>
          <t xml:space="preserve">Jaskulek, Steve:
</t>
        </r>
        <r>
          <rPr>
            <sz val="9"/>
            <color rgb="FF000000"/>
            <rFont val="Tahoma"/>
            <family val="2"/>
          </rPr>
          <t>Based on looking at some flight data</t>
        </r>
      </text>
    </comment>
    <comment ref="I45" authorId="0" shapeId="0" xr:uid="{00000000-0006-0000-0B00-00000A000000}">
      <text>
        <r>
          <rPr>
            <sz val="10"/>
            <rFont val="Arial"/>
            <family val="2"/>
          </rPr>
          <t xml:space="preserve">Jaskulek, Steve:
</t>
        </r>
        <r>
          <rPr>
            <sz val="9"/>
            <color rgb="FF000000"/>
            <rFont val="Tahoma"/>
            <family val="2"/>
          </rPr>
          <t>Based on looking at some flight data</t>
        </r>
      </text>
    </comment>
    <comment ref="I46" authorId="0" shapeId="0" xr:uid="{00000000-0006-0000-0B00-00000B000000}">
      <text>
        <r>
          <rPr>
            <sz val="10"/>
            <rFont val="Arial"/>
            <family val="2"/>
          </rPr>
          <t xml:space="preserve">Jaskulek, Steve:
</t>
        </r>
        <r>
          <rPr>
            <sz val="9"/>
            <color rgb="FF000000"/>
            <rFont val="Tahoma"/>
            <family val="2"/>
          </rPr>
          <t>Based on looking at some flight data</t>
        </r>
      </text>
    </comment>
    <comment ref="I53" authorId="0" shapeId="0" xr:uid="{00000000-0006-0000-0B00-00000C000000}">
      <text>
        <r>
          <rPr>
            <sz val="10"/>
            <rFont val="Arial"/>
            <family val="2"/>
          </rPr>
          <t xml:space="preserve">Jaskulek, Steve:
</t>
        </r>
        <r>
          <rPr>
            <sz val="9"/>
            <color rgb="FF000000"/>
            <rFont val="Tahoma"/>
            <family val="2"/>
          </rPr>
          <t>based on Grahams's estimate of buffer size</t>
        </r>
      </text>
    </comment>
    <comment ref="I55" authorId="0" shapeId="0" xr:uid="{00000000-0006-0000-0B00-00000D000000}">
      <text>
        <r>
          <rPr>
            <sz val="10"/>
            <rFont val="Arial"/>
            <family val="2"/>
          </rPr>
          <t xml:space="preserve">Jaskulek, Steve:
</t>
        </r>
        <r>
          <rPr>
            <sz val="9"/>
            <color rgb="FF000000"/>
            <rFont val="Tahoma"/>
            <family val="2"/>
          </rPr>
          <t>limited either by solar activity or by allowed number of bursts (commanded)</t>
        </r>
      </text>
    </comment>
    <comment ref="I56" authorId="0" shapeId="0" xr:uid="{00000000-0006-0000-0B00-00000E000000}">
      <text>
        <r>
          <rPr>
            <sz val="10"/>
            <rFont val="Arial"/>
            <family val="2"/>
          </rPr>
          <t xml:space="preserve">Jaskulek, Steve:
</t>
        </r>
        <r>
          <rPr>
            <sz val="9"/>
            <color rgb="FF000000"/>
            <rFont val="Tahoma"/>
            <family val="2"/>
          </rPr>
          <t>limited either by solar activity or by allowed number of bursts (commanded)</t>
        </r>
      </text>
    </comment>
    <comment ref="I64" authorId="0" shapeId="0" xr:uid="{00000000-0006-0000-0B00-00000F000000}">
      <text>
        <r>
          <rPr>
            <sz val="10"/>
            <rFont val="Arial"/>
            <family val="2"/>
          </rPr>
          <t xml:space="preserve">Jaskulek, Steve:
</t>
        </r>
        <r>
          <rPr>
            <sz val="9"/>
            <color rgb="FF000000"/>
            <rFont val="Tahoma"/>
            <family val="2"/>
          </rPr>
          <t>Based on looking at some flight data</t>
        </r>
      </text>
    </comment>
    <comment ref="I65" authorId="0" shapeId="0" xr:uid="{00000000-0006-0000-0B00-000010000000}">
      <text>
        <r>
          <rPr>
            <sz val="10"/>
            <rFont val="Arial"/>
            <family val="2"/>
          </rPr>
          <t xml:space="preserve">Jaskulek, Steve:
</t>
        </r>
        <r>
          <rPr>
            <sz val="9"/>
            <color rgb="FF000000"/>
            <rFont val="Tahoma"/>
            <family val="2"/>
          </rPr>
          <t>Based on looking at some flight data</t>
        </r>
      </text>
    </comment>
    <comment ref="I66" authorId="0" shapeId="0" xr:uid="{00000000-0006-0000-0B00-000011000000}">
      <text>
        <r>
          <rPr>
            <sz val="10"/>
            <rFont val="Arial"/>
            <family val="2"/>
          </rPr>
          <t xml:space="preserve">Jaskulek, Steve:
</t>
        </r>
        <r>
          <rPr>
            <sz val="9"/>
            <color rgb="FF000000"/>
            <rFont val="Tahoma"/>
            <family val="2"/>
          </rPr>
          <t>Based on looking at some flight data</t>
        </r>
      </text>
    </comment>
    <comment ref="I72" authorId="0" shapeId="0" xr:uid="{00000000-0006-0000-0B00-000012000000}">
      <text>
        <r>
          <rPr>
            <sz val="10"/>
            <rFont val="Arial"/>
            <family val="2"/>
          </rPr>
          <t xml:space="preserve">Jaskulek, Steve:
</t>
        </r>
        <r>
          <rPr>
            <sz val="9"/>
            <color rgb="FF000000"/>
            <rFont val="Tahoma"/>
            <family val="2"/>
          </rPr>
          <t>Based on looking at some flight data</t>
        </r>
      </text>
    </comment>
    <comment ref="I73" authorId="0" shapeId="0" xr:uid="{00000000-0006-0000-0B00-000013000000}">
      <text>
        <r>
          <rPr>
            <sz val="10"/>
            <rFont val="Arial"/>
            <family val="2"/>
          </rPr>
          <t xml:space="preserve">Jaskulek, Steve:
</t>
        </r>
        <r>
          <rPr>
            <sz val="9"/>
            <color rgb="FF000000"/>
            <rFont val="Tahoma"/>
            <family val="2"/>
          </rPr>
          <t>Based on looking at some flight data</t>
        </r>
      </text>
    </comment>
    <comment ref="I74" authorId="0" shapeId="0" xr:uid="{00000000-0006-0000-0B00-000014000000}">
      <text>
        <r>
          <rPr>
            <sz val="10"/>
            <rFont val="Arial"/>
            <family val="2"/>
          </rPr>
          <t xml:space="preserve">Jaskulek, Steve:
</t>
        </r>
        <r>
          <rPr>
            <sz val="9"/>
            <color rgb="FF000000"/>
            <rFont val="Tahoma"/>
            <family val="2"/>
          </rPr>
          <t>Based on looking at some flight data</t>
        </r>
      </text>
    </comment>
    <comment ref="I81" authorId="0" shapeId="0" xr:uid="{00000000-0006-0000-0B00-000015000000}">
      <text>
        <r>
          <rPr>
            <sz val="10"/>
            <rFont val="Arial"/>
            <family val="2"/>
          </rPr>
          <t xml:space="preserve">Jaskulek, Steve:
</t>
        </r>
        <r>
          <rPr>
            <sz val="9"/>
            <color rgb="FF000000"/>
            <rFont val="Tahoma"/>
            <family val="2"/>
          </rPr>
          <t>based on Grahams's estimate of buffer size</t>
        </r>
      </text>
    </comment>
    <comment ref="I83" authorId="0" shapeId="0" xr:uid="{00000000-0006-0000-0B00-000016000000}">
      <text>
        <r>
          <rPr>
            <sz val="10"/>
            <rFont val="Arial"/>
            <family val="2"/>
          </rPr>
          <t xml:space="preserve">Jaskulek, Steve:
</t>
        </r>
        <r>
          <rPr>
            <sz val="9"/>
            <color rgb="FF000000"/>
            <rFont val="Tahoma"/>
            <family val="2"/>
          </rPr>
          <t>limited either by solar activity or by allowed number of bursts (commanded)</t>
        </r>
      </text>
    </comment>
    <comment ref="I84" authorId="0" shapeId="0" xr:uid="{00000000-0006-0000-0B00-000017000000}">
      <text>
        <r>
          <rPr>
            <sz val="10"/>
            <rFont val="Arial"/>
            <family val="2"/>
          </rPr>
          <t xml:space="preserve">Jaskulek, Steve:
</t>
        </r>
        <r>
          <rPr>
            <sz val="9"/>
            <color rgb="FF000000"/>
            <rFont val="Tahoma"/>
            <family val="2"/>
          </rPr>
          <t>limited either by solar activity or by allowed number of bursts (commanded)</t>
        </r>
      </text>
    </comment>
    <comment ref="I94" authorId="0" shapeId="0" xr:uid="{00000000-0006-0000-0B00-000018000000}">
      <text>
        <r>
          <rPr>
            <sz val="10"/>
            <rFont val="Arial"/>
            <family val="2"/>
          </rPr>
          <t xml:space="preserve">Jaskulek, Steve:
</t>
        </r>
        <r>
          <rPr>
            <sz val="9"/>
            <color rgb="FF000000"/>
            <rFont val="Tahoma"/>
            <family val="2"/>
          </rPr>
          <t>Based on looking at some flight data</t>
        </r>
      </text>
    </comment>
    <comment ref="I95" authorId="0" shapeId="0" xr:uid="{00000000-0006-0000-0B00-000019000000}">
      <text>
        <r>
          <rPr>
            <sz val="10"/>
            <rFont val="Arial"/>
            <family val="2"/>
          </rPr>
          <t xml:space="preserve">Jaskulek, Steve:
</t>
        </r>
        <r>
          <rPr>
            <sz val="9"/>
            <color rgb="FF000000"/>
            <rFont val="Tahoma"/>
            <family val="2"/>
          </rPr>
          <t>Based on looking at some flight data</t>
        </r>
      </text>
    </comment>
    <comment ref="I96" authorId="0" shapeId="0" xr:uid="{00000000-0006-0000-0B00-00001A000000}">
      <text>
        <r>
          <rPr>
            <sz val="10"/>
            <rFont val="Arial"/>
            <family val="2"/>
          </rPr>
          <t xml:space="preserve">Jaskulek, Steve:
</t>
        </r>
        <r>
          <rPr>
            <sz val="9"/>
            <color rgb="FF000000"/>
            <rFont val="Tahoma"/>
            <family val="2"/>
          </rPr>
          <t>Based on looking at some flight data</t>
        </r>
      </text>
    </comment>
    <comment ref="I102" authorId="0" shapeId="0" xr:uid="{00000000-0006-0000-0B00-00001B000000}">
      <text>
        <r>
          <rPr>
            <sz val="10"/>
            <rFont val="Arial"/>
            <family val="2"/>
          </rPr>
          <t xml:space="preserve">Jaskulek, Steve:
</t>
        </r>
        <r>
          <rPr>
            <sz val="9"/>
            <color rgb="FF000000"/>
            <rFont val="Tahoma"/>
            <family val="2"/>
          </rPr>
          <t>Based on looking at some flight data</t>
        </r>
      </text>
    </comment>
    <comment ref="I103" authorId="0" shapeId="0" xr:uid="{00000000-0006-0000-0B00-00001C000000}">
      <text>
        <r>
          <rPr>
            <sz val="10"/>
            <rFont val="Arial"/>
            <family val="2"/>
          </rPr>
          <t xml:space="preserve">Jaskulek, Steve:
</t>
        </r>
        <r>
          <rPr>
            <sz val="9"/>
            <color rgb="FF000000"/>
            <rFont val="Tahoma"/>
            <family val="2"/>
          </rPr>
          <t>Based on looking at some flight data</t>
        </r>
      </text>
    </comment>
    <comment ref="I104" authorId="0" shapeId="0" xr:uid="{00000000-0006-0000-0B00-00001D000000}">
      <text>
        <r>
          <rPr>
            <sz val="10"/>
            <rFont val="Arial"/>
            <family val="2"/>
          </rPr>
          <t xml:space="preserve">Jaskulek, Steve:
</t>
        </r>
        <r>
          <rPr>
            <sz val="9"/>
            <color rgb="FF000000"/>
            <rFont val="Tahoma"/>
            <family val="2"/>
          </rPr>
          <t>Based on looking at some flight data</t>
        </r>
      </text>
    </comment>
    <comment ref="I111" authorId="0" shapeId="0" xr:uid="{00000000-0006-0000-0B00-00001E000000}">
      <text>
        <r>
          <rPr>
            <sz val="10"/>
            <rFont val="Arial"/>
            <family val="2"/>
          </rPr>
          <t xml:space="preserve">Jaskulek, Steve:
</t>
        </r>
        <r>
          <rPr>
            <sz val="9"/>
            <color rgb="FF000000"/>
            <rFont val="Tahoma"/>
            <family val="2"/>
          </rPr>
          <t>based on Grahams's estimate of buffer size</t>
        </r>
      </text>
    </comment>
    <comment ref="I113" authorId="0" shapeId="0" xr:uid="{00000000-0006-0000-0B00-00001F000000}">
      <text>
        <r>
          <rPr>
            <sz val="10"/>
            <rFont val="Arial"/>
            <family val="2"/>
          </rPr>
          <t xml:space="preserve">Jaskulek, Steve:
</t>
        </r>
        <r>
          <rPr>
            <sz val="9"/>
            <color rgb="FF000000"/>
            <rFont val="Tahoma"/>
            <family val="2"/>
          </rPr>
          <t>limited either by solar activity or by allowed number of bursts (commanded)</t>
        </r>
      </text>
    </comment>
    <comment ref="I114" authorId="0" shapeId="0" xr:uid="{00000000-0006-0000-0B00-000020000000}">
      <text>
        <r>
          <rPr>
            <sz val="10"/>
            <rFont val="Arial"/>
            <family val="2"/>
          </rPr>
          <t xml:space="preserve">Jaskulek, Steve:
</t>
        </r>
        <r>
          <rPr>
            <sz val="9"/>
            <color rgb="FF000000"/>
            <rFont val="Tahoma"/>
            <family val="2"/>
          </rPr>
          <t>limited either by solar activity or by allowed number of bursts (commanded)</t>
        </r>
      </text>
    </comment>
    <comment ref="I123" authorId="0" shapeId="0" xr:uid="{00000000-0006-0000-0B00-000021000000}">
      <text>
        <r>
          <rPr>
            <sz val="10"/>
            <rFont val="Arial"/>
            <family val="2"/>
          </rPr>
          <t xml:space="preserve">Jaskulek, Steve:
</t>
        </r>
        <r>
          <rPr>
            <sz val="9"/>
            <color rgb="FF000000"/>
            <rFont val="Tahoma"/>
            <family val="2"/>
          </rPr>
          <t>Based on looking at some flight data</t>
        </r>
      </text>
    </comment>
    <comment ref="I124" authorId="0" shapeId="0" xr:uid="{00000000-0006-0000-0B00-000022000000}">
      <text>
        <r>
          <rPr>
            <sz val="10"/>
            <rFont val="Arial"/>
            <family val="2"/>
          </rPr>
          <t xml:space="preserve">Jaskulek, Steve:
</t>
        </r>
        <r>
          <rPr>
            <sz val="9"/>
            <color rgb="FF000000"/>
            <rFont val="Tahoma"/>
            <family val="2"/>
          </rPr>
          <t>Based on looking at some flight data</t>
        </r>
      </text>
    </comment>
    <comment ref="I125" authorId="0" shapeId="0" xr:uid="{00000000-0006-0000-0B00-000023000000}">
      <text>
        <r>
          <rPr>
            <sz val="10"/>
            <rFont val="Arial"/>
            <family val="2"/>
          </rPr>
          <t xml:space="preserve">Jaskulek, Steve:
</t>
        </r>
        <r>
          <rPr>
            <sz val="9"/>
            <color rgb="FF000000"/>
            <rFont val="Tahoma"/>
            <family val="2"/>
          </rPr>
          <t>Based on looking at some flight data</t>
        </r>
      </text>
    </comment>
    <comment ref="I131" authorId="0" shapeId="0" xr:uid="{00000000-0006-0000-0B00-000024000000}">
      <text>
        <r>
          <rPr>
            <sz val="10"/>
            <rFont val="Arial"/>
            <family val="2"/>
          </rPr>
          <t xml:space="preserve">Jaskulek, Steve:
</t>
        </r>
        <r>
          <rPr>
            <sz val="9"/>
            <color rgb="FF000000"/>
            <rFont val="Tahoma"/>
            <family val="2"/>
          </rPr>
          <t>Based on looking at some flight data</t>
        </r>
      </text>
    </comment>
    <comment ref="I132" authorId="0" shapeId="0" xr:uid="{00000000-0006-0000-0B00-000025000000}">
      <text>
        <r>
          <rPr>
            <sz val="10"/>
            <rFont val="Arial"/>
            <family val="2"/>
          </rPr>
          <t xml:space="preserve">Jaskulek, Steve:
</t>
        </r>
        <r>
          <rPr>
            <sz val="9"/>
            <color rgb="FF000000"/>
            <rFont val="Tahoma"/>
            <family val="2"/>
          </rPr>
          <t>Based on looking at some flight data</t>
        </r>
      </text>
    </comment>
    <comment ref="I133" authorId="0" shapeId="0" xr:uid="{00000000-0006-0000-0B00-000026000000}">
      <text>
        <r>
          <rPr>
            <sz val="10"/>
            <rFont val="Arial"/>
            <family val="2"/>
          </rPr>
          <t xml:space="preserve">Jaskulek, Steve:
</t>
        </r>
        <r>
          <rPr>
            <sz val="9"/>
            <color rgb="FF000000"/>
            <rFont val="Tahoma"/>
            <family val="2"/>
          </rPr>
          <t>Based on looking at some flight data</t>
        </r>
      </text>
    </comment>
    <comment ref="I140" authorId="0" shapeId="0" xr:uid="{00000000-0006-0000-0B00-000027000000}">
      <text>
        <r>
          <rPr>
            <sz val="10"/>
            <rFont val="Arial"/>
            <family val="2"/>
          </rPr>
          <t xml:space="preserve">Jaskulek, Steve:
</t>
        </r>
        <r>
          <rPr>
            <sz val="9"/>
            <color rgb="FF000000"/>
            <rFont val="Tahoma"/>
            <family val="2"/>
          </rPr>
          <t>based on Grahams's estimate of buffer size</t>
        </r>
      </text>
    </comment>
    <comment ref="I142" authorId="0" shapeId="0" xr:uid="{00000000-0006-0000-0B00-000028000000}">
      <text>
        <r>
          <rPr>
            <sz val="10"/>
            <rFont val="Arial"/>
            <family val="2"/>
          </rPr>
          <t xml:space="preserve">Jaskulek, Steve:
</t>
        </r>
        <r>
          <rPr>
            <sz val="9"/>
            <color rgb="FF000000"/>
            <rFont val="Tahoma"/>
            <family val="2"/>
          </rPr>
          <t>limited either by solar activity or by allowed number of bursts (commanded)</t>
        </r>
      </text>
    </comment>
    <comment ref="I143" authorId="0" shapeId="0" xr:uid="{00000000-0006-0000-0B00-000029000000}">
      <text>
        <r>
          <rPr>
            <sz val="10"/>
            <rFont val="Arial"/>
            <family val="2"/>
          </rPr>
          <t xml:space="preserve">Jaskulek, Steve:
</t>
        </r>
        <r>
          <rPr>
            <sz val="9"/>
            <color rgb="FF000000"/>
            <rFont val="Tahoma"/>
            <family val="2"/>
          </rPr>
          <t>limited either by solar activity or by allowed number of bursts (commanded)</t>
        </r>
      </text>
    </comment>
    <comment ref="I153" authorId="0" shapeId="0" xr:uid="{00000000-0006-0000-0B00-00002A000000}">
      <text>
        <r>
          <rPr>
            <sz val="10"/>
            <rFont val="Arial"/>
            <family val="2"/>
          </rPr>
          <t xml:space="preserve">Jaskulek, Steve:
</t>
        </r>
        <r>
          <rPr>
            <sz val="9"/>
            <color rgb="FF000000"/>
            <rFont val="Tahoma"/>
            <family val="2"/>
          </rPr>
          <t>Based on looking at some flight data</t>
        </r>
      </text>
    </comment>
    <comment ref="I154" authorId="0" shapeId="0" xr:uid="{00000000-0006-0000-0B00-00002B000000}">
      <text>
        <r>
          <rPr>
            <sz val="10"/>
            <rFont val="Arial"/>
            <family val="2"/>
          </rPr>
          <t xml:space="preserve">Jaskulek, Steve:
</t>
        </r>
        <r>
          <rPr>
            <sz val="9"/>
            <color rgb="FF000000"/>
            <rFont val="Tahoma"/>
            <family val="2"/>
          </rPr>
          <t>Based on looking at some flight data</t>
        </r>
      </text>
    </comment>
    <comment ref="I155" authorId="0" shapeId="0" xr:uid="{00000000-0006-0000-0B00-00002C000000}">
      <text>
        <r>
          <rPr>
            <sz val="10"/>
            <rFont val="Arial"/>
            <family val="2"/>
          </rPr>
          <t xml:space="preserve">Jaskulek, Steve:
</t>
        </r>
        <r>
          <rPr>
            <sz val="9"/>
            <color rgb="FF000000"/>
            <rFont val="Tahoma"/>
            <family val="2"/>
          </rPr>
          <t>Based on looking at some flight data</t>
        </r>
      </text>
    </comment>
    <comment ref="I161" authorId="0" shapeId="0" xr:uid="{00000000-0006-0000-0B00-00002D000000}">
      <text>
        <r>
          <rPr>
            <sz val="10"/>
            <rFont val="Arial"/>
            <family val="2"/>
          </rPr>
          <t xml:space="preserve">Jaskulek, Steve:
</t>
        </r>
        <r>
          <rPr>
            <sz val="9"/>
            <color rgb="FF000000"/>
            <rFont val="Tahoma"/>
            <family val="2"/>
          </rPr>
          <t>Based on looking at some flight data</t>
        </r>
      </text>
    </comment>
    <comment ref="I162" authorId="0" shapeId="0" xr:uid="{00000000-0006-0000-0B00-00002E000000}">
      <text>
        <r>
          <rPr>
            <sz val="10"/>
            <rFont val="Arial"/>
            <family val="2"/>
          </rPr>
          <t xml:space="preserve">Jaskulek, Steve:
</t>
        </r>
        <r>
          <rPr>
            <sz val="9"/>
            <color rgb="FF000000"/>
            <rFont val="Tahoma"/>
            <family val="2"/>
          </rPr>
          <t>Based on looking at some flight data</t>
        </r>
      </text>
    </comment>
    <comment ref="I163" authorId="0" shapeId="0" xr:uid="{00000000-0006-0000-0B00-00002F000000}">
      <text>
        <r>
          <rPr>
            <sz val="10"/>
            <rFont val="Arial"/>
            <family val="2"/>
          </rPr>
          <t xml:space="preserve">Jaskulek, Steve:
</t>
        </r>
        <r>
          <rPr>
            <sz val="9"/>
            <color rgb="FF000000"/>
            <rFont val="Tahoma"/>
            <family val="2"/>
          </rPr>
          <t>Based on looking at some flight data</t>
        </r>
      </text>
    </comment>
    <comment ref="I170" authorId="0" shapeId="0" xr:uid="{00000000-0006-0000-0B00-000030000000}">
      <text>
        <r>
          <rPr>
            <sz val="10"/>
            <rFont val="Arial"/>
            <family val="2"/>
          </rPr>
          <t xml:space="preserve">Jaskulek, Steve:
</t>
        </r>
        <r>
          <rPr>
            <sz val="9"/>
            <color rgb="FF000000"/>
            <rFont val="Tahoma"/>
            <family val="2"/>
          </rPr>
          <t>based on Grahams's estimate of buffer size</t>
        </r>
      </text>
    </comment>
    <comment ref="I172" authorId="0" shapeId="0" xr:uid="{00000000-0006-0000-0B00-000031000000}">
      <text>
        <r>
          <rPr>
            <sz val="10"/>
            <rFont val="Arial"/>
            <family val="2"/>
          </rPr>
          <t xml:space="preserve">Jaskulek, Steve:
</t>
        </r>
        <r>
          <rPr>
            <sz val="9"/>
            <color rgb="FF000000"/>
            <rFont val="Tahoma"/>
            <family val="2"/>
          </rPr>
          <t>limited either by solar activity or by allowed number of bursts (commanded)</t>
        </r>
      </text>
    </comment>
    <comment ref="I173" authorId="0" shapeId="0" xr:uid="{00000000-0006-0000-0B00-000032000000}">
      <text>
        <r>
          <rPr>
            <sz val="10"/>
            <rFont val="Arial"/>
            <family val="2"/>
          </rPr>
          <t xml:space="preserve">Jaskulek, Steve:
</t>
        </r>
        <r>
          <rPr>
            <sz val="9"/>
            <color rgb="FF000000"/>
            <rFont val="Tahoma"/>
            <family val="2"/>
          </rPr>
          <t>limited either by solar activity or by allowed number of bursts (commanded)</t>
        </r>
      </text>
    </comment>
    <comment ref="I182" authorId="0" shapeId="0" xr:uid="{00000000-0006-0000-0B00-000033000000}">
      <text>
        <r>
          <rPr>
            <sz val="10"/>
            <rFont val="Arial"/>
            <family val="2"/>
          </rPr>
          <t xml:space="preserve">Jaskulek, Steve:
</t>
        </r>
        <r>
          <rPr>
            <sz val="9"/>
            <color rgb="FF000000"/>
            <rFont val="Tahoma"/>
            <family val="2"/>
          </rPr>
          <t>Based on looking at some flight data</t>
        </r>
      </text>
    </comment>
    <comment ref="I183" authorId="0" shapeId="0" xr:uid="{00000000-0006-0000-0B00-000034000000}">
      <text>
        <r>
          <rPr>
            <sz val="10"/>
            <rFont val="Arial"/>
            <family val="2"/>
          </rPr>
          <t xml:space="preserve">Jaskulek, Steve:
</t>
        </r>
        <r>
          <rPr>
            <sz val="9"/>
            <color rgb="FF000000"/>
            <rFont val="Tahoma"/>
            <family val="2"/>
          </rPr>
          <t>Based on looking at some flight data</t>
        </r>
      </text>
    </comment>
    <comment ref="I184" authorId="0" shapeId="0" xr:uid="{00000000-0006-0000-0B00-000035000000}">
      <text>
        <r>
          <rPr>
            <sz val="10"/>
            <rFont val="Arial"/>
            <family val="2"/>
          </rPr>
          <t xml:space="preserve">Jaskulek, Steve:
</t>
        </r>
        <r>
          <rPr>
            <sz val="9"/>
            <color rgb="FF000000"/>
            <rFont val="Tahoma"/>
            <family val="2"/>
          </rPr>
          <t>Based on looking at some flight data</t>
        </r>
      </text>
    </comment>
    <comment ref="I190" authorId="0" shapeId="0" xr:uid="{00000000-0006-0000-0B00-000036000000}">
      <text>
        <r>
          <rPr>
            <sz val="10"/>
            <rFont val="Arial"/>
            <family val="2"/>
          </rPr>
          <t xml:space="preserve">Jaskulek, Steve:
</t>
        </r>
        <r>
          <rPr>
            <sz val="9"/>
            <color rgb="FF000000"/>
            <rFont val="Tahoma"/>
            <family val="2"/>
          </rPr>
          <t>Based on looking at some flight data</t>
        </r>
      </text>
    </comment>
    <comment ref="I191" authorId="0" shapeId="0" xr:uid="{00000000-0006-0000-0B00-000037000000}">
      <text>
        <r>
          <rPr>
            <sz val="10"/>
            <rFont val="Arial"/>
            <family val="2"/>
          </rPr>
          <t xml:space="preserve">Jaskulek, Steve:
</t>
        </r>
        <r>
          <rPr>
            <sz val="9"/>
            <color rgb="FF000000"/>
            <rFont val="Tahoma"/>
            <family val="2"/>
          </rPr>
          <t>Based on looking at some flight data</t>
        </r>
      </text>
    </comment>
    <comment ref="I192" authorId="0" shapeId="0" xr:uid="{00000000-0006-0000-0B00-000038000000}">
      <text>
        <r>
          <rPr>
            <sz val="10"/>
            <rFont val="Arial"/>
            <family val="2"/>
          </rPr>
          <t xml:space="preserve">Jaskulek, Steve:
</t>
        </r>
        <r>
          <rPr>
            <sz val="9"/>
            <color rgb="FF000000"/>
            <rFont val="Tahoma"/>
            <family val="2"/>
          </rPr>
          <t>Based on looking at some flight data</t>
        </r>
      </text>
    </comment>
    <comment ref="I199" authorId="0" shapeId="0" xr:uid="{00000000-0006-0000-0B00-000039000000}">
      <text>
        <r>
          <rPr>
            <sz val="10"/>
            <rFont val="Arial"/>
            <family val="2"/>
          </rPr>
          <t xml:space="preserve">Jaskulek, Steve:
</t>
        </r>
        <r>
          <rPr>
            <sz val="9"/>
            <color rgb="FF000000"/>
            <rFont val="Tahoma"/>
            <family val="2"/>
          </rPr>
          <t>based on Grahams's estimate of buffer size</t>
        </r>
      </text>
    </comment>
    <comment ref="I201" authorId="0" shapeId="0" xr:uid="{00000000-0006-0000-0B00-00003A000000}">
      <text>
        <r>
          <rPr>
            <sz val="10"/>
            <rFont val="Arial"/>
            <family val="2"/>
          </rPr>
          <t xml:space="preserve">Jaskulek, Steve:
</t>
        </r>
        <r>
          <rPr>
            <sz val="9"/>
            <color rgb="FF000000"/>
            <rFont val="Tahoma"/>
            <family val="2"/>
          </rPr>
          <t>limited either by solar activity or by allowed number of bursts (commanded)</t>
        </r>
      </text>
    </comment>
    <comment ref="I202" authorId="0" shapeId="0" xr:uid="{00000000-0006-0000-0B00-00003B000000}">
      <text>
        <r>
          <rPr>
            <sz val="10"/>
            <rFont val="Arial"/>
            <family val="2"/>
          </rPr>
          <t xml:space="preserve">Jaskulek, Steve:
</t>
        </r>
        <r>
          <rPr>
            <sz val="9"/>
            <color rgb="FF000000"/>
            <rFont val="Tahoma"/>
            <family val="2"/>
          </rPr>
          <t>limited either by solar activity or by allowed number of bursts (commanded)</t>
        </r>
      </text>
    </comment>
    <comment ref="I222" authorId="0" shapeId="0" xr:uid="{00000000-0006-0000-0B00-00003C000000}">
      <text>
        <r>
          <rPr>
            <sz val="10"/>
            <rFont val="Arial"/>
            <family val="2"/>
          </rPr>
          <t xml:space="preserve">Jaskulek, Steve:
</t>
        </r>
        <r>
          <rPr>
            <sz val="9"/>
            <color rgb="FF000000"/>
            <rFont val="Tahoma"/>
            <family val="2"/>
          </rPr>
          <t>Based on looking at some flight data</t>
        </r>
      </text>
    </comment>
    <comment ref="I223" authorId="0" shapeId="0" xr:uid="{00000000-0006-0000-0B00-00003D000000}">
      <text>
        <r>
          <rPr>
            <sz val="10"/>
            <rFont val="Arial"/>
            <family val="2"/>
          </rPr>
          <t xml:space="preserve">Jaskulek, Steve:
</t>
        </r>
        <r>
          <rPr>
            <sz val="9"/>
            <color rgb="FF000000"/>
            <rFont val="Tahoma"/>
            <family val="2"/>
          </rPr>
          <t>Based on looking at some flight data</t>
        </r>
      </text>
    </comment>
    <comment ref="I224" authorId="0" shapeId="0" xr:uid="{00000000-0006-0000-0B00-00003E000000}">
      <text>
        <r>
          <rPr>
            <sz val="10"/>
            <rFont val="Arial"/>
            <family val="2"/>
          </rPr>
          <t xml:space="preserve">Jaskulek, Steve:
</t>
        </r>
        <r>
          <rPr>
            <sz val="9"/>
            <color rgb="FF000000"/>
            <rFont val="Tahoma"/>
            <family val="2"/>
          </rPr>
          <t>Based on looking at some flight data</t>
        </r>
      </text>
    </comment>
    <comment ref="I230" authorId="0" shapeId="0" xr:uid="{00000000-0006-0000-0B00-00003F000000}">
      <text>
        <r>
          <rPr>
            <sz val="10"/>
            <rFont val="Arial"/>
            <family val="2"/>
          </rPr>
          <t xml:space="preserve">Jaskulek, Steve:
</t>
        </r>
        <r>
          <rPr>
            <sz val="9"/>
            <color rgb="FF000000"/>
            <rFont val="Tahoma"/>
            <family val="2"/>
          </rPr>
          <t>Based on looking at some flight data</t>
        </r>
      </text>
    </comment>
    <comment ref="I231" authorId="0" shapeId="0" xr:uid="{00000000-0006-0000-0B00-000040000000}">
      <text>
        <r>
          <rPr>
            <sz val="10"/>
            <rFont val="Arial"/>
            <family val="2"/>
          </rPr>
          <t xml:space="preserve">Jaskulek, Steve:
</t>
        </r>
        <r>
          <rPr>
            <sz val="9"/>
            <color rgb="FF000000"/>
            <rFont val="Tahoma"/>
            <family val="2"/>
          </rPr>
          <t>Based on looking at some flight data</t>
        </r>
      </text>
    </comment>
    <comment ref="I232" authorId="0" shapeId="0" xr:uid="{00000000-0006-0000-0B00-000041000000}">
      <text>
        <r>
          <rPr>
            <sz val="10"/>
            <rFont val="Arial"/>
            <family val="2"/>
          </rPr>
          <t xml:space="preserve">Jaskulek, Steve:
</t>
        </r>
        <r>
          <rPr>
            <sz val="9"/>
            <color rgb="FF000000"/>
            <rFont val="Tahoma"/>
            <family val="2"/>
          </rPr>
          <t>Based on looking at some flight data</t>
        </r>
      </text>
    </comment>
    <comment ref="I239" authorId="0" shapeId="0" xr:uid="{00000000-0006-0000-0B00-000042000000}">
      <text>
        <r>
          <rPr>
            <sz val="10"/>
            <rFont val="Arial"/>
            <family val="2"/>
          </rPr>
          <t xml:space="preserve">Jaskulek, Steve:
</t>
        </r>
        <r>
          <rPr>
            <sz val="9"/>
            <color rgb="FF000000"/>
            <rFont val="Tahoma"/>
            <family val="2"/>
          </rPr>
          <t>based on Grahams's estimate of buffer size</t>
        </r>
      </text>
    </comment>
    <comment ref="I241" authorId="0" shapeId="0" xr:uid="{00000000-0006-0000-0B00-000043000000}">
      <text>
        <r>
          <rPr>
            <sz val="10"/>
            <rFont val="Arial"/>
            <family val="2"/>
          </rPr>
          <t xml:space="preserve">Jaskulek, Steve:
</t>
        </r>
        <r>
          <rPr>
            <sz val="9"/>
            <color rgb="FF000000"/>
            <rFont val="Tahoma"/>
            <family val="2"/>
          </rPr>
          <t>limited either by solar activity or by allowed number of bursts (commanded)</t>
        </r>
      </text>
    </comment>
    <comment ref="I242" authorId="0" shapeId="0" xr:uid="{00000000-0006-0000-0B00-000044000000}">
      <text>
        <r>
          <rPr>
            <sz val="10"/>
            <rFont val="Arial"/>
            <family val="2"/>
          </rPr>
          <t xml:space="preserve">Jaskulek, Steve:
</t>
        </r>
        <r>
          <rPr>
            <sz val="9"/>
            <color rgb="FF000000"/>
            <rFont val="Tahoma"/>
            <family val="2"/>
          </rPr>
          <t>limited either by solar activity or by allowed number of bursts (commanded)</t>
        </r>
      </text>
    </comment>
    <comment ref="I250" authorId="0" shapeId="0" xr:uid="{00000000-0006-0000-0B00-000045000000}">
      <text>
        <r>
          <rPr>
            <sz val="10"/>
            <rFont val="Arial"/>
            <family val="2"/>
          </rPr>
          <t xml:space="preserve">Jaskulek, Steve:
</t>
        </r>
        <r>
          <rPr>
            <sz val="9"/>
            <color rgb="FF000000"/>
            <rFont val="Tahoma"/>
            <family val="2"/>
          </rPr>
          <t>Based on looking at some flight data</t>
        </r>
      </text>
    </comment>
    <comment ref="N250" authorId="0" shapeId="0" xr:uid="{00000000-0006-0000-0B00-0000A7000000}">
      <text>
        <r>
          <rPr>
            <sz val="10"/>
            <rFont val="Arial"/>
            <family val="2"/>
          </rPr>
          <t xml:space="preserve">Peter Kollmann:
</t>
        </r>
        <r>
          <rPr>
            <sz val="9"/>
            <color rgb="FF000000"/>
            <rFont val="Tahoma"/>
            <family val="2"/>
          </rPr>
          <t>=107-86=21
for 23086
28=135-107
for 23107</t>
        </r>
      </text>
    </comment>
    <comment ref="I251" authorId="0" shapeId="0" xr:uid="{00000000-0006-0000-0B00-000046000000}">
      <text>
        <r>
          <rPr>
            <sz val="10"/>
            <rFont val="Arial"/>
            <family val="2"/>
          </rPr>
          <t xml:space="preserve">Jaskulek, Steve:
</t>
        </r>
        <r>
          <rPr>
            <sz val="9"/>
            <color rgb="FF000000"/>
            <rFont val="Tahoma"/>
            <family val="2"/>
          </rPr>
          <t>Based on looking at some flight data</t>
        </r>
      </text>
    </comment>
    <comment ref="I252" authorId="0" shapeId="0" xr:uid="{00000000-0006-0000-0B00-000047000000}">
      <text>
        <r>
          <rPr>
            <sz val="10"/>
            <rFont val="Arial"/>
            <family val="2"/>
          </rPr>
          <t xml:space="preserve">Jaskulek, Steve:
</t>
        </r>
        <r>
          <rPr>
            <sz val="9"/>
            <color rgb="FF000000"/>
            <rFont val="Tahoma"/>
            <family val="2"/>
          </rPr>
          <t>Based on looking at some flight data</t>
        </r>
      </text>
    </comment>
    <comment ref="P254" authorId="0" shapeId="0" xr:uid="{00000000-0006-0000-0B00-0000C3000000}">
      <text>
        <r>
          <rPr>
            <sz val="10"/>
            <rFont val="Arial"/>
            <family val="2"/>
          </rPr>
          <t xml:space="preserve">Peter Kollmann:
</t>
        </r>
        <r>
          <rPr>
            <sz val="9"/>
            <color rgb="FF000000"/>
            <rFont val="Tahoma"/>
            <family val="2"/>
          </rPr>
          <t>2.25Mb/day for PEPSSI-90 rate with 3600,90,7200,300</t>
        </r>
      </text>
    </comment>
    <comment ref="N257" authorId="0" shapeId="0" xr:uid="{00000000-0006-0000-0B00-0000A8000000}">
      <text>
        <r>
          <rPr>
            <sz val="10"/>
            <rFont val="Arial"/>
            <family val="2"/>
          </rPr>
          <t xml:space="preserve">Peter Kollmann:
</t>
        </r>
        <r>
          <rPr>
            <sz val="9"/>
            <color rgb="FF000000"/>
            <rFont val="Tahoma"/>
            <family val="2"/>
          </rPr>
          <t>66days for DOY69 to 135</t>
        </r>
      </text>
    </comment>
    <comment ref="I258" authorId="0" shapeId="0" xr:uid="{00000000-0006-0000-0B00-000048000000}">
      <text>
        <r>
          <rPr>
            <sz val="10"/>
            <rFont val="Arial"/>
            <family val="2"/>
          </rPr>
          <t xml:space="preserve">Jaskulek, Steve:
</t>
        </r>
        <r>
          <rPr>
            <sz val="9"/>
            <color rgb="FF000000"/>
            <rFont val="Tahoma"/>
            <family val="2"/>
          </rPr>
          <t>Based on looking at some flight data</t>
        </r>
      </text>
    </comment>
    <comment ref="I259" authorId="0" shapeId="0" xr:uid="{00000000-0006-0000-0B00-000049000000}">
      <text>
        <r>
          <rPr>
            <sz val="10"/>
            <rFont val="Arial"/>
            <family val="2"/>
          </rPr>
          <t xml:space="preserve">Jaskulek, Steve:
</t>
        </r>
        <r>
          <rPr>
            <sz val="9"/>
            <color rgb="FF000000"/>
            <rFont val="Tahoma"/>
            <family val="2"/>
          </rPr>
          <t>Based on looking at some flight data</t>
        </r>
      </text>
    </comment>
    <comment ref="Q259" authorId="0" shapeId="0" xr:uid="{00000000-0006-0000-0B00-0000D1000000}">
      <text>
        <r>
          <rPr>
            <sz val="10"/>
            <rFont val="Arial"/>
            <family val="2"/>
          </rPr>
          <t xml:space="preserve">Peter Kollmann:
</t>
        </r>
        <r>
          <rPr>
            <sz val="9"/>
            <color rgb="FF000000"/>
            <rFont val="Tahoma"/>
            <family val="2"/>
          </rPr>
          <t xml:space="preserve">Trigger assessment always comes down (though technically with the HK data)
</t>
        </r>
      </text>
    </comment>
    <comment ref="I260" authorId="0" shapeId="0" xr:uid="{00000000-0006-0000-0B00-00004A000000}">
      <text>
        <r>
          <rPr>
            <sz val="10"/>
            <rFont val="Arial"/>
            <family val="2"/>
          </rPr>
          <t xml:space="preserve">Jaskulek, Steve:
</t>
        </r>
        <r>
          <rPr>
            <sz val="9"/>
            <color rgb="FF000000"/>
            <rFont val="Tahoma"/>
            <family val="2"/>
          </rPr>
          <t>Based on looking at some flight data</t>
        </r>
      </text>
    </comment>
    <comment ref="Q263" authorId="0" shapeId="0" xr:uid="{00000000-0006-0000-0B00-0000D2000000}">
      <text>
        <r>
          <rPr>
            <sz val="10"/>
            <rFont val="Arial"/>
            <family val="2"/>
          </rPr>
          <t xml:space="preserve">Peter Kollmann:
</t>
        </r>
        <r>
          <rPr>
            <sz val="9"/>
            <color rgb="FF000000"/>
            <rFont val="Tahoma"/>
            <family val="2"/>
          </rPr>
          <t>2.25Mb/day for PEPSSI-90 rate with 3600,90,7200,300</t>
        </r>
      </text>
    </comment>
    <comment ref="I267" authorId="0" shapeId="0" xr:uid="{00000000-0006-0000-0B00-00004B000000}">
      <text>
        <r>
          <rPr>
            <sz val="10"/>
            <rFont val="Arial"/>
            <family val="2"/>
          </rPr>
          <t xml:space="preserve">Jaskulek, Steve:
</t>
        </r>
        <r>
          <rPr>
            <sz val="9"/>
            <color rgb="FF000000"/>
            <rFont val="Tahoma"/>
            <family val="2"/>
          </rPr>
          <t>based on Grahams's estimate of buffer size</t>
        </r>
      </text>
    </comment>
    <comment ref="I279" authorId="0" shapeId="0" xr:uid="{00000000-0006-0000-0B00-00004C000000}">
      <text>
        <r>
          <rPr>
            <sz val="10"/>
            <rFont val="Arial"/>
            <family val="2"/>
          </rPr>
          <t xml:space="preserve">Jaskulek, Steve:
</t>
        </r>
        <r>
          <rPr>
            <sz val="9"/>
            <color rgb="FF000000"/>
            <rFont val="Tahoma"/>
            <family val="2"/>
          </rPr>
          <t>Based on looking at some flight data</t>
        </r>
      </text>
    </comment>
    <comment ref="N279" authorId="0" shapeId="0" xr:uid="{00000000-0006-0000-0B00-0000A9000000}">
      <text>
        <r>
          <rPr>
            <sz val="10"/>
            <rFont val="Arial"/>
            <family val="2"/>
          </rPr>
          <t xml:space="preserve">Peter Kollmann:
</t>
        </r>
        <r>
          <rPr>
            <sz val="9"/>
            <color rgb="FF000000"/>
            <rFont val="Tahoma"/>
            <family val="2"/>
          </rPr>
          <t>=107-86=21
for 23086
28=135-107
for 23107</t>
        </r>
      </text>
    </comment>
    <comment ref="I280" authorId="0" shapeId="0" xr:uid="{00000000-0006-0000-0B00-00004D000000}">
      <text>
        <r>
          <rPr>
            <sz val="10"/>
            <rFont val="Arial"/>
            <family val="2"/>
          </rPr>
          <t xml:space="preserve">Jaskulek, Steve:
</t>
        </r>
        <r>
          <rPr>
            <sz val="9"/>
            <color rgb="FF000000"/>
            <rFont val="Tahoma"/>
            <family val="2"/>
          </rPr>
          <t>Based on looking at some flight data</t>
        </r>
      </text>
    </comment>
    <comment ref="I281" authorId="0" shapeId="0" xr:uid="{00000000-0006-0000-0B00-00004E000000}">
      <text>
        <r>
          <rPr>
            <sz val="10"/>
            <rFont val="Arial"/>
            <family val="2"/>
          </rPr>
          <t xml:space="preserve">Jaskulek, Steve:
</t>
        </r>
        <r>
          <rPr>
            <sz val="9"/>
            <color rgb="FF000000"/>
            <rFont val="Tahoma"/>
            <family val="2"/>
          </rPr>
          <t>Based on looking at some flight data</t>
        </r>
      </text>
    </comment>
    <comment ref="P283" authorId="0" shapeId="0" xr:uid="{00000000-0006-0000-0B00-0000C4000000}">
      <text>
        <r>
          <rPr>
            <sz val="10"/>
            <rFont val="Arial"/>
            <family val="2"/>
          </rPr>
          <t xml:space="preserve">Peter Kollmann:
</t>
        </r>
        <r>
          <rPr>
            <sz val="9"/>
            <color rgb="FF000000"/>
            <rFont val="Tahoma"/>
            <family val="2"/>
          </rPr>
          <t>2.25Mb/day for PEPSSI-90 rate with 3600,90,7200,300</t>
        </r>
      </text>
    </comment>
    <comment ref="N286" authorId="0" shapeId="0" xr:uid="{00000000-0006-0000-0B00-0000AA000000}">
      <text>
        <r>
          <rPr>
            <sz val="10"/>
            <rFont val="Arial"/>
            <family val="2"/>
          </rPr>
          <t xml:space="preserve">Peter Kollmann:
</t>
        </r>
        <r>
          <rPr>
            <sz val="9"/>
            <color rgb="FF000000"/>
            <rFont val="Tahoma"/>
            <family val="2"/>
          </rPr>
          <t>66days for DOY69 to 135</t>
        </r>
      </text>
    </comment>
    <comment ref="I287" authorId="0" shapeId="0" xr:uid="{00000000-0006-0000-0B00-00004F000000}">
      <text>
        <r>
          <rPr>
            <sz val="10"/>
            <rFont val="Arial"/>
            <family val="2"/>
          </rPr>
          <t xml:space="preserve">Jaskulek, Steve:
</t>
        </r>
        <r>
          <rPr>
            <sz val="9"/>
            <color rgb="FF000000"/>
            <rFont val="Tahoma"/>
            <family val="2"/>
          </rPr>
          <t>Based on looking at some flight data</t>
        </r>
      </text>
    </comment>
    <comment ref="I288" authorId="0" shapeId="0" xr:uid="{00000000-0006-0000-0B00-000050000000}">
      <text>
        <r>
          <rPr>
            <sz val="10"/>
            <rFont val="Arial"/>
            <family val="2"/>
          </rPr>
          <t xml:space="preserve">Jaskulek, Steve:
</t>
        </r>
        <r>
          <rPr>
            <sz val="9"/>
            <color rgb="FF000000"/>
            <rFont val="Tahoma"/>
            <family val="2"/>
          </rPr>
          <t>Based on looking at some flight data</t>
        </r>
      </text>
    </comment>
    <comment ref="Q288" authorId="0" shapeId="0" xr:uid="{00000000-0006-0000-0B00-0000D3000000}">
      <text>
        <r>
          <rPr>
            <sz val="10"/>
            <rFont val="Arial"/>
            <family val="2"/>
          </rPr>
          <t xml:space="preserve">Peter Kollmann:
</t>
        </r>
        <r>
          <rPr>
            <sz val="9"/>
            <color rgb="FF000000"/>
            <rFont val="Tahoma"/>
            <family val="2"/>
          </rPr>
          <t xml:space="preserve">Trigger assessment always comes down (though technically with the HK data)
</t>
        </r>
      </text>
    </comment>
    <comment ref="I289" authorId="0" shapeId="0" xr:uid="{00000000-0006-0000-0B00-000051000000}">
      <text>
        <r>
          <rPr>
            <sz val="10"/>
            <rFont val="Arial"/>
            <family val="2"/>
          </rPr>
          <t xml:space="preserve">Jaskulek, Steve:
</t>
        </r>
        <r>
          <rPr>
            <sz val="9"/>
            <color rgb="FF000000"/>
            <rFont val="Tahoma"/>
            <family val="2"/>
          </rPr>
          <t>Based on looking at some flight data</t>
        </r>
      </text>
    </comment>
    <comment ref="Q292" authorId="0" shapeId="0" xr:uid="{00000000-0006-0000-0B00-0000D4000000}">
      <text>
        <r>
          <rPr>
            <sz val="10"/>
            <rFont val="Arial"/>
            <family val="2"/>
          </rPr>
          <t xml:space="preserve">Peter Kollmann:
</t>
        </r>
        <r>
          <rPr>
            <sz val="9"/>
            <color rgb="FF000000"/>
            <rFont val="Tahoma"/>
            <family val="2"/>
          </rPr>
          <t>2.25Mb/day for PEPSSI-90 rate with 3600,90,7200,300</t>
        </r>
      </text>
    </comment>
    <comment ref="I296" authorId="0" shapeId="0" xr:uid="{00000000-0006-0000-0B00-000052000000}">
      <text>
        <r>
          <rPr>
            <sz val="10"/>
            <rFont val="Arial"/>
            <family val="2"/>
          </rPr>
          <t xml:space="preserve">Jaskulek, Steve:
</t>
        </r>
        <r>
          <rPr>
            <sz val="9"/>
            <color rgb="FF000000"/>
            <rFont val="Tahoma"/>
            <family val="2"/>
          </rPr>
          <t>based on Grahams's estimate of buffer size</t>
        </r>
      </text>
    </comment>
    <comment ref="I305" authorId="0" shapeId="0" xr:uid="{00000000-0006-0000-0B00-000053000000}">
      <text>
        <r>
          <rPr>
            <sz val="10"/>
            <rFont val="Arial"/>
            <family val="2"/>
          </rPr>
          <t xml:space="preserve">Jaskulek, Steve:
</t>
        </r>
        <r>
          <rPr>
            <sz val="9"/>
            <color rgb="FF000000"/>
            <rFont val="Tahoma"/>
            <family val="2"/>
          </rPr>
          <t>Based on looking at some flight data</t>
        </r>
      </text>
    </comment>
    <comment ref="N305" authorId="0" shapeId="0" xr:uid="{00000000-0006-0000-0B00-0000AB000000}">
      <text>
        <r>
          <rPr>
            <sz val="10"/>
            <rFont val="Arial"/>
            <family val="2"/>
          </rPr>
          <t xml:space="preserve">Peter Kollmann:
</t>
        </r>
        <r>
          <rPr>
            <sz val="9"/>
            <color rgb="FF000000"/>
            <rFont val="Tahoma"/>
            <family val="2"/>
          </rPr>
          <t>=107-86=21
for 23086
28=135-107
for 23107</t>
        </r>
      </text>
    </comment>
    <comment ref="I306" authorId="0" shapeId="0" xr:uid="{00000000-0006-0000-0B00-000054000000}">
      <text>
        <r>
          <rPr>
            <sz val="10"/>
            <rFont val="Arial"/>
            <family val="2"/>
          </rPr>
          <t xml:space="preserve">Jaskulek, Steve:
</t>
        </r>
        <r>
          <rPr>
            <sz val="9"/>
            <color rgb="FF000000"/>
            <rFont val="Tahoma"/>
            <family val="2"/>
          </rPr>
          <t>Based on looking at some flight data</t>
        </r>
      </text>
    </comment>
    <comment ref="I307" authorId="0" shapeId="0" xr:uid="{00000000-0006-0000-0B00-000055000000}">
      <text>
        <r>
          <rPr>
            <sz val="10"/>
            <rFont val="Arial"/>
            <family val="2"/>
          </rPr>
          <t xml:space="preserve">Jaskulek, Steve:
</t>
        </r>
        <r>
          <rPr>
            <sz val="9"/>
            <color rgb="FF000000"/>
            <rFont val="Tahoma"/>
            <family val="2"/>
          </rPr>
          <t>Based on looking at some flight data</t>
        </r>
      </text>
    </comment>
    <comment ref="P309" authorId="0" shapeId="0" xr:uid="{00000000-0006-0000-0B00-0000C5000000}">
      <text>
        <r>
          <rPr>
            <sz val="10"/>
            <rFont val="Arial"/>
            <family val="2"/>
          </rPr>
          <t xml:space="preserve">Peter Kollmann:
</t>
        </r>
        <r>
          <rPr>
            <sz val="9"/>
            <color rgb="FF000000"/>
            <rFont val="Tahoma"/>
            <family val="2"/>
          </rPr>
          <t>2.25Mb/day for PEPSSI-90 rate with 3600,90,7200,300</t>
        </r>
      </text>
    </comment>
    <comment ref="N312" authorId="0" shapeId="0" xr:uid="{00000000-0006-0000-0B00-0000AC000000}">
      <text>
        <r>
          <rPr>
            <sz val="10"/>
            <rFont val="Arial"/>
            <family val="2"/>
          </rPr>
          <t xml:space="preserve">Peter Kollmann:
</t>
        </r>
        <r>
          <rPr>
            <sz val="9"/>
            <color rgb="FF000000"/>
            <rFont val="Tahoma"/>
            <family val="2"/>
          </rPr>
          <t>66days for DOY69 to 135</t>
        </r>
      </text>
    </comment>
    <comment ref="I313" authorId="0" shapeId="0" xr:uid="{00000000-0006-0000-0B00-000056000000}">
      <text>
        <r>
          <rPr>
            <sz val="10"/>
            <rFont val="Arial"/>
            <family val="2"/>
          </rPr>
          <t xml:space="preserve">Jaskulek, Steve:
</t>
        </r>
        <r>
          <rPr>
            <sz val="9"/>
            <color rgb="FF000000"/>
            <rFont val="Tahoma"/>
            <family val="2"/>
          </rPr>
          <t>Based on looking at some flight data</t>
        </r>
      </text>
    </comment>
    <comment ref="I314" authorId="0" shapeId="0" xr:uid="{00000000-0006-0000-0B00-000057000000}">
      <text>
        <r>
          <rPr>
            <sz val="10"/>
            <rFont val="Arial"/>
            <family val="2"/>
          </rPr>
          <t xml:space="preserve">Jaskulek, Steve:
</t>
        </r>
        <r>
          <rPr>
            <sz val="9"/>
            <color rgb="FF000000"/>
            <rFont val="Tahoma"/>
            <family val="2"/>
          </rPr>
          <t>Based on looking at some flight data</t>
        </r>
      </text>
    </comment>
    <comment ref="Q314" authorId="0" shapeId="0" xr:uid="{00000000-0006-0000-0B00-0000D5000000}">
      <text>
        <r>
          <rPr>
            <sz val="10"/>
            <rFont val="Arial"/>
            <family val="2"/>
          </rPr>
          <t xml:space="preserve">Peter Kollmann:
</t>
        </r>
        <r>
          <rPr>
            <sz val="9"/>
            <color rgb="FF000000"/>
            <rFont val="Tahoma"/>
            <family val="2"/>
          </rPr>
          <t xml:space="preserve">Trigger assessment always comes down (though technically with the HK data)
</t>
        </r>
      </text>
    </comment>
    <comment ref="I315" authorId="0" shapeId="0" xr:uid="{00000000-0006-0000-0B00-000058000000}">
      <text>
        <r>
          <rPr>
            <sz val="10"/>
            <rFont val="Arial"/>
            <family val="2"/>
          </rPr>
          <t xml:space="preserve">Jaskulek, Steve:
</t>
        </r>
        <r>
          <rPr>
            <sz val="9"/>
            <color rgb="FF000000"/>
            <rFont val="Tahoma"/>
            <family val="2"/>
          </rPr>
          <t>Based on looking at some flight data</t>
        </r>
      </text>
    </comment>
    <comment ref="Q318" authorId="0" shapeId="0" xr:uid="{00000000-0006-0000-0B00-0000D6000000}">
      <text>
        <r>
          <rPr>
            <sz val="10"/>
            <rFont val="Arial"/>
            <family val="2"/>
          </rPr>
          <t xml:space="preserve">Peter Kollmann:
</t>
        </r>
        <r>
          <rPr>
            <sz val="9"/>
            <color rgb="FF000000"/>
            <rFont val="Tahoma"/>
            <family val="2"/>
          </rPr>
          <t>2.25Mb/day for PEPSSI-90 rate with 3600,90,7200,300</t>
        </r>
      </text>
    </comment>
    <comment ref="I322" authorId="0" shapeId="0" xr:uid="{00000000-0006-0000-0B00-000059000000}">
      <text>
        <r>
          <rPr>
            <sz val="10"/>
            <rFont val="Arial"/>
            <family val="2"/>
          </rPr>
          <t xml:space="preserve">Jaskulek, Steve:
</t>
        </r>
        <r>
          <rPr>
            <sz val="9"/>
            <color rgb="FF000000"/>
            <rFont val="Tahoma"/>
            <family val="2"/>
          </rPr>
          <t>based on Grahams's estimate of buffer size</t>
        </r>
      </text>
    </comment>
    <comment ref="I331" authorId="0" shapeId="0" xr:uid="{00000000-0006-0000-0B00-00005A000000}">
      <text>
        <r>
          <rPr>
            <sz val="10"/>
            <rFont val="Arial"/>
            <family val="2"/>
          </rPr>
          <t xml:space="preserve">Jaskulek, Steve:
</t>
        </r>
        <r>
          <rPr>
            <sz val="9"/>
            <color rgb="FF000000"/>
            <rFont val="Tahoma"/>
            <family val="2"/>
          </rPr>
          <t>Based on looking at some flight data</t>
        </r>
      </text>
    </comment>
    <comment ref="N331" authorId="0" shapeId="0" xr:uid="{00000000-0006-0000-0B00-0000AD000000}">
      <text>
        <r>
          <rPr>
            <sz val="10"/>
            <rFont val="Arial"/>
            <family val="2"/>
          </rPr>
          <t xml:space="preserve">Peter Kollmann:
</t>
        </r>
        <r>
          <rPr>
            <sz val="9"/>
            <color rgb="FF000000"/>
            <rFont val="Tahoma"/>
            <family val="2"/>
          </rPr>
          <t>=107-86=21
for 23086
28=135-107
for 23107</t>
        </r>
      </text>
    </comment>
    <comment ref="I332" authorId="0" shapeId="0" xr:uid="{00000000-0006-0000-0B00-00005B000000}">
      <text>
        <r>
          <rPr>
            <sz val="10"/>
            <rFont val="Arial"/>
            <family val="2"/>
          </rPr>
          <t xml:space="preserve">Jaskulek, Steve:
</t>
        </r>
        <r>
          <rPr>
            <sz val="9"/>
            <color rgb="FF000000"/>
            <rFont val="Tahoma"/>
            <family val="2"/>
          </rPr>
          <t>Based on looking at some flight data</t>
        </r>
      </text>
    </comment>
    <comment ref="I333" authorId="0" shapeId="0" xr:uid="{00000000-0006-0000-0B00-00005C000000}">
      <text>
        <r>
          <rPr>
            <sz val="10"/>
            <rFont val="Arial"/>
            <family val="2"/>
          </rPr>
          <t xml:space="preserve">Jaskulek, Steve:
</t>
        </r>
        <r>
          <rPr>
            <sz val="9"/>
            <color rgb="FF000000"/>
            <rFont val="Tahoma"/>
            <family val="2"/>
          </rPr>
          <t>Based on looking at some flight data</t>
        </r>
      </text>
    </comment>
    <comment ref="P335" authorId="0" shapeId="0" xr:uid="{00000000-0006-0000-0B00-0000C6000000}">
      <text>
        <r>
          <rPr>
            <sz val="10"/>
            <rFont val="Arial"/>
            <family val="2"/>
          </rPr>
          <t xml:space="preserve">Peter Kollmann:
</t>
        </r>
        <r>
          <rPr>
            <sz val="9"/>
            <color rgb="FF000000"/>
            <rFont val="Tahoma"/>
            <family val="2"/>
          </rPr>
          <t>2.25Mb/day for PEPSSI-90 rate with 3600,90,7200,300</t>
        </r>
      </text>
    </comment>
    <comment ref="N338" authorId="0" shapeId="0" xr:uid="{00000000-0006-0000-0B00-0000AE000000}">
      <text>
        <r>
          <rPr>
            <sz val="10"/>
            <rFont val="Arial"/>
            <family val="2"/>
          </rPr>
          <t xml:space="preserve">Peter Kollmann:
</t>
        </r>
        <r>
          <rPr>
            <sz val="9"/>
            <color rgb="FF000000"/>
            <rFont val="Tahoma"/>
            <family val="2"/>
          </rPr>
          <t>66days for DOY69 to 135</t>
        </r>
      </text>
    </comment>
    <comment ref="I339" authorId="0" shapeId="0" xr:uid="{00000000-0006-0000-0B00-00005D000000}">
      <text>
        <r>
          <rPr>
            <sz val="10"/>
            <rFont val="Arial"/>
            <family val="2"/>
          </rPr>
          <t xml:space="preserve">Jaskulek, Steve:
</t>
        </r>
        <r>
          <rPr>
            <sz val="9"/>
            <color rgb="FF000000"/>
            <rFont val="Tahoma"/>
            <family val="2"/>
          </rPr>
          <t>Based on looking at some flight data</t>
        </r>
      </text>
    </comment>
    <comment ref="I340" authorId="0" shapeId="0" xr:uid="{00000000-0006-0000-0B00-00005E000000}">
      <text>
        <r>
          <rPr>
            <sz val="10"/>
            <rFont val="Arial"/>
            <family val="2"/>
          </rPr>
          <t xml:space="preserve">Jaskulek, Steve:
</t>
        </r>
        <r>
          <rPr>
            <sz val="9"/>
            <color rgb="FF000000"/>
            <rFont val="Tahoma"/>
            <family val="2"/>
          </rPr>
          <t>Based on looking at some flight data</t>
        </r>
      </text>
    </comment>
    <comment ref="Q340" authorId="0" shapeId="0" xr:uid="{00000000-0006-0000-0B00-0000D7000000}">
      <text>
        <r>
          <rPr>
            <sz val="10"/>
            <rFont val="Arial"/>
            <family val="2"/>
          </rPr>
          <t xml:space="preserve">Peter Kollmann:
</t>
        </r>
        <r>
          <rPr>
            <sz val="9"/>
            <color rgb="FF000000"/>
            <rFont val="Tahoma"/>
            <family val="2"/>
          </rPr>
          <t xml:space="preserve">Trigger assessment always comes down (though technically with the HK data)
</t>
        </r>
      </text>
    </comment>
    <comment ref="I341" authorId="0" shapeId="0" xr:uid="{00000000-0006-0000-0B00-00005F000000}">
      <text>
        <r>
          <rPr>
            <sz val="10"/>
            <rFont val="Arial"/>
            <family val="2"/>
          </rPr>
          <t xml:space="preserve">Jaskulek, Steve:
</t>
        </r>
        <r>
          <rPr>
            <sz val="9"/>
            <color rgb="FF000000"/>
            <rFont val="Tahoma"/>
            <family val="2"/>
          </rPr>
          <t>Based on looking at some flight data</t>
        </r>
      </text>
    </comment>
    <comment ref="Q344" authorId="0" shapeId="0" xr:uid="{00000000-0006-0000-0B00-0000D8000000}">
      <text>
        <r>
          <rPr>
            <sz val="10"/>
            <rFont val="Arial"/>
            <family val="2"/>
          </rPr>
          <t xml:space="preserve">Peter Kollmann:
</t>
        </r>
        <r>
          <rPr>
            <sz val="9"/>
            <color rgb="FF000000"/>
            <rFont val="Tahoma"/>
            <family val="2"/>
          </rPr>
          <t>2.25Mb/day for PEPSSI-90 rate with 3600,90,7200,300</t>
        </r>
      </text>
    </comment>
    <comment ref="I348" authorId="0" shapeId="0" xr:uid="{00000000-0006-0000-0B00-000060000000}">
      <text>
        <r>
          <rPr>
            <sz val="10"/>
            <rFont val="Arial"/>
            <family val="2"/>
          </rPr>
          <t xml:space="preserve">Jaskulek, Steve:
</t>
        </r>
        <r>
          <rPr>
            <sz val="9"/>
            <color rgb="FF000000"/>
            <rFont val="Tahoma"/>
            <family val="2"/>
          </rPr>
          <t>based on Grahams's estimate of buffer size</t>
        </r>
      </text>
    </comment>
    <comment ref="I358" authorId="0" shapeId="0" xr:uid="{00000000-0006-0000-0B00-000061000000}">
      <text>
        <r>
          <rPr>
            <sz val="10"/>
            <rFont val="Arial"/>
            <family val="2"/>
          </rPr>
          <t xml:space="preserve">Jaskulek, Steve:
</t>
        </r>
        <r>
          <rPr>
            <sz val="9"/>
            <color rgb="FF000000"/>
            <rFont val="Tahoma"/>
            <family val="2"/>
          </rPr>
          <t>Based on looking at some flight data</t>
        </r>
      </text>
    </comment>
    <comment ref="N358" authorId="0" shapeId="0" xr:uid="{00000000-0006-0000-0B00-0000AF000000}">
      <text>
        <r>
          <rPr>
            <sz val="10"/>
            <rFont val="Arial"/>
            <family val="2"/>
          </rPr>
          <t xml:space="preserve">Peter Kollmann:
</t>
        </r>
        <r>
          <rPr>
            <sz val="9"/>
            <color rgb="FF000000"/>
            <rFont val="Tahoma"/>
            <family val="2"/>
          </rPr>
          <t>=107-86=21
for 23086
28=135-107
for 23107</t>
        </r>
      </text>
    </comment>
    <comment ref="I359" authorId="0" shapeId="0" xr:uid="{00000000-0006-0000-0B00-000062000000}">
      <text>
        <r>
          <rPr>
            <sz val="10"/>
            <rFont val="Arial"/>
            <family val="2"/>
          </rPr>
          <t xml:space="preserve">Jaskulek, Steve:
</t>
        </r>
        <r>
          <rPr>
            <sz val="9"/>
            <color rgb="FF000000"/>
            <rFont val="Tahoma"/>
            <family val="2"/>
          </rPr>
          <t>Based on looking at some flight data</t>
        </r>
      </text>
    </comment>
    <comment ref="I360" authorId="0" shapeId="0" xr:uid="{00000000-0006-0000-0B00-000063000000}">
      <text>
        <r>
          <rPr>
            <sz val="10"/>
            <rFont val="Arial"/>
            <family val="2"/>
          </rPr>
          <t xml:space="preserve">Jaskulek, Steve:
</t>
        </r>
        <r>
          <rPr>
            <sz val="9"/>
            <color rgb="FF000000"/>
            <rFont val="Tahoma"/>
            <family val="2"/>
          </rPr>
          <t>Based on looking at some flight data</t>
        </r>
      </text>
    </comment>
    <comment ref="P362" authorId="0" shapeId="0" xr:uid="{00000000-0006-0000-0B00-0000C7000000}">
      <text>
        <r>
          <rPr>
            <sz val="10"/>
            <rFont val="Arial"/>
            <family val="2"/>
          </rPr>
          <t xml:space="preserve">Peter Kollmann:
</t>
        </r>
        <r>
          <rPr>
            <sz val="9"/>
            <color rgb="FF000000"/>
            <rFont val="Tahoma"/>
            <family val="2"/>
          </rPr>
          <t>2.25Mb/day for PEPSSI-90 rate with 3600,90,7200,300</t>
        </r>
      </text>
    </comment>
    <comment ref="N365" authorId="0" shapeId="0" xr:uid="{00000000-0006-0000-0B00-0000B0000000}">
      <text>
        <r>
          <rPr>
            <sz val="10"/>
            <rFont val="Arial"/>
            <family val="2"/>
          </rPr>
          <t xml:space="preserve">Peter Kollmann:
</t>
        </r>
        <r>
          <rPr>
            <sz val="9"/>
            <color rgb="FF000000"/>
            <rFont val="Tahoma"/>
            <family val="2"/>
          </rPr>
          <t>66days for DOY69 to 135</t>
        </r>
      </text>
    </comment>
    <comment ref="I366" authorId="0" shapeId="0" xr:uid="{00000000-0006-0000-0B00-000064000000}">
      <text>
        <r>
          <rPr>
            <sz val="10"/>
            <rFont val="Arial"/>
            <family val="2"/>
          </rPr>
          <t xml:space="preserve">Jaskulek, Steve:
</t>
        </r>
        <r>
          <rPr>
            <sz val="9"/>
            <color rgb="FF000000"/>
            <rFont val="Tahoma"/>
            <family val="2"/>
          </rPr>
          <t>Based on looking at some flight data</t>
        </r>
      </text>
    </comment>
    <comment ref="I367" authorId="0" shapeId="0" xr:uid="{00000000-0006-0000-0B00-000065000000}">
      <text>
        <r>
          <rPr>
            <sz val="10"/>
            <rFont val="Arial"/>
            <family val="2"/>
          </rPr>
          <t xml:space="preserve">Jaskulek, Steve:
</t>
        </r>
        <r>
          <rPr>
            <sz val="9"/>
            <color rgb="FF000000"/>
            <rFont val="Tahoma"/>
            <family val="2"/>
          </rPr>
          <t>Based on looking at some flight data</t>
        </r>
      </text>
    </comment>
    <comment ref="Q367" authorId="0" shapeId="0" xr:uid="{00000000-0006-0000-0B00-0000D9000000}">
      <text>
        <r>
          <rPr>
            <sz val="10"/>
            <rFont val="Arial"/>
            <family val="2"/>
          </rPr>
          <t xml:space="preserve">Peter Kollmann:
</t>
        </r>
        <r>
          <rPr>
            <sz val="9"/>
            <color rgb="FF000000"/>
            <rFont val="Tahoma"/>
            <family val="2"/>
          </rPr>
          <t xml:space="preserve">Trigger assessment always comes down (though technically with the HK data)
</t>
        </r>
      </text>
    </comment>
    <comment ref="I368" authorId="0" shapeId="0" xr:uid="{00000000-0006-0000-0B00-000066000000}">
      <text>
        <r>
          <rPr>
            <sz val="10"/>
            <rFont val="Arial"/>
            <family val="2"/>
          </rPr>
          <t xml:space="preserve">Jaskulek, Steve:
</t>
        </r>
        <r>
          <rPr>
            <sz val="9"/>
            <color rgb="FF000000"/>
            <rFont val="Tahoma"/>
            <family val="2"/>
          </rPr>
          <t>Based on looking at some flight data</t>
        </r>
      </text>
    </comment>
    <comment ref="Q371" authorId="0" shapeId="0" xr:uid="{00000000-0006-0000-0B00-0000DA000000}">
      <text>
        <r>
          <rPr>
            <sz val="10"/>
            <rFont val="Arial"/>
            <family val="2"/>
          </rPr>
          <t xml:space="preserve">Peter Kollmann:
</t>
        </r>
        <r>
          <rPr>
            <sz val="9"/>
            <color rgb="FF000000"/>
            <rFont val="Tahoma"/>
            <family val="2"/>
          </rPr>
          <t>2.25Mb/day for PEPSSI-90 rate with 3600,90,7200,300</t>
        </r>
      </text>
    </comment>
    <comment ref="I375" authorId="0" shapeId="0" xr:uid="{00000000-0006-0000-0B00-000067000000}">
      <text>
        <r>
          <rPr>
            <sz val="10"/>
            <rFont val="Arial"/>
            <family val="2"/>
          </rPr>
          <t xml:space="preserve">Jaskulek, Steve:
</t>
        </r>
        <r>
          <rPr>
            <sz val="9"/>
            <color rgb="FF000000"/>
            <rFont val="Tahoma"/>
            <family val="2"/>
          </rPr>
          <t>based on Grahams's estimate of buffer size</t>
        </r>
      </text>
    </comment>
    <comment ref="I386" authorId="0" shapeId="0" xr:uid="{00000000-0006-0000-0B00-000068000000}">
      <text>
        <r>
          <rPr>
            <sz val="10"/>
            <rFont val="Arial"/>
            <family val="2"/>
          </rPr>
          <t xml:space="preserve">Jaskulek, Steve:
</t>
        </r>
        <r>
          <rPr>
            <sz val="9"/>
            <color rgb="FF000000"/>
            <rFont val="Tahoma"/>
            <family val="2"/>
          </rPr>
          <t>Based on looking at some flight data</t>
        </r>
      </text>
    </comment>
    <comment ref="N386" authorId="0" shapeId="0" xr:uid="{00000000-0006-0000-0B00-0000B1000000}">
      <text>
        <r>
          <rPr>
            <sz val="10"/>
            <rFont val="Arial"/>
            <family val="2"/>
          </rPr>
          <t xml:space="preserve">Peter Kollmann:
</t>
        </r>
        <r>
          <rPr>
            <sz val="9"/>
            <color rgb="FF000000"/>
            <rFont val="Tahoma"/>
            <family val="2"/>
          </rPr>
          <t>=107-86=21
for 23086
28=135-107
for 23107</t>
        </r>
      </text>
    </comment>
    <comment ref="I387" authorId="0" shapeId="0" xr:uid="{00000000-0006-0000-0B00-000069000000}">
      <text>
        <r>
          <rPr>
            <sz val="10"/>
            <rFont val="Arial"/>
            <family val="2"/>
          </rPr>
          <t xml:space="preserve">Jaskulek, Steve:
</t>
        </r>
        <r>
          <rPr>
            <sz val="9"/>
            <color rgb="FF000000"/>
            <rFont val="Tahoma"/>
            <family val="2"/>
          </rPr>
          <t>Based on looking at some flight data</t>
        </r>
      </text>
    </comment>
    <comment ref="I388" authorId="0" shapeId="0" xr:uid="{00000000-0006-0000-0B00-00006A000000}">
      <text>
        <r>
          <rPr>
            <sz val="10"/>
            <rFont val="Arial"/>
            <family val="2"/>
          </rPr>
          <t xml:space="preserve">Jaskulek, Steve:
</t>
        </r>
        <r>
          <rPr>
            <sz val="9"/>
            <color rgb="FF000000"/>
            <rFont val="Tahoma"/>
            <family val="2"/>
          </rPr>
          <t>Based on looking at some flight data</t>
        </r>
      </text>
    </comment>
    <comment ref="P390" authorId="0" shapeId="0" xr:uid="{00000000-0006-0000-0B00-0000C8000000}">
      <text>
        <r>
          <rPr>
            <sz val="10"/>
            <rFont val="Arial"/>
            <family val="2"/>
          </rPr>
          <t xml:space="preserve">Peter Kollmann:
</t>
        </r>
        <r>
          <rPr>
            <sz val="9"/>
            <color rgb="FF000000"/>
            <rFont val="Tahoma"/>
            <family val="2"/>
          </rPr>
          <t>2.25Mb/day for PEPSSI-90 rate with 3600,90,7200,300</t>
        </r>
      </text>
    </comment>
    <comment ref="N393" authorId="0" shapeId="0" xr:uid="{00000000-0006-0000-0B00-0000B2000000}">
      <text>
        <r>
          <rPr>
            <sz val="10"/>
            <rFont val="Arial"/>
            <family val="2"/>
          </rPr>
          <t xml:space="preserve">Peter Kollmann:
</t>
        </r>
        <r>
          <rPr>
            <sz val="9"/>
            <color rgb="FF000000"/>
            <rFont val="Tahoma"/>
            <family val="2"/>
          </rPr>
          <t>66days for DOY69 to 135</t>
        </r>
      </text>
    </comment>
    <comment ref="I394" authorId="0" shapeId="0" xr:uid="{00000000-0006-0000-0B00-00006B000000}">
      <text>
        <r>
          <rPr>
            <sz val="10"/>
            <rFont val="Arial"/>
            <family val="2"/>
          </rPr>
          <t xml:space="preserve">Jaskulek, Steve:
</t>
        </r>
        <r>
          <rPr>
            <sz val="9"/>
            <color rgb="FF000000"/>
            <rFont val="Tahoma"/>
            <family val="2"/>
          </rPr>
          <t>Based on looking at some flight data</t>
        </r>
      </text>
    </comment>
    <comment ref="I395" authorId="0" shapeId="0" xr:uid="{00000000-0006-0000-0B00-00006C000000}">
      <text>
        <r>
          <rPr>
            <sz val="10"/>
            <rFont val="Arial"/>
            <family val="2"/>
          </rPr>
          <t xml:space="preserve">Jaskulek, Steve:
</t>
        </r>
        <r>
          <rPr>
            <sz val="9"/>
            <color rgb="FF000000"/>
            <rFont val="Tahoma"/>
            <family val="2"/>
          </rPr>
          <t>Based on looking at some flight data</t>
        </r>
      </text>
    </comment>
    <comment ref="Q395" authorId="0" shapeId="0" xr:uid="{00000000-0006-0000-0B00-0000DB000000}">
      <text>
        <r>
          <rPr>
            <sz val="10"/>
            <rFont val="Arial"/>
            <family val="2"/>
          </rPr>
          <t xml:space="preserve">Peter Kollmann:
</t>
        </r>
        <r>
          <rPr>
            <sz val="9"/>
            <color rgb="FF000000"/>
            <rFont val="Tahoma"/>
            <family val="2"/>
          </rPr>
          <t xml:space="preserve">Trigger assessment always comes down (though technically with the HK data)
</t>
        </r>
      </text>
    </comment>
    <comment ref="I396" authorId="0" shapeId="0" xr:uid="{00000000-0006-0000-0B00-00006D000000}">
      <text>
        <r>
          <rPr>
            <sz val="10"/>
            <rFont val="Arial"/>
            <family val="2"/>
          </rPr>
          <t xml:space="preserve">Jaskulek, Steve:
</t>
        </r>
        <r>
          <rPr>
            <sz val="9"/>
            <color rgb="FF000000"/>
            <rFont val="Tahoma"/>
            <family val="2"/>
          </rPr>
          <t>Based on looking at some flight data</t>
        </r>
      </text>
    </comment>
    <comment ref="Q399" authorId="0" shapeId="0" xr:uid="{00000000-0006-0000-0B00-0000DC000000}">
      <text>
        <r>
          <rPr>
            <sz val="10"/>
            <rFont val="Arial"/>
            <family val="2"/>
          </rPr>
          <t xml:space="preserve">Peter Kollmann:
</t>
        </r>
        <r>
          <rPr>
            <sz val="9"/>
            <color rgb="FF000000"/>
            <rFont val="Tahoma"/>
            <family val="2"/>
          </rPr>
          <t>2.25Mb/day for PEPSSI-90 rate with 3600,90,7200,300</t>
        </r>
      </text>
    </comment>
    <comment ref="I403" authorId="0" shapeId="0" xr:uid="{00000000-0006-0000-0B00-00006E000000}">
      <text>
        <r>
          <rPr>
            <sz val="10"/>
            <rFont val="Arial"/>
            <family val="2"/>
          </rPr>
          <t xml:space="preserve">Jaskulek, Steve:
</t>
        </r>
        <r>
          <rPr>
            <sz val="9"/>
            <color rgb="FF000000"/>
            <rFont val="Tahoma"/>
            <family val="2"/>
          </rPr>
          <t>based on Grahams's estimate of buffer size</t>
        </r>
      </text>
    </comment>
    <comment ref="I417" authorId="0" shapeId="0" xr:uid="{00000000-0006-0000-0B00-00006F000000}">
      <text>
        <r>
          <rPr>
            <sz val="10"/>
            <rFont val="Arial"/>
            <family val="2"/>
          </rPr>
          <t xml:space="preserve">Jaskulek, Steve:
</t>
        </r>
        <r>
          <rPr>
            <sz val="9"/>
            <color rgb="FF000000"/>
            <rFont val="Tahoma"/>
            <family val="2"/>
          </rPr>
          <t>Based on looking at some flight data</t>
        </r>
      </text>
    </comment>
    <comment ref="N417" authorId="0" shapeId="0" xr:uid="{00000000-0006-0000-0B00-0000B3000000}">
      <text>
        <r>
          <rPr>
            <sz val="10"/>
            <rFont val="Arial"/>
            <family val="2"/>
          </rPr>
          <t xml:space="preserve">Peter Kollmann:
</t>
        </r>
        <r>
          <rPr>
            <sz val="9"/>
            <color rgb="FF000000"/>
            <rFont val="Tahoma"/>
            <family val="2"/>
          </rPr>
          <t>=107-86=21
for 23086
28=135-107
for 23107</t>
        </r>
      </text>
    </comment>
    <comment ref="I418" authorId="0" shapeId="0" xr:uid="{00000000-0006-0000-0B00-000070000000}">
      <text>
        <r>
          <rPr>
            <sz val="10"/>
            <rFont val="Arial"/>
            <family val="2"/>
          </rPr>
          <t xml:space="preserve">Jaskulek, Steve:
</t>
        </r>
        <r>
          <rPr>
            <sz val="9"/>
            <color rgb="FF000000"/>
            <rFont val="Tahoma"/>
            <family val="2"/>
          </rPr>
          <t>Based on looking at some flight data</t>
        </r>
      </text>
    </comment>
    <comment ref="I419" authorId="0" shapeId="0" xr:uid="{00000000-0006-0000-0B00-000071000000}">
      <text>
        <r>
          <rPr>
            <sz val="10"/>
            <rFont val="Arial"/>
            <family val="2"/>
          </rPr>
          <t xml:space="preserve">Jaskulek, Steve:
</t>
        </r>
        <r>
          <rPr>
            <sz val="9"/>
            <color rgb="FF000000"/>
            <rFont val="Tahoma"/>
            <family val="2"/>
          </rPr>
          <t>Based on looking at some flight data</t>
        </r>
      </text>
    </comment>
    <comment ref="P421" authorId="0" shapeId="0" xr:uid="{00000000-0006-0000-0B00-0000C9000000}">
      <text>
        <r>
          <rPr>
            <sz val="10"/>
            <rFont val="Arial"/>
            <family val="2"/>
          </rPr>
          <t xml:space="preserve">Peter Kollmann:
</t>
        </r>
        <r>
          <rPr>
            <sz val="9"/>
            <color rgb="FF000000"/>
            <rFont val="Tahoma"/>
            <family val="2"/>
          </rPr>
          <t>2.25Mb/day for PEPSSI-90 rate with 3600,90,7200,300</t>
        </r>
      </text>
    </comment>
    <comment ref="N424" authorId="0" shapeId="0" xr:uid="{00000000-0006-0000-0B00-0000B4000000}">
      <text>
        <r>
          <rPr>
            <sz val="10"/>
            <rFont val="Arial"/>
            <family val="2"/>
          </rPr>
          <t xml:space="preserve">Peter Kollmann:
</t>
        </r>
        <r>
          <rPr>
            <sz val="9"/>
            <color rgb="FF000000"/>
            <rFont val="Tahoma"/>
            <family val="2"/>
          </rPr>
          <t>66days for DOY69 to 135</t>
        </r>
      </text>
    </comment>
    <comment ref="I425" authorId="0" shapeId="0" xr:uid="{00000000-0006-0000-0B00-000072000000}">
      <text>
        <r>
          <rPr>
            <sz val="10"/>
            <rFont val="Arial"/>
            <family val="2"/>
          </rPr>
          <t xml:space="preserve">Jaskulek, Steve:
</t>
        </r>
        <r>
          <rPr>
            <sz val="9"/>
            <color rgb="FF000000"/>
            <rFont val="Tahoma"/>
            <family val="2"/>
          </rPr>
          <t>Based on looking at some flight data</t>
        </r>
      </text>
    </comment>
    <comment ref="I426" authorId="0" shapeId="0" xr:uid="{00000000-0006-0000-0B00-000073000000}">
      <text>
        <r>
          <rPr>
            <sz val="10"/>
            <rFont val="Arial"/>
            <family val="2"/>
          </rPr>
          <t xml:space="preserve">Jaskulek, Steve:
</t>
        </r>
        <r>
          <rPr>
            <sz val="9"/>
            <color rgb="FF000000"/>
            <rFont val="Tahoma"/>
            <family val="2"/>
          </rPr>
          <t>Based on looking at some flight data</t>
        </r>
      </text>
    </comment>
    <comment ref="Q426" authorId="0" shapeId="0" xr:uid="{00000000-0006-0000-0B00-0000DD000000}">
      <text>
        <r>
          <rPr>
            <sz val="10"/>
            <rFont val="Arial"/>
            <family val="2"/>
          </rPr>
          <t xml:space="preserve">Peter Kollmann:
</t>
        </r>
        <r>
          <rPr>
            <sz val="9"/>
            <color rgb="FF000000"/>
            <rFont val="Tahoma"/>
            <family val="2"/>
          </rPr>
          <t xml:space="preserve">Trigger assessment always comes down (though technically with the HK data)
</t>
        </r>
      </text>
    </comment>
    <comment ref="I427" authorId="0" shapeId="0" xr:uid="{00000000-0006-0000-0B00-000074000000}">
      <text>
        <r>
          <rPr>
            <sz val="10"/>
            <rFont val="Arial"/>
            <family val="2"/>
          </rPr>
          <t xml:space="preserve">Jaskulek, Steve:
</t>
        </r>
        <r>
          <rPr>
            <sz val="9"/>
            <color rgb="FF000000"/>
            <rFont val="Tahoma"/>
            <family val="2"/>
          </rPr>
          <t>Based on looking at some flight data</t>
        </r>
      </text>
    </comment>
    <comment ref="Q430" authorId="0" shapeId="0" xr:uid="{00000000-0006-0000-0B00-0000DE000000}">
      <text>
        <r>
          <rPr>
            <sz val="10"/>
            <rFont val="Arial"/>
            <family val="2"/>
          </rPr>
          <t xml:space="preserve">Peter Kollmann:
</t>
        </r>
        <r>
          <rPr>
            <sz val="9"/>
            <color rgb="FF000000"/>
            <rFont val="Tahoma"/>
            <family val="2"/>
          </rPr>
          <t>2.25Mb/day for PEPSSI-90 rate with 3600,90,7200,300</t>
        </r>
      </text>
    </comment>
    <comment ref="I434" authorId="0" shapeId="0" xr:uid="{00000000-0006-0000-0B00-000075000000}">
      <text>
        <r>
          <rPr>
            <sz val="10"/>
            <rFont val="Arial"/>
            <family val="2"/>
          </rPr>
          <t xml:space="preserve">Jaskulek, Steve:
</t>
        </r>
        <r>
          <rPr>
            <sz val="9"/>
            <color rgb="FF000000"/>
            <rFont val="Tahoma"/>
            <family val="2"/>
          </rPr>
          <t>based on Grahams's estimate of buffer size</t>
        </r>
      </text>
    </comment>
    <comment ref="I446" authorId="0" shapeId="0" xr:uid="{00000000-0006-0000-0B00-000076000000}">
      <text>
        <r>
          <rPr>
            <sz val="10"/>
            <rFont val="Arial"/>
            <family val="2"/>
          </rPr>
          <t xml:space="preserve">Jaskulek, Steve:
</t>
        </r>
        <r>
          <rPr>
            <sz val="9"/>
            <color rgb="FF000000"/>
            <rFont val="Tahoma"/>
            <family val="2"/>
          </rPr>
          <t>Based on looking at some flight data</t>
        </r>
      </text>
    </comment>
    <comment ref="N446" authorId="0" shapeId="0" xr:uid="{00000000-0006-0000-0B00-0000B5000000}">
      <text>
        <r>
          <rPr>
            <sz val="10"/>
            <rFont val="Arial"/>
            <family val="2"/>
          </rPr>
          <t xml:space="preserve">Peter Kollmann:
</t>
        </r>
        <r>
          <rPr>
            <sz val="9"/>
            <color rgb="FF000000"/>
            <rFont val="Tahoma"/>
            <family val="2"/>
          </rPr>
          <t>=107-86=21
for 23086
28=135-107
for 23107</t>
        </r>
      </text>
    </comment>
    <comment ref="I447" authorId="0" shapeId="0" xr:uid="{00000000-0006-0000-0B00-000077000000}">
      <text>
        <r>
          <rPr>
            <sz val="10"/>
            <rFont val="Arial"/>
            <family val="2"/>
          </rPr>
          <t xml:space="preserve">Jaskulek, Steve:
</t>
        </r>
        <r>
          <rPr>
            <sz val="9"/>
            <color rgb="FF000000"/>
            <rFont val="Tahoma"/>
            <family val="2"/>
          </rPr>
          <t>Based on looking at some flight data</t>
        </r>
      </text>
    </comment>
    <comment ref="I448" authorId="0" shapeId="0" xr:uid="{00000000-0006-0000-0B00-000078000000}">
      <text>
        <r>
          <rPr>
            <sz val="10"/>
            <rFont val="Arial"/>
            <family val="2"/>
          </rPr>
          <t xml:space="preserve">Jaskulek, Steve:
</t>
        </r>
        <r>
          <rPr>
            <sz val="9"/>
            <color rgb="FF000000"/>
            <rFont val="Tahoma"/>
            <family val="2"/>
          </rPr>
          <t>Based on looking at some flight data</t>
        </r>
      </text>
    </comment>
    <comment ref="P450" authorId="0" shapeId="0" xr:uid="{00000000-0006-0000-0B00-0000CA000000}">
      <text>
        <r>
          <rPr>
            <sz val="10"/>
            <rFont val="Arial"/>
            <family val="2"/>
          </rPr>
          <t xml:space="preserve">Peter Kollmann:
</t>
        </r>
        <r>
          <rPr>
            <sz val="9"/>
            <color rgb="FF000000"/>
            <rFont val="Tahoma"/>
            <family val="2"/>
          </rPr>
          <t>2.25Mb/day for PEPSSI-90 rate with 3600,90,7200,300</t>
        </r>
      </text>
    </comment>
    <comment ref="N453" authorId="0" shapeId="0" xr:uid="{00000000-0006-0000-0B00-0000B6000000}">
      <text>
        <r>
          <rPr>
            <sz val="10"/>
            <rFont val="Arial"/>
            <family val="2"/>
          </rPr>
          <t xml:space="preserve">Peter Kollmann:
</t>
        </r>
        <r>
          <rPr>
            <sz val="9"/>
            <color rgb="FF000000"/>
            <rFont val="Tahoma"/>
            <family val="2"/>
          </rPr>
          <t>66days for DOY69 to 135</t>
        </r>
      </text>
    </comment>
    <comment ref="I454" authorId="0" shapeId="0" xr:uid="{00000000-0006-0000-0B00-000079000000}">
      <text>
        <r>
          <rPr>
            <sz val="10"/>
            <rFont val="Arial"/>
            <family val="2"/>
          </rPr>
          <t xml:space="preserve">Jaskulek, Steve:
</t>
        </r>
        <r>
          <rPr>
            <sz val="9"/>
            <color rgb="FF000000"/>
            <rFont val="Tahoma"/>
            <family val="2"/>
          </rPr>
          <t>Based on looking at some flight data</t>
        </r>
      </text>
    </comment>
    <comment ref="I455" authorId="0" shapeId="0" xr:uid="{00000000-0006-0000-0B00-00007A000000}">
      <text>
        <r>
          <rPr>
            <sz val="10"/>
            <rFont val="Arial"/>
            <family val="2"/>
          </rPr>
          <t xml:space="preserve">Jaskulek, Steve:
</t>
        </r>
        <r>
          <rPr>
            <sz val="9"/>
            <color rgb="FF000000"/>
            <rFont val="Tahoma"/>
            <family val="2"/>
          </rPr>
          <t>Based on looking at some flight data</t>
        </r>
      </text>
    </comment>
    <comment ref="Q455" authorId="0" shapeId="0" xr:uid="{00000000-0006-0000-0B00-0000DF000000}">
      <text>
        <r>
          <rPr>
            <sz val="10"/>
            <rFont val="Arial"/>
            <family val="2"/>
          </rPr>
          <t xml:space="preserve">Peter Kollmann:
</t>
        </r>
        <r>
          <rPr>
            <sz val="9"/>
            <color rgb="FF000000"/>
            <rFont val="Tahoma"/>
            <family val="2"/>
          </rPr>
          <t xml:space="preserve">Trigger assessment always comes down (though technically with the HK data)
</t>
        </r>
      </text>
    </comment>
    <comment ref="I456" authorId="0" shapeId="0" xr:uid="{00000000-0006-0000-0B00-00007B000000}">
      <text>
        <r>
          <rPr>
            <sz val="10"/>
            <rFont val="Arial"/>
            <family val="2"/>
          </rPr>
          <t xml:space="preserve">Jaskulek, Steve:
</t>
        </r>
        <r>
          <rPr>
            <sz val="9"/>
            <color rgb="FF000000"/>
            <rFont val="Tahoma"/>
            <family val="2"/>
          </rPr>
          <t>Based on looking at some flight data</t>
        </r>
      </text>
    </comment>
    <comment ref="Q459" authorId="0" shapeId="0" xr:uid="{00000000-0006-0000-0B00-0000E0000000}">
      <text>
        <r>
          <rPr>
            <sz val="10"/>
            <rFont val="Arial"/>
            <family val="2"/>
          </rPr>
          <t xml:space="preserve">Peter Kollmann:
</t>
        </r>
        <r>
          <rPr>
            <sz val="9"/>
            <color rgb="FF000000"/>
            <rFont val="Tahoma"/>
            <family val="2"/>
          </rPr>
          <t>2.25Mb/day for PEPSSI-90 rate with 3600,90,7200,300</t>
        </r>
      </text>
    </comment>
    <comment ref="I463" authorId="0" shapeId="0" xr:uid="{00000000-0006-0000-0B00-00007C000000}">
      <text>
        <r>
          <rPr>
            <sz val="10"/>
            <rFont val="Arial"/>
            <family val="2"/>
          </rPr>
          <t xml:space="preserve">Jaskulek, Steve:
</t>
        </r>
        <r>
          <rPr>
            <sz val="9"/>
            <color rgb="FF000000"/>
            <rFont val="Tahoma"/>
            <family val="2"/>
          </rPr>
          <t>based on Grahams's estimate of buffer size</t>
        </r>
      </text>
    </comment>
    <comment ref="I474" authorId="0" shapeId="0" xr:uid="{00000000-0006-0000-0B00-00007D000000}">
      <text>
        <r>
          <rPr>
            <sz val="10"/>
            <rFont val="Arial"/>
            <family val="2"/>
          </rPr>
          <t xml:space="preserve">Jaskulek, Steve:
</t>
        </r>
        <r>
          <rPr>
            <sz val="9"/>
            <color rgb="FF000000"/>
            <rFont val="Tahoma"/>
            <family val="2"/>
          </rPr>
          <t>Based on looking at some flight data</t>
        </r>
      </text>
    </comment>
    <comment ref="N474" authorId="0" shapeId="0" xr:uid="{00000000-0006-0000-0B00-0000B7000000}">
      <text>
        <r>
          <rPr>
            <sz val="10"/>
            <rFont val="Arial"/>
            <family val="2"/>
          </rPr>
          <t xml:space="preserve">Peter Kollmann:
</t>
        </r>
        <r>
          <rPr>
            <sz val="9"/>
            <color rgb="FF000000"/>
            <rFont val="Tahoma"/>
            <family val="2"/>
          </rPr>
          <t>=107-86=21
for 23086
28=135-107
for 23107</t>
        </r>
      </text>
    </comment>
    <comment ref="I475" authorId="0" shapeId="0" xr:uid="{00000000-0006-0000-0B00-00007E000000}">
      <text>
        <r>
          <rPr>
            <sz val="10"/>
            <rFont val="Arial"/>
            <family val="2"/>
          </rPr>
          <t xml:space="preserve">Jaskulek, Steve:
</t>
        </r>
        <r>
          <rPr>
            <sz val="9"/>
            <color rgb="FF000000"/>
            <rFont val="Tahoma"/>
            <family val="2"/>
          </rPr>
          <t>Based on looking at some flight data</t>
        </r>
      </text>
    </comment>
    <comment ref="I476" authorId="0" shapeId="0" xr:uid="{00000000-0006-0000-0B00-00007F000000}">
      <text>
        <r>
          <rPr>
            <sz val="10"/>
            <rFont val="Arial"/>
            <family val="2"/>
          </rPr>
          <t xml:space="preserve">Jaskulek, Steve:
</t>
        </r>
        <r>
          <rPr>
            <sz val="9"/>
            <color rgb="FF000000"/>
            <rFont val="Tahoma"/>
            <family val="2"/>
          </rPr>
          <t>Based on looking at some flight data</t>
        </r>
      </text>
    </comment>
    <comment ref="P478" authorId="0" shapeId="0" xr:uid="{00000000-0006-0000-0B00-0000CB000000}">
      <text>
        <r>
          <rPr>
            <sz val="10"/>
            <rFont val="Arial"/>
            <family val="2"/>
          </rPr>
          <t xml:space="preserve">Peter Kollmann:
</t>
        </r>
        <r>
          <rPr>
            <sz val="9"/>
            <color rgb="FF000000"/>
            <rFont val="Tahoma"/>
            <family val="2"/>
          </rPr>
          <t>2.25Mb/day for PEPSSI-90 rate with 3600,90,7200,300</t>
        </r>
      </text>
    </comment>
    <comment ref="N481" authorId="0" shapeId="0" xr:uid="{00000000-0006-0000-0B00-0000B8000000}">
      <text>
        <r>
          <rPr>
            <sz val="10"/>
            <rFont val="Arial"/>
            <family val="2"/>
          </rPr>
          <t xml:space="preserve">Peter Kollmann:
</t>
        </r>
        <r>
          <rPr>
            <sz val="9"/>
            <color rgb="FF000000"/>
            <rFont val="Tahoma"/>
            <family val="2"/>
          </rPr>
          <t>66days for DOY69 to 135</t>
        </r>
      </text>
    </comment>
    <comment ref="I482" authorId="0" shapeId="0" xr:uid="{00000000-0006-0000-0B00-000080000000}">
      <text>
        <r>
          <rPr>
            <sz val="10"/>
            <rFont val="Arial"/>
            <family val="2"/>
          </rPr>
          <t xml:space="preserve">Jaskulek, Steve:
</t>
        </r>
        <r>
          <rPr>
            <sz val="9"/>
            <color rgb="FF000000"/>
            <rFont val="Tahoma"/>
            <family val="2"/>
          </rPr>
          <t>Based on looking at some flight data</t>
        </r>
      </text>
    </comment>
    <comment ref="I483" authorId="0" shapeId="0" xr:uid="{00000000-0006-0000-0B00-000081000000}">
      <text>
        <r>
          <rPr>
            <sz val="10"/>
            <rFont val="Arial"/>
            <family val="2"/>
          </rPr>
          <t xml:space="preserve">Jaskulek, Steve:
</t>
        </r>
        <r>
          <rPr>
            <sz val="9"/>
            <color rgb="FF000000"/>
            <rFont val="Tahoma"/>
            <family val="2"/>
          </rPr>
          <t>Based on looking at some flight data</t>
        </r>
      </text>
    </comment>
    <comment ref="Q483" authorId="0" shapeId="0" xr:uid="{00000000-0006-0000-0B00-0000E1000000}">
      <text>
        <r>
          <rPr>
            <sz val="10"/>
            <rFont val="Arial"/>
            <family val="2"/>
          </rPr>
          <t xml:space="preserve">Peter Kollmann:
</t>
        </r>
        <r>
          <rPr>
            <sz val="9"/>
            <color rgb="FF000000"/>
            <rFont val="Tahoma"/>
            <family val="2"/>
          </rPr>
          <t xml:space="preserve">Trigger assessment always comes down (though technically with the HK data)
</t>
        </r>
      </text>
    </comment>
    <comment ref="I484" authorId="0" shapeId="0" xr:uid="{00000000-0006-0000-0B00-000082000000}">
      <text>
        <r>
          <rPr>
            <sz val="10"/>
            <rFont val="Arial"/>
            <family val="2"/>
          </rPr>
          <t xml:space="preserve">Jaskulek, Steve:
</t>
        </r>
        <r>
          <rPr>
            <sz val="9"/>
            <color rgb="FF000000"/>
            <rFont val="Tahoma"/>
            <family val="2"/>
          </rPr>
          <t>Based on looking at some flight data</t>
        </r>
      </text>
    </comment>
    <comment ref="Q487" authorId="0" shapeId="0" xr:uid="{00000000-0006-0000-0B00-0000E2000000}">
      <text>
        <r>
          <rPr>
            <sz val="10"/>
            <rFont val="Arial"/>
            <family val="2"/>
          </rPr>
          <t xml:space="preserve">Peter Kollmann:
</t>
        </r>
        <r>
          <rPr>
            <sz val="9"/>
            <color rgb="FF000000"/>
            <rFont val="Tahoma"/>
            <family val="2"/>
          </rPr>
          <t>2.25Mb/day for PEPSSI-90 rate with 3600,90,7200,300</t>
        </r>
      </text>
    </comment>
    <comment ref="I491" authorId="0" shapeId="0" xr:uid="{00000000-0006-0000-0B00-000083000000}">
      <text>
        <r>
          <rPr>
            <sz val="10"/>
            <rFont val="Arial"/>
            <family val="2"/>
          </rPr>
          <t xml:space="preserve">Jaskulek, Steve:
</t>
        </r>
        <r>
          <rPr>
            <sz val="9"/>
            <color rgb="FF000000"/>
            <rFont val="Tahoma"/>
            <family val="2"/>
          </rPr>
          <t>based on Grahams's estimate of buffer size</t>
        </r>
      </text>
    </comment>
    <comment ref="I502" authorId="0" shapeId="0" xr:uid="{00000000-0006-0000-0B00-000084000000}">
      <text>
        <r>
          <rPr>
            <sz val="10"/>
            <rFont val="Arial"/>
            <family val="2"/>
          </rPr>
          <t xml:space="preserve">Jaskulek, Steve:
</t>
        </r>
        <r>
          <rPr>
            <sz val="9"/>
            <color rgb="FF000000"/>
            <rFont val="Tahoma"/>
            <family val="2"/>
          </rPr>
          <t>Based on looking at some flight data</t>
        </r>
      </text>
    </comment>
    <comment ref="N502" authorId="0" shapeId="0" xr:uid="{00000000-0006-0000-0B00-0000B9000000}">
      <text>
        <r>
          <rPr>
            <sz val="10"/>
            <rFont val="Arial"/>
            <family val="2"/>
          </rPr>
          <t xml:space="preserve">Peter Kollmann:
</t>
        </r>
        <r>
          <rPr>
            <sz val="9"/>
            <color rgb="FF000000"/>
            <rFont val="Tahoma"/>
            <family val="2"/>
          </rPr>
          <t>=107-86=21
for 23086
28=135-107
for 23107</t>
        </r>
      </text>
    </comment>
    <comment ref="I503" authorId="0" shapeId="0" xr:uid="{00000000-0006-0000-0B00-000085000000}">
      <text>
        <r>
          <rPr>
            <sz val="10"/>
            <rFont val="Arial"/>
            <family val="2"/>
          </rPr>
          <t xml:space="preserve">Jaskulek, Steve:
</t>
        </r>
        <r>
          <rPr>
            <sz val="9"/>
            <color rgb="FF000000"/>
            <rFont val="Tahoma"/>
            <family val="2"/>
          </rPr>
          <t>Based on looking at some flight data</t>
        </r>
      </text>
    </comment>
    <comment ref="I504" authorId="0" shapeId="0" xr:uid="{00000000-0006-0000-0B00-000086000000}">
      <text>
        <r>
          <rPr>
            <sz val="10"/>
            <rFont val="Arial"/>
            <family val="2"/>
          </rPr>
          <t xml:space="preserve">Jaskulek, Steve:
</t>
        </r>
        <r>
          <rPr>
            <sz val="9"/>
            <color rgb="FF000000"/>
            <rFont val="Tahoma"/>
            <family val="2"/>
          </rPr>
          <t>Based on looking at some flight data</t>
        </r>
      </text>
    </comment>
    <comment ref="P506" authorId="0" shapeId="0" xr:uid="{00000000-0006-0000-0B00-0000CC000000}">
      <text>
        <r>
          <rPr>
            <sz val="10"/>
            <rFont val="Arial"/>
            <family val="2"/>
          </rPr>
          <t xml:space="preserve">Peter Kollmann:
</t>
        </r>
        <r>
          <rPr>
            <sz val="9"/>
            <color rgb="FF000000"/>
            <rFont val="Tahoma"/>
            <family val="2"/>
          </rPr>
          <t>2.25Mb/day for PEPSSI-90 rate with 3600,90,7200,300</t>
        </r>
      </text>
    </comment>
    <comment ref="N509" authorId="0" shapeId="0" xr:uid="{00000000-0006-0000-0B00-0000BA000000}">
      <text>
        <r>
          <rPr>
            <sz val="10"/>
            <rFont val="Arial"/>
            <family val="2"/>
          </rPr>
          <t xml:space="preserve">Peter Kollmann:
</t>
        </r>
        <r>
          <rPr>
            <sz val="9"/>
            <color rgb="FF000000"/>
            <rFont val="Tahoma"/>
            <family val="2"/>
          </rPr>
          <t>66days for DOY69 to 135</t>
        </r>
      </text>
    </comment>
    <comment ref="I510" authorId="0" shapeId="0" xr:uid="{00000000-0006-0000-0B00-000087000000}">
      <text>
        <r>
          <rPr>
            <sz val="10"/>
            <rFont val="Arial"/>
            <family val="2"/>
          </rPr>
          <t xml:space="preserve">Jaskulek, Steve:
</t>
        </r>
        <r>
          <rPr>
            <sz val="9"/>
            <color rgb="FF000000"/>
            <rFont val="Tahoma"/>
            <family val="2"/>
          </rPr>
          <t>Based on looking at some flight data</t>
        </r>
      </text>
    </comment>
    <comment ref="I511" authorId="0" shapeId="0" xr:uid="{00000000-0006-0000-0B00-000088000000}">
      <text>
        <r>
          <rPr>
            <sz val="10"/>
            <rFont val="Arial"/>
            <family val="2"/>
          </rPr>
          <t xml:space="preserve">Jaskulek, Steve:
</t>
        </r>
        <r>
          <rPr>
            <sz val="9"/>
            <color rgb="FF000000"/>
            <rFont val="Tahoma"/>
            <family val="2"/>
          </rPr>
          <t>Based on looking at some flight data</t>
        </r>
      </text>
    </comment>
    <comment ref="Q511" authorId="0" shapeId="0" xr:uid="{00000000-0006-0000-0B00-0000E3000000}">
      <text>
        <r>
          <rPr>
            <sz val="10"/>
            <rFont val="Arial"/>
            <family val="2"/>
          </rPr>
          <t xml:space="preserve">Peter Kollmann:
</t>
        </r>
        <r>
          <rPr>
            <sz val="9"/>
            <color rgb="FF000000"/>
            <rFont val="Tahoma"/>
            <family val="2"/>
          </rPr>
          <t xml:space="preserve">Trigger assessment always comes down (though technically with the HK data)
</t>
        </r>
      </text>
    </comment>
    <comment ref="I512" authorId="0" shapeId="0" xr:uid="{00000000-0006-0000-0B00-000089000000}">
      <text>
        <r>
          <rPr>
            <sz val="10"/>
            <rFont val="Arial"/>
            <family val="2"/>
          </rPr>
          <t xml:space="preserve">Jaskulek, Steve:
</t>
        </r>
        <r>
          <rPr>
            <sz val="9"/>
            <color rgb="FF000000"/>
            <rFont val="Tahoma"/>
            <family val="2"/>
          </rPr>
          <t>Based on looking at some flight data</t>
        </r>
      </text>
    </comment>
    <comment ref="Q515" authorId="0" shapeId="0" xr:uid="{00000000-0006-0000-0B00-0000E4000000}">
      <text>
        <r>
          <rPr>
            <sz val="10"/>
            <rFont val="Arial"/>
            <family val="2"/>
          </rPr>
          <t xml:space="preserve">Peter Kollmann:
</t>
        </r>
        <r>
          <rPr>
            <sz val="9"/>
            <color rgb="FF000000"/>
            <rFont val="Tahoma"/>
            <family val="2"/>
          </rPr>
          <t>2.25Mb/day for PEPSSI-90 rate with 3600,90,7200,300</t>
        </r>
      </text>
    </comment>
    <comment ref="I519" authorId="0" shapeId="0" xr:uid="{00000000-0006-0000-0B00-00008A000000}">
      <text>
        <r>
          <rPr>
            <sz val="10"/>
            <rFont val="Arial"/>
            <family val="2"/>
          </rPr>
          <t xml:space="preserve">Jaskulek, Steve:
</t>
        </r>
        <r>
          <rPr>
            <sz val="9"/>
            <color rgb="FF000000"/>
            <rFont val="Tahoma"/>
            <family val="2"/>
          </rPr>
          <t>based on Grahams's estimate of buffer size</t>
        </r>
      </text>
    </comment>
    <comment ref="I531" authorId="0" shapeId="0" xr:uid="{00000000-0006-0000-0B00-00008B000000}">
      <text>
        <r>
          <rPr>
            <sz val="10"/>
            <rFont val="Arial"/>
            <family val="2"/>
          </rPr>
          <t xml:space="preserve">Jaskulek, Steve:
</t>
        </r>
        <r>
          <rPr>
            <sz val="9"/>
            <color rgb="FF000000"/>
            <rFont val="Tahoma"/>
            <family val="2"/>
          </rPr>
          <t>Based on looking at some flight data</t>
        </r>
      </text>
    </comment>
    <comment ref="N531" authorId="0" shapeId="0" xr:uid="{00000000-0006-0000-0B00-0000BB000000}">
      <text>
        <r>
          <rPr>
            <sz val="10"/>
            <rFont val="Arial"/>
            <family val="2"/>
          </rPr>
          <t xml:space="preserve">Peter Kollmann:
</t>
        </r>
        <r>
          <rPr>
            <sz val="9"/>
            <color rgb="FF000000"/>
            <rFont val="Tahoma"/>
            <family val="2"/>
          </rPr>
          <t>=107-86=21
for 23086
28=135-107
for 23107</t>
        </r>
      </text>
    </comment>
    <comment ref="I532" authorId="0" shapeId="0" xr:uid="{00000000-0006-0000-0B00-00008C000000}">
      <text>
        <r>
          <rPr>
            <sz val="10"/>
            <rFont val="Arial"/>
            <family val="2"/>
          </rPr>
          <t xml:space="preserve">Jaskulek, Steve:
</t>
        </r>
        <r>
          <rPr>
            <sz val="9"/>
            <color rgb="FF000000"/>
            <rFont val="Tahoma"/>
            <family val="2"/>
          </rPr>
          <t>Based on looking at some flight data</t>
        </r>
      </text>
    </comment>
    <comment ref="I533" authorId="0" shapeId="0" xr:uid="{00000000-0006-0000-0B00-00008D000000}">
      <text>
        <r>
          <rPr>
            <sz val="10"/>
            <rFont val="Arial"/>
            <family val="2"/>
          </rPr>
          <t xml:space="preserve">Jaskulek, Steve:
</t>
        </r>
        <r>
          <rPr>
            <sz val="9"/>
            <color rgb="FF000000"/>
            <rFont val="Tahoma"/>
            <family val="2"/>
          </rPr>
          <t>Based on looking at some flight data</t>
        </r>
      </text>
    </comment>
    <comment ref="P535" authorId="0" shapeId="0" xr:uid="{00000000-0006-0000-0B00-0000CD000000}">
      <text>
        <r>
          <rPr>
            <sz val="10"/>
            <rFont val="Arial"/>
            <family val="2"/>
          </rPr>
          <t xml:space="preserve">Peter Kollmann:
</t>
        </r>
        <r>
          <rPr>
            <sz val="9"/>
            <color rgb="FF000000"/>
            <rFont val="Tahoma"/>
            <family val="2"/>
          </rPr>
          <t>2.25Mb/day for PEPSSI-90 rate with 3600,90,7200,300</t>
        </r>
      </text>
    </comment>
    <comment ref="N538" authorId="0" shapeId="0" xr:uid="{00000000-0006-0000-0B00-0000BC000000}">
      <text>
        <r>
          <rPr>
            <sz val="10"/>
            <rFont val="Arial"/>
            <family val="2"/>
          </rPr>
          <t xml:space="preserve">Peter Kollmann:
</t>
        </r>
        <r>
          <rPr>
            <sz val="9"/>
            <color rgb="FF000000"/>
            <rFont val="Tahoma"/>
            <family val="2"/>
          </rPr>
          <t>66days for DOY69 to 135</t>
        </r>
      </text>
    </comment>
    <comment ref="I539" authorId="0" shapeId="0" xr:uid="{00000000-0006-0000-0B00-00008E000000}">
      <text>
        <r>
          <rPr>
            <sz val="10"/>
            <rFont val="Arial"/>
            <family val="2"/>
          </rPr>
          <t xml:space="preserve">Jaskulek, Steve:
</t>
        </r>
        <r>
          <rPr>
            <sz val="9"/>
            <color rgb="FF000000"/>
            <rFont val="Tahoma"/>
            <family val="2"/>
          </rPr>
          <t>Based on looking at some flight data</t>
        </r>
      </text>
    </comment>
    <comment ref="I540" authorId="0" shapeId="0" xr:uid="{00000000-0006-0000-0B00-00008F000000}">
      <text>
        <r>
          <rPr>
            <sz val="10"/>
            <rFont val="Arial"/>
            <family val="2"/>
          </rPr>
          <t xml:space="preserve">Jaskulek, Steve:
</t>
        </r>
        <r>
          <rPr>
            <sz val="9"/>
            <color rgb="FF000000"/>
            <rFont val="Tahoma"/>
            <family val="2"/>
          </rPr>
          <t>Based on looking at some flight data</t>
        </r>
      </text>
    </comment>
    <comment ref="Q540" authorId="0" shapeId="0" xr:uid="{00000000-0006-0000-0B00-0000E5000000}">
      <text>
        <r>
          <rPr>
            <sz val="10"/>
            <rFont val="Arial"/>
            <family val="2"/>
          </rPr>
          <t xml:space="preserve">Peter Kollmann:
</t>
        </r>
        <r>
          <rPr>
            <sz val="9"/>
            <color rgb="FF000000"/>
            <rFont val="Tahoma"/>
            <family val="2"/>
          </rPr>
          <t xml:space="preserve">Trigger assessment always comes down (though technically with the HK data)
</t>
        </r>
      </text>
    </comment>
    <comment ref="I541" authorId="0" shapeId="0" xr:uid="{00000000-0006-0000-0B00-000090000000}">
      <text>
        <r>
          <rPr>
            <sz val="10"/>
            <rFont val="Arial"/>
            <family val="2"/>
          </rPr>
          <t xml:space="preserve">Jaskulek, Steve:
</t>
        </r>
        <r>
          <rPr>
            <sz val="9"/>
            <color rgb="FF000000"/>
            <rFont val="Tahoma"/>
            <family val="2"/>
          </rPr>
          <t>Based on looking at some flight data</t>
        </r>
      </text>
    </comment>
    <comment ref="Q544" authorId="0" shapeId="0" xr:uid="{00000000-0006-0000-0B00-0000E6000000}">
      <text>
        <r>
          <rPr>
            <sz val="10"/>
            <rFont val="Arial"/>
            <family val="2"/>
          </rPr>
          <t xml:space="preserve">Peter Kollmann:
</t>
        </r>
        <r>
          <rPr>
            <sz val="9"/>
            <color rgb="FF000000"/>
            <rFont val="Tahoma"/>
            <family val="2"/>
          </rPr>
          <t>2.25Mb/day for PEPSSI-90 rate with 3600,90,7200,300</t>
        </r>
      </text>
    </comment>
    <comment ref="I548" authorId="0" shapeId="0" xr:uid="{00000000-0006-0000-0B00-000091000000}">
      <text>
        <r>
          <rPr>
            <sz val="10"/>
            <rFont val="Arial"/>
            <family val="2"/>
          </rPr>
          <t xml:space="preserve">Jaskulek, Steve:
</t>
        </r>
        <r>
          <rPr>
            <sz val="9"/>
            <color rgb="FF000000"/>
            <rFont val="Tahoma"/>
            <family val="2"/>
          </rPr>
          <t>based on Grahams's estimate of buffer size</t>
        </r>
      </text>
    </comment>
    <comment ref="I561" authorId="0" shapeId="0" xr:uid="{00000000-0006-0000-0B00-000092000000}">
      <text>
        <r>
          <rPr>
            <sz val="10"/>
            <rFont val="Arial"/>
            <family val="2"/>
          </rPr>
          <t xml:space="preserve">Jaskulek, Steve:
</t>
        </r>
        <r>
          <rPr>
            <sz val="9"/>
            <color rgb="FF000000"/>
            <rFont val="Tahoma"/>
            <family val="2"/>
          </rPr>
          <t>Based on looking at some flight data</t>
        </r>
      </text>
    </comment>
    <comment ref="N561" authorId="0" shapeId="0" xr:uid="{00000000-0006-0000-0B00-0000BD000000}">
      <text>
        <r>
          <rPr>
            <sz val="10"/>
            <rFont val="Arial"/>
            <family val="2"/>
          </rPr>
          <t xml:space="preserve">Peter Kollmann:
</t>
        </r>
        <r>
          <rPr>
            <sz val="9"/>
            <color rgb="FF000000"/>
            <rFont val="Tahoma"/>
            <family val="2"/>
          </rPr>
          <t>=107-86=21
for 23086
28=135-107
for 23107</t>
        </r>
      </text>
    </comment>
    <comment ref="I562" authorId="0" shapeId="0" xr:uid="{00000000-0006-0000-0B00-000093000000}">
      <text>
        <r>
          <rPr>
            <sz val="10"/>
            <rFont val="Arial"/>
            <family val="2"/>
          </rPr>
          <t xml:space="preserve">Jaskulek, Steve:
</t>
        </r>
        <r>
          <rPr>
            <sz val="9"/>
            <color rgb="FF000000"/>
            <rFont val="Tahoma"/>
            <family val="2"/>
          </rPr>
          <t>Based on looking at some flight data</t>
        </r>
      </text>
    </comment>
    <comment ref="I563" authorId="0" shapeId="0" xr:uid="{00000000-0006-0000-0B00-000094000000}">
      <text>
        <r>
          <rPr>
            <sz val="10"/>
            <rFont val="Arial"/>
            <family val="2"/>
          </rPr>
          <t xml:space="preserve">Jaskulek, Steve:
</t>
        </r>
        <r>
          <rPr>
            <sz val="9"/>
            <color rgb="FF000000"/>
            <rFont val="Tahoma"/>
            <family val="2"/>
          </rPr>
          <t>Based on looking at some flight data</t>
        </r>
      </text>
    </comment>
    <comment ref="P565" authorId="0" shapeId="0" xr:uid="{00000000-0006-0000-0B00-0000CE000000}">
      <text>
        <r>
          <rPr>
            <sz val="10"/>
            <rFont val="Arial"/>
            <family val="2"/>
          </rPr>
          <t xml:space="preserve">Peter Kollmann:
</t>
        </r>
        <r>
          <rPr>
            <sz val="9"/>
            <color rgb="FF000000"/>
            <rFont val="Tahoma"/>
            <family val="2"/>
          </rPr>
          <t>2.25Mb/day for PEPSSI-90 rate with 3600,90,7200,300</t>
        </r>
      </text>
    </comment>
    <comment ref="N568" authorId="0" shapeId="0" xr:uid="{00000000-0006-0000-0B00-0000BE000000}">
      <text>
        <r>
          <rPr>
            <sz val="10"/>
            <rFont val="Arial"/>
            <family val="2"/>
          </rPr>
          <t xml:space="preserve">Peter Kollmann:
</t>
        </r>
        <r>
          <rPr>
            <sz val="9"/>
            <color rgb="FF000000"/>
            <rFont val="Tahoma"/>
            <family val="2"/>
          </rPr>
          <t>66days for DOY69 to 135</t>
        </r>
      </text>
    </comment>
    <comment ref="I569" authorId="0" shapeId="0" xr:uid="{00000000-0006-0000-0B00-000095000000}">
      <text>
        <r>
          <rPr>
            <sz val="10"/>
            <rFont val="Arial"/>
            <family val="2"/>
          </rPr>
          <t xml:space="preserve">Jaskulek, Steve:
</t>
        </r>
        <r>
          <rPr>
            <sz val="9"/>
            <color rgb="FF000000"/>
            <rFont val="Tahoma"/>
            <family val="2"/>
          </rPr>
          <t>Based on looking at some flight data</t>
        </r>
      </text>
    </comment>
    <comment ref="I570" authorId="0" shapeId="0" xr:uid="{00000000-0006-0000-0B00-000096000000}">
      <text>
        <r>
          <rPr>
            <sz val="10"/>
            <rFont val="Arial"/>
            <family val="2"/>
          </rPr>
          <t xml:space="preserve">Jaskulek, Steve:
</t>
        </r>
        <r>
          <rPr>
            <sz val="9"/>
            <color rgb="FF000000"/>
            <rFont val="Tahoma"/>
            <family val="2"/>
          </rPr>
          <t>Based on looking at some flight data</t>
        </r>
      </text>
    </comment>
    <comment ref="Q570" authorId="0" shapeId="0" xr:uid="{00000000-0006-0000-0B00-0000E7000000}">
      <text>
        <r>
          <rPr>
            <sz val="10"/>
            <rFont val="Arial"/>
            <family val="2"/>
          </rPr>
          <t xml:space="preserve">Peter Kollmann:
</t>
        </r>
        <r>
          <rPr>
            <sz val="9"/>
            <color rgb="FF000000"/>
            <rFont val="Tahoma"/>
            <family val="2"/>
          </rPr>
          <t xml:space="preserve">Trigger assessment always comes down (though technically with the HK data)
</t>
        </r>
      </text>
    </comment>
    <comment ref="I571" authorId="0" shapeId="0" xr:uid="{00000000-0006-0000-0B00-000097000000}">
      <text>
        <r>
          <rPr>
            <sz val="10"/>
            <rFont val="Arial"/>
            <family val="2"/>
          </rPr>
          <t xml:space="preserve">Jaskulek, Steve:
</t>
        </r>
        <r>
          <rPr>
            <sz val="9"/>
            <color rgb="FF000000"/>
            <rFont val="Tahoma"/>
            <family val="2"/>
          </rPr>
          <t>Based on looking at some flight data</t>
        </r>
      </text>
    </comment>
    <comment ref="Q574" authorId="0" shapeId="0" xr:uid="{00000000-0006-0000-0B00-0000E8000000}">
      <text>
        <r>
          <rPr>
            <sz val="10"/>
            <rFont val="Arial"/>
            <family val="2"/>
          </rPr>
          <t xml:space="preserve">Peter Kollmann:
</t>
        </r>
        <r>
          <rPr>
            <sz val="9"/>
            <color rgb="FF000000"/>
            <rFont val="Tahoma"/>
            <family val="2"/>
          </rPr>
          <t>2.25Mb/day for PEPSSI-90 rate with 3600,90,7200,300</t>
        </r>
      </text>
    </comment>
    <comment ref="I578" authorId="0" shapeId="0" xr:uid="{00000000-0006-0000-0B00-000098000000}">
      <text>
        <r>
          <rPr>
            <sz val="10"/>
            <rFont val="Arial"/>
            <family val="2"/>
          </rPr>
          <t xml:space="preserve">Jaskulek, Steve:
</t>
        </r>
        <r>
          <rPr>
            <sz val="9"/>
            <color rgb="FF000000"/>
            <rFont val="Tahoma"/>
            <family val="2"/>
          </rPr>
          <t>based on Grahams's estimate of buffer size</t>
        </r>
      </text>
    </comment>
    <comment ref="I591" authorId="0" shapeId="0" xr:uid="{00000000-0006-0000-0B00-000099000000}">
      <text>
        <r>
          <rPr>
            <sz val="10"/>
            <rFont val="Arial"/>
            <family val="2"/>
          </rPr>
          <t xml:space="preserve">Jaskulek, Steve:
</t>
        </r>
        <r>
          <rPr>
            <sz val="9"/>
            <color rgb="FF000000"/>
            <rFont val="Tahoma"/>
            <family val="2"/>
          </rPr>
          <t>Based on looking at some flight data</t>
        </r>
      </text>
    </comment>
    <comment ref="N591" authorId="0" shapeId="0" xr:uid="{00000000-0006-0000-0B00-0000BF000000}">
      <text>
        <r>
          <rPr>
            <sz val="10"/>
            <rFont val="Arial"/>
            <family val="2"/>
          </rPr>
          <t xml:space="preserve">Peter Kollmann:
</t>
        </r>
        <r>
          <rPr>
            <sz val="9"/>
            <color rgb="FF000000"/>
            <rFont val="Tahoma"/>
            <family val="2"/>
          </rPr>
          <t>=107-86=21
for 23086
28=135-107
for 23107</t>
        </r>
      </text>
    </comment>
    <comment ref="I592" authorId="0" shapeId="0" xr:uid="{00000000-0006-0000-0B00-00009A000000}">
      <text>
        <r>
          <rPr>
            <sz val="10"/>
            <rFont val="Arial"/>
            <family val="2"/>
          </rPr>
          <t xml:space="preserve">Jaskulek, Steve:
</t>
        </r>
        <r>
          <rPr>
            <sz val="9"/>
            <color rgb="FF000000"/>
            <rFont val="Tahoma"/>
            <family val="2"/>
          </rPr>
          <t>Based on looking at some flight data</t>
        </r>
      </text>
    </comment>
    <comment ref="I593" authorId="0" shapeId="0" xr:uid="{00000000-0006-0000-0B00-00009B000000}">
      <text>
        <r>
          <rPr>
            <sz val="10"/>
            <rFont val="Arial"/>
            <family val="2"/>
          </rPr>
          <t xml:space="preserve">Jaskulek, Steve:
</t>
        </r>
        <r>
          <rPr>
            <sz val="9"/>
            <color rgb="FF000000"/>
            <rFont val="Tahoma"/>
            <family val="2"/>
          </rPr>
          <t>Based on looking at some flight data</t>
        </r>
      </text>
    </comment>
    <comment ref="P595" authorId="0" shapeId="0" xr:uid="{00000000-0006-0000-0B00-0000CF000000}">
      <text>
        <r>
          <rPr>
            <sz val="10"/>
            <rFont val="Arial"/>
            <family val="2"/>
          </rPr>
          <t xml:space="preserve">Peter Kollmann:
</t>
        </r>
        <r>
          <rPr>
            <sz val="9"/>
            <color rgb="FF000000"/>
            <rFont val="Tahoma"/>
            <family val="2"/>
          </rPr>
          <t>2.25Mb/day for PEPSSI-90 rate with 3600,90,7200,300</t>
        </r>
      </text>
    </comment>
    <comment ref="N598" authorId="0" shapeId="0" xr:uid="{00000000-0006-0000-0B00-0000C0000000}">
      <text>
        <r>
          <rPr>
            <sz val="10"/>
            <rFont val="Arial"/>
            <family val="2"/>
          </rPr>
          <t xml:space="preserve">Peter Kollmann:
</t>
        </r>
        <r>
          <rPr>
            <sz val="9"/>
            <color rgb="FF000000"/>
            <rFont val="Tahoma"/>
            <family val="2"/>
          </rPr>
          <t>66days for DOY69 to 135</t>
        </r>
      </text>
    </comment>
    <comment ref="I599" authorId="0" shapeId="0" xr:uid="{00000000-0006-0000-0B00-00009C000000}">
      <text>
        <r>
          <rPr>
            <sz val="10"/>
            <rFont val="Arial"/>
            <family val="2"/>
          </rPr>
          <t xml:space="preserve">Jaskulek, Steve:
</t>
        </r>
        <r>
          <rPr>
            <sz val="9"/>
            <color rgb="FF000000"/>
            <rFont val="Tahoma"/>
            <family val="2"/>
          </rPr>
          <t>Based on looking at some flight data</t>
        </r>
      </text>
    </comment>
    <comment ref="I600" authorId="0" shapeId="0" xr:uid="{00000000-0006-0000-0B00-00009D000000}">
      <text>
        <r>
          <rPr>
            <sz val="10"/>
            <rFont val="Arial"/>
            <family val="2"/>
          </rPr>
          <t xml:space="preserve">Jaskulek, Steve:
</t>
        </r>
        <r>
          <rPr>
            <sz val="9"/>
            <color rgb="FF000000"/>
            <rFont val="Tahoma"/>
            <family val="2"/>
          </rPr>
          <t>Based on looking at some flight data</t>
        </r>
      </text>
    </comment>
    <comment ref="Q600" authorId="0" shapeId="0" xr:uid="{00000000-0006-0000-0B00-0000E9000000}">
      <text>
        <r>
          <rPr>
            <sz val="10"/>
            <rFont val="Arial"/>
            <family val="2"/>
          </rPr>
          <t xml:space="preserve">Peter Kollmann:
</t>
        </r>
        <r>
          <rPr>
            <sz val="9"/>
            <color rgb="FF000000"/>
            <rFont val="Tahoma"/>
            <family val="2"/>
          </rPr>
          <t xml:space="preserve">Trigger assessment always comes down (though technically with the HK data)
</t>
        </r>
      </text>
    </comment>
    <comment ref="I601" authorId="0" shapeId="0" xr:uid="{00000000-0006-0000-0B00-00009E000000}">
      <text>
        <r>
          <rPr>
            <sz val="10"/>
            <rFont val="Arial"/>
            <family val="2"/>
          </rPr>
          <t xml:space="preserve">Jaskulek, Steve:
</t>
        </r>
        <r>
          <rPr>
            <sz val="9"/>
            <color rgb="FF000000"/>
            <rFont val="Tahoma"/>
            <family val="2"/>
          </rPr>
          <t>Based on looking at some flight data</t>
        </r>
      </text>
    </comment>
    <comment ref="Q604" authorId="0" shapeId="0" xr:uid="{00000000-0006-0000-0B00-0000EA000000}">
      <text>
        <r>
          <rPr>
            <sz val="10"/>
            <rFont val="Arial"/>
            <family val="2"/>
          </rPr>
          <t xml:space="preserve">Peter Kollmann:
</t>
        </r>
        <r>
          <rPr>
            <sz val="9"/>
            <color rgb="FF000000"/>
            <rFont val="Tahoma"/>
            <family val="2"/>
          </rPr>
          <t>2.25Mb/day for PEPSSI-90 rate with 3600,90,7200,300</t>
        </r>
      </text>
    </comment>
    <comment ref="I608" authorId="0" shapeId="0" xr:uid="{00000000-0006-0000-0B00-00009F000000}">
      <text>
        <r>
          <rPr>
            <sz val="10"/>
            <rFont val="Arial"/>
            <family val="2"/>
          </rPr>
          <t xml:space="preserve">Jaskulek, Steve:
</t>
        </r>
        <r>
          <rPr>
            <sz val="9"/>
            <color rgb="FF000000"/>
            <rFont val="Tahoma"/>
            <family val="2"/>
          </rPr>
          <t>based on Grahams's estimate of buffer size</t>
        </r>
      </text>
    </comment>
    <comment ref="I618" authorId="0" shapeId="0" xr:uid="{00000000-0006-0000-0B00-0000A0000000}">
      <text>
        <r>
          <rPr>
            <sz val="10"/>
            <rFont val="Arial"/>
            <family val="2"/>
          </rPr>
          <t xml:space="preserve">Jaskulek, Steve:
</t>
        </r>
        <r>
          <rPr>
            <sz val="9"/>
            <color rgb="FF000000"/>
            <rFont val="Tahoma"/>
            <family val="2"/>
          </rPr>
          <t>Based on looking at some flight data</t>
        </r>
      </text>
    </comment>
    <comment ref="N618" authorId="0" shapeId="0" xr:uid="{00000000-0006-0000-0B00-0000C1000000}">
      <text>
        <r>
          <rPr>
            <sz val="10"/>
            <rFont val="Arial"/>
            <family val="2"/>
          </rPr>
          <t xml:space="preserve">Peter Kollmann:
</t>
        </r>
        <r>
          <rPr>
            <sz val="9"/>
            <color rgb="FF000000"/>
            <rFont val="Tahoma"/>
            <family val="2"/>
          </rPr>
          <t>=107-86=21
for 23086
28=135-107
for 23107</t>
        </r>
      </text>
    </comment>
    <comment ref="I619" authorId="0" shapeId="0" xr:uid="{00000000-0006-0000-0B00-0000A1000000}">
      <text>
        <r>
          <rPr>
            <sz val="10"/>
            <rFont val="Arial"/>
            <family val="2"/>
          </rPr>
          <t xml:space="preserve">Jaskulek, Steve:
</t>
        </r>
        <r>
          <rPr>
            <sz val="9"/>
            <color rgb="FF000000"/>
            <rFont val="Tahoma"/>
            <family val="2"/>
          </rPr>
          <t>Based on looking at some flight data</t>
        </r>
      </text>
    </comment>
    <comment ref="I620" authorId="0" shapeId="0" xr:uid="{00000000-0006-0000-0B00-0000A2000000}">
      <text>
        <r>
          <rPr>
            <sz val="10"/>
            <rFont val="Arial"/>
            <family val="2"/>
          </rPr>
          <t xml:space="preserve">Jaskulek, Steve:
</t>
        </r>
        <r>
          <rPr>
            <sz val="9"/>
            <color rgb="FF000000"/>
            <rFont val="Tahoma"/>
            <family val="2"/>
          </rPr>
          <t>Based on looking at some flight data</t>
        </r>
      </text>
    </comment>
    <comment ref="P622" authorId="0" shapeId="0" xr:uid="{00000000-0006-0000-0B00-0000D0000000}">
      <text>
        <r>
          <rPr>
            <sz val="10"/>
            <rFont val="Arial"/>
            <family val="2"/>
          </rPr>
          <t xml:space="preserve">Peter Kollmann:
</t>
        </r>
        <r>
          <rPr>
            <sz val="9"/>
            <color rgb="FF000000"/>
            <rFont val="Tahoma"/>
            <family val="2"/>
          </rPr>
          <t>2.25Mb/day for PEPSSI-90 rate with 3600,90,7200,300</t>
        </r>
      </text>
    </comment>
    <comment ref="N625" authorId="0" shapeId="0" xr:uid="{00000000-0006-0000-0B00-0000C2000000}">
      <text>
        <r>
          <rPr>
            <sz val="10"/>
            <rFont val="Arial"/>
            <family val="2"/>
          </rPr>
          <t xml:space="preserve">Peter Kollmann:
</t>
        </r>
        <r>
          <rPr>
            <sz val="9"/>
            <color rgb="FF000000"/>
            <rFont val="Tahoma"/>
            <family val="2"/>
          </rPr>
          <t>66days for DOY69 to 135</t>
        </r>
      </text>
    </comment>
    <comment ref="I626" authorId="0" shapeId="0" xr:uid="{00000000-0006-0000-0B00-0000A3000000}">
      <text>
        <r>
          <rPr>
            <sz val="10"/>
            <rFont val="Arial"/>
            <family val="2"/>
          </rPr>
          <t xml:space="preserve">Jaskulek, Steve:
</t>
        </r>
        <r>
          <rPr>
            <sz val="9"/>
            <color rgb="FF000000"/>
            <rFont val="Tahoma"/>
            <family val="2"/>
          </rPr>
          <t>Based on looking at some flight data</t>
        </r>
      </text>
    </comment>
    <comment ref="I627" authorId="0" shapeId="0" xr:uid="{00000000-0006-0000-0B00-0000A4000000}">
      <text>
        <r>
          <rPr>
            <sz val="10"/>
            <rFont val="Arial"/>
            <family val="2"/>
          </rPr>
          <t xml:space="preserve">Jaskulek, Steve:
</t>
        </r>
        <r>
          <rPr>
            <sz val="9"/>
            <color rgb="FF000000"/>
            <rFont val="Tahoma"/>
            <family val="2"/>
          </rPr>
          <t>Based on looking at some flight data</t>
        </r>
      </text>
    </comment>
    <comment ref="Q627" authorId="0" shapeId="0" xr:uid="{00000000-0006-0000-0B00-0000EB000000}">
      <text>
        <r>
          <rPr>
            <sz val="10"/>
            <rFont val="Arial"/>
            <family val="2"/>
          </rPr>
          <t xml:space="preserve">Peter Kollmann:
</t>
        </r>
        <r>
          <rPr>
            <sz val="9"/>
            <color rgb="FF000000"/>
            <rFont val="Tahoma"/>
            <family val="2"/>
          </rPr>
          <t xml:space="preserve">Trigger assessment always comes down (though technically with the HK data)
</t>
        </r>
      </text>
    </comment>
    <comment ref="I628" authorId="0" shapeId="0" xr:uid="{00000000-0006-0000-0B00-0000A5000000}">
      <text>
        <r>
          <rPr>
            <sz val="10"/>
            <rFont val="Arial"/>
            <family val="2"/>
          </rPr>
          <t xml:space="preserve">Jaskulek, Steve:
</t>
        </r>
        <r>
          <rPr>
            <sz val="9"/>
            <color rgb="FF000000"/>
            <rFont val="Tahoma"/>
            <family val="2"/>
          </rPr>
          <t>Based on looking at some flight data</t>
        </r>
      </text>
    </comment>
    <comment ref="Q631" authorId="0" shapeId="0" xr:uid="{00000000-0006-0000-0B00-0000EC000000}">
      <text>
        <r>
          <rPr>
            <sz val="10"/>
            <rFont val="Arial"/>
            <family val="2"/>
          </rPr>
          <t xml:space="preserve">Peter Kollmann:
</t>
        </r>
        <r>
          <rPr>
            <sz val="9"/>
            <color rgb="FF000000"/>
            <rFont val="Tahoma"/>
            <family val="2"/>
          </rPr>
          <t>2.25Mb/day for PEPSSI-90 rate with 3600,90,7200,300</t>
        </r>
      </text>
    </comment>
    <comment ref="I635" authorId="0" shapeId="0" xr:uid="{00000000-0006-0000-0B00-0000A6000000}">
      <text>
        <r>
          <rPr>
            <sz val="10"/>
            <rFont val="Arial"/>
            <family val="2"/>
          </rPr>
          <t xml:space="preserve">Jaskulek, Steve:
</t>
        </r>
        <r>
          <rPr>
            <sz val="9"/>
            <color rgb="FF000000"/>
            <rFont val="Tahoma"/>
            <family val="2"/>
          </rPr>
          <t>based on Grahams's estimate of buffer size</t>
        </r>
      </text>
    </comment>
  </commentList>
</comments>
</file>

<file path=xl/sharedStrings.xml><?xml version="1.0" encoding="utf-8"?>
<sst xmlns="http://schemas.openxmlformats.org/spreadsheetml/2006/main" count="19359" uniqueCount="4387">
  <si>
    <t>V4 operation in sequence 22080</t>
  </si>
  <si>
    <t>packet size (bits)</t>
  </si>
  <si>
    <t>max bits</t>
  </si>
  <si>
    <t>historical size</t>
  </si>
  <si>
    <t>Enabled?</t>
  </si>
  <si>
    <t>integration time (s)</t>
  </si>
  <si>
    <t>bps</t>
  </si>
  <si>
    <t>sec/day</t>
  </si>
  <si>
    <t>data collection (days)</t>
  </si>
  <si>
    <t>Total recorded data (Mbits)/year</t>
  </si>
  <si>
    <t>Total  downlinked data (Mbits)/year</t>
  </si>
  <si>
    <t>Survey Data</t>
  </si>
  <si>
    <t>N1</t>
  </si>
  <si>
    <t>N2 normal</t>
  </si>
  <si>
    <t>N3+ extra</t>
  </si>
  <si>
    <t xml:space="preserve">HK/status </t>
  </si>
  <si>
    <t>Burst Data</t>
  </si>
  <si>
    <t>High Time Resolution Buffered Rate (10) Data</t>
  </si>
  <si>
    <t>Trigger assessment data</t>
  </si>
  <si>
    <t>N2 burst data</t>
  </si>
  <si>
    <t xml:space="preserve">Total </t>
  </si>
  <si>
    <t>Mbits</t>
  </si>
  <si>
    <t>Assumptions</t>
  </si>
  <si>
    <r>
      <rPr>
        <sz val="11"/>
        <color rgb="FF000000"/>
        <rFont val="Calibri"/>
        <family val="2"/>
      </rPr>
      <t>Commanded N2</t>
    </r>
    <r>
      <rPr>
        <vertAlign val="subscript"/>
        <sz val="11"/>
        <color rgb="FF000000"/>
        <rFont val="Calibri"/>
        <family val="2"/>
      </rPr>
      <t>Monitor</t>
    </r>
    <r>
      <rPr>
        <sz val="11"/>
        <color rgb="FF000000"/>
        <rFont val="Calibri"/>
        <family val="2"/>
      </rPr>
      <t xml:space="preserve"> int time</t>
    </r>
  </si>
  <si>
    <t>pre-trigger data (days)</t>
  </si>
  <si>
    <t>post-trigger data (days)</t>
  </si>
  <si>
    <t>Number of bursts occurring/year assumed</t>
  </si>
  <si>
    <t># of N2 bursts downlinked/year assumed</t>
  </si>
  <si>
    <t xml:space="preserve">No MLI </t>
  </si>
  <si>
    <t>Power On Portion of V5 load and test</t>
  </si>
  <si>
    <t>The historical size of the packets</t>
  </si>
  <si>
    <t xml:space="preserve">   probably are too high.</t>
  </si>
  <si>
    <t>--&gt;</t>
  </si>
  <si>
    <t>a</t>
  </si>
  <si>
    <t>b</t>
  </si>
  <si>
    <t xml:space="preserve">Run V5 in HV Basic Mode </t>
  </si>
  <si>
    <t>Run V5 in HV with Trigger Enabled (gincludes one forced trigger and possibly 2 natural ones)</t>
  </si>
  <si>
    <t>months/ year</t>
  </si>
  <si>
    <t>Test 3 Portion of V5 load and test</t>
  </si>
  <si>
    <t>Pre-hibernation 'Monitor' Portion of V5 load and test in Sequence 101</t>
  </si>
  <si>
    <t>Pre-hibernation 'Monitor' Portion of V5 load and test in Sequence 122</t>
  </si>
  <si>
    <t>Total for ~2 month period</t>
  </si>
  <si>
    <t>Mbit</t>
  </si>
  <si>
    <t>vs ~(67 Mb x 2) + 77 Mb allowed --&gt;</t>
  </si>
  <si>
    <t xml:space="preserve">Note- this shows 4 burst events, which is unlikely to occur, </t>
  </si>
  <si>
    <t xml:space="preserve">   and since each event is about 18 Mb, we are consistent</t>
  </si>
  <si>
    <t>Hibernation Period</t>
  </si>
  <si>
    <t>Total for hibernation period</t>
  </si>
  <si>
    <t>23064-23107</t>
  </si>
  <si>
    <t>Total recorded data (Mbits)/day</t>
  </si>
  <si>
    <t>Total  downlinked data (Mbits)/day</t>
  </si>
  <si>
    <t>Total recorded data (Mbits)/data collection</t>
  </si>
  <si>
    <t>Total  downlinked data (Mbits)/data collection</t>
  </si>
  <si>
    <t>Current survey</t>
  </si>
  <si>
    <t>Total recorded data (Mbits)/assumed bursts</t>
  </si>
  <si>
    <t>Total  downlinked data (Mbits)/assumed bursts</t>
  </si>
  <si>
    <t>All burst</t>
  </si>
  <si>
    <t>Current survey + all burst Total</t>
  </si>
  <si>
    <t>Review of playback sequence in 22122</t>
  </si>
  <si>
    <t>bits/sec</t>
  </si>
  <si>
    <t>bytes/sec</t>
  </si>
  <si>
    <t>SWAP 22122</t>
  </si>
  <si>
    <t>Mbits/sec</t>
  </si>
  <si>
    <t>Number of bursts occurring/collection assumed</t>
  </si>
  <si>
    <t>pb</t>
  </si>
  <si>
    <t>start met</t>
  </si>
  <si>
    <t>end met</t>
  </si>
  <si>
    <t>seconds</t>
  </si>
  <si>
    <t>calculated bytes</t>
  </si>
  <si>
    <t>bytes from sequence</t>
  </si>
  <si>
    <t>difference</t>
  </si>
  <si>
    <t># of N2 bursts downlinked/collection assumed</t>
  </si>
  <si>
    <t>122_1</t>
  </si>
  <si>
    <t>122/0237</t>
  </si>
  <si>
    <t>122_2</t>
  </si>
  <si>
    <t>141/1614</t>
  </si>
  <si>
    <t>151 22:34:02</t>
  </si>
  <si>
    <t>start 22151</t>
  </si>
  <si>
    <t>123_1</t>
  </si>
  <si>
    <t>152_1</t>
  </si>
  <si>
    <t>hib start?</t>
  </si>
  <si>
    <t>125_1</t>
  </si>
  <si>
    <t>153_1</t>
  </si>
  <si>
    <t>128_1</t>
  </si>
  <si>
    <t>157_2</t>
  </si>
  <si>
    <t>151 23:15:01</t>
  </si>
  <si>
    <t>PEPSSI Pwr On Start</t>
  </si>
  <si>
    <t>159_2</t>
  </si>
  <si>
    <t>151 23:45:51</t>
  </si>
  <si>
    <t>180, 180, 7200, 1800</t>
  </si>
  <si>
    <t>160_1</t>
  </si>
  <si>
    <t>162_1</t>
  </si>
  <si>
    <t>050 23:00:00</t>
  </si>
  <si>
    <t>PEPSSI pwr Off</t>
  </si>
  <si>
    <t>129_1</t>
  </si>
  <si>
    <t>165_2</t>
  </si>
  <si>
    <t>050 23:01:46</t>
  </si>
  <si>
    <t>last sync</t>
  </si>
  <si>
    <t>seconds of hibernation</t>
  </si>
  <si>
    <t>days of hib</t>
  </si>
  <si>
    <t>130_1</t>
  </si>
  <si>
    <t>167_1</t>
  </si>
  <si>
    <t>hib end?</t>
  </si>
  <si>
    <t>131_1</t>
  </si>
  <si>
    <t>169_1</t>
  </si>
  <si>
    <t>132_1</t>
  </si>
  <si>
    <t>133_1</t>
  </si>
  <si>
    <t>064 11:14:03</t>
  </si>
  <si>
    <t>end 22151</t>
  </si>
  <si>
    <t>133_2</t>
  </si>
  <si>
    <t>134_1</t>
  </si>
  <si>
    <t>134_2</t>
  </si>
  <si>
    <t>135_1</t>
  </si>
  <si>
    <t>135_2</t>
  </si>
  <si>
    <t>136_1</t>
  </si>
  <si>
    <t>136_2</t>
  </si>
  <si>
    <t>outage?</t>
  </si>
  <si>
    <t>137_1</t>
  </si>
  <si>
    <t>67-14=53*3</t>
  </si>
  <si>
    <t>138_1</t>
  </si>
  <si>
    <t>139_1</t>
  </si>
  <si>
    <t>in 1 week</t>
  </si>
  <si>
    <t>Review of playback sequence in 23086</t>
  </si>
  <si>
    <t>through 4th of june</t>
  </si>
  <si>
    <t>jun 5-11</t>
  </si>
  <si>
    <t>98/0401</t>
  </si>
  <si>
    <t>this was gap due to when safing turned off the instrument</t>
  </si>
  <si>
    <t>83 hours pepssi</t>
  </si>
  <si>
    <t>100/2126</t>
  </si>
  <si>
    <t>144 00:01:47</t>
  </si>
  <si>
    <t>Pwr Off syncs</t>
  </si>
  <si>
    <t>167 hours swap</t>
  </si>
  <si>
    <t>105/0307</t>
  </si>
  <si>
    <t>144 00:10:02</t>
  </si>
  <si>
    <t xml:space="preserve">Pwr On </t>
  </si>
  <si>
    <t>87.5 hrs</t>
  </si>
  <si>
    <t>jun 12-18</t>
  </si>
  <si>
    <t>106/0317</t>
  </si>
  <si>
    <t>97/1906</t>
  </si>
  <si>
    <t>deleted PBACK_TRK_097_3_PRQ9237  PEPSSI_TRK_139_1 2022 140_0012</t>
  </si>
  <si>
    <t>Review of playback sequence in 23107</t>
  </si>
  <si>
    <t>107_2</t>
  </si>
  <si>
    <t xml:space="preserve">not including the current - </t>
  </si>
  <si>
    <t>127_2</t>
  </si>
  <si>
    <t>jun 19-25</t>
  </si>
  <si>
    <t>87hrs - 16</t>
  </si>
  <si>
    <t>hours</t>
  </si>
  <si>
    <t>jun 26-jul2</t>
  </si>
  <si>
    <t xml:space="preserve"> 92hrs-17</t>
  </si>
  <si>
    <t>Review of playback sequence in 23135</t>
  </si>
  <si>
    <t xml:space="preserve">this is conservative -- because of rate stepping -- </t>
  </si>
  <si>
    <t xml:space="preserve">canberra tracks are conservative --- </t>
  </si>
  <si>
    <t>141_2</t>
  </si>
  <si>
    <t>missing data</t>
  </si>
  <si>
    <t>Review of playback sequence in 23149</t>
  </si>
  <si>
    <t>Oct 4-22, 2022</t>
  </si>
  <si>
    <t>doy 277-295</t>
  </si>
  <si>
    <t>~ doy 277 - oct 4, 2022</t>
  </si>
  <si>
    <t>150_1</t>
  </si>
  <si>
    <t>~doy 295 - oct 22, 2022</t>
  </si>
  <si>
    <t>151_1</t>
  </si>
  <si>
    <t>days</t>
  </si>
  <si>
    <t>154_1</t>
  </si>
  <si>
    <t>155_2</t>
  </si>
  <si>
    <t>163_2</t>
  </si>
  <si>
    <t>165_1</t>
  </si>
  <si>
    <t xml:space="preserve">this pb undersubscribed by </t>
  </si>
  <si>
    <t>pwr off</t>
  </si>
  <si>
    <t>&lt;==this amound bytes</t>
  </si>
  <si>
    <t>pwr on</t>
  </si>
  <si>
    <t xml:space="preserve">,  </t>
  </si>
  <si>
    <t>positive if calculated is more than cmd'd (overfilled)</t>
  </si>
  <si>
    <t>Review of playback sequence in 23170</t>
  </si>
  <si>
    <t>bytes</t>
  </si>
  <si>
    <t>negative if calculated is less than cmd'd</t>
  </si>
  <si>
    <t>sync</t>
  </si>
  <si>
    <t>power ons</t>
  </si>
  <si>
    <t>total calculated bytes</t>
  </si>
  <si>
    <t>172_2</t>
  </si>
  <si>
    <t>sec to remove from cmd</t>
  </si>
  <si>
    <t>pwr off / end sync</t>
  </si>
  <si>
    <t>179_2</t>
  </si>
  <si>
    <t>185_2</t>
  </si>
  <si>
    <t>end 23064</t>
  </si>
  <si>
    <t>191_1</t>
  </si>
  <si>
    <t>pwr off 105 18:06</t>
  </si>
  <si>
    <t>total</t>
  </si>
  <si>
    <t>pwr on 109 02:13</t>
  </si>
  <si>
    <t>Fix above to this (below)</t>
  </si>
  <si>
    <t>sec to remove</t>
  </si>
  <si>
    <t>it's not huge - like 5%</t>
  </si>
  <si>
    <t>helen thinks the discrepancy, she counts the whole packet he may not</t>
  </si>
  <si>
    <t>TOTAL for 23170</t>
  </si>
  <si>
    <t xml:space="preserve">she uses packet size -- it's a number from the database -- from karl's sw that he uses to check software to find holes. Reports apid sizes, got statitists.   </t>
  </si>
  <si>
    <t>&lt;== bytes/sec</t>
  </si>
  <si>
    <t>Mbits/sec - NEW RATE</t>
  </si>
  <si>
    <t xml:space="preserve">needs to be able to pb pepssi survey n1, n3 and status, </t>
  </si>
  <si>
    <t>pwr off 141 14:42</t>
  </si>
  <si>
    <t>Mbits per power on</t>
  </si>
  <si>
    <t>and also basic data -- survey+n2 for same time period</t>
  </si>
  <si>
    <t>pwr on 141 23:20</t>
  </si>
  <si>
    <t>ok</t>
  </si>
  <si>
    <t>Review of playback sequence in 23191</t>
  </si>
  <si>
    <t>bytes per power on</t>
  </si>
  <si>
    <t xml:space="preserve"> </t>
  </si>
  <si>
    <t>pb check V</t>
  </si>
  <si>
    <t>need packet size</t>
  </si>
  <si>
    <t>switch to new rates</t>
  </si>
  <si>
    <t>ok in seq</t>
  </si>
  <si>
    <t>193_1</t>
  </si>
  <si>
    <t>n1, n3 and status interval</t>
  </si>
  <si>
    <t>194_2</t>
  </si>
  <si>
    <t>195_2</t>
  </si>
  <si>
    <t>old rate</t>
  </si>
  <si>
    <t>updated see below</t>
  </si>
  <si>
    <t>debi starts new rate here</t>
  </si>
  <si>
    <t>end was wrong=&gt;</t>
  </si>
  <si>
    <t>200_3</t>
  </si>
  <si>
    <t>207_1</t>
  </si>
  <si>
    <t>new rate</t>
  </si>
  <si>
    <t>212_1</t>
  </si>
  <si>
    <t>replace gray with below</t>
  </si>
  <si>
    <t>Use new values below</t>
  </si>
  <si>
    <t>from original v</t>
  </si>
  <si>
    <t>updated</t>
  </si>
  <si>
    <t>power on in 23135</t>
  </si>
  <si>
    <t>141_23:20</t>
  </si>
  <si>
    <t>NOTE -- no power cycles in 23149 or 23170</t>
  </si>
  <si>
    <t>ok in 23191</t>
  </si>
  <si>
    <t>23170 start - end</t>
  </si>
  <si>
    <t>170 12:58</t>
  </si>
  <si>
    <t>192 15:48</t>
  </si>
  <si>
    <t>ok 23191</t>
  </si>
  <si>
    <t>23191 start - end</t>
  </si>
  <si>
    <t>192 15:52</t>
  </si>
  <si>
    <t>231 00:51</t>
  </si>
  <si>
    <t>23212 start - end</t>
  </si>
  <si>
    <t>213 00:51</t>
  </si>
  <si>
    <t>231 00:14:03</t>
  </si>
  <si>
    <t>213_1</t>
  </si>
  <si>
    <t>Power Off</t>
  </si>
  <si>
    <t>216 09:46:46</t>
  </si>
  <si>
    <t>off</t>
  </si>
  <si>
    <t>215_1</t>
  </si>
  <si>
    <t>Power On</t>
  </si>
  <si>
    <t>221 00:55:00</t>
  </si>
  <si>
    <t>on</t>
  </si>
  <si>
    <t>211T11:19:55</t>
  </si>
  <si>
    <t>&lt;=23191 total</t>
  </si>
  <si>
    <t>&lt;= 23212 total</t>
  </si>
  <si>
    <t>23233 start - end</t>
  </si>
  <si>
    <t>231 00:18:01</t>
  </si>
  <si>
    <t>244 23:27:03</t>
  </si>
  <si>
    <t>mbits / day =&gt;</t>
  </si>
  <si>
    <t>mbytes/d</t>
  </si>
  <si>
    <t>231 13:46:46</t>
  </si>
  <si>
    <t>(endmet - startmet)* rate(bytes/sec) = bytes</t>
  </si>
  <si>
    <t>Refined times in SC UTC.</t>
  </si>
  <si>
    <t>234 09:15:00</t>
  </si>
  <si>
    <t>endmet = (bytes/rate) + startmet</t>
  </si>
  <si>
    <t xml:space="preserve">2023-6-30T0 to 7-4T16 </t>
  </si>
  <si>
    <t>23245 start - end</t>
  </si>
  <si>
    <t>Review of playback sequence in 23338</t>
  </si>
  <si>
    <t xml:space="preserve">2023-6-4T0 to 6-7T13 </t>
  </si>
  <si>
    <t>254 20:01:46</t>
  </si>
  <si>
    <t>total calc bytes</t>
  </si>
  <si>
    <t>bytes avail</t>
  </si>
  <si>
    <t xml:space="preserve">2023-7-11T16 to 7-15T9 </t>
  </si>
  <si>
    <t>257 08:00:00</t>
  </si>
  <si>
    <t>211/0120-212/0411</t>
  </si>
  <si>
    <t>340_1</t>
  </si>
  <si>
    <t>2023-5-30T7 to 6-4T0</t>
  </si>
  <si>
    <t>23254 start - end</t>
  </si>
  <si>
    <t>burst</t>
  </si>
  <si>
    <t>(181)6-30T00to(185)7-4T16</t>
  </si>
  <si>
    <t>344_1</t>
  </si>
  <si>
    <t>from forced burst in 22101</t>
  </si>
  <si>
    <t>260 06:16:46</t>
  </si>
  <si>
    <t>212/0411 - 212/1205</t>
  </si>
  <si>
    <t>347_2</t>
  </si>
  <si>
    <t>bytes from karl</t>
  </si>
  <si>
    <t>bits</t>
  </si>
  <si>
    <t>261 09:00:00</t>
  </si>
  <si>
    <t>212/1205-216/0947</t>
  </si>
  <si>
    <t>348_1</t>
  </si>
  <si>
    <t>263 04:36:46</t>
  </si>
  <si>
    <t>he said to go ahead and use the 1625000</t>
  </si>
  <si>
    <t>266 17:00:00</t>
  </si>
  <si>
    <t>350_1</t>
  </si>
  <si>
    <t xml:space="preserve">which is undersubscribed but he said to do that. </t>
  </si>
  <si>
    <t>269 22:21:46</t>
  </si>
  <si>
    <t>351_1</t>
  </si>
  <si>
    <t>helen</t>
  </si>
  <si>
    <t>270 08:15:00</t>
  </si>
  <si>
    <t>351_2</t>
  </si>
  <si>
    <t>23275 start - end</t>
  </si>
  <si>
    <t>275 12:50:01</t>
  </si>
  <si>
    <t>23296 start - end</t>
  </si>
  <si>
    <t>295 20:00:01</t>
  </si>
  <si>
    <t>352_1</t>
  </si>
  <si>
    <t>23317 start - end</t>
  </si>
  <si>
    <t>316 18:36:01</t>
  </si>
  <si>
    <t>354_1</t>
  </si>
  <si>
    <t>1 burst  peter</t>
  </si>
  <si>
    <t>23338 start - end</t>
  </si>
  <si>
    <t>338 09:18:01</t>
  </si>
  <si>
    <t>356_1</t>
  </si>
  <si>
    <t>1.5 burst peter</t>
  </si>
  <si>
    <t>start TRK_348_1</t>
  </si>
  <si>
    <t>348 03:04:31</t>
  </si>
  <si>
    <t>start TRK_350_1</t>
  </si>
  <si>
    <t>350 02:54:58</t>
  </si>
  <si>
    <t>start TRK_351_1</t>
  </si>
  <si>
    <t>351 05:26:45</t>
  </si>
  <si>
    <t>1 burst (13Mb)</t>
  </si>
  <si>
    <t>burst (6-29 to 7-4)</t>
  </si>
  <si>
    <t>179 23:26:25</t>
  </si>
  <si>
    <t>186 02:04:00</t>
  </si>
  <si>
    <t>(192)7-11T16to(196)7-15T9</t>
  </si>
  <si>
    <t>359_2</t>
  </si>
  <si>
    <t>1.5 bursts (19.5 Mb)</t>
  </si>
  <si>
    <t>burst (6-4 to 6-9)</t>
  </si>
  <si>
    <t>154 23:03:32</t>
  </si>
  <si>
    <t>159 22:48:32</t>
  </si>
  <si>
    <t>Sanity checks:</t>
  </si>
  <si>
    <t>burst (7-11 to 7-17)</t>
  </si>
  <si>
    <t>191 01:43:34</t>
  </si>
  <si>
    <t>198 01:14:53</t>
  </si>
  <si>
    <t>sum col T</t>
  </si>
  <si>
    <t>burst (5-29 to 6-4)</t>
  </si>
  <si>
    <t>149 00:00:00</t>
  </si>
  <si>
    <t>155 00:00:00</t>
  </si>
  <si>
    <t>total survey time</t>
  </si>
  <si>
    <t>survey bytes</t>
  </si>
  <si>
    <t>survey Mbits</t>
  </si>
  <si>
    <t>sum of colQ bytes</t>
  </si>
  <si>
    <t>col Q Mbits</t>
  </si>
  <si>
    <t>available dldv</t>
  </si>
  <si>
    <t>5 pwr ons</t>
  </si>
  <si>
    <t xml:space="preserve"> survey</t>
  </si>
  <si>
    <t xml:space="preserve">  burst data</t>
  </si>
  <si>
    <t>start TRK_352_1</t>
  </si>
  <si>
    <t>352 05:34:31</t>
  </si>
  <si>
    <t xml:space="preserve"> 275 - 212</t>
  </si>
  <si>
    <t>no pwr ons</t>
  </si>
  <si>
    <t>start TRK_354_1</t>
  </si>
  <si>
    <t>354 20:03:58</t>
  </si>
  <si>
    <t>days off?</t>
  </si>
  <si>
    <t>start TRK_359_2</t>
  </si>
  <si>
    <t>359 11:38:31</t>
  </si>
  <si>
    <t>start TRK_362_1</t>
  </si>
  <si>
    <t>362 10:28:31</t>
  </si>
  <si>
    <t>start TRK_015_1</t>
  </si>
  <si>
    <t>014 22:16:58</t>
  </si>
  <si>
    <t>Review of playback sequence in 23360</t>
  </si>
  <si>
    <t>just survey undersubscribed</t>
  </si>
  <si>
    <t>&lt;= oversubscribed from pwron</t>
  </si>
  <si>
    <t>missed power off in last segment 359_2</t>
  </si>
  <si>
    <t>TRK_362_1</t>
  </si>
  <si>
    <t xml:space="preserve">previous track was over-subscribed by .6157 Mbits, due to power on, </t>
  </si>
  <si>
    <t>Burst on 311</t>
  </si>
  <si>
    <t>start trigger</t>
  </si>
  <si>
    <t>311T09:57:27</t>
  </si>
  <si>
    <t>313T09:57:27</t>
  </si>
  <si>
    <t>362_1</t>
  </si>
  <si>
    <t>275T09:05</t>
  </si>
  <si>
    <t>363_1</t>
  </si>
  <si>
    <t>TRK_363_1</t>
  </si>
  <si>
    <t>276T18:38</t>
  </si>
  <si>
    <t>363_2</t>
  </si>
  <si>
    <t>TRK_363_2</t>
  </si>
  <si>
    <t>314 01:13:46</t>
  </si>
  <si>
    <t>313 17:12:11</t>
  </si>
  <si>
    <t>C&amp;DH  #1</t>
  </si>
  <si>
    <t>TT 379</t>
  </si>
  <si>
    <t>SSR_LO_RCRD_SYNC  PEPSSI_DT3</t>
  </si>
  <si>
    <t>TRK_313_2</t>
  </si>
  <si>
    <t>286T04:46</t>
  </si>
  <si>
    <t>364_1</t>
  </si>
  <si>
    <t>TRK_364_1</t>
  </si>
  <si>
    <t>314 01:13:49</t>
  </si>
  <si>
    <t>313 17:12:14</t>
  </si>
  <si>
    <t>SSR_LO_RCRD_SYNC  PEPSSI_DT4</t>
  </si>
  <si>
    <t>289T12:49</t>
  </si>
  <si>
    <t>364_2</t>
  </si>
  <si>
    <t>TRK_364_2</t>
  </si>
  <si>
    <t>314 01:14:09</t>
  </si>
  <si>
    <t>313 17:12:34</t>
  </si>
  <si>
    <t>TT 380</t>
  </si>
  <si>
    <t>SSR_LO_RCRD_SYNC  PEPSSI_DT1</t>
  </si>
  <si>
    <t>298T04:12</t>
  </si>
  <si>
    <t>365_1</t>
  </si>
  <si>
    <t>TRK_365_1</t>
  </si>
  <si>
    <t>314 01:14:12</t>
  </si>
  <si>
    <t>313 17:12:37</t>
  </si>
  <si>
    <t>SSR_LO_RCRD_SYNC  PEPSSI_DT2</t>
  </si>
  <si>
    <t>320T08:03</t>
  </si>
  <si>
    <t>001_1</t>
  </si>
  <si>
    <t>TRK_001_1</t>
  </si>
  <si>
    <t>plus 10min</t>
  </si>
  <si>
    <t>327T0900</t>
  </si>
  <si>
    <t>007_1</t>
  </si>
  <si>
    <t>TRK_007_1</t>
  </si>
  <si>
    <t>333T14:56</t>
  </si>
  <si>
    <t>007_2</t>
  </si>
  <si>
    <t>TRK_007_2</t>
  </si>
  <si>
    <t>347T13:37</t>
  </si>
  <si>
    <t>008_1</t>
  </si>
  <si>
    <t>TRK_008_1</t>
  </si>
  <si>
    <t>348T10:32</t>
  </si>
  <si>
    <t>009_1</t>
  </si>
  <si>
    <t>TRK_009_1</t>
  </si>
  <si>
    <t xml:space="preserve"> -2.5d frm trig</t>
  </si>
  <si>
    <t xml:space="preserve"> -2.5d frm cntr</t>
  </si>
  <si>
    <t>trigger</t>
  </si>
  <si>
    <t>center</t>
  </si>
  <si>
    <t>end</t>
  </si>
  <si>
    <t xml:space="preserve"> 2.5 after center</t>
  </si>
  <si>
    <t>350T20:22</t>
  </si>
  <si>
    <t>352T23:27</t>
  </si>
  <si>
    <t>011_1</t>
  </si>
  <si>
    <t>TRK_011_1</t>
  </si>
  <si>
    <t>&lt;=23360 total</t>
  </si>
  <si>
    <t>2021-356-07:33:46</t>
  </si>
  <si>
    <t>record at</t>
  </si>
  <si>
    <t>2023-060-15:25:11</t>
  </si>
  <si>
    <t>2023-001-23:54:18</t>
  </si>
  <si>
    <t>2023-217-18:24:08</t>
  </si>
  <si>
    <t>Review of playback sequence in 24015</t>
  </si>
  <si>
    <t>354T04:26</t>
  </si>
  <si>
    <t>019_1</t>
  </si>
  <si>
    <t>TRK_019_1</t>
  </si>
  <si>
    <t>356T22:55</t>
  </si>
  <si>
    <t>019_2</t>
  </si>
  <si>
    <t>TRK_019_2</t>
  </si>
  <si>
    <t>361T17:33</t>
  </si>
  <si>
    <t>022_1</t>
  </si>
  <si>
    <t>TRK_022_1</t>
  </si>
  <si>
    <t>365T14:29</t>
  </si>
  <si>
    <t>028_1</t>
  </si>
  <si>
    <t>TRK_028_1</t>
  </si>
  <si>
    <t>001T13:08</t>
  </si>
  <si>
    <t>029_1</t>
  </si>
  <si>
    <t>TRK_029_1</t>
  </si>
  <si>
    <t>009T23:49</t>
  </si>
  <si>
    <t>030_3</t>
  </si>
  <si>
    <t>TRK_030_3</t>
  </si>
  <si>
    <t>014T05:57</t>
  </si>
  <si>
    <t>031_1</t>
  </si>
  <si>
    <t>TRK_031_1</t>
  </si>
  <si>
    <t>017T08:50</t>
  </si>
  <si>
    <t>034_1</t>
  </si>
  <si>
    <t>TRK_034_1</t>
  </si>
  <si>
    <t>019T10:06</t>
  </si>
  <si>
    <t>023T01:15</t>
  </si>
  <si>
    <t>035_1</t>
  </si>
  <si>
    <t>TRK_035_1</t>
  </si>
  <si>
    <t>359 23:25:01</t>
  </si>
  <si>
    <t>start 23360</t>
  </si>
  <si>
    <t>015 02:44:03</t>
  </si>
  <si>
    <t>end 23360</t>
  </si>
  <si>
    <t>Review of playback sequence in 24036</t>
  </si>
  <si>
    <t>015 02:48:01</t>
  </si>
  <si>
    <t>start 24015</t>
  </si>
  <si>
    <t>037_1</t>
  </si>
  <si>
    <t>TRK_037_1</t>
  </si>
  <si>
    <t>37T19:29</t>
  </si>
  <si>
    <t>036 06:07:00</t>
  </si>
  <si>
    <t>end 24015</t>
  </si>
  <si>
    <t>023T13:09</t>
  </si>
  <si>
    <t>045_2</t>
  </si>
  <si>
    <t>TRK_045_2</t>
  </si>
  <si>
    <t>45T16:44</t>
  </si>
  <si>
    <t>027T00:06</t>
  </si>
  <si>
    <t>052_1</t>
  </si>
  <si>
    <t>TRK_052_1</t>
  </si>
  <si>
    <t>029T00:32</t>
  </si>
  <si>
    <t>054_1</t>
  </si>
  <si>
    <t>TRK_054_1</t>
  </si>
  <si>
    <t>034T17:22</t>
  </si>
  <si>
    <t>054_2</t>
  </si>
  <si>
    <t>TRK_054_2</t>
  </si>
  <si>
    <t>041 11:51:46</t>
  </si>
  <si>
    <t>040T10:36</t>
  </si>
  <si>
    <t>041T11:51:46</t>
  </si>
  <si>
    <t xml:space="preserve"> 057_1</t>
  </si>
  <si>
    <t>TRK_057_1</t>
  </si>
  <si>
    <t>041 14:35:00</t>
  </si>
  <si>
    <t>041T14:35:00</t>
  </si>
  <si>
    <t>048T06:42:46</t>
  </si>
  <si>
    <t>048T10:21:00</t>
  </si>
  <si>
    <t>053T20:40:43</t>
  </si>
  <si>
    <t>057_1</t>
  </si>
  <si>
    <t>048 06:42:46</t>
  </si>
  <si>
    <t>FORGOT to include power ons</t>
  </si>
  <si>
    <t>048 10:21:00</t>
  </si>
  <si>
    <t>Review of playback sequence in 24057</t>
  </si>
  <si>
    <t>col S, if neg, means oversubscribed</t>
  </si>
  <si>
    <t xml:space="preserve">158/1150 </t>
  </si>
  <si>
    <t>original from peter</t>
  </si>
  <si>
    <t>TRK_071_1</t>
  </si>
  <si>
    <t>071T04:00</t>
  </si>
  <si>
    <t>burst 154/1127-158/1300</t>
  </si>
  <si>
    <t>071_1</t>
  </si>
  <si>
    <t>TRK_071_2</t>
  </si>
  <si>
    <t>071T20:25</t>
  </si>
  <si>
    <t>158 17:28:37</t>
  </si>
  <si>
    <t>071_2</t>
  </si>
  <si>
    <t>end first sync after end of burst</t>
  </si>
  <si>
    <t>EXCESS on 076</t>
  </si>
  <si>
    <t>TRK_073_1</t>
  </si>
  <si>
    <t>073T03:35</t>
  </si>
  <si>
    <t>53/20:40</t>
  </si>
  <si>
    <t>073_1</t>
  </si>
  <si>
    <t>TRK_073_2</t>
  </si>
  <si>
    <t>073T20:15</t>
  </si>
  <si>
    <t>55/0423</t>
  </si>
  <si>
    <t>073_2</t>
  </si>
  <si>
    <t>TRK_076_2</t>
  </si>
  <si>
    <t>076T21:16</t>
  </si>
  <si>
    <t>56/1425</t>
  </si>
  <si>
    <t>076_1</t>
  </si>
  <si>
    <t>TRK_077_1</t>
  </si>
  <si>
    <t>077T21:11</t>
  </si>
  <si>
    <t>69/0932</t>
  </si>
  <si>
    <t>77/02:15</t>
  </si>
  <si>
    <t>077_1</t>
  </si>
  <si>
    <t>start TRK_077_1</t>
  </si>
  <si>
    <t>bytes per second burst recording</t>
  </si>
  <si>
    <t>bytes per day</t>
  </si>
  <si>
    <t xml:space="preserve">sec to start burst replay earlier to </t>
  </si>
  <si>
    <t>was 33022</t>
  </si>
  <si>
    <t>in hours</t>
  </si>
  <si>
    <t xml:space="preserve">Originally when just played back the normal burst 13 Mbits 1625000 bytes, when I got to the last track we ran out of data to playback. </t>
  </si>
  <si>
    <t xml:space="preserve">So I moved the start time of the burst playback earlier by 33022 seconds. This is equivalent to 9.2 hours (310359 bytes). </t>
  </si>
  <si>
    <t>I used that number because I thought that would bring us right to the time before the start of the last playback track but I think I had a typeo</t>
  </si>
  <si>
    <t xml:space="preserve">in the doy  -- as it is the last playback of survey data brings us to one day before the start of the last track. I didn't want to redo it to make it perfect. </t>
  </si>
  <si>
    <t xml:space="preserve">So Pepssi team gets an extra 9 hours from t he 2nd burst, leading up to the 3rd burst that is played back. </t>
  </si>
  <si>
    <t>Review of playback sequence in 24078</t>
  </si>
  <si>
    <t>152/11:47</t>
  </si>
  <si>
    <t>154/11:47</t>
  </si>
  <si>
    <t>079_1</t>
  </si>
  <si>
    <t>TRK_079_1</t>
  </si>
  <si>
    <t>079T04:41</t>
  </si>
  <si>
    <t>84/23:42</t>
  </si>
  <si>
    <t>089_2</t>
  </si>
  <si>
    <t>TRK_089_2</t>
  </si>
  <si>
    <t>089T20:21</t>
  </si>
  <si>
    <t>91/02:29</t>
  </si>
  <si>
    <t>091_1</t>
  </si>
  <si>
    <t>TRK_091_1</t>
  </si>
  <si>
    <t>091T20:17</t>
  </si>
  <si>
    <t>94/01:58</t>
  </si>
  <si>
    <t>094_1</t>
  </si>
  <si>
    <t>TRK_094_1</t>
  </si>
  <si>
    <t>094T02:12</t>
  </si>
  <si>
    <t>Review of playback sequence in 24099</t>
  </si>
  <si>
    <t>:q:</t>
  </si>
  <si>
    <t>99/16:06</t>
  </si>
  <si>
    <t>100_1</t>
  </si>
  <si>
    <t>TRK_100_1</t>
  </si>
  <si>
    <t>100T01:47</t>
  </si>
  <si>
    <t>108/19:49</t>
  </si>
  <si>
    <t>110_1</t>
  </si>
  <si>
    <t>TRK_110_1</t>
  </si>
  <si>
    <t>110T09:18</t>
  </si>
  <si>
    <t>113/15:00</t>
  </si>
  <si>
    <t>113_2</t>
  </si>
  <si>
    <t>TRK_113_2</t>
  </si>
  <si>
    <t>113T17:43</t>
  </si>
  <si>
    <t>114/06:00</t>
  </si>
  <si>
    <t>114_1</t>
  </si>
  <si>
    <t>TRK_114:1</t>
  </si>
  <si>
    <t>114T08:03</t>
  </si>
  <si>
    <t>116/12:18</t>
  </si>
  <si>
    <t>119_2</t>
  </si>
  <si>
    <t>126/08:44</t>
  </si>
  <si>
    <t>TRK_128_1</t>
  </si>
  <si>
    <t>128T04:04</t>
  </si>
  <si>
    <t>131/07:44</t>
  </si>
  <si>
    <t>TRK_134_2</t>
  </si>
  <si>
    <t>134T07:45</t>
  </si>
  <si>
    <t>135/15:16</t>
  </si>
  <si>
    <t>TRK_135_2</t>
  </si>
  <si>
    <t>135T17:25</t>
  </si>
  <si>
    <t>140/16:00</t>
  </si>
  <si>
    <t>140_2</t>
  </si>
  <si>
    <t>TRK_140_2</t>
  </si>
  <si>
    <t>140T17:55</t>
  </si>
  <si>
    <t>145/13:45</t>
  </si>
  <si>
    <t>147_1</t>
  </si>
  <si>
    <t>TRK_147_1</t>
  </si>
  <si>
    <t>147T10:20</t>
  </si>
  <si>
    <t>149/02:54</t>
  </si>
  <si>
    <t>150_2</t>
  </si>
  <si>
    <t>TRK_150_2</t>
  </si>
  <si>
    <t>150T06:55</t>
  </si>
  <si>
    <t>156/14:00</t>
  </si>
  <si>
    <t>156_2</t>
  </si>
  <si>
    <t>TRK_156_2</t>
  </si>
  <si>
    <t>156T16:00</t>
  </si>
  <si>
    <t>161/11:32</t>
  </si>
  <si>
    <t>161_2</t>
  </si>
  <si>
    <t>TRK_161_2</t>
  </si>
  <si>
    <t>161T22:30</t>
  </si>
  <si>
    <t>24120 datatrack review</t>
  </si>
  <si>
    <t>169T00:13</t>
  </si>
  <si>
    <t>TRK_169_1</t>
  </si>
  <si>
    <t>169T05:35</t>
  </si>
  <si>
    <t>173T21:05</t>
  </si>
  <si>
    <t>176_2</t>
  </si>
  <si>
    <t>TRK_176_2</t>
  </si>
  <si>
    <t>176T22:25</t>
  </si>
  <si>
    <t>181T21:02</t>
  </si>
  <si>
    <t>182_1</t>
  </si>
  <si>
    <t>TRK_182_1</t>
  </si>
  <si>
    <t>182T04:20</t>
  </si>
  <si>
    <t>182T23:00</t>
  </si>
  <si>
    <t>183_1</t>
  </si>
  <si>
    <t>TRK_183_1</t>
  </si>
  <si>
    <t>183T00:55</t>
  </si>
  <si>
    <t>remaining</t>
  </si>
  <si>
    <t>Mbits downlinked</t>
  </si>
  <si>
    <t>191/12:00</t>
  </si>
  <si>
    <t>TRK_191_1</t>
  </si>
  <si>
    <t>191T13:45</t>
  </si>
  <si>
    <t>197/13:00</t>
  </si>
  <si>
    <t>197_2</t>
  </si>
  <si>
    <t>TRK_197_2</t>
  </si>
  <si>
    <t>197T15:04</t>
  </si>
  <si>
    <t>203/17:00</t>
  </si>
  <si>
    <t>203_2</t>
  </si>
  <si>
    <t>TRK_203_2</t>
  </si>
  <si>
    <t>203T18:58</t>
  </si>
  <si>
    <t xml:space="preserve">remaining </t>
  </si>
  <si>
    <t>col R, if neg, means oversubscribed</t>
  </si>
  <si>
    <t>on track</t>
  </si>
  <si>
    <t>rel to S</t>
  </si>
  <si>
    <t>205/19:00</t>
  </si>
  <si>
    <t>205_1</t>
  </si>
  <si>
    <t>TRK_205_1</t>
  </si>
  <si>
    <t>205T20:28</t>
  </si>
  <si>
    <t>211 21:11:46</t>
  </si>
  <si>
    <t xml:space="preserve">Power off – last sync </t>
  </si>
  <si>
    <t>210/02:00</t>
  </si>
  <si>
    <t>210_1</t>
  </si>
  <si>
    <t>TRK_210_1</t>
  </si>
  <si>
    <t>210T03:38</t>
  </si>
  <si>
    <t>212 07:50:00</t>
  </si>
  <si>
    <t>211/02:00</t>
  </si>
  <si>
    <t>211_1</t>
  </si>
  <si>
    <t>TRK_211_1</t>
  </si>
  <si>
    <t>211T03:38</t>
  </si>
  <si>
    <t>end of hibernation test</t>
  </si>
  <si>
    <t>212 23:51:46</t>
  </si>
  <si>
    <t>211/21:12:06</t>
  </si>
  <si>
    <t>212_3</t>
  </si>
  <si>
    <t>TRK_212_3</t>
  </si>
  <si>
    <t>213T01:53</t>
  </si>
  <si>
    <t>213 19:00:00</t>
  </si>
  <si>
    <t xml:space="preserve">Power On </t>
  </si>
  <si>
    <t>212 07:50:00 – 20</t>
  </si>
  <si>
    <t>212/17:13</t>
  </si>
  <si>
    <t>212/23:52:06</t>
  </si>
  <si>
    <t>TRK_213_1</t>
  </si>
  <si>
    <t>213T19:37</t>
  </si>
  <si>
    <t>213 19:00:00 – 20</t>
  </si>
  <si>
    <t>214/03:00</t>
  </si>
  <si>
    <t>214_1</t>
  </si>
  <si>
    <t>TRK_214_1</t>
  </si>
  <si>
    <t>214T04:27</t>
  </si>
  <si>
    <t>219/10:47</t>
  </si>
  <si>
    <t>219_1</t>
  </si>
  <si>
    <t>TRK_219_1</t>
  </si>
  <si>
    <t>219T12:47</t>
  </si>
  <si>
    <t>223/22:40</t>
  </si>
  <si>
    <t>223_2</t>
  </si>
  <si>
    <t>TRK_223_2</t>
  </si>
  <si>
    <t>224T00:41</t>
  </si>
  <si>
    <t>224/17:51</t>
  </si>
  <si>
    <t>224_2</t>
  </si>
  <si>
    <t>TRK_224_2</t>
  </si>
  <si>
    <t>224T19:51</t>
  </si>
  <si>
    <t>226/23:00</t>
  </si>
  <si>
    <t>227_1</t>
  </si>
  <si>
    <t>TRK_227_1</t>
  </si>
  <si>
    <t>227T01:01</t>
  </si>
  <si>
    <t>238/05:46</t>
  </si>
  <si>
    <t>238_3</t>
  </si>
  <si>
    <t>TRK_238_3</t>
  </si>
  <si>
    <t>238T19:09</t>
  </si>
  <si>
    <t>245/18:00</t>
  </si>
  <si>
    <t>245_2</t>
  </si>
  <si>
    <t>TRK_245_2</t>
  </si>
  <si>
    <t>245T19:53</t>
  </si>
  <si>
    <t>ERRORS</t>
  </si>
  <si>
    <t>249/13:00</t>
  </si>
  <si>
    <t>249_1</t>
  </si>
  <si>
    <t>TRK_249_1</t>
  </si>
  <si>
    <t>249T15:47</t>
  </si>
  <si>
    <t>should be ok excep sasf cmt</t>
  </si>
  <si>
    <t>252/1848</t>
  </si>
  <si>
    <t>253_1</t>
  </si>
  <si>
    <t>TRK_253_1</t>
  </si>
  <si>
    <t>253/03:16</t>
  </si>
  <si>
    <t>is wrong. Should be …</t>
  </si>
  <si>
    <t>257/2100</t>
  </si>
  <si>
    <t>257_2</t>
  </si>
  <si>
    <t>TRK_257_2</t>
  </si>
  <si>
    <t>257/23:35</t>
  </si>
  <si>
    <t>262/15:30</t>
  </si>
  <si>
    <t>261/0248</t>
  </si>
  <si>
    <t>261_1</t>
  </si>
  <si>
    <t>TRK_261_1</t>
  </si>
  <si>
    <t>261/16:55</t>
  </si>
  <si>
    <t>265/12:00</t>
  </si>
  <si>
    <t>265_1</t>
  </si>
  <si>
    <t>TRK_265_1</t>
  </si>
  <si>
    <t>265/14:49</t>
  </si>
  <si>
    <t>266/23:00</t>
  </si>
  <si>
    <t>267_1</t>
  </si>
  <si>
    <t>TRK_267_1</t>
  </si>
  <si>
    <t>267/01:34</t>
  </si>
  <si>
    <t>The end met is actually for 267/23:00</t>
  </si>
  <si>
    <t>karl said it will be ok, fills cluster in ram first, so will only play back that cluster.</t>
  </si>
  <si>
    <t>269/13:30</t>
  </si>
  <si>
    <t>269_1</t>
  </si>
  <si>
    <t>TRK_269_1</t>
  </si>
  <si>
    <t>269/15:28</t>
  </si>
  <si>
    <t>273/00:00</t>
  </si>
  <si>
    <t>273_1</t>
  </si>
  <si>
    <t>TRK_273_1</t>
  </si>
  <si>
    <t>273/02:07</t>
  </si>
  <si>
    <t>274/23:00</t>
  </si>
  <si>
    <t>275_1</t>
  </si>
  <si>
    <t>TRK_275_1</t>
  </si>
  <si>
    <t>275/01:27</t>
  </si>
  <si>
    <t>275/23:00</t>
  </si>
  <si>
    <t>276_1</t>
  </si>
  <si>
    <t>TRK_276_1</t>
  </si>
  <si>
    <t>276/01:17</t>
  </si>
  <si>
    <t>Total 21 d</t>
  </si>
  <si>
    <t>bps before</t>
  </si>
  <si>
    <t>bps now</t>
  </si>
  <si>
    <t>Mb/d</t>
  </si>
  <si>
    <t>for 21d</t>
  </si>
  <si>
    <t>days in survey</t>
  </si>
  <si>
    <t>survey/day</t>
  </si>
  <si>
    <t>days in hib</t>
  </si>
  <si>
    <t>n2/day</t>
  </si>
  <si>
    <t>n2</t>
  </si>
  <si>
    <t>buff/day</t>
  </si>
  <si>
    <t>buff</t>
  </si>
  <si>
    <t xml:space="preserve">power on    </t>
  </si>
  <si>
    <t>survey /d</t>
  </si>
  <si>
    <t xml:space="preserve">total </t>
  </si>
  <si>
    <t>per day</t>
  </si>
  <si>
    <t>per 21d</t>
  </si>
  <si>
    <t>not played back swap</t>
  </si>
  <si>
    <t>Mbits/day</t>
  </si>
  <si>
    <t>Non-hibernatio</t>
  </si>
  <si>
    <t>RT = 30 MIN</t>
  </si>
  <si>
    <t>hibernation</t>
  </si>
  <si>
    <t>RT = 10 MIN</t>
  </si>
  <si>
    <t>DT1</t>
  </si>
  <si>
    <t>DT2</t>
  </si>
  <si>
    <t>HSK3</t>
  </si>
  <si>
    <t>DT2 if 102</t>
  </si>
  <si>
    <t>DT3</t>
  </si>
  <si>
    <t>DT4</t>
  </si>
  <si>
    <t>swap gain by/s</t>
  </si>
  <si>
    <t>should be:</t>
  </si>
  <si>
    <t>latest:</t>
  </si>
  <si>
    <t>N3</t>
  </si>
  <si>
    <t>Status</t>
  </si>
  <si>
    <t>Buff Rates</t>
  </si>
  <si>
    <t>N2</t>
  </si>
  <si>
    <t>Trig Assess</t>
  </si>
  <si>
    <t>Mbits/d</t>
  </si>
  <si>
    <t>125Mb/2.55Mb/d</t>
  </si>
  <si>
    <t>swap bytes/s</t>
  </si>
  <si>
    <t>total bps</t>
  </si>
  <si>
    <t>end of 25181</t>
  </si>
  <si>
    <t>erroneously used in 96/118</t>
  </si>
  <si>
    <t>MACRO 101</t>
  </si>
  <si>
    <t>pepssi bytes/s</t>
  </si>
  <si>
    <t>w N2 + DT4</t>
  </si>
  <si>
    <t>N1 = 120</t>
  </si>
  <si>
    <t>plus gain</t>
  </si>
  <si>
    <t>days pb 207</t>
  </si>
  <si>
    <t>should have used for 96/118</t>
  </si>
  <si>
    <t>w N2 no DT4</t>
  </si>
  <si>
    <t>MAC 103/110</t>
  </si>
  <si>
    <t>No N2/DT4</t>
  </si>
  <si>
    <t>N1 = 180</t>
  </si>
  <si>
    <t>??</t>
  </si>
  <si>
    <t xml:space="preserve">DT4 </t>
  </si>
  <si>
    <t>25159 no macros</t>
  </si>
  <si>
    <t xml:space="preserve">  ‘survey’ only</t>
  </si>
  <si>
    <t>N1/N3/St</t>
  </si>
  <si>
    <t>NO ==&gt; not 120</t>
  </si>
  <si>
    <t>25181 no macros</t>
  </si>
  <si>
    <t>n1/n2/st/ta</t>
  </si>
  <si>
    <t>MAC 103/105</t>
  </si>
  <si>
    <t>No N3/BuffR</t>
  </si>
  <si>
    <t>n3/br</t>
  </si>
  <si>
    <t>only N3/Buff</t>
  </si>
  <si>
    <t>all</t>
  </si>
  <si>
    <t>N2 only</t>
  </si>
  <si>
    <t>25207 MAC 104/105</t>
  </si>
  <si>
    <t>N1/N2/TA/St</t>
  </si>
  <si>
    <t>N1=300</t>
  </si>
  <si>
    <t>pwron bytes</t>
  </si>
  <si>
    <t>097 00:46:28</t>
  </si>
  <si>
    <t>096 16:15:01</t>
  </si>
  <si>
    <t>TT  12</t>
  </si>
  <si>
    <t>SWAP_LVPS_POWER    CDBOTH  ON</t>
  </si>
  <si>
    <t>Turn ON SWAP</t>
  </si>
  <si>
    <t>K1SW_A4_SWAP_Daily_ON_096_1_power_on</t>
  </si>
  <si>
    <t>25096 gain test</t>
  </si>
  <si>
    <t>099 11:31:17</t>
  </si>
  <si>
    <t>099 03:00:01</t>
  </si>
  <si>
    <t>TT  77</t>
  </si>
  <si>
    <t>K1SW_A4_SWAP_GAIN_099_1</t>
  </si>
  <si>
    <t>099 13:21:29</t>
  </si>
  <si>
    <t>099 04:50:13</t>
  </si>
  <si>
    <t>SWAP  #1</t>
  </si>
  <si>
    <t>TT 086</t>
  </si>
  <si>
    <t>SWAP_TLM_HK_RATE  1H  MACRO=EXEC</t>
  </si>
  <si>
    <t>K1SW_A4_SWAP_OFF_099__A4</t>
  </si>
  <si>
    <t>099 13:54:49</t>
  </si>
  <si>
    <t>099 05:23:33</t>
  </si>
  <si>
    <t>TT  87</t>
  </si>
  <si>
    <t>SSR_LO_RCRD_SYNC  SWAP_DT1</t>
  </si>
  <si>
    <t>K1SW_A4_Refresh_All_099</t>
  </si>
  <si>
    <t>bytes using corrected rates</t>
  </si>
  <si>
    <t>Mbit dl</t>
  </si>
  <si>
    <t>track</t>
  </si>
  <si>
    <t xml:space="preserve">pb report </t>
  </si>
  <si>
    <t>calculated</t>
  </si>
  <si>
    <t>actual Mbits</t>
  </si>
  <si>
    <t>delta</t>
  </si>
  <si>
    <t>96/16:15</t>
  </si>
  <si>
    <t>99/03:01</t>
  </si>
  <si>
    <t>pwron to gain</t>
  </si>
  <si>
    <t>111/08:19</t>
  </si>
  <si>
    <t>111_1</t>
  </si>
  <si>
    <t>TRK_111_1</t>
  </si>
  <si>
    <t xml:space="preserve">  2025-111T08:34:01</t>
  </si>
  <si>
    <t>gain test</t>
  </si>
  <si>
    <t>99/04:50</t>
  </si>
  <si>
    <t>post gain</t>
  </si>
  <si>
    <t>103/21:12</t>
  </si>
  <si>
    <t>112/00:34</t>
  </si>
  <si>
    <t>112_1</t>
  </si>
  <si>
    <t>TRK_112_1</t>
  </si>
  <si>
    <t xml:space="preserve">  2025-112T00:49:01</t>
  </si>
  <si>
    <t>106/15:30</t>
  </si>
  <si>
    <t>112/18:29</t>
  </si>
  <si>
    <t>112_2</t>
  </si>
  <si>
    <t>TRK_112_2</t>
  </si>
  <si>
    <t xml:space="preserve">  2025-112T18:44:01</t>
  </si>
  <si>
    <t>Pos – act is greater</t>
  </si>
  <si>
    <t>097 01:06:28</t>
  </si>
  <si>
    <t>096 16:35:01</t>
  </si>
  <si>
    <t>TT  14</t>
  </si>
  <si>
    <t>PEPSSI_LVPS_POWER    CDBOTH  ON</t>
  </si>
  <si>
    <t>Turn ON PEPSSI</t>
  </si>
  <si>
    <t>K2PE_PEPSSI_POWERON_Macro_101_2025_096</t>
  </si>
  <si>
    <t>pbrprt</t>
  </si>
  <si>
    <t>Act – pred</t>
  </si>
  <si>
    <t>mbits</t>
  </si>
  <si>
    <t>pwr on =&gt;</t>
  </si>
  <si>
    <t>96/16:35</t>
  </si>
  <si>
    <t>99/20:14</t>
  </si>
  <si>
    <t>113/10:49</t>
  </si>
  <si>
    <t>113_1</t>
  </si>
  <si>
    <t>TRK_113_1</t>
  </si>
  <si>
    <t xml:space="preserve">  2025-113T11:04:01</t>
  </si>
  <si>
    <t>104/11:33</t>
  </si>
  <si>
    <t>114/04:39</t>
  </si>
  <si>
    <t>TRK_114_1_</t>
  </si>
  <si>
    <t xml:space="preserve">  2025-114T04:54:01</t>
  </si>
  <si>
    <t>107/02:56</t>
  </si>
  <si>
    <t>115/00:44</t>
  </si>
  <si>
    <t>115_1</t>
  </si>
  <si>
    <t>TRK_115_1</t>
  </si>
  <si>
    <t xml:space="preserve">  2025-115T00:59:01</t>
  </si>
  <si>
    <t>107/14:27</t>
  </si>
  <si>
    <t>118/04:45</t>
  </si>
  <si>
    <t>118_1</t>
  </si>
  <si>
    <t>TRK_118_1</t>
  </si>
  <si>
    <t xml:space="preserve">  2025-118T05:00:01</t>
  </si>
  <si>
    <t>107/03:01</t>
  </si>
  <si>
    <t xml:space="preserve">swap actual </t>
  </si>
  <si>
    <t>swap</t>
  </si>
  <si>
    <t>pepssi</t>
  </si>
  <si>
    <t>25118:TRK_119_1:1</t>
  </si>
  <si>
    <t>2025-119_00:25:01</t>
  </si>
  <si>
    <t>alice says they got 3132176 bytes of PEPSSI_DT4 0x068A.</t>
  </si>
  <si>
    <t>25118:TRK_119_2_:1</t>
  </si>
  <si>
    <t>2025-119_17:15:01</t>
  </si>
  <si>
    <t xml:space="preserve">they think it’s about half. </t>
  </si>
  <si>
    <t>25118:TRK_120_1:1</t>
  </si>
  <si>
    <t>2025-120_03:05:01</t>
  </si>
  <si>
    <t>25118:TRK_121_1:1</t>
  </si>
  <si>
    <t>2025-121_10:30:01</t>
  </si>
  <si>
    <t>118 15:41:37</t>
  </si>
  <si>
    <t>118 07:11:47</t>
  </si>
  <si>
    <t>TT 435</t>
  </si>
  <si>
    <t>K2PE_PEPSSI_POWEROFF_2025_118</t>
  </si>
  <si>
    <t>25118:TRK_121_2:1</t>
  </si>
  <si>
    <t>2025-121_18:05:01</t>
  </si>
  <si>
    <t>pos means track undersubscribed (didn’t use all of dldv)</t>
  </si>
  <si>
    <t>25118:TRK_122_1_:1</t>
  </si>
  <si>
    <t>2025-122_07:35:01</t>
  </si>
  <si>
    <t>neg means oversubscribed</t>
  </si>
  <si>
    <t>25118:TRK_124_1:1</t>
  </si>
  <si>
    <t>2025-124_20:00:01</t>
  </si>
  <si>
    <t>rem on trk</t>
  </si>
  <si>
    <t>25118:TRK_126_1_:1</t>
  </si>
  <si>
    <t>2025-126_01:00:01</t>
  </si>
  <si>
    <t>delta bytes</t>
  </si>
  <si>
    <t>delta mbits</t>
  </si>
  <si>
    <t>25118:TRK_126_3:1</t>
  </si>
  <si>
    <t>2025-126_17:45:01</t>
  </si>
  <si>
    <t>116 08:23:06</t>
  </si>
  <si>
    <t>115 23:53:06</t>
  </si>
  <si>
    <t>TT 397</t>
  </si>
  <si>
    <t>K1SW_A4_SWAP_OFF_115__A4_before_thermal_test</t>
  </si>
  <si>
    <t>25118:TRK_127_1:1</t>
  </si>
  <si>
    <t>2025-127_03:55:01</t>
  </si>
  <si>
    <t>107/03:02</t>
  </si>
  <si>
    <t>115/23:53</t>
  </si>
  <si>
    <t>to pwr off 115/23:53</t>
  </si>
  <si>
    <t>121_2</t>
  </si>
  <si>
    <t>Thru 127_2</t>
  </si>
  <si>
    <t>TRK_121_2</t>
  </si>
  <si>
    <t>121/17:51</t>
  </si>
  <si>
    <t>25118:TRK_127_2:1</t>
  </si>
  <si>
    <t>2025-128_02:10:01</t>
  </si>
  <si>
    <t>mac1</t>
  </si>
  <si>
    <t>mac2</t>
  </si>
  <si>
    <t>SDT1</t>
  </si>
  <si>
    <t>116 08:26:47</t>
  </si>
  <si>
    <t>115 23:56:47</t>
  </si>
  <si>
    <t>K2PE_PEPSSI_POWEROFF_2025_115</t>
  </si>
  <si>
    <t>25118:TRK_129_2_:1</t>
  </si>
  <si>
    <t>2025-129_17:25:01</t>
  </si>
  <si>
    <t>115/23:56</t>
  </si>
  <si>
    <t>to pwr off 115/23:56</t>
  </si>
  <si>
    <t>126_3</t>
  </si>
  <si>
    <t>Thru 134_2</t>
  </si>
  <si>
    <t>TRK_126_3</t>
  </si>
  <si>
    <t>126/17:30</t>
  </si>
  <si>
    <t>25118:TRK_131_2:1</t>
  </si>
  <si>
    <t>2025-131_18:06:01</t>
  </si>
  <si>
    <t>116 16:44:59</t>
  </si>
  <si>
    <t>116 08:15:01</t>
  </si>
  <si>
    <t>TT 401</t>
  </si>
  <si>
    <t>K2PE_PEPSSI_POWERON_Macro_101_2025_116</t>
  </si>
  <si>
    <t>25118:TRK_132_2:1</t>
  </si>
  <si>
    <t>2025-132_23:31:01</t>
  </si>
  <si>
    <t>116/0814</t>
  </si>
  <si>
    <t>119/07:51</t>
  </si>
  <si>
    <t xml:space="preserve">pwr on 116/0815 to </t>
  </si>
  <si>
    <t>underscubribed just by 15min</t>
  </si>
  <si>
    <t>25118:TRK_133_1:1</t>
  </si>
  <si>
    <t>2025-133_17:26:01</t>
  </si>
  <si>
    <t xml:space="preserve">forgot pwr off at </t>
  </si>
  <si>
    <t>118/07:11:47</t>
  </si>
  <si>
    <t>only 15m undersubscribed</t>
  </si>
  <si>
    <t>116 16:37:00</t>
  </si>
  <si>
    <t>116 08:07:02</t>
  </si>
  <si>
    <t>TT 400</t>
  </si>
  <si>
    <t>K1SW_A4_SWAP_Daily_ON_116_1_end_thermal_test</t>
  </si>
  <si>
    <t>25118:TRK_134_1:1</t>
  </si>
  <si>
    <t>2025-134_02:31:01</t>
  </si>
  <si>
    <t>116/0806</t>
  </si>
  <si>
    <t>122/2353</t>
  </si>
  <si>
    <t>pwron to pwroff 122/2345</t>
  </si>
  <si>
    <t>Thru 138_1</t>
  </si>
  <si>
    <t>134/02:16:07</t>
  </si>
  <si>
    <t>25118:TRK_134_2_:1</t>
  </si>
  <si>
    <t>2025-134_18:46:01</t>
  </si>
  <si>
    <t>pwr off previous time</t>
  </si>
  <si>
    <t>124 08:22:33</t>
  </si>
  <si>
    <t>123 23:53:06</t>
  </si>
  <si>
    <t>TT 142</t>
  </si>
  <si>
    <t>K2SW_A4_SWAP_Off_123_before_thermal_test</t>
  </si>
  <si>
    <t>25118:TRK_135_1:1</t>
  </si>
  <si>
    <t>2025-135_18:16:01</t>
  </si>
  <si>
    <t>Moved 1 day earlier</t>
  </si>
  <si>
    <t>123 08:22:33</t>
  </si>
  <si>
    <t>122 23:53:06</t>
  </si>
  <si>
    <t>25118:TRK_136_1:1</t>
  </si>
  <si>
    <t>2025-136_03:16:01</t>
  </si>
  <si>
    <t>pwr on previou time</t>
  </si>
  <si>
    <t>124 16:36:27</t>
  </si>
  <si>
    <t>124 08:07:01</t>
  </si>
  <si>
    <t>TT 144</t>
  </si>
  <si>
    <t>K1SW_A4_SWAP_Daily_ON_124_1_end_thermal_test</t>
  </si>
  <si>
    <t>25118:TRK_138_1:1</t>
  </si>
  <si>
    <t>2025-138_17:31:01</t>
  </si>
  <si>
    <t>123 08:07:01</t>
  </si>
  <si>
    <t>123/0807</t>
  </si>
  <si>
    <t>126/0318</t>
  </si>
  <si>
    <t>pwr on 123/0807</t>
  </si>
  <si>
    <t>134/02:16:12</t>
  </si>
  <si>
    <t xml:space="preserve">I missed this power off in 25118 playback, but it was only 15 min undersubscribed. </t>
  </si>
  <si>
    <t>neg means oversubscribed  (used it up plus need more track time)</t>
  </si>
  <si>
    <t>118 15:54:51</t>
  </si>
  <si>
    <t>118 07:25:01</t>
  </si>
  <si>
    <t>TT  10</t>
  </si>
  <si>
    <t>K2PE_PEPSSI_POWERON_Macro_101_2025_118</t>
  </si>
  <si>
    <t>assumes rate if +dt4 but didn’t cmd dt4, still worked out</t>
  </si>
  <si>
    <t>this picks up where pb left off in 25118</t>
  </si>
  <si>
    <t>123 08:26:18</t>
  </si>
  <si>
    <t>122 23:56:47</t>
  </si>
  <si>
    <t>TT  88</t>
  </si>
  <si>
    <t>K2PE_PEPSSI_POWEROFF_2025_123</t>
  </si>
  <si>
    <t>leftover</t>
  </si>
  <si>
    <t>Load:Name:SSR</t>
  </si>
  <si>
    <t>StartUTC</t>
  </si>
  <si>
    <t>Capacity</t>
  </si>
  <si>
    <t>Balance</t>
  </si>
  <si>
    <t>RunTotal</t>
  </si>
  <si>
    <t>122/23:57</t>
  </si>
  <si>
    <t>139/19:46</t>
  </si>
  <si>
    <t>TRK_139_1</t>
  </si>
  <si>
    <t>25139:TRK_139_1_:1</t>
  </si>
  <si>
    <t>2025-139_20:01:01</t>
  </si>
  <si>
    <t>123 16:44:32</t>
  </si>
  <si>
    <t>123 08:15:02</t>
  </si>
  <si>
    <t>TT  92</t>
  </si>
  <si>
    <t>K2PE_PEPSSI_POWERON_Macro_101_2025_124</t>
  </si>
  <si>
    <t>123/08:15</t>
  </si>
  <si>
    <t>123/16:13</t>
  </si>
  <si>
    <t>126/02:10</t>
  </si>
  <si>
    <t>140/17:01</t>
  </si>
  <si>
    <t>140_1</t>
  </si>
  <si>
    <t>TRK_140_1</t>
  </si>
  <si>
    <t>25139:TRK_140_1:1</t>
  </si>
  <si>
    <t>2025-140_17:16:01</t>
  </si>
  <si>
    <t>127/22:57</t>
  </si>
  <si>
    <t>141/02:56</t>
  </si>
  <si>
    <t>141_1</t>
  </si>
  <si>
    <t>TRK_141_1</t>
  </si>
  <si>
    <t>25139:TRK_141_1:1</t>
  </si>
  <si>
    <t>2025-141_03:11:01</t>
  </si>
  <si>
    <t>129/17:05</t>
  </si>
  <si>
    <t>142/01:01</t>
  </si>
  <si>
    <t>142_1</t>
  </si>
  <si>
    <t>TRK_142_1</t>
  </si>
  <si>
    <t>25139:TRK_142_1:1</t>
  </si>
  <si>
    <t>2025-142_01:16:01</t>
  </si>
  <si>
    <t>133/04:28</t>
  </si>
  <si>
    <t>142/18:31</t>
  </si>
  <si>
    <t>142_2</t>
  </si>
  <si>
    <t>TRK_142_2</t>
  </si>
  <si>
    <t>25139:TRK_142_2:1</t>
  </si>
  <si>
    <t>2025-142_18:46:01</t>
  </si>
  <si>
    <t>135/13:16</t>
  </si>
  <si>
    <t>144/01:16</t>
  </si>
  <si>
    <t>144_1</t>
  </si>
  <si>
    <t>TRK_144_1</t>
  </si>
  <si>
    <t>25139:TRK_144_1_:1</t>
  </si>
  <si>
    <t>2025-144_01:31:01</t>
  </si>
  <si>
    <t xml:space="preserve">Last met played back in 24267: </t>
  </si>
  <si>
    <t>pickup from 24267</t>
  </si>
  <si>
    <t>277 04:56:00</t>
  </si>
  <si>
    <t>276 20:38:05</t>
  </si>
  <si>
    <t>TT 246</t>
  </si>
  <si>
    <t>K2SW_A4_SWAP_Off_276</t>
  </si>
  <si>
    <t>276/01:32</t>
  </si>
  <si>
    <t>276/20:38</t>
  </si>
  <si>
    <t>153/15:36</t>
  </si>
  <si>
    <t>TRK_153_1</t>
  </si>
  <si>
    <t>25139:TRK_153_1_:1</t>
  </si>
  <si>
    <t>2025-153_15:51:01</t>
  </si>
  <si>
    <t>277 15:58:00</t>
  </si>
  <si>
    <t>277 07:40:00</t>
  </si>
  <si>
    <t>TT 267</t>
  </si>
  <si>
    <t>K2SW_A4_SWAP_On_To_Med_277</t>
  </si>
  <si>
    <t>277/07:40</t>
  </si>
  <si>
    <t>277/18:25</t>
  </si>
  <si>
    <t>283/04:53</t>
  </si>
  <si>
    <t>153/23:16</t>
  </si>
  <si>
    <t>153_2</t>
  </si>
  <si>
    <t>TRK_153_2</t>
  </si>
  <si>
    <t>25139:TRK_153_2:1</t>
  </si>
  <si>
    <t>2025-153_23:31:01</t>
  </si>
  <si>
    <t>291/07:00</t>
  </si>
  <si>
    <t>154/16:46</t>
  </si>
  <si>
    <t>TRK_154_1</t>
  </si>
  <si>
    <t>25139:TRK_154_1:1</t>
  </si>
  <si>
    <t>2025-154_17:01:01</t>
  </si>
  <si>
    <t>295/05:40</t>
  </si>
  <si>
    <t>156/15:31</t>
  </si>
  <si>
    <t>156_1</t>
  </si>
  <si>
    <t>TRK_156_1</t>
  </si>
  <si>
    <t>25139:TRK_156_1:1</t>
  </si>
  <si>
    <t>2025-156_15:46:01</t>
  </si>
  <si>
    <t>298/02:18</t>
  </si>
  <si>
    <t>157/16:31</t>
  </si>
  <si>
    <t>157_1</t>
  </si>
  <si>
    <t>TRK_157_1</t>
  </si>
  <si>
    <t>25139:TRK_157_1_:1</t>
  </si>
  <si>
    <t>2025-157_16:46:01</t>
  </si>
  <si>
    <t>302/14:44</t>
  </si>
  <si>
    <t>159/21:26</t>
  </si>
  <si>
    <t>159_1</t>
  </si>
  <si>
    <t>TRK_159_1</t>
  </si>
  <si>
    <t>25139:TRK_159_1:1</t>
  </si>
  <si>
    <t>2025-159_21:41:01</t>
  </si>
  <si>
    <t>DLDV *1.1</t>
  </si>
  <si>
    <t>RTC</t>
  </si>
  <si>
    <t>pepssi_dt4?</t>
  </si>
  <si>
    <t>160 11:39:03</t>
  </si>
  <si>
    <t>160 03:11:01</t>
  </si>
  <si>
    <t>TT  11</t>
  </si>
  <si>
    <t>K2PE_PEPSSI_Macros_103_110_2025_160</t>
  </si>
  <si>
    <t>160 12:18:03</t>
  </si>
  <si>
    <t>160 03:50:01</t>
  </si>
  <si>
    <t>PEPSI #1</t>
  </si>
  <si>
    <t>TT 014</t>
  </si>
  <si>
    <t>PEPSSI_MAC_RUN  103  MACRO=EXEC</t>
  </si>
  <si>
    <t>161 00:34:03</t>
  </si>
  <si>
    <t>160 16:06:01</t>
  </si>
  <si>
    <t>DM 110</t>
  </si>
  <si>
    <t>PEPSSI_MAC_LOOP_END  MACRO=EXEC</t>
  </si>
  <si>
    <t>PEPSSI_MEM_STR_LOAD_1  PARAMS   4  1  MACRO=EXEC</t>
  </si>
  <si>
    <t>Output N2 Data to SSR</t>
  </si>
  <si>
    <t>PEPSSI_MAC_DELAY  43200  MACRO=EXEC</t>
  </si>
  <si>
    <t>z</t>
  </si>
  <si>
    <t>Here stopped played DT3 back</t>
  </si>
  <si>
    <t>139 06:33:24</t>
  </si>
  <si>
    <t>138 22:04:47</t>
  </si>
  <si>
    <t>K2PE_PEPSSI_POWEROFF_2025_138</t>
  </si>
  <si>
    <t>pb report</t>
  </si>
  <si>
    <t>138/22:05</t>
  </si>
  <si>
    <t>TRK_160_1</t>
  </si>
  <si>
    <t>160/16:16</t>
  </si>
  <si>
    <t>25159:TRK_160_1:1</t>
  </si>
  <si>
    <t>2025-160_16:31:01</t>
  </si>
  <si>
    <t>139 06:48:38</t>
  </si>
  <si>
    <t>138 22:20:01</t>
  </si>
  <si>
    <t>K2PE_PEPSSI_POWERON_Macro_101_2025_138</t>
  </si>
  <si>
    <t>ON</t>
  </si>
  <si>
    <t>139 07:19:28</t>
  </si>
  <si>
    <t>138 22:50:51</t>
  </si>
  <si>
    <t>TT 013</t>
  </si>
  <si>
    <t>PEPSSI_SPECTRUM_INTERVAL  N2  120  MACRO=EXEC</t>
  </si>
  <si>
    <t>N2 120</t>
  </si>
  <si>
    <t>139 07:19:31</t>
  </si>
  <si>
    <t>138 22:50:54</t>
  </si>
  <si>
    <t>PEPSSI_SPECTRUM_INTERVAL  N1  120  MACRO=EXEC</t>
  </si>
  <si>
    <t>N1 120</t>
  </si>
  <si>
    <t>139 07:19:34</t>
  </si>
  <si>
    <t>138 22:50:57</t>
  </si>
  <si>
    <t>PEPSSI_SPECTRUM_INTERVAL  N3  7200  MACRO=EXEC</t>
  </si>
  <si>
    <t>N3 7200</t>
  </si>
  <si>
    <t>139 07:19:37</t>
  </si>
  <si>
    <t>138 22:51:00</t>
  </si>
  <si>
    <t>PEPSSI_STAT_INT  1800  MACRO=EXEC</t>
  </si>
  <si>
    <t>Status 1800</t>
  </si>
  <si>
    <t>START LOAD 25139 for PEPSSI</t>
  </si>
  <si>
    <t>139 07:29:38</t>
  </si>
  <si>
    <t>138 23:01:01</t>
  </si>
  <si>
    <t>PEPSSI_MAC_RUN  101  MACRO=EXEC</t>
  </si>
  <si>
    <t>Pos -  actual greater than predict</t>
  </si>
  <si>
    <t>138/22:20</t>
  </si>
  <si>
    <t>139/09:36</t>
  </si>
  <si>
    <t>power on less than availale – so manually oversubscribed – there will be extra 1.6 Mbts</t>
  </si>
  <si>
    <t>`</t>
  </si>
  <si>
    <t>141/18:07</t>
  </si>
  <si>
    <t>161/15:11</t>
  </si>
  <si>
    <t>25159:TRK_161_2:1</t>
  </si>
  <si>
    <t>2025-161_15:26:01</t>
  </si>
  <si>
    <t>144/16:32</t>
  </si>
  <si>
    <t>TRK_162_1</t>
  </si>
  <si>
    <t>162/01:06</t>
  </si>
  <si>
    <t>25159:TRK_162_1:1</t>
  </si>
  <si>
    <t>2025-162_01:21:01</t>
  </si>
  <si>
    <t>147/11:13</t>
  </si>
  <si>
    <t>162_2</t>
  </si>
  <si>
    <t>TRK_162_2</t>
  </si>
  <si>
    <t>162/17:01</t>
  </si>
  <si>
    <t>25159:TRK_162_2:1</t>
  </si>
  <si>
    <t>2025-162_17:16:01</t>
  </si>
  <si>
    <t>149/00:35</t>
  </si>
  <si>
    <t>164_1</t>
  </si>
  <si>
    <t>TRK_164_1</t>
  </si>
  <si>
    <t>164/00:56</t>
  </si>
  <si>
    <t>25159:TRK_164_1:1</t>
  </si>
  <si>
    <t>2025-164_01:11:01</t>
  </si>
  <si>
    <t>154/00:30</t>
  </si>
  <si>
    <t>166_1</t>
  </si>
  <si>
    <t>TRK_166_1</t>
  </si>
  <si>
    <t>166/15:41</t>
  </si>
  <si>
    <t>25159:TRK_166_1:1</t>
  </si>
  <si>
    <t>2025-166_15:56:01</t>
  </si>
  <si>
    <t>156/03:07</t>
  </si>
  <si>
    <t>TRK_167_1</t>
  </si>
  <si>
    <t>167/15:51</t>
  </si>
  <si>
    <t>25159:TRK_167_1:1</t>
  </si>
  <si>
    <t>2025-167_16:06:01</t>
  </si>
  <si>
    <t>159/01:32</t>
  </si>
  <si>
    <t>168_1</t>
  </si>
  <si>
    <t>TRK_168_1</t>
  </si>
  <si>
    <t>168/15:51</t>
  </si>
  <si>
    <t>25159:TRK_168_1:1</t>
  </si>
  <si>
    <t>2025-168_16:06:01</t>
  </si>
  <si>
    <t>End Power Off last synch</t>
  </si>
  <si>
    <t>160 11:29:49</t>
  </si>
  <si>
    <t>160 03:01:47</t>
  </si>
  <si>
    <t>TT 319</t>
  </si>
  <si>
    <t>K2PE_PEPSSI_POWEROFF_2025_160</t>
  </si>
  <si>
    <t>160/03:02</t>
  </si>
  <si>
    <t>169/01:21</t>
  </si>
  <si>
    <t>25159:TRK_169_1:1</t>
  </si>
  <si>
    <t>2025-169_01:36:01</t>
  </si>
  <si>
    <t xml:space="preserve">START LOAD 25159 for PEPSSI – NEW RATE Macro 110     </t>
  </si>
  <si>
    <t>160/0311</t>
  </si>
  <si>
    <t>161/08:55</t>
  </si>
  <si>
    <t>167/03:05</t>
  </si>
  <si>
    <t>169_3</t>
  </si>
  <si>
    <t>TRK_169_3</t>
  </si>
  <si>
    <t>169/22:11</t>
  </si>
  <si>
    <t>25159:TRK_169_3:1</t>
  </si>
  <si>
    <t>2025-169_22:26:01</t>
  </si>
  <si>
    <t>170/14:00</t>
  </si>
  <si>
    <t>170_1</t>
  </si>
  <si>
    <t>TRK_170_1</t>
  </si>
  <si>
    <t>170/16:06</t>
  </si>
  <si>
    <t>25159:TRK_170_1:1</t>
  </si>
  <si>
    <t>2025-170_16:21:01</t>
  </si>
  <si>
    <t>309/00:19</t>
  </si>
  <si>
    <t>315/21:27</t>
  </si>
  <si>
    <t>173_1</t>
  </si>
  <si>
    <t>TRK_173_1</t>
  </si>
  <si>
    <t>173/15:36</t>
  </si>
  <si>
    <t>25159:TRK_173_1:1</t>
  </si>
  <si>
    <t>2025-173_15:51:01</t>
  </si>
  <si>
    <t>318/22:12</t>
  </si>
  <si>
    <t>174_1</t>
  </si>
  <si>
    <t>TRK_174_1</t>
  </si>
  <si>
    <t>174/15:46</t>
  </si>
  <si>
    <t>25159:TRK_174_1:1</t>
  </si>
  <si>
    <t>2025-174_16:01:01</t>
  </si>
  <si>
    <t>322/00:24</t>
  </si>
  <si>
    <t>175_1</t>
  </si>
  <si>
    <t>TRK_175_1</t>
  </si>
  <si>
    <t>175/23:26</t>
  </si>
  <si>
    <t>25159:TRK_175_1:1</t>
  </si>
  <si>
    <t>2025-175_23:41:01</t>
  </si>
  <si>
    <t>324/12:33</t>
  </si>
  <si>
    <t>177_1</t>
  </si>
  <si>
    <t>TRK_177_1</t>
  </si>
  <si>
    <t>177/00:06</t>
  </si>
  <si>
    <t>25159:TRK_177_1:1</t>
  </si>
  <si>
    <t>2025-177_00:21:01</t>
  </si>
  <si>
    <t>331/12:35</t>
  </si>
  <si>
    <t>177_2</t>
  </si>
  <si>
    <t>TRK_177_2</t>
  </si>
  <si>
    <t>177/17:16</t>
  </si>
  <si>
    <t>25159:TRK_177_2:1</t>
  </si>
  <si>
    <t>2025-177_17:31:01</t>
  </si>
  <si>
    <t>338/00:07</t>
  </si>
  <si>
    <t>179_1</t>
  </si>
  <si>
    <t>TRK_179_1</t>
  </si>
  <si>
    <t>179/13:51</t>
  </si>
  <si>
    <t>25159:TRK_179_1:1</t>
  </si>
  <si>
    <t>2025-179_14:06:01</t>
  </si>
  <si>
    <t>178/19:30</t>
  </si>
  <si>
    <t>180_1</t>
  </si>
  <si>
    <t>TRK_180_1</t>
  </si>
  <si>
    <t>180/16:16</t>
  </si>
  <si>
    <t>25159:TRK_180_1:1</t>
  </si>
  <si>
    <t>2025-180_16:31:01</t>
  </si>
  <si>
    <t>340/07:43</t>
  </si>
  <si>
    <t>RTC ~doy135</t>
  </si>
  <si>
    <t>347/01:19</t>
  </si>
  <si>
    <t>147/19:00</t>
  </si>
  <si>
    <t>RTC ~doy147</t>
  </si>
  <si>
    <t>181 10:38:23</t>
  </si>
  <si>
    <t>181 02:10:01</t>
  </si>
  <si>
    <t>TT 398</t>
  </si>
  <si>
    <t>PEPSSI_MAC_RUN  111  MACRO=EXEC</t>
  </si>
  <si>
    <t>K2PE_PEPSSI_Macro_111_2025_181</t>
  </si>
  <si>
    <t>Mac 111 – halt 25159 macros</t>
  </si>
  <si>
    <t>181 10:39:13</t>
  </si>
  <si>
    <t>181 02:10:51</t>
  </si>
  <si>
    <t>DM 111</t>
  </si>
  <si>
    <t>PEPSSI_MAC_END  MACRO=EXEC</t>
  </si>
  <si>
    <t>End 25159 103/110 N1/N3/St/BR</t>
  </si>
  <si>
    <t>181/02:11</t>
  </si>
  <si>
    <t>182/15:36</t>
  </si>
  <si>
    <t>25181:TRK_182_1:1</t>
  </si>
  <si>
    <t>2025-182_15:51:01</t>
  </si>
  <si>
    <t>n1/n3/status end of 25159</t>
  </si>
  <si>
    <t>181/03:15</t>
  </si>
  <si>
    <t xml:space="preserve">tiny bit of survey only </t>
  </si>
  <si>
    <t>this pwr on will be removed, put run mac 103/105 + 300sec from where pwr on in v1</t>
  </si>
  <si>
    <t>Run Mac 103/105 start of 25181</t>
  </si>
  <si>
    <t>Keep 180/7200/1800</t>
  </si>
  <si>
    <t>181 03:15:01</t>
  </si>
  <si>
    <t>K2PE_PEPSSI_Macros_103_105_2025_181</t>
  </si>
  <si>
    <t>just DT4 from start of 25159</t>
  </si>
  <si>
    <t xml:space="preserve"> pwr on =&gt;</t>
  </si>
  <si>
    <t>166/12:09</t>
  </si>
  <si>
    <t>If 211:</t>
  </si>
  <si>
    <t>continue DT4 to end 25159</t>
  </si>
  <si>
    <t>183/14:46</t>
  </si>
  <si>
    <t>25181:TRK_183_1:1</t>
  </si>
  <si>
    <t>2025-183_15:01:01</t>
  </si>
  <si>
    <t>Start 25181 103/105 N1/N2/St/TA</t>
  </si>
  <si>
    <t>183/12:46</t>
  </si>
  <si>
    <t>Hibernation – pick up from last</t>
  </si>
  <si>
    <t>348/0143</t>
  </si>
  <si>
    <t>351/14:46</t>
  </si>
  <si>
    <t>183/23:16</t>
  </si>
  <si>
    <t>25181:TRK_183_2:1</t>
  </si>
  <si>
    <t>2025-183_23:31:01</t>
  </si>
  <si>
    <t>355/21:05</t>
  </si>
  <si>
    <t>184/21:41</t>
  </si>
  <si>
    <t>25181:TRK_184_2:1</t>
  </si>
  <si>
    <t>2025-184_21:56:01</t>
  </si>
  <si>
    <t>357/04:24</t>
  </si>
  <si>
    <t>185/16:36</t>
  </si>
  <si>
    <t>25181:TRK_185_1:1</t>
  </si>
  <si>
    <t>2025-185_16:51:01</t>
  </si>
  <si>
    <t>358/13:40</t>
  </si>
  <si>
    <t>186/16:36</t>
  </si>
  <si>
    <t>25181:TRK_186_1:1</t>
  </si>
  <si>
    <t>2025-186_16:51:01</t>
  </si>
  <si>
    <t>362/02:37</t>
  </si>
  <si>
    <t>186/22:56</t>
  </si>
  <si>
    <t>25181:TRK_186_2:1</t>
  </si>
  <si>
    <t>2025-186_23:11:01</t>
  </si>
  <si>
    <t>366/09:39</t>
  </si>
  <si>
    <t>187/13:21</t>
  </si>
  <si>
    <t>25181:TRK_187_1:1</t>
  </si>
  <si>
    <t>2025-187_13:36:01</t>
  </si>
  <si>
    <t>003/16:48</t>
  </si>
  <si>
    <t>189/12:16</t>
  </si>
  <si>
    <t>25181:TRK_189_1:1</t>
  </si>
  <si>
    <t>2025-189_12:31:01</t>
  </si>
  <si>
    <t>009/03:26</t>
  </si>
  <si>
    <t>190/20:06</t>
  </si>
  <si>
    <t>25181:TRK_190_1:1</t>
  </si>
  <si>
    <t>2025-190_20:21:01</t>
  </si>
  <si>
    <t>014/14:09</t>
  </si>
  <si>
    <t>191/12:11</t>
  </si>
  <si>
    <t>25181:TRK_191_1:1</t>
  </si>
  <si>
    <t>2025-191_12:26:01</t>
  </si>
  <si>
    <t>018/03:56</t>
  </si>
  <si>
    <t>192/12:06</t>
  </si>
  <si>
    <t>25181:TRK_192_2:1</t>
  </si>
  <si>
    <t>2025-192_12:21:01</t>
  </si>
  <si>
    <t>025/22:40</t>
  </si>
  <si>
    <t>193/13:50</t>
  </si>
  <si>
    <t>25181:TRK_193_1:1</t>
  </si>
  <si>
    <t>2025-193_14:05:01</t>
  </si>
  <si>
    <t>026/18:18</t>
  </si>
  <si>
    <t>194/16:20</t>
  </si>
  <si>
    <t>25181:TRK_194_2:1</t>
  </si>
  <si>
    <t>2025-194_16:35:01</t>
  </si>
  <si>
    <t>029/20:11</t>
  </si>
  <si>
    <t>194/22:50</t>
  </si>
  <si>
    <t>25181:TRK_194_3:1</t>
  </si>
  <si>
    <t>2025-194_23:05:01</t>
  </si>
  <si>
    <t>031/11:09</t>
  </si>
  <si>
    <t>195/15:30</t>
  </si>
  <si>
    <t>25181:TRK_195_1:1</t>
  </si>
  <si>
    <t>2025-195_15:45:01</t>
  </si>
  <si>
    <t>034/11:47</t>
  </si>
  <si>
    <t>195/22:50</t>
  </si>
  <si>
    <t>25181:TRK_195_2:1</t>
  </si>
  <si>
    <t>2025-195_23:05:01</t>
  </si>
  <si>
    <t>035/06:18</t>
  </si>
  <si>
    <t>197/15:45</t>
  </si>
  <si>
    <t>25181:TRK_197_2:1</t>
  </si>
  <si>
    <t>2025-197_16:00:01</t>
  </si>
  <si>
    <t>039/13:50</t>
  </si>
  <si>
    <t>197/22:00</t>
  </si>
  <si>
    <t>25181:TRK_197_3:1</t>
  </si>
  <si>
    <t>2025-197_22:15:01</t>
  </si>
  <si>
    <t>N2 from 25159 macro 110</t>
  </si>
  <si>
    <t>170/00:00</t>
  </si>
  <si>
    <t>170/05:03</t>
  </si>
  <si>
    <t>198/14:30</t>
  </si>
  <si>
    <t>25181:TRK_198_1:1</t>
  </si>
  <si>
    <t>2025-198_14:45:01</t>
  </si>
  <si>
    <t>170/10:31</t>
  </si>
  <si>
    <t>198/22:25</t>
  </si>
  <si>
    <t>25181:TRK_198_2:1</t>
  </si>
  <si>
    <t>2025-198_22:40:01</t>
  </si>
  <si>
    <t>Cont’ 25181 103/105 N1/N2/St/TA</t>
  </si>
  <si>
    <t>188/05:28</t>
  </si>
  <si>
    <t>199/14:45</t>
  </si>
  <si>
    <t>25181:TRK_199_1:1</t>
  </si>
  <si>
    <t>2025-199_15:00:01</t>
  </si>
  <si>
    <t>197/20:16</t>
  </si>
  <si>
    <t>200/14:40</t>
  </si>
  <si>
    <t>25181:TRK_200_1:1</t>
  </si>
  <si>
    <t>2025-200_14:55:01</t>
  </si>
  <si>
    <t>201/16:40</t>
  </si>
  <si>
    <t>201/18:40</t>
  </si>
  <si>
    <t>25181:TRK_201_1:1</t>
  </si>
  <si>
    <t>2025-201_18:55:01</t>
  </si>
  <si>
    <t>25181 N3/BR</t>
  </si>
  <si>
    <t>189/19:30</t>
  </si>
  <si>
    <t xml:space="preserve">Ralph data volume should be 30.53 + 12.81 + 49.55 – 12.87 = </t>
  </si>
  <si>
    <t>power off for autonomy load</t>
  </si>
  <si>
    <t>202 02:06:30</t>
  </si>
  <si>
    <t>201 17:36:47</t>
  </si>
  <si>
    <t>TT 325</t>
  </si>
  <si>
    <t>K2PE_PEPSSI_POWEROFF_2025_201</t>
  </si>
  <si>
    <t>202/12:15</t>
  </si>
  <si>
    <t>25181:TRK_202_1:1</t>
  </si>
  <si>
    <t>2025-202_12:30:01</t>
  </si>
  <si>
    <t>played back data after power off 201 17:36:47 to 202/01:06 – .3d * 1.16 Mb/d = .4 mbit UNDERSUBSCRIBED</t>
  </si>
  <si>
    <t>203/18:30</t>
  </si>
  <si>
    <t>25181:TRK_203_2:1</t>
  </si>
  <si>
    <t>2025-203_18:45:01</t>
  </si>
  <si>
    <t>202/01:06</t>
  </si>
  <si>
    <t>204/12:55</t>
  </si>
  <si>
    <t>25181:TRK_204_1:1</t>
  </si>
  <si>
    <t>2025-204_13:10:01</t>
  </si>
  <si>
    <t>044/05:15</t>
  </si>
  <si>
    <t>206/11:24</t>
  </si>
  <si>
    <t>25181:TRK_206_1:1</t>
  </si>
  <si>
    <t>2025-206_11:39:01</t>
  </si>
  <si>
    <t>045/04:54</t>
  </si>
  <si>
    <t>207/15:24</t>
  </si>
  <si>
    <t>25181:TRK_207_1:1</t>
  </si>
  <si>
    <t>2025-207_15:39:01</t>
  </si>
  <si>
    <t>207 04:45:13</t>
  </si>
  <si>
    <t>206 20:15:01</t>
  </si>
  <si>
    <t>TT 413</t>
  </si>
  <si>
    <t>K2PE_PEPSSI_Power_On_Collect_Survey_2025_206</t>
  </si>
  <si>
    <t>207 05:13:23</t>
  </si>
  <si>
    <t>206 20:43:11</t>
  </si>
  <si>
    <t>PEPSSI_SPECTRUM_INTERVAL  N2  180  MACRO=EXEC</t>
  </si>
  <si>
    <t>207 05:13:26</t>
  </si>
  <si>
    <t>206 20:43:14</t>
  </si>
  <si>
    <t>PEPSSI_SPECTRUM_INTERVAL  N1  180  MACRO=EXEC</t>
  </si>
  <si>
    <t>207 05:13:29</t>
  </si>
  <si>
    <t>206 20:43:17</t>
  </si>
  <si>
    <t>TT 414</t>
  </si>
  <si>
    <t>207 05:13:32</t>
  </si>
  <si>
    <t>206 20:43:20</t>
  </si>
  <si>
    <t xml:space="preserve"> DSN Track Name</t>
  </si>
  <si>
    <t xml:space="preserve">   ~SSR1 PB Start</t>
  </si>
  <si>
    <t xml:space="preserve"> Queued DV</t>
  </si>
  <si>
    <t>(MB)</t>
  </si>
  <si>
    <t>Avail DV (MB)</t>
  </si>
  <si>
    <t>Sci DV (MB)</t>
  </si>
  <si>
    <t>Sci DV (Mbits)</t>
  </si>
  <si>
    <t>Sci DV(*1.1) (Mbits)</t>
  </si>
  <si>
    <t>TRK_208_1</t>
  </si>
  <si>
    <t xml:space="preserve">  2025-208T18:24:01</t>
  </si>
  <si>
    <t>201 16:59:42</t>
  </si>
  <si>
    <t>201 08:30:01</t>
  </si>
  <si>
    <t>TT 345</t>
  </si>
  <si>
    <t>K1SW_A4_SWAP_GAIN_201_1</t>
  </si>
  <si>
    <t>TRK_209_1</t>
  </si>
  <si>
    <t xml:space="preserve">  2025-209T14:49:01</t>
  </si>
  <si>
    <t>201 18:52:42</t>
  </si>
  <si>
    <t>201 10:23:01</t>
  </si>
  <si>
    <t>SWAP_TLM_HX_RATE  24H  MACRO=EXEC</t>
  </si>
  <si>
    <t>K1SW_A4_SWAP_Daily_ON_201_1_endGain</t>
  </si>
  <si>
    <t>202 02:00:28</t>
  </si>
  <si>
    <t>201 17:30:45</t>
  </si>
  <si>
    <t>TT 346</t>
  </si>
  <si>
    <t>K1SW_A4_SWAP_OFF_201_A4_before_autonomy_load</t>
  </si>
  <si>
    <t>202 02:07:49</t>
  </si>
  <si>
    <t>201 17:38:06</t>
  </si>
  <si>
    <t>045/07:28</t>
  </si>
  <si>
    <t>209/22:54</t>
  </si>
  <si>
    <t>TRK_209_2</t>
  </si>
  <si>
    <t xml:space="preserve">  2025-209T23:09:01</t>
  </si>
  <si>
    <t>GAIN TEST doy 201 + 8 hrs</t>
  </si>
  <si>
    <t>201/08:30</t>
  </si>
  <si>
    <t>201/17:38</t>
  </si>
  <si>
    <t>210/20:49</t>
  </si>
  <si>
    <t>TRK_210_2</t>
  </si>
  <si>
    <t xml:space="preserve">  2025-210T21:04:01</t>
  </si>
  <si>
    <t>047/21:21</t>
  </si>
  <si>
    <t>211/13:39</t>
  </si>
  <si>
    <t xml:space="preserve">  2025-211T13:54:01</t>
  </si>
  <si>
    <t>048/05:43</t>
  </si>
  <si>
    <t>212/08:19</t>
  </si>
  <si>
    <t>TRK_212_1</t>
  </si>
  <si>
    <t xml:space="preserve">  2025-212T08:34:01</t>
  </si>
  <si>
    <t>201/17:36</t>
  </si>
  <si>
    <t>212/20:54</t>
  </si>
  <si>
    <t>TRK_212_2</t>
  </si>
  <si>
    <t xml:space="preserve">  2025-212T21:09:01</t>
  </si>
  <si>
    <t>survey only – n1/n3/status</t>
  </si>
  <si>
    <t>pwron</t>
  </si>
  <si>
    <t>206/20:15</t>
  </si>
  <si>
    <t>207/17:34</t>
  </si>
  <si>
    <t>25207 104/105 N1/N2/St/TA</t>
  </si>
  <si>
    <t>212/15:14</t>
  </si>
  <si>
    <t>GAIN TEST</t>
  </si>
  <si>
    <t>051/14:02</t>
  </si>
  <si>
    <t>213/11:49</t>
  </si>
  <si>
    <t xml:space="preserve">  2025-213T12:04:01</t>
  </si>
  <si>
    <t>TRK_215_1</t>
  </si>
  <si>
    <t xml:space="preserve">  2025-215T17:58:01</t>
  </si>
  <si>
    <t>TRK_216_1</t>
  </si>
  <si>
    <t xml:space="preserve">  2025-216T12:03:01</t>
  </si>
  <si>
    <t>208 02:04:19</t>
  </si>
  <si>
    <t>207 17:34:01</t>
  </si>
  <si>
    <t>TT 010</t>
  </si>
  <si>
    <t>PEPSSI_SPECTRUM_INTERVAL  N2  360  MACRO=EXEC</t>
  </si>
  <si>
    <t>K2PE_PEPSSI_SetRates_Macros_104_105_2025_207</t>
  </si>
  <si>
    <t>TRK_217_2</t>
  </si>
  <si>
    <t xml:space="preserve">  2025-217T20:28:01</t>
  </si>
  <si>
    <t>208 02:04:22</t>
  </si>
  <si>
    <t>207 17:34:04</t>
  </si>
  <si>
    <t>PEPSSI_SPECTRUM_INTERVAL  N1  360  MACRO=EXEC</t>
  </si>
  <si>
    <t>TRK_218_1_</t>
  </si>
  <si>
    <t xml:space="preserve">  2025-218T19:58:01</t>
  </si>
  <si>
    <t>208 02:04:25</t>
  </si>
  <si>
    <t>207 17:34:07</t>
  </si>
  <si>
    <t>PEPSSI_SPECTRUM_INTERVAL  N3  900  MACRO=EXEC</t>
  </si>
  <si>
    <t>208 02:04:28</t>
  </si>
  <si>
    <t>207 17:34:10</t>
  </si>
  <si>
    <t>208 02:14:19</t>
  </si>
  <si>
    <t>207 17:44:01</t>
  </si>
  <si>
    <t>PEPSSI_MAC_RUN  104  MACRO=EXEC</t>
  </si>
  <si>
    <t>U/D of v12</t>
  </si>
  <si>
    <t>U/D of v15</t>
  </si>
  <si>
    <t>U/D of  v14</t>
  </si>
  <si>
    <t>U/D of v17</t>
  </si>
  <si>
    <t>U/D of v20</t>
  </si>
  <si>
    <t>U/D of v18</t>
  </si>
  <si>
    <t>HSK4</t>
  </si>
  <si>
    <t>updated bytes</t>
  </si>
  <si>
    <t xml:space="preserve"> % change</t>
  </si>
  <si>
    <t>Mbits over</t>
  </si>
  <si>
    <t>gain</t>
  </si>
  <si>
    <t>add</t>
  </si>
  <si>
    <t>Add 25 Mbits</t>
  </si>
  <si>
    <t>more days</t>
  </si>
  <si>
    <t>2d</t>
  </si>
  <si>
    <t>13h18m40s</t>
  </si>
  <si>
    <t>FOR KARL ==&gt;</t>
  </si>
  <si>
    <t>212-217 n1, st, ta</t>
  </si>
  <si>
    <t>053/03:37</t>
  </si>
  <si>
    <t>054/17:11</t>
  </si>
  <si>
    <t>056/05:46</t>
  </si>
  <si>
    <t>057/20:21</t>
  </si>
  <si>
    <t>059/09:55</t>
  </si>
  <si>
    <t>060/23:30</t>
  </si>
  <si>
    <t>062/13:05</t>
  </si>
  <si>
    <t>064/02:39</t>
  </si>
  <si>
    <t>new</t>
  </si>
  <si>
    <t>066/15:58</t>
  </si>
  <si>
    <t>069/04:77</t>
  </si>
  <si>
    <t>071/18:36</t>
  </si>
  <si>
    <t>074/07:55</t>
  </si>
  <si>
    <t>SWAP</t>
  </si>
  <si>
    <t>PEPSSI</t>
  </si>
  <si>
    <t>Playback</t>
  </si>
  <si>
    <t>Approximate</t>
  </si>
  <si>
    <t>Acquisition</t>
  </si>
  <si>
    <t>Acq Rate</t>
  </si>
  <si>
    <t>Played Back</t>
  </si>
  <si>
    <t>Start</t>
  </si>
  <si>
    <t>End</t>
  </si>
  <si>
    <t>Days</t>
  </si>
  <si>
    <t>Mode</t>
  </si>
  <si>
    <t>(bps)</t>
  </si>
  <si>
    <t>(Mbits/d)</t>
  </si>
  <si>
    <t>Cum Total</t>
  </si>
  <si>
    <t>Post-hib</t>
  </si>
  <si>
    <t>2025-96/06:15</t>
  </si>
  <si>
    <t>RT30</t>
  </si>
  <si>
    <t>N1, N2, Status, Buff Rates</t>
  </si>
  <si>
    <t>Post-hib Mops</t>
  </si>
  <si>
    <t>2025-96</t>
  </si>
  <si>
    <t>2025-118</t>
  </si>
  <si>
    <t>Trig Assessment (post-hibernation)</t>
  </si>
  <si>
    <t>2025-107/03:02</t>
  </si>
  <si>
    <t>126/03:18</t>
  </si>
  <si>
    <t>2025-139</t>
  </si>
  <si>
    <t>Hibernation Mops pb</t>
  </si>
  <si>
    <t>Trig Assessment (hibernation)</t>
  </si>
  <si>
    <t>2024-276/01:32</t>
  </si>
  <si>
    <t>RT10</t>
  </si>
  <si>
    <t>DT1, DT2,HSK, N2</t>
  </si>
  <si>
    <t xml:space="preserve">2024-302/14:44 </t>
  </si>
  <si>
    <t>DT1, DT2,HSK (NO N2 or DT4)</t>
  </si>
  <si>
    <t>REMAINING:</t>
  </si>
  <si>
    <t xml:space="preserve">hibernation </t>
  </si>
  <si>
    <t>2024-338/00:07</t>
  </si>
  <si>
    <t>2025-083/08:02</t>
  </si>
  <si>
    <t xml:space="preserve">Hib remain </t>
  </si>
  <si>
    <t>24/276</t>
  </si>
  <si>
    <t>2025/83</t>
  </si>
  <si>
    <t>Post hib 2025-126 to 159</t>
  </si>
  <si>
    <t xml:space="preserve">126/03:18 </t>
  </si>
  <si>
    <t>~doy 219</t>
  </si>
  <si>
    <t>Post-hib remain</t>
  </si>
  <si>
    <t>~doy217</t>
  </si>
  <si>
    <t>post hib total</t>
  </si>
  <si>
    <t>Pb 96/118</t>
  </si>
  <si>
    <t>Pb 139/159</t>
  </si>
  <si>
    <t>functional</t>
  </si>
  <si>
    <t>post hib 96 – 135</t>
  </si>
  <si>
    <t>swp post hib</t>
  </si>
  <si>
    <t>swap hib remain</t>
  </si>
  <si>
    <t>hib trig mops</t>
  </si>
  <si>
    <t>swap hib</t>
  </si>
  <si>
    <t>swap post hib</t>
  </si>
  <si>
    <t>post hib trig</t>
  </si>
  <si>
    <t>pep hib</t>
  </si>
  <si>
    <t>post hib survey</t>
  </si>
  <si>
    <t>trig ass posthib 96 – 159</t>
  </si>
  <si>
    <t>peps post hib</t>
  </si>
  <si>
    <t>surv+buf+tr post</t>
  </si>
  <si>
    <t>n2 post</t>
  </si>
  <si>
    <t>hib n2</t>
  </si>
  <si>
    <t>hib survey + buff</t>
  </si>
  <si>
    <t>PB DLDV</t>
  </si>
  <si>
    <t xml:space="preserve">SWAP </t>
  </si>
  <si>
    <t>Hibernation</t>
  </si>
  <si>
    <t>607591634 607607834</t>
  </si>
  <si>
    <t xml:space="preserve">590222814 606280735 </t>
  </si>
  <si>
    <t>606263976 606264328</t>
  </si>
  <si>
    <t xml:space="preserve"> 606356633 606411235</t>
  </si>
  <si>
    <t xml:space="preserve">606280733 606323935 </t>
  </si>
  <si>
    <t xml:space="preserve">606263196 606535598 </t>
  </si>
  <si>
    <t>606323933 606356635</t>
  </si>
  <si>
    <t>606535597 606936315</t>
  </si>
  <si>
    <t xml:space="preserve">606356633 606411235 </t>
  </si>
  <si>
    <t>606936314 607164482</t>
  </si>
  <si>
    <t>606411233 606458035</t>
  </si>
  <si>
    <t>607164481 607931342</t>
  </si>
  <si>
    <t>606557033 606583435</t>
  </si>
  <si>
    <t>607961196 608218979</t>
  </si>
  <si>
    <t>606583433 606641035</t>
  </si>
  <si>
    <t>608218978 608536142</t>
  </si>
  <si>
    <t>607224593 607484095</t>
  </si>
  <si>
    <t>608566037 608594683</t>
  </si>
  <si>
    <t>606641033 606708895</t>
  </si>
  <si>
    <t>608594682 608803371</t>
  </si>
  <si>
    <t>606708893 606884995</t>
  </si>
  <si>
    <t xml:space="preserve">608803370 608964552 </t>
  </si>
  <si>
    <t>606884993 606986995</t>
  </si>
  <si>
    <t>608964551 609237996</t>
  </si>
  <si>
    <t>606986993 607046095</t>
  </si>
  <si>
    <t>609237995 609416427</t>
  </si>
  <si>
    <t>607046093 607101595</t>
  </si>
  <si>
    <t xml:space="preserve">609416426 609620873 </t>
  </si>
  <si>
    <t xml:space="preserve">607101593 607147795 </t>
  </si>
  <si>
    <t>Pep 1</t>
  </si>
  <si>
    <t>pep2</t>
  </si>
  <si>
    <t>607147793 607224595</t>
  </si>
  <si>
    <t>609410289 609411609</t>
  </si>
  <si>
    <t>609250141 609251866</t>
  </si>
  <si>
    <t>607484093 607530295</t>
  </si>
  <si>
    <t>609265620 609267207</t>
  </si>
  <si>
    <t xml:space="preserve">607530293 607588795 </t>
  </si>
  <si>
    <t xml:space="preserve">607588793 607653295 </t>
  </si>
  <si>
    <t>609625453 609911822</t>
  </si>
  <si>
    <t>607653293 607712095</t>
  </si>
  <si>
    <t xml:space="preserve">609953285 610156755 </t>
  </si>
  <si>
    <t>607712093 607776295</t>
  </si>
  <si>
    <t>610156754 610410247</t>
  </si>
  <si>
    <t>607776293 607848595</t>
  </si>
  <si>
    <t>610457872 610697909</t>
  </si>
  <si>
    <t>608059553 608085955</t>
  </si>
  <si>
    <t>610650282 610784848</t>
  </si>
  <si>
    <t>608085953 608122255</t>
  </si>
  <si>
    <t xml:space="preserve">608122253 608192155 </t>
  </si>
  <si>
    <t>610784847 611216550</t>
  </si>
  <si>
    <t>608252753 608288155</t>
  </si>
  <si>
    <t>611216549 611398759</t>
  </si>
  <si>
    <t>pep4</t>
  </si>
  <si>
    <t xml:space="preserve">608288153 608401255 </t>
  </si>
  <si>
    <t>611398758 611652251</t>
  </si>
  <si>
    <t>608401253 608428555</t>
  </si>
  <si>
    <t>611652250 611744042</t>
  </si>
  <si>
    <t>600424745 606280735</t>
  </si>
  <si>
    <t>611744556 611851611</t>
  </si>
  <si>
    <t>608122253 608192155</t>
  </si>
  <si>
    <t>611851610 612349039</t>
  </si>
  <si>
    <t>608192153 608252755</t>
  </si>
  <si>
    <t>612349038 612647515</t>
  </si>
  <si>
    <t>608428553 608477155</t>
  </si>
  <si>
    <t>608477153 608694655</t>
  </si>
  <si>
    <t>608694653 608799055</t>
  </si>
  <si>
    <t>608799053 608859355</t>
  </si>
  <si>
    <t>608859353 608895955</t>
  </si>
  <si>
    <t>608895953 608976055</t>
  </si>
  <si>
    <t>608976053 609117355</t>
  </si>
  <si>
    <t>609117353 609292615</t>
  </si>
  <si>
    <t>609292613 609398515</t>
  </si>
  <si>
    <t>609398513 609463015</t>
  </si>
  <si>
    <t xml:space="preserve">609463013 609495715 </t>
  </si>
  <si>
    <t>609495713 609554215</t>
  </si>
  <si>
    <t>609554213 609638815</t>
  </si>
  <si>
    <t>609638813 609671215</t>
  </si>
  <si>
    <t>609671213 609895315</t>
  </si>
  <si>
    <t xml:space="preserve">609895314 609990715 </t>
  </si>
  <si>
    <t>609990713 610067215</t>
  </si>
  <si>
    <t>610067213 610102915</t>
  </si>
  <si>
    <t>610102913 610182415</t>
  </si>
  <si>
    <t>610182413 610245415</t>
  </si>
  <si>
    <t>610245413 610356115</t>
  </si>
  <si>
    <t>610356113 610421515</t>
  </si>
  <si>
    <t>610421513 610518415</t>
  </si>
  <si>
    <t>610518413 610582015</t>
  </si>
  <si>
    <t xml:space="preserve">610616813 610780315 </t>
  </si>
  <si>
    <t xml:space="preserve">610780313 610846915 </t>
  </si>
  <si>
    <t>610846913 611123215</t>
  </si>
  <si>
    <t>611123213 611185315</t>
  </si>
  <si>
    <t>611185313 611212915</t>
  </si>
  <si>
    <t>611212913 611275915</t>
  </si>
  <si>
    <t xml:space="preserve">611275913 611444215 </t>
  </si>
  <si>
    <t>611444213 611534215</t>
  </si>
  <si>
    <t>611534213 611724715</t>
  </si>
  <si>
    <t>611724713 611792515</t>
  </si>
  <si>
    <t>611792513 611875015</t>
  </si>
  <si>
    <t xml:space="preserve">611875013 611910715 </t>
  </si>
  <si>
    <t>611910713 611968015</t>
  </si>
  <si>
    <t xml:space="preserve">611968013 612082915 </t>
  </si>
  <si>
    <t>612082913 612308815</t>
  </si>
  <si>
    <t>612395813 612482215</t>
  </si>
  <si>
    <t>612482213 612516415</t>
  </si>
  <si>
    <t>612591413 612655915</t>
  </si>
  <si>
    <t xml:space="preserve">612655913 612913315 </t>
  </si>
  <si>
    <t>612913313 613000315</t>
  </si>
  <si>
    <t>613103513 613203115</t>
  </si>
  <si>
    <t>613203113 613282015</t>
  </si>
  <si>
    <t>Packet Names</t>
  </si>
  <si>
    <t>APID</t>
  </si>
  <si>
    <t>Size (bytes)</t>
  </si>
  <si>
    <t>Size (bits)</t>
  </si>
  <si>
    <t>Number of Packets in Set</t>
  </si>
  <si>
    <t>Housekeeping (0x580) Rates Settings</t>
  </si>
  <si>
    <t>Data Rate [Hz]</t>
  </si>
  <si>
    <t>Time Interval [s]</t>
  </si>
  <si>
    <t>RT (0x584), SM (0x585), &amp; HIST(0x586/7) Rates</t>
  </si>
  <si>
    <t>Data Rate [hz]</t>
  </si>
  <si>
    <t>Housekeeping</t>
  </si>
  <si>
    <t>0x580</t>
  </si>
  <si>
    <t>NEVER</t>
  </si>
  <si>
    <t>Message</t>
  </si>
  <si>
    <t>0x582</t>
  </si>
  <si>
    <t>Variable</t>
  </si>
  <si>
    <t>24H</t>
  </si>
  <si>
    <t>Realtime Science</t>
  </si>
  <si>
    <t>0x584</t>
  </si>
  <si>
    <t>12H</t>
  </si>
  <si>
    <t>Summary</t>
  </si>
  <si>
    <t>0x585</t>
  </si>
  <si>
    <t>6H</t>
  </si>
  <si>
    <t>Histogram 0</t>
  </si>
  <si>
    <t>0x586</t>
  </si>
  <si>
    <t>3H</t>
  </si>
  <si>
    <t>Histogram 1</t>
  </si>
  <si>
    <t>0x587</t>
  </si>
  <si>
    <t>2H</t>
  </si>
  <si>
    <t>1H</t>
  </si>
  <si>
    <t>30M</t>
  </si>
  <si>
    <t>20M</t>
  </si>
  <si>
    <t>10M</t>
  </si>
  <si>
    <t>5M</t>
  </si>
  <si>
    <t>2M</t>
  </si>
  <si>
    <t>64S</t>
  </si>
  <si>
    <t>32S</t>
  </si>
  <si>
    <t>16S</t>
  </si>
  <si>
    <t>8S</t>
  </si>
  <si>
    <t>4S</t>
  </si>
  <si>
    <t>2S</t>
  </si>
  <si>
    <t>1S</t>
  </si>
  <si>
    <r>
      <rPr>
        <b/>
        <sz val="14"/>
        <color rgb="FF000000"/>
        <rFont val="Calibri"/>
        <family val="2"/>
      </rPr>
      <t>0x584 at</t>
    </r>
    <r>
      <rPr>
        <b/>
        <sz val="14"/>
        <color rgb="FFFD1DFF"/>
        <rFont val="Calibri"/>
        <family val="2"/>
      </rPr>
      <t xml:space="preserve"> </t>
    </r>
    <r>
      <rPr>
        <b/>
        <sz val="14"/>
        <color rgb="FFFD1DFF"/>
        <rFont val="Calibri (Body)"/>
      </rPr>
      <t>1min (64sec)</t>
    </r>
    <r>
      <rPr>
        <b/>
        <sz val="14"/>
        <color rgb="FF000000"/>
        <rFont val="Calibri"/>
        <family val="2"/>
      </rPr>
      <t xml:space="preserve">  with 0x580 1H; 0x585 1H; 0x586/7 never </t>
    </r>
    <r>
      <rPr>
        <b/>
        <sz val="14"/>
        <color rgb="FFFD1DFF"/>
        <rFont val="Calibri (Body)"/>
      </rPr>
      <t>No Histograms</t>
    </r>
  </si>
  <si>
    <t>Bits/Packet</t>
  </si>
  <si>
    <t>Rate Mode</t>
  </si>
  <si>
    <t>Packets/Sec</t>
  </si>
  <si>
    <t>Bits/Second</t>
  </si>
  <si>
    <t>Interval [sec]</t>
  </si>
  <si>
    <t>Total [Mbits]</t>
  </si>
  <si>
    <t>HK</t>
  </si>
  <si>
    <t>RTSCI</t>
  </si>
  <si>
    <t>Never</t>
  </si>
  <si>
    <t>If we use this combination,  we will have to write a code ceate the histograms from the 0x584 data. This is possible because with 0x584 set to 64 seconds we are downloadding all the sweeps performed back to back.</t>
  </si>
  <si>
    <t>Total:</t>
  </si>
  <si>
    <r>
      <rPr>
        <b/>
        <sz val="14"/>
        <color rgb="FF000000"/>
        <rFont val="Calibri"/>
        <family val="2"/>
      </rPr>
      <t>0x584 at</t>
    </r>
    <r>
      <rPr>
        <b/>
        <sz val="14"/>
        <color rgb="FFFD1DFF"/>
        <rFont val="Calibri"/>
        <family val="2"/>
      </rPr>
      <t xml:space="preserve"> </t>
    </r>
    <r>
      <rPr>
        <b/>
        <sz val="14"/>
        <color rgb="FFFD1DFF"/>
        <rFont val="Calibri (Body)"/>
      </rPr>
      <t>1min (64sec)</t>
    </r>
    <r>
      <rPr>
        <b/>
        <sz val="14"/>
        <color rgb="FF000000"/>
        <rFont val="Calibri"/>
        <family val="2"/>
      </rPr>
      <t xml:space="preserve">  with 0x580 1H; 0x585 1H; 0x586/7 24H</t>
    </r>
  </si>
  <si>
    <t>We  could turn off the histograms 0x586 and 0x587 because with this option  the 0x584 is performing continuous sweep such that we could construct histograms on the ground from the 0x584 packets by writing a computer program.</t>
  </si>
  <si>
    <r>
      <rPr>
        <b/>
        <sz val="14"/>
        <color rgb="FF000000"/>
        <rFont val="Calibri"/>
        <family val="2"/>
      </rPr>
      <t>0x584 at</t>
    </r>
    <r>
      <rPr>
        <b/>
        <sz val="14"/>
        <color rgb="FFFD1DFF"/>
        <rFont val="Calibri (Body)"/>
      </rPr>
      <t xml:space="preserve"> 2min</t>
    </r>
    <r>
      <rPr>
        <b/>
        <sz val="14"/>
        <color rgb="FF000000"/>
        <rFont val="Calibri"/>
        <family val="2"/>
      </rPr>
      <t xml:space="preserve">  with 0x580 1H; 0x585 1H; 0x586/7 24H</t>
    </r>
  </si>
  <si>
    <r>
      <rPr>
        <b/>
        <sz val="14"/>
        <color rgb="FF000000"/>
        <rFont val="Calibri"/>
        <family val="2"/>
      </rPr>
      <t xml:space="preserve">0x584 at </t>
    </r>
    <r>
      <rPr>
        <b/>
        <sz val="14"/>
        <color rgb="FFFD1DFF"/>
        <rFont val="Calibri (Body)"/>
      </rPr>
      <t xml:space="preserve">5min </t>
    </r>
    <r>
      <rPr>
        <b/>
        <sz val="14"/>
        <color rgb="FF000000"/>
        <rFont val="Calibri"/>
        <family val="2"/>
      </rPr>
      <t xml:space="preserve"> with 0x580 1H; 0x585 1H; 0x586/7 24H</t>
    </r>
  </si>
  <si>
    <r>
      <rPr>
        <b/>
        <sz val="14"/>
        <color rgb="FF000000"/>
        <rFont val="Calibri"/>
        <family val="2"/>
      </rPr>
      <t>0x584 at</t>
    </r>
    <r>
      <rPr>
        <b/>
        <sz val="14"/>
        <color rgb="FFFD1DFF"/>
        <rFont val="Calibri (Body)"/>
      </rPr>
      <t xml:space="preserve"> 10min</t>
    </r>
    <r>
      <rPr>
        <b/>
        <sz val="14"/>
        <color rgb="FF000000"/>
        <rFont val="Calibri"/>
        <family val="2"/>
      </rPr>
      <t xml:space="preserve"> with 0x580 1H; 0x585 1H; 0x586/7 24H</t>
    </r>
  </si>
  <si>
    <r>
      <rPr>
        <b/>
        <sz val="14"/>
        <color rgb="FF000000"/>
        <rFont val="Calibri"/>
        <family val="2"/>
      </rPr>
      <t xml:space="preserve">0x584 at </t>
    </r>
    <r>
      <rPr>
        <b/>
        <sz val="14"/>
        <color rgb="FFFD1DFF"/>
        <rFont val="Calibri (Body)"/>
      </rPr>
      <t>20min</t>
    </r>
    <r>
      <rPr>
        <b/>
        <sz val="14"/>
        <color rgb="FF000000"/>
        <rFont val="Calibri"/>
        <family val="2"/>
      </rPr>
      <t xml:space="preserve"> with 0x580 1H; 0x585 1H; 0x586/7 24H</t>
    </r>
  </si>
  <si>
    <r>
      <rPr>
        <b/>
        <sz val="14"/>
        <color rgb="FF000000"/>
        <rFont val="Calibri"/>
        <family val="2"/>
      </rPr>
      <t xml:space="preserve">0x584 at </t>
    </r>
    <r>
      <rPr>
        <b/>
        <sz val="14"/>
        <color rgb="FFFD1DFF"/>
        <rFont val="Calibri"/>
        <family val="2"/>
      </rPr>
      <t>3</t>
    </r>
    <r>
      <rPr>
        <b/>
        <sz val="14"/>
        <color rgb="FFFD1DFF"/>
        <rFont val="Calibri (Body)"/>
      </rPr>
      <t>0min</t>
    </r>
    <r>
      <rPr>
        <b/>
        <sz val="14"/>
        <color rgb="FF000000"/>
        <rFont val="Calibri"/>
        <family val="2"/>
      </rPr>
      <t xml:space="preserve"> with 0x580 1H; 0x585 1H; 0x586/7 24H</t>
    </r>
  </si>
  <si>
    <r>
      <rPr>
        <b/>
        <sz val="14"/>
        <color rgb="FF000000"/>
        <rFont val="Calibri"/>
        <family val="2"/>
      </rPr>
      <t xml:space="preserve">0x584 at </t>
    </r>
    <r>
      <rPr>
        <b/>
        <sz val="14"/>
        <color rgb="FFFD1DFF"/>
        <rFont val="Calibri (Body)"/>
      </rPr>
      <t>1H</t>
    </r>
    <r>
      <rPr>
        <b/>
        <sz val="14"/>
        <color rgb="FF000000"/>
        <rFont val="Calibri"/>
        <family val="2"/>
      </rPr>
      <t xml:space="preserve"> with 0x580 1H; 0x585 1H; 0x586/7 24H</t>
    </r>
  </si>
  <si>
    <r>
      <rPr>
        <b/>
        <sz val="14"/>
        <color rgb="FF000000"/>
        <rFont val="Calibri"/>
        <family val="2"/>
      </rPr>
      <t xml:space="preserve">0x584 at </t>
    </r>
    <r>
      <rPr>
        <b/>
        <sz val="14"/>
        <color rgb="FFFD1DFF"/>
        <rFont val="Calibri (Body)"/>
      </rPr>
      <t xml:space="preserve">2H </t>
    </r>
    <r>
      <rPr>
        <b/>
        <sz val="14"/>
        <color rgb="FF000000"/>
        <rFont val="Calibri"/>
        <family val="2"/>
      </rPr>
      <t>with 0x580 1H; 0x585 1H; 0x586/7 24H</t>
    </r>
  </si>
  <si>
    <r>
      <rPr>
        <b/>
        <sz val="14"/>
        <color rgb="FF000000"/>
        <rFont val="Calibri"/>
        <family val="2"/>
      </rPr>
      <t xml:space="preserve"> 0x584 at </t>
    </r>
    <r>
      <rPr>
        <b/>
        <sz val="14"/>
        <color rgb="FFFD1DFF"/>
        <rFont val="Calibri (Body)"/>
      </rPr>
      <t xml:space="preserve">3H </t>
    </r>
    <r>
      <rPr>
        <b/>
        <sz val="14"/>
        <color rgb="FF000000"/>
        <rFont val="Calibri"/>
        <family val="2"/>
      </rPr>
      <t>with 0x580 1H; 0x585 1H; 0x586/7 24H</t>
    </r>
  </si>
  <si>
    <r>
      <rPr>
        <b/>
        <sz val="14"/>
        <color rgb="FF000000"/>
        <rFont val="Calibri"/>
        <family val="2"/>
      </rPr>
      <t xml:space="preserve">0x584 at </t>
    </r>
    <r>
      <rPr>
        <b/>
        <sz val="14"/>
        <color rgb="FFFD1DFF"/>
        <rFont val="Calibri (Body)"/>
      </rPr>
      <t>6H</t>
    </r>
    <r>
      <rPr>
        <b/>
        <sz val="14"/>
        <color rgb="FF000000"/>
        <rFont val="Calibri"/>
        <family val="2"/>
      </rPr>
      <t xml:space="preserve"> with 0x580 1H; 0x585 1H; 0x586/7 24H</t>
    </r>
  </si>
  <si>
    <r>
      <rPr>
        <b/>
        <sz val="14"/>
        <color rgb="FF000000"/>
        <rFont val="Calibri"/>
        <family val="2"/>
      </rPr>
      <t xml:space="preserve">0x584 at </t>
    </r>
    <r>
      <rPr>
        <b/>
        <sz val="14"/>
        <color rgb="FFFD1DFF"/>
        <rFont val="Calibri (Body)"/>
      </rPr>
      <t xml:space="preserve">12H </t>
    </r>
    <r>
      <rPr>
        <b/>
        <sz val="14"/>
        <color rgb="FF000000"/>
        <rFont val="Calibri"/>
        <family val="2"/>
      </rPr>
      <t>with 0x580 1H; 0x585 1H; 0x586/7 24H</t>
    </r>
  </si>
  <si>
    <r>
      <rPr>
        <b/>
        <sz val="14"/>
        <color rgb="FF000000"/>
        <rFont val="Calibri"/>
        <family val="2"/>
      </rPr>
      <t>0x584 at</t>
    </r>
    <r>
      <rPr>
        <b/>
        <sz val="14"/>
        <color rgb="FFFD1DFF"/>
        <rFont val="Calibri (Body)"/>
      </rPr>
      <t xml:space="preserve"> 24H </t>
    </r>
    <r>
      <rPr>
        <b/>
        <sz val="14"/>
        <color rgb="FF000000"/>
        <rFont val="Calibri"/>
        <family val="2"/>
      </rPr>
      <t>with 0x580 1H; 0x585 1H; 0x586/7 24H</t>
    </r>
  </si>
  <si>
    <r>
      <rPr>
        <b/>
        <sz val="14"/>
        <color rgb="FFFD1DFF"/>
        <rFont val="Calibri (Body)"/>
      </rPr>
      <t xml:space="preserve">SWAP GAIN TEST </t>
    </r>
    <r>
      <rPr>
        <b/>
        <sz val="14"/>
        <color rgb="FF000000"/>
        <rFont val="Calibri"/>
        <family val="2"/>
      </rPr>
      <t>with 0x584 64s; 0x580 1s; 0x585 Never; 0x586/7 Never</t>
    </r>
  </si>
  <si>
    <t>This the data volume for the whole Gain Test which is about 7200 sec.</t>
  </si>
  <si>
    <t xml:space="preserve">X  for 0x584 </t>
  </si>
  <si>
    <t>Total Daily Data Volumes [Mbits]</t>
  </si>
  <si>
    <t>Yearly Daily Data Volumes [Gbits]</t>
  </si>
  <si>
    <t xml:space="preserve">Since we use the set combinations that are worked out above, so we can use this table to do our data volume estimates. </t>
  </si>
  <si>
    <t xml:space="preserve"> 0x580 1H; 0x585 1H; 0x586/7 24H; &amp; X 0x584 </t>
  </si>
  <si>
    <t xml:space="preserve"> 0x580 1H; 0x585 1H; 0x586/7 24H; &amp; X 0x584</t>
  </si>
  <si>
    <t xml:space="preserve"> 0x580 1H; 0x585 1H;  &amp; X 0x584 </t>
  </si>
  <si>
    <t xml:space="preserve"> 0x580 1H; 0x585 1H;  &amp; X 0x584</t>
  </si>
  <si>
    <t>64S (No Histograms)</t>
  </si>
  <si>
    <t xml:space="preserve">Termnation Shock Planning Estimates Pontus Requested </t>
  </si>
  <si>
    <t>Daily</t>
  </si>
  <si>
    <t>Target 2160 Mbits</t>
  </si>
  <si>
    <t>Segments</t>
  </si>
  <si>
    <t>Volume [mbits]</t>
  </si>
  <si>
    <t>Days @ 2M</t>
  </si>
  <si>
    <t>Days @ 64S</t>
  </si>
  <si>
    <t>Days @ 5M</t>
  </si>
  <si>
    <t>Days @ 10M</t>
  </si>
  <si>
    <t>Target 1560 Mbits</t>
  </si>
  <si>
    <t>tim bef gain</t>
  </si>
  <si>
    <t>time aft gain</t>
  </si>
  <si>
    <t>non gain time</t>
  </si>
  <si>
    <t>bytes non gain</t>
  </si>
  <si>
    <t>Mbits non gain</t>
  </si>
  <si>
    <t>bytes of gain</t>
  </si>
  <si>
    <t>Mbits of gain</t>
  </si>
  <si>
    <t>st pb 79_1</t>
  </si>
  <si>
    <t>end pb 79_1</t>
  </si>
  <si>
    <t>079 23:08:52</t>
  </si>
  <si>
    <t>079 15:00:00</t>
  </si>
  <si>
    <t>TT  38</t>
  </si>
  <si>
    <t>K1SW_A4_SWAP_GAIN_079_1</t>
  </si>
  <si>
    <t>24078 gain test</t>
  </si>
  <si>
    <t>080 00:53:51</t>
  </si>
  <si>
    <t>079 16:45:00</t>
  </si>
  <si>
    <t>TT  45</t>
  </si>
  <si>
    <t>K1SW_A4_SWAP_Daily_ON_079_1_endGain</t>
  </si>
  <si>
    <t>Bytes / sec</t>
  </si>
  <si>
    <t>sec</t>
  </si>
  <si>
    <t>078_1</t>
  </si>
  <si>
    <t>x normal rate</t>
  </si>
  <si>
    <t>079_2</t>
  </si>
  <si>
    <t>080_1</t>
  </si>
  <si>
    <t>081_1</t>
  </si>
  <si>
    <t>082_1</t>
  </si>
  <si>
    <t>267_2</t>
  </si>
  <si>
    <t>268_1</t>
  </si>
  <si>
    <t>268_2</t>
  </si>
  <si>
    <t>270_1</t>
  </si>
  <si>
    <t>271_1</t>
  </si>
  <si>
    <t>dur of gain test</t>
  </si>
  <si>
    <t>total pb period</t>
  </si>
  <si>
    <t>sec non gain</t>
  </si>
  <si>
    <t xml:space="preserve">Mbits of </t>
  </si>
  <si>
    <t>non gain</t>
  </si>
  <si>
    <t>108 channels</t>
  </si>
  <si>
    <t xml:space="preserve">64 samples at 20 sec per sample </t>
  </si>
  <si>
    <t>burst sys tic</t>
  </si>
  <si>
    <t>n2 mon</t>
  </si>
  <si>
    <t>n1</t>
  </si>
  <si>
    <t>n3</t>
  </si>
  <si>
    <t>n1/n2</t>
  </si>
  <si>
    <t>n3/n2</t>
  </si>
  <si>
    <t>n2/n2mon</t>
  </si>
  <si>
    <t>10*bst/n2</t>
  </si>
  <si>
    <t>10*bst/n2m</t>
  </si>
  <si>
    <t>n2mon/10</t>
  </si>
  <si>
    <t>n1/10</t>
  </si>
  <si>
    <t>n2/10</t>
  </si>
  <si>
    <t>n3/10</t>
  </si>
  <si>
    <t>TEST1</t>
  </si>
  <si>
    <t>4PEP</t>
  </si>
  <si>
    <t>act 3</t>
  </si>
  <si>
    <t>6PEP</t>
  </si>
  <si>
    <t>act 5</t>
  </si>
  <si>
    <t>7PEP</t>
  </si>
  <si>
    <t>act 6</t>
  </si>
  <si>
    <t>Thresh  = 24 * 10 * ID40 * CPS</t>
  </si>
  <si>
    <t>8PEP</t>
  </si>
  <si>
    <t>act 7</t>
  </si>
  <si>
    <t>9PEP</t>
  </si>
  <si>
    <t>act 8</t>
  </si>
  <si>
    <t>10PEP</t>
  </si>
  <si>
    <t>act 9</t>
  </si>
  <si>
    <t>test2</t>
  </si>
  <si>
    <t>LOAD</t>
  </si>
  <si>
    <t>DOY</t>
  </si>
  <si>
    <t>ON/OFF</t>
  </si>
  <si>
    <t>Reset</t>
  </si>
  <si>
    <t>Trigger</t>
  </si>
  <si>
    <t>Bursts</t>
  </si>
  <si>
    <t>Threshold</t>
  </si>
  <si>
    <t xml:space="preserve">Burst </t>
  </si>
  <si>
    <t>Burst</t>
  </si>
  <si>
    <t>GNC Flag</t>
  </si>
  <si>
    <t>NOTES</t>
  </si>
  <si>
    <t>Trig Cntr</t>
  </si>
  <si>
    <t>Count</t>
  </si>
  <si>
    <t>Allowed</t>
  </si>
  <si>
    <t>(cps)</t>
  </si>
  <si>
    <t>Triggered</t>
  </si>
  <si>
    <t>Recorded</t>
  </si>
  <si>
    <t>Pwr On</t>
  </si>
  <si>
    <t>Y</t>
  </si>
  <si>
    <t>DIS</t>
  </si>
  <si>
    <t>First power on post hibernation</t>
  </si>
  <si>
    <t>Pwr Off</t>
  </si>
  <si>
    <t>Updated rates, set threshold to super low, updated burst limit to 3</t>
  </si>
  <si>
    <t>can erase?</t>
  </si>
  <si>
    <t>burst #1</t>
  </si>
  <si>
    <t>pb ths too?</t>
  </si>
  <si>
    <t>burst #2</t>
  </si>
  <si>
    <t>24057?</t>
  </si>
  <si>
    <t>burst #3</t>
  </si>
  <si>
    <t>N</t>
  </si>
  <si>
    <t>4th trigger exceeded burst limit, this advanced trigger count to 4, but did not record anything</t>
  </si>
  <si>
    <t>set threshold to .2, upped limit to 6, did not reset trigger counter</t>
  </si>
  <si>
    <t>23-344</t>
  </si>
  <si>
    <t>burst #4</t>
  </si>
  <si>
    <t>23-359</t>
  </si>
  <si>
    <t>burst #5</t>
  </si>
  <si>
    <t>ENA</t>
  </si>
  <si>
    <t>GNC flag enabled first time - after entering 3-axis mode</t>
  </si>
  <si>
    <t>3-axis</t>
  </si>
  <si>
    <t>Disable after returning to spinning mode</t>
  </si>
  <si>
    <t>Update threshold to .4 cps</t>
  </si>
  <si>
    <t>23-362</t>
  </si>
  <si>
    <t>burst #6</t>
  </si>
  <si>
    <t>Update bursts allowed to 13</t>
  </si>
  <si>
    <t>doy 0 - 50</t>
  </si>
  <si>
    <t>switch to new rate during 23191</t>
  </si>
  <si>
    <t>doy 353-365</t>
  </si>
  <si>
    <t xml:space="preserve"> 277/0750 to 82/2300</t>
  </si>
  <si>
    <t>267 23:04:12</t>
  </si>
  <si>
    <t>267 14:48:11</t>
  </si>
  <si>
    <t>TT  21</t>
  </si>
  <si>
    <t>TRK_267_2</t>
  </si>
  <si>
    <t>267 23:04:15</t>
  </si>
  <si>
    <t>267 14:48:14</t>
  </si>
  <si>
    <t>267 23:04:35</t>
  </si>
  <si>
    <t>267 14:48:34</t>
  </si>
  <si>
    <t>TT  22</t>
  </si>
  <si>
    <t>267 23:04:38</t>
  </si>
  <si>
    <t>267 14:48:37</t>
  </si>
  <si>
    <t>268 09:23:17</t>
  </si>
  <si>
    <t>268 01:07:11</t>
  </si>
  <si>
    <t>TT  34</t>
  </si>
  <si>
    <t>TRK_268_1</t>
  </si>
  <si>
    <t>268 09:23:20</t>
  </si>
  <si>
    <t>268 01:07:14</t>
  </si>
  <si>
    <t>268 09:23:40</t>
  </si>
  <si>
    <t>268 01:07:34</t>
  </si>
  <si>
    <t>TT  35</t>
  </si>
  <si>
    <t>268 09:23:43</t>
  </si>
  <si>
    <t>268 01:07:37</t>
  </si>
  <si>
    <t>268 12:17:43</t>
  </si>
  <si>
    <t>268 04:01:35</t>
  </si>
  <si>
    <t>TT  36</t>
  </si>
  <si>
    <t>P12_cdh04_08_SSR1_serase_seg_0_and_3</t>
  </si>
  <si>
    <t>268 12:17:46</t>
  </si>
  <si>
    <t>268 04:01:38</t>
  </si>
  <si>
    <t>268 12:18:37</t>
  </si>
  <si>
    <t>268 04:02:29</t>
  </si>
  <si>
    <t>268 12:18:40</t>
  </si>
  <si>
    <t>268 04:02:32</t>
  </si>
  <si>
    <t>268 12:20:31</t>
  </si>
  <si>
    <t>268 04:04:23</t>
  </si>
  <si>
    <t>268 12:20:34</t>
  </si>
  <si>
    <t>268 04:04:26</t>
  </si>
  <si>
    <t>268 12:20:37</t>
  </si>
  <si>
    <t>268 04:04:29</t>
  </si>
  <si>
    <t>268 12:20:40</t>
  </si>
  <si>
    <t>268 04:04:32</t>
  </si>
  <si>
    <t>269 01:58:26</t>
  </si>
  <si>
    <t>268 17:42:11</t>
  </si>
  <si>
    <t>TT  53</t>
  </si>
  <si>
    <t>TRK_268_2</t>
  </si>
  <si>
    <t>269 01:58:29</t>
  </si>
  <si>
    <t>268 17:42:14</t>
  </si>
  <si>
    <t>269 01:58:49</t>
  </si>
  <si>
    <t>268 17:42:34</t>
  </si>
  <si>
    <t>TT  54</t>
  </si>
  <si>
    <t>269 01:58:52</t>
  </si>
  <si>
    <t>268 17:42:37</t>
  </si>
  <si>
    <t>269 23:58:37</t>
  </si>
  <si>
    <t>269 15:42:11</t>
  </si>
  <si>
    <t>TT  68</t>
  </si>
  <si>
    <t>269 23:58:40</t>
  </si>
  <si>
    <t>269 15:42:14</t>
  </si>
  <si>
    <t>269 23:59:00</t>
  </si>
  <si>
    <t>269 15:42:34</t>
  </si>
  <si>
    <t>TT  69</t>
  </si>
  <si>
    <t>269 23:59:03</t>
  </si>
  <si>
    <t>269 15:42:37</t>
  </si>
  <si>
    <t>271 00:13:49</t>
  </si>
  <si>
    <t>270 15:57:11</t>
  </si>
  <si>
    <t>TT  91</t>
  </si>
  <si>
    <t>TRK_270_1</t>
  </si>
  <si>
    <t>271 00:13:52</t>
  </si>
  <si>
    <t>270 15:57:14</t>
  </si>
  <si>
    <t>271 00:14:12</t>
  </si>
  <si>
    <t>270 15:57:34</t>
  </si>
  <si>
    <t>271 00:14:15</t>
  </si>
  <si>
    <t>270 15:57:37</t>
  </si>
  <si>
    <t>272 01:18:02</t>
  </si>
  <si>
    <t>271 17:01:11</t>
  </si>
  <si>
    <t>TT 108</t>
  </si>
  <si>
    <t>TRK_271_1</t>
  </si>
  <si>
    <t>272 01:18:05</t>
  </si>
  <si>
    <t>271 17:01:14</t>
  </si>
  <si>
    <t>272 01:18:25</t>
  </si>
  <si>
    <t>271 17:01:34</t>
  </si>
  <si>
    <t>TT 109</t>
  </si>
  <si>
    <t>272 01:18:28</t>
  </si>
  <si>
    <t>271 17:01:37</t>
  </si>
  <si>
    <t>273 00:12:14</t>
  </si>
  <si>
    <t>272 15:55:11</t>
  </si>
  <si>
    <t>TT 126</t>
  </si>
  <si>
    <t>TRK_272_1</t>
  </si>
  <si>
    <t>273 00:12:17</t>
  </si>
  <si>
    <t>272 15:55:14</t>
  </si>
  <si>
    <t>273 00:12:37</t>
  </si>
  <si>
    <t>272 15:55:34</t>
  </si>
  <si>
    <t>TT 127</t>
  </si>
  <si>
    <t>273 00:12:40</t>
  </si>
  <si>
    <t>272 15:55:37</t>
  </si>
  <si>
    <t>273 10:38:19</t>
  </si>
  <si>
    <t>273 02:21:11</t>
  </si>
  <si>
    <t>TT 143</t>
  </si>
  <si>
    <t>273 10:38:22</t>
  </si>
  <si>
    <t>273 02:21:14</t>
  </si>
  <si>
    <t>273 10:38:42</t>
  </si>
  <si>
    <t>273 02:21:34</t>
  </si>
  <si>
    <t>273 10:38:45</t>
  </si>
  <si>
    <t>273 02:21:37</t>
  </si>
  <si>
    <t>274 02:03:27</t>
  </si>
  <si>
    <t>273 17:46:11</t>
  </si>
  <si>
    <t>TT 166</t>
  </si>
  <si>
    <t>TRK_273_3</t>
  </si>
  <si>
    <t>274 02:03:30</t>
  </si>
  <si>
    <t>273 17:46:14</t>
  </si>
  <si>
    <t>274 02:03:50</t>
  </si>
  <si>
    <t>273 17:46:34</t>
  </si>
  <si>
    <t>TT 167</t>
  </si>
  <si>
    <t>274 02:03:53</t>
  </si>
  <si>
    <t>273 17:46:37</t>
  </si>
  <si>
    <t>275 00:53:39</t>
  </si>
  <si>
    <t>274 16:36:11</t>
  </si>
  <si>
    <t>TT 180</t>
  </si>
  <si>
    <t>TRK_274_1</t>
  </si>
  <si>
    <t>275 00:53:42</t>
  </si>
  <si>
    <t>274 16:36:14</t>
  </si>
  <si>
    <t>275 00:54:02</t>
  </si>
  <si>
    <t>274 16:36:34</t>
  </si>
  <si>
    <t>TT 181</t>
  </si>
  <si>
    <t>275 00:54:05</t>
  </si>
  <si>
    <t>274 16:36:37</t>
  </si>
  <si>
    <t>275 09:58:44</t>
  </si>
  <si>
    <t>275 01:41:11</t>
  </si>
  <si>
    <t>TT 193</t>
  </si>
  <si>
    <t>275 09:58:47</t>
  </si>
  <si>
    <t>275 01:41:14</t>
  </si>
  <si>
    <t>275 09:59:07</t>
  </si>
  <si>
    <t>275 01:41:34</t>
  </si>
  <si>
    <t>TT 194</t>
  </si>
  <si>
    <t>275 09:59:10</t>
  </si>
  <si>
    <t>275 01:41:37</t>
  </si>
  <si>
    <t>276 01:13:51</t>
  </si>
  <si>
    <t>275 16:56:11</t>
  </si>
  <si>
    <t>TT 220</t>
  </si>
  <si>
    <t>TRK_275_2</t>
  </si>
  <si>
    <t>276 01:13:54</t>
  </si>
  <si>
    <t>275 16:56:14</t>
  </si>
  <si>
    <t>276 01:14:14</t>
  </si>
  <si>
    <t>275 16:56:34</t>
  </si>
  <si>
    <t>TT 221</t>
  </si>
  <si>
    <t>276 01:14:17</t>
  </si>
  <si>
    <t>275 16:56:37</t>
  </si>
  <si>
    <t>276 09:50:56</t>
  </si>
  <si>
    <t>276 01:33:11</t>
  </si>
  <si>
    <t>TT 234</t>
  </si>
  <si>
    <t>276 09:50:59</t>
  </si>
  <si>
    <t>276 01:33:14</t>
  </si>
  <si>
    <t>276 09:51:19</t>
  </si>
  <si>
    <t>276 01:33:34</t>
  </si>
  <si>
    <t>TT 235</t>
  </si>
  <si>
    <t>276 09:51:22</t>
  </si>
  <si>
    <t>276 01:33:37</t>
  </si>
  <si>
    <t>277 04:47:55</t>
  </si>
  <si>
    <t>276 20:30:00</t>
  </si>
  <si>
    <t>TT 244</t>
  </si>
  <si>
    <t>PEPSSI_MAC_RUN  2  MACRO=EXEC</t>
  </si>
  <si>
    <t>K2PE_PEPSSI_POWEROFF_2024_276</t>
  </si>
  <si>
    <t>DM 002</t>
  </si>
  <si>
    <t>PEPSSI_HW_HV_MONITOR  DIS  MACRO=EXEC</t>
  </si>
  <si>
    <t>PEPSSI_MAC_DELAY  1  MACRO=EXEC</t>
  </si>
  <si>
    <t>277 04:47:56</t>
  </si>
  <si>
    <t>276 20:30:01</t>
  </si>
  <si>
    <t>PEPSSI_SET_HV_LEVEL  205  MACRO=EXEC</t>
  </si>
  <si>
    <t>PEPSSI_BIAS_LEVEL  80  MACRO=EXEC</t>
  </si>
  <si>
    <t>PEPSSI_MAC_DELAY  3  MACRO=EXEC</t>
  </si>
  <si>
    <t>277 04:47:59</t>
  </si>
  <si>
    <t>276 20:30:04</t>
  </si>
  <si>
    <t>PEPSSI_SET_HV_LEVEL  190  MACRO=EXEC</t>
  </si>
  <si>
    <t>PEPSSI_BIAS_LEVEL  75  MACRO=EXEC</t>
  </si>
  <si>
    <t>277 04:48:02</t>
  </si>
  <si>
    <t>276 20:30:07</t>
  </si>
  <si>
    <t>PEPSSI_SET_HV_LEVEL  175  MACRO=EXEC</t>
  </si>
  <si>
    <t>PEPSSI_BIAS_LEVEL  70  MACRO=EXEC</t>
  </si>
  <si>
    <t>277 04:48:05</t>
  </si>
  <si>
    <t>276 20:30:10</t>
  </si>
  <si>
    <t>PEPSSI_SET_HV_LEVEL  160  MACRO=EXEC</t>
  </si>
  <si>
    <t>PEPSSI_BIAS_LEVEL  65  MACRO=EXEC</t>
  </si>
  <si>
    <t>277 04:48:08</t>
  </si>
  <si>
    <t>276 20:30:13</t>
  </si>
  <si>
    <t>PEPSSI_SET_HV_LEVEL  145  MACRO=EXEC</t>
  </si>
  <si>
    <t>PEPSSI_BIAS_LEVEL  60  MACRO=EXEC</t>
  </si>
  <si>
    <t>277 04:48:11</t>
  </si>
  <si>
    <t>276 20:30:16</t>
  </si>
  <si>
    <t>PEPSSI_SET_HV_LEVEL  130  MACRO=EXEC</t>
  </si>
  <si>
    <t>PEPSSI_BIAS_LEVEL  55  MACRO=EXEC</t>
  </si>
  <si>
    <t>277 04:48:14</t>
  </si>
  <si>
    <t>276 20:30:19</t>
  </si>
  <si>
    <t>PEPSSI_SET_HV_LEVEL  115  MACRO=EXEC</t>
  </si>
  <si>
    <t>PEPSSI_BIAS_LEVEL  50  MACRO=EXEC</t>
  </si>
  <si>
    <t>277 04:48:17</t>
  </si>
  <si>
    <t>276 20:30:22</t>
  </si>
  <si>
    <t>PEPSSI_SET_HV_LEVEL  100  MACRO=EXEC</t>
  </si>
  <si>
    <t>PEPSSI_BIAS_LEVEL  45  MACRO=EXEC</t>
  </si>
  <si>
    <t>277 04:48:20</t>
  </si>
  <si>
    <t>276 20:30:25</t>
  </si>
  <si>
    <t>PEPSSI_SET_HV_LEVEL  85  MACRO=EXEC</t>
  </si>
  <si>
    <t>PEPSSI_BIAS_LEVEL  40  MACRO=EXEC</t>
  </si>
  <si>
    <t>277 04:48:23</t>
  </si>
  <si>
    <t>276 20:30:28</t>
  </si>
  <si>
    <t>PEPSSI_SET_HV_LEVEL  70  MACRO=EXEC</t>
  </si>
  <si>
    <t>PEPSSI_BIAS_LEVEL  35  MACRO=EXEC</t>
  </si>
  <si>
    <t>277 04:48:26</t>
  </si>
  <si>
    <t>276 20:30:31</t>
  </si>
  <si>
    <t>PEPSSI_SET_HV_LEVEL  55  MACRO=EXEC</t>
  </si>
  <si>
    <t>PEPSSI_BIAS_LEVEL  30  MACRO=EXEC</t>
  </si>
  <si>
    <t>277 04:48:29</t>
  </si>
  <si>
    <t>276 20:30:34</t>
  </si>
  <si>
    <t>PEPSSI_SET_HV_LEVEL  40  MACRO=EXEC</t>
  </si>
  <si>
    <t>277 04:48:32</t>
  </si>
  <si>
    <t>276 20:30:37</t>
  </si>
  <si>
    <t>PEPSSI_SET_HV_LEVEL  25  MACRO=EXEC</t>
  </si>
  <si>
    <t>277 04:48:35</t>
  </si>
  <si>
    <t>276 20:30:40</t>
  </si>
  <si>
    <t>PEPSSI_LOAD_PARM  2  31  MACRO=EXEC</t>
  </si>
  <si>
    <t>PEPSSI_SET_HV_LEVEL  0  MACRO=EXEC</t>
  </si>
  <si>
    <t>PEPSSI_LOAD_PARM  8  1  MACRO=EXEC</t>
  </si>
  <si>
    <t>PEPSSI_HW_HV_ENABLE  DIS  HV  MACRO=EXEC</t>
  </si>
  <si>
    <t>PEPSSI_LOAD_PARM  7  0  MACRO=EXEC</t>
  </si>
  <si>
    <t>277 04:49:05</t>
  </si>
  <si>
    <t>276 20:31:10</t>
  </si>
  <si>
    <t>PEPSSI_LVPS_POWER    CDBOTH  OFF</t>
  </si>
  <si>
    <t>Turn OFF PEPSSI</t>
  </si>
  <si>
    <t>277 04:49:10</t>
  </si>
  <si>
    <t>276 20:31:15</t>
  </si>
  <si>
    <t>277 04:49:14</t>
  </si>
  <si>
    <t>276 20:31:19</t>
  </si>
  <si>
    <t>277 04:49:19</t>
  </si>
  <si>
    <t>276 20:31:24</t>
  </si>
  <si>
    <t>277 04:49:23</t>
  </si>
  <si>
    <t>276 20:31:28</t>
  </si>
  <si>
    <t>277 04:49:28</t>
  </si>
  <si>
    <t>276 20:31:33</t>
  </si>
  <si>
    <t>TT 245</t>
  </si>
  <si>
    <t>277 04:49:32</t>
  </si>
  <si>
    <t>276 20:31:37</t>
  </si>
  <si>
    <t>277 04:49:37</t>
  </si>
  <si>
    <t>276 20:31:42</t>
  </si>
  <si>
    <t>277 04:49:41</t>
  </si>
  <si>
    <t>276 20:31:46</t>
  </si>
  <si>
    <t>277 09:13:08</t>
  </si>
  <si>
    <t>277 00:55:11</t>
  </si>
  <si>
    <t>TT 252</t>
  </si>
  <si>
    <t>TRK_277_1</t>
  </si>
  <si>
    <t>277 09:13:11</t>
  </si>
  <si>
    <t>277 00:55:14</t>
  </si>
  <si>
    <t>277 09:13:31</t>
  </si>
  <si>
    <t>277 00:55:34</t>
  </si>
  <si>
    <t>TT 253</t>
  </si>
  <si>
    <t>277 09:13:34</t>
  </si>
  <si>
    <t>277 00:55:37</t>
  </si>
  <si>
    <t>277 16:08:01</t>
  </si>
  <si>
    <t>277 07:50:00</t>
  </si>
  <si>
    <t>TT 268</t>
  </si>
  <si>
    <t>K2PE_PEPSSI_POWERON_Hibernation_2024_277</t>
  </si>
  <si>
    <t>277 16:08:11</t>
  </si>
  <si>
    <t>277 07:50:10</t>
  </si>
  <si>
    <t>PEPSSI_ROM_BOOT  MACRO=EXEC</t>
  </si>
  <si>
    <t>277 16:08:16</t>
  </si>
  <si>
    <t>277 07:50:15</t>
  </si>
  <si>
    <t>PEPSSI_ROM_GO  720896  MACRO=EXEC</t>
  </si>
  <si>
    <t>277 16:08:26</t>
  </si>
  <si>
    <t>277 07:50:25</t>
  </si>
  <si>
    <t>TT 269</t>
  </si>
  <si>
    <t>PEPSSI_STAT_CLR  CMD_REJ  MACRO=EXEC</t>
  </si>
  <si>
    <t>277 16:08:36</t>
  </si>
  <si>
    <t>277 07:50:35</t>
  </si>
  <si>
    <t>PEPSSI_MAC_RESTORE  MACRO=EXEC</t>
  </si>
  <si>
    <t>277 16:08:46</t>
  </si>
  <si>
    <t>277 07:50:45</t>
  </si>
  <si>
    <t>PEPSSI_MAC_RUN  10  MACRO=EXEC</t>
  </si>
  <si>
    <t>DM 010</t>
  </si>
  <si>
    <t>PEPSSI_SPECTRUM_INTERVAL  N2  10  MACRO=EXEC</t>
  </si>
  <si>
    <t>277 16:08:47</t>
  </si>
  <si>
    <t>277 07:50:46</t>
  </si>
  <si>
    <t>PEPSSI_SPECTRUM_INTERVAL  N3  300  MACRO=EXEC</t>
  </si>
  <si>
    <t>277 16:08:48</t>
  </si>
  <si>
    <t>277 07:50:47</t>
  </si>
  <si>
    <t>PEPSSI_SPECTRUM_INTERVAL  N1  10  MACRO=EXEC</t>
  </si>
  <si>
    <t>277 16:08:49</t>
  </si>
  <si>
    <t>277 07:50:48</t>
  </si>
  <si>
    <t>PEPSSI_STAT_INT  1  MACRO=EXEC</t>
  </si>
  <si>
    <t>PEPSSI_EVENT_HW  ENA  MACRO=EXEC</t>
  </si>
  <si>
    <t>277 16:08:50</t>
  </si>
  <si>
    <t>277 07:50:49</t>
  </si>
  <si>
    <t>PEPSSI_ENABLE_SSD  4095  MACRO=EXEC</t>
  </si>
  <si>
    <t>277 16:08:51</t>
  </si>
  <si>
    <t>277 07:50:50</t>
  </si>
  <si>
    <t>PEPSSI_LOAD_PARM  6  1  MACRO=EXEC</t>
  </si>
  <si>
    <t>PEPSSI_TOF_MASTER_RESET  DIS  MACRO=EXEC</t>
  </si>
  <si>
    <t>PEPSSI_SELECT_TOF_CLOCK  6MHZ  MACRO=EXEC</t>
  </si>
  <si>
    <t>PEPSSI_TOF_MASTER_RESET  ENA  MACRO=EXEC</t>
  </si>
  <si>
    <t>PEPSSI_TRIO_CLK_SELECT  600KHZ  MACRO=EXEC</t>
  </si>
  <si>
    <t>277 16:08:52</t>
  </si>
  <si>
    <t>277 07:50:51</t>
  </si>
  <si>
    <t>PEPSSI_HV_TLM  ENA  MACRO=EXEC</t>
  </si>
  <si>
    <t>277 16:08:53</t>
  </si>
  <si>
    <t>277 07:50:52</t>
  </si>
  <si>
    <t>PEPSSI_SET_HW_HV_ALARM_LIMIT  0  MACRO=EXEC</t>
  </si>
  <si>
    <t>277 16:08:54</t>
  </si>
  <si>
    <t>277 07:50:53</t>
  </si>
  <si>
    <t>PEPSSI_LOAD_PARM  7  1  MACRO=EXEC</t>
  </si>
  <si>
    <t>277 16:08:55</t>
  </si>
  <si>
    <t>277 07:50:54</t>
  </si>
  <si>
    <t>277 16:08:56</t>
  </si>
  <si>
    <t>277 07:50:55</t>
  </si>
  <si>
    <t>PEPSSI_ENERGY_DISC_LEVEL  CHAN0_ION_0  120  MACRO=EXEC</t>
  </si>
  <si>
    <t>PEPSSI_ENERGY_DISC_LEVEL  CHAN1_ELEC_0  102  MACRO=EXEC</t>
  </si>
  <si>
    <t>PEPSSI_ENERGY_DISC_LEVEL  CHAN2_ION_1  105  MACRO=EXEC</t>
  </si>
  <si>
    <t>PEPSSI_ENERGY_DISC_LEVEL  CHAN3_ION_2  96  MACRO=EXEC</t>
  </si>
  <si>
    <t>PEPSSI_ENERGY_DISC_LEVEL  CHAN4_ION_3  100  MACRO=EXEC</t>
  </si>
  <si>
    <t>277 16:08:57</t>
  </si>
  <si>
    <t>277 07:50:56</t>
  </si>
  <si>
    <t>PEPSSI_ENERGY_DISC_LEVEL  CHAN5_ELEC_1  97  MACRO=EXEC</t>
  </si>
  <si>
    <t>PEPSSI_ENERGY_DISC_LEVEL  CHAN6_ION_4  108  MACRO=EXEC</t>
  </si>
  <si>
    <t>PEPSSI_ENERGY_DISC_LEVEL  CHAN7_ION_5  96  MACRO=EXEC</t>
  </si>
  <si>
    <t>PEPSSI_ENERGY_DISC_LEVEL  CHAN8_ION_6  95  MACRO=EXEC</t>
  </si>
  <si>
    <t>PEPSSI_ENERGY_DISC_LEVEL  CHAN9_ION_7  103  MACRO=EXEC</t>
  </si>
  <si>
    <t>277 16:08:58</t>
  </si>
  <si>
    <t>277 07:50:57</t>
  </si>
  <si>
    <t>PEPSSI_ENERGY_DISC_LEVEL  CHAN10_ION_8  108  MACRO=EXEC</t>
  </si>
  <si>
    <t>PEPSSI_ENERGY_DISC_LEVEL  CHAN11_ELEC_2  105  MACRO=EXEC</t>
  </si>
  <si>
    <t>PEPSSI_TOF_START_DISC_LEVEL  0  145  MACRO=EXEC</t>
  </si>
  <si>
    <t>PEPSSI_TOF_START_DISC_LEVEL  1  145  MACRO=EXEC</t>
  </si>
  <si>
    <t>277 16:08:59</t>
  </si>
  <si>
    <t>277 07:50:58</t>
  </si>
  <si>
    <t>PEPSSI_TOF_START_DISC_LEVEL  2  145  MACRO=EXEC</t>
  </si>
  <si>
    <t>PEPSSI_TOF_START_DISC_LEVEL  3  145  MACRO=EXEC</t>
  </si>
  <si>
    <t>PEPSSI_TOF_START_DISC_LEVEL  4  145  MACRO=EXEC</t>
  </si>
  <si>
    <t>PEPSSI_TOF_START_DISC_LEVEL  5  145  MACRO=EXEC</t>
  </si>
  <si>
    <t>277 16:09:00</t>
  </si>
  <si>
    <t>277 07:50:59</t>
  </si>
  <si>
    <t>PEPSSI_CFD_LEVELS  STOP_PWR  173  MACRO=EXEC</t>
  </si>
  <si>
    <t>PEPSSI_CFD_LEVELS  START_PWR  173  MACRO=EXEC</t>
  </si>
  <si>
    <t>PEPSSI_CFD_LEVELS  START_THRESH  160  MACRO=EXEC</t>
  </si>
  <si>
    <t>PEPSSI_CFD_LEVELS  STOP_THRESH  173  MACRO=EXEC</t>
  </si>
  <si>
    <t>277 16:09:01</t>
  </si>
  <si>
    <t>277 07:51:00</t>
  </si>
  <si>
    <t>PEPSSI_HVY_DISC_LEVEL  HEAVY_0  32  MACRO=EXEC</t>
  </si>
  <si>
    <t>PEPSSI_HVY_DISC_LEVEL  HEAVY_1  96  MACRO=EXEC</t>
  </si>
  <si>
    <t>277 16:09:02</t>
  </si>
  <si>
    <t>277 07:51:01</t>
  </si>
  <si>
    <t>PEPSSI_MAC_NEST  5  MACRO=EXEC</t>
  </si>
  <si>
    <t>PEPSSI_HW_HV_ENABLE  ENA  HV  MACRO=EXEC</t>
  </si>
  <si>
    <t>PEPSSI_MAC_NEST  20  MACRO=EXEC</t>
  </si>
  <si>
    <t>PEPSSI_MAC_DELAY  30  MACRO=EXEC</t>
  </si>
  <si>
    <t>DM 005</t>
  </si>
  <si>
    <t>PEPSSI_HW_HV_ENABLE  ENA  BIAS  MACRO=EXEC</t>
  </si>
  <si>
    <t>DM 020</t>
  </si>
  <si>
    <t>PEPSSI_LOAD_PARM  8  11  MACRO=EXEC</t>
  </si>
  <si>
    <t>PEPSSI_SET_HV_LEVEL  10  MACRO=EXEC</t>
  </si>
  <si>
    <t>PEPSSI_MAC_DELAY  2  MACRO=EXEC</t>
  </si>
  <si>
    <t>277 16:09:04</t>
  </si>
  <si>
    <t>277 07:51:03</t>
  </si>
  <si>
    <t>PEPSSI_HW_HV_MONITOR  ENA  MACRO=EXEC</t>
  </si>
  <si>
    <t>277 16:09:05</t>
  </si>
  <si>
    <t>277 07:51:04</t>
  </si>
  <si>
    <t>PEPSSI_LOAD_PARM  2  11  MACRO=EXEC</t>
  </si>
  <si>
    <t>PEPSSI_BIAS_LEVEL  10  MACRO=EXEC</t>
  </si>
  <si>
    <t>277 16:09:08</t>
  </si>
  <si>
    <t>277 07:51:07</t>
  </si>
  <si>
    <t>PEPSSI_LOAD_PARM  2  16  MACRO=EXEC</t>
  </si>
  <si>
    <t>PEPSSI_BIAS_LEVEL  15  MACRO=EXEC</t>
  </si>
  <si>
    <t>277 16:09:11</t>
  </si>
  <si>
    <t>277 07:51:10</t>
  </si>
  <si>
    <t>PEPSSI_LOAD_PARM  2  21  MACRO=EXEC</t>
  </si>
  <si>
    <t>PEPSSI_BIAS_LEVEL  20  MACRO=EXEC</t>
  </si>
  <si>
    <t>277 16:09:14</t>
  </si>
  <si>
    <t>277 07:51:13</t>
  </si>
  <si>
    <t>PEPSSI_LOAD_PARM  2  26  MACRO=EXEC</t>
  </si>
  <si>
    <t>PEPSSI_BIAS_LEVEL  25  MACRO=EXEC</t>
  </si>
  <si>
    <t>277 16:09:17</t>
  </si>
  <si>
    <t>277 07:51:16</t>
  </si>
  <si>
    <t>277 16:09:20</t>
  </si>
  <si>
    <t>277 07:51:19</t>
  </si>
  <si>
    <t>PEPSSI_LOAD_PARM  2  36  MACRO=EXEC</t>
  </si>
  <si>
    <t>277 16:09:23</t>
  </si>
  <si>
    <t>277 07:51:22</t>
  </si>
  <si>
    <t>PEPSSI_LOAD_PARM  2  41  MACRO=EXEC</t>
  </si>
  <si>
    <t>277 16:09:26</t>
  </si>
  <si>
    <t>277 07:51:25</t>
  </si>
  <si>
    <t>PEPSSI_LOAD_PARM  2  46  MACRO=EXEC</t>
  </si>
  <si>
    <t>277 16:09:29</t>
  </si>
  <si>
    <t>277 07:51:28</t>
  </si>
  <si>
    <t>PEPSSI_LOAD_PARM  2  51  MACRO=EXEC</t>
  </si>
  <si>
    <t>277 16:09:32</t>
  </si>
  <si>
    <t>277 07:51:31</t>
  </si>
  <si>
    <t>PEPSSI_MAC_NEST  21  MACRO=EXEC</t>
  </si>
  <si>
    <t>PEPSSI_LOAD_PARM  2  56  MACRO=EXEC</t>
  </si>
  <si>
    <t>DM 021</t>
  </si>
  <si>
    <t>PEPSSI_LOAD_PARM  8  21  MACRO=EXEC</t>
  </si>
  <si>
    <t>PEPSSI_SET_HV_LEVEL  20  MACRO=EXEC</t>
  </si>
  <si>
    <t>277 16:09:34</t>
  </si>
  <si>
    <t>277 07:51:33</t>
  </si>
  <si>
    <t>277 16:09:35</t>
  </si>
  <si>
    <t>277 07:51:34</t>
  </si>
  <si>
    <t>PEPSSI_LOAD_PARM  2  61  MACRO=EXEC</t>
  </si>
  <si>
    <t>277 16:09:38</t>
  </si>
  <si>
    <t>277 07:51:37</t>
  </si>
  <si>
    <t>PEPSSI_LOAD_PARM  2  66  MACRO=EXEC</t>
  </si>
  <si>
    <t>277 16:09:41</t>
  </si>
  <si>
    <t>277 07:51:40</t>
  </si>
  <si>
    <t>PEPSSI_LOAD_PARM  2  71  MACRO=EXEC</t>
  </si>
  <si>
    <t>277 16:09:44</t>
  </si>
  <si>
    <t>277 07:51:43</t>
  </si>
  <si>
    <t>PEPSSI_LOAD_PARM  2  76  MACRO=EXEC</t>
  </si>
  <si>
    <t>277 16:09:47</t>
  </si>
  <si>
    <t>277 07:51:46</t>
  </si>
  <si>
    <t>PEPSSI_LOAD_PARM  2  81  MACRO=EXEC</t>
  </si>
  <si>
    <t>277 16:09:50</t>
  </si>
  <si>
    <t>277 07:51:49</t>
  </si>
  <si>
    <t>PEPSSI_LOAD_PARM  2  86  MACRO=EXEC</t>
  </si>
  <si>
    <t>PEPSSI_BIAS_LEVEL  85  MACRO=EXEC</t>
  </si>
  <si>
    <t>277 16:09:53</t>
  </si>
  <si>
    <t>277 07:51:52</t>
  </si>
  <si>
    <t>PEPSSI_LOAD_PARM  2  91  MACRO=EXEC</t>
  </si>
  <si>
    <t>PEPSSI_BIAS_LEVEL  90  MACRO=EXEC</t>
  </si>
  <si>
    <t>277 16:10:02</t>
  </si>
  <si>
    <t>277 07:52:01</t>
  </si>
  <si>
    <t>PEPSSI_MAC_NEST  22  MACRO=EXEC</t>
  </si>
  <si>
    <t>DM 022</t>
  </si>
  <si>
    <t>PEPSSI_LOAD_PARM  8  31  MACRO=EXEC</t>
  </si>
  <si>
    <t>PEPSSI_SET_HV_LEVEL  30  MACRO=EXEC</t>
  </si>
  <si>
    <t>277 16:10:04</t>
  </si>
  <si>
    <t>277 07:52:03</t>
  </si>
  <si>
    <t>277 16:10:32</t>
  </si>
  <si>
    <t>277 07:52:31</t>
  </si>
  <si>
    <t>PEPSSI_MAC_NEST  23  MACRO=EXEC</t>
  </si>
  <si>
    <t>DM 023</t>
  </si>
  <si>
    <t>PEPSSI_LOAD_PARM  8  41  MACRO=EXEC</t>
  </si>
  <si>
    <t>277 16:10:34</t>
  </si>
  <si>
    <t>277 07:52:33</t>
  </si>
  <si>
    <t>277 16:11:02</t>
  </si>
  <si>
    <t>277 07:53:01</t>
  </si>
  <si>
    <t>PEPSSI_MAC_NEST  24  MACRO=EXEC</t>
  </si>
  <si>
    <t>DM 024</t>
  </si>
  <si>
    <t>PEPSSI_LOAD_PARM  8  51  MACRO=EXEC</t>
  </si>
  <si>
    <t>PEPSSI_SET_HV_LEVEL  50  MACRO=EXEC</t>
  </si>
  <si>
    <t>277 16:11:04</t>
  </si>
  <si>
    <t>277 07:53:03</t>
  </si>
  <si>
    <t>277 16:11:32</t>
  </si>
  <si>
    <t>277 07:53:31</t>
  </si>
  <si>
    <t>PEPSSI_MAC_NEST  25  MACRO=EXEC</t>
  </si>
  <si>
    <t>DM 025</t>
  </si>
  <si>
    <t>PEPSSI_LOAD_PARM  8  61  MACRO=EXEC</t>
  </si>
  <si>
    <t>PEPSSI_SET_HV_LEVEL  60  MACRO=EXEC</t>
  </si>
  <si>
    <t>277 16:11:34</t>
  </si>
  <si>
    <t>277 07:53:33</t>
  </si>
  <si>
    <t>277 16:12:02</t>
  </si>
  <si>
    <t>277 07:54:01</t>
  </si>
  <si>
    <t>PEPSSI_MAC_NEST  26  MACRO=EXEC</t>
  </si>
  <si>
    <t>DM 026</t>
  </si>
  <si>
    <t>PEPSSI_LOAD_PARM  8  71  MACRO=EXEC</t>
  </si>
  <si>
    <t>277 16:12:04</t>
  </si>
  <si>
    <t>277 07:54:03</t>
  </si>
  <si>
    <t>277 16:12:32</t>
  </si>
  <si>
    <t>277 07:54:31</t>
  </si>
  <si>
    <t>PEPSSI_MAC_NEST  27  MACRO=EXEC</t>
  </si>
  <si>
    <t>PEPSSI_MAC_DELAY  60  MACRO=EXEC</t>
  </si>
  <si>
    <t>DM 027</t>
  </si>
  <si>
    <t>PEPSSI_LOAD_PARM  8  81  MACRO=EXEC</t>
  </si>
  <si>
    <t>PEPSSI_SET_HV_LEVEL  80  MACRO=EXEC</t>
  </si>
  <si>
    <t>277 16:12:34</t>
  </si>
  <si>
    <t>277 07:54:33</t>
  </si>
  <si>
    <t>277 16:13:32</t>
  </si>
  <si>
    <t>277 07:55:31</t>
  </si>
  <si>
    <t>PEPSSI_MAC_NEST  28  MACRO=EXEC</t>
  </si>
  <si>
    <t>DM 028</t>
  </si>
  <si>
    <t>PEPSSI_LOAD_PARM  8  91  MACRO=EXEC</t>
  </si>
  <si>
    <t>PEPSSI_SET_HV_LEVEL  90  MACRO=EXEC</t>
  </si>
  <si>
    <t>277 16:13:34</t>
  </si>
  <si>
    <t>277 07:55:33</t>
  </si>
  <si>
    <t>277 16:14:32</t>
  </si>
  <si>
    <t>277 07:56:31</t>
  </si>
  <si>
    <t>PEPSSI_MAC_NEST  29  MACRO=EXEC</t>
  </si>
  <si>
    <t>DM 029</t>
  </si>
  <si>
    <t>PEPSSI_LOAD_PARM  8  101  MACRO=EXEC</t>
  </si>
  <si>
    <t>277 16:14:34</t>
  </si>
  <si>
    <t>277 07:56:33</t>
  </si>
  <si>
    <t>277 16:15:32</t>
  </si>
  <si>
    <t>277 07:57:31</t>
  </si>
  <si>
    <t>PEPSSI_MAC_NEST  30  MACRO=EXEC</t>
  </si>
  <si>
    <t>DM 030</t>
  </si>
  <si>
    <t>PEPSSI_LOAD_PARM  8  111  MACRO=EXEC</t>
  </si>
  <si>
    <t>PEPSSI_SET_HV_LEVEL  110  MACRO=EXEC</t>
  </si>
  <si>
    <t>277 16:15:34</t>
  </si>
  <si>
    <t>277 07:57:33</t>
  </si>
  <si>
    <t>277 16:16:32</t>
  </si>
  <si>
    <t>277 07:58:31</t>
  </si>
  <si>
    <t>PEPSSI_MAC_NEST  31  MACRO=EXEC</t>
  </si>
  <si>
    <t>DM 031</t>
  </si>
  <si>
    <t>PEPSSI_LOAD_PARM  8  121  MACRO=EXEC</t>
  </si>
  <si>
    <t>PEPSSI_SET_HV_LEVEL  120  MACRO=EXEC</t>
  </si>
  <si>
    <t>277 16:16:34</t>
  </si>
  <si>
    <t>277 07:58:33</t>
  </si>
  <si>
    <t>277 16:17:32</t>
  </si>
  <si>
    <t>277 07:59:31</t>
  </si>
  <si>
    <t>PEPSSI_MAC_NEST  32  MACRO=EXEC</t>
  </si>
  <si>
    <t>DM 032</t>
  </si>
  <si>
    <t>PEPSSI_LOAD_PARM  8  131  MACRO=EXEC</t>
  </si>
  <si>
    <t>277 16:17:34</t>
  </si>
  <si>
    <t>277 07:59:33</t>
  </si>
  <si>
    <t>277 16:18:32</t>
  </si>
  <si>
    <t>277 08:00:31</t>
  </si>
  <si>
    <t>PEPSSI_MAC_NEST  33  MACRO=EXEC</t>
  </si>
  <si>
    <t>PEPSSI_MAC_DELAY  100  MACRO=EXEC</t>
  </si>
  <si>
    <t>DM 033</t>
  </si>
  <si>
    <t>PEPSSI_LOAD_PARM  8  141  MACRO=EXEC</t>
  </si>
  <si>
    <t>PEPSSI_SET_HV_LEVEL  140  MACRO=EXEC</t>
  </si>
  <si>
    <t>277 16:18:34</t>
  </si>
  <si>
    <t>277 08:00:33</t>
  </si>
  <si>
    <t>277 16:20:12</t>
  </si>
  <si>
    <t>277 08:02:11</t>
  </si>
  <si>
    <t>PEPSSI_MAC_NEST  34  MACRO=EXEC</t>
  </si>
  <si>
    <t>DM 034</t>
  </si>
  <si>
    <t>PEPSSI_LOAD_PARM  8  146  MACRO=EXEC</t>
  </si>
  <si>
    <t>277 16:20:14</t>
  </si>
  <si>
    <t>277 08:02:13</t>
  </si>
  <si>
    <t>277 16:21:52</t>
  </si>
  <si>
    <t>277 08:03:51</t>
  </si>
  <si>
    <t>PEPSSI_MAC_NEST  35  MACRO=EXEC</t>
  </si>
  <si>
    <t>DM 035</t>
  </si>
  <si>
    <t>PEPSSI_LOAD_PARM  8  151  MACRO=EXEC</t>
  </si>
  <si>
    <t>PEPSSI_SET_HV_LEVEL  150  MACRO=EXEC</t>
  </si>
  <si>
    <t>277 16:21:54</t>
  </si>
  <si>
    <t>277 08:03:53</t>
  </si>
  <si>
    <t>277 16:23:32</t>
  </si>
  <si>
    <t>277 08:05:31</t>
  </si>
  <si>
    <t>PEPSSI_MAC_NEST  36  MACRO=EXEC</t>
  </si>
  <si>
    <t>DM 036</t>
  </si>
  <si>
    <t>PEPSSI_LOAD_PARM  8  156  MACRO=EXEC</t>
  </si>
  <si>
    <t>PEPSSI_SET_HV_LEVEL  155  MACRO=EXEC</t>
  </si>
  <si>
    <t>277 16:23:34</t>
  </si>
  <si>
    <t>277 08:05:33</t>
  </si>
  <si>
    <t>277 16:25:12</t>
  </si>
  <si>
    <t>277 08:07:11</t>
  </si>
  <si>
    <t>PEPSSI_MAC_NEST  37  MACRO=EXEC</t>
  </si>
  <si>
    <t>DM 037</t>
  </si>
  <si>
    <t>PEPSSI_LOAD_PARM  8  161  MACRO=EXEC</t>
  </si>
  <si>
    <t>277 16:25:14</t>
  </si>
  <si>
    <t>277 08:07:13</t>
  </si>
  <si>
    <t>277 16:26:52</t>
  </si>
  <si>
    <t>277 08:08:51</t>
  </si>
  <si>
    <t>PEPSSI_MAC_NEST  38  MACRO=EXEC</t>
  </si>
  <si>
    <t>DM 038</t>
  </si>
  <si>
    <t>PEPSSI_LOAD_PARM  8  166  MACRO=EXEC</t>
  </si>
  <si>
    <t>PEPSSI_SET_HV_LEVEL  165  MACRO=EXEC</t>
  </si>
  <si>
    <t>277 16:26:54</t>
  </si>
  <si>
    <t>277 08:08:53</t>
  </si>
  <si>
    <t>277 16:28:32</t>
  </si>
  <si>
    <t>277 08:10:31</t>
  </si>
  <si>
    <t>PEPSSI_MAC_NEST  39  MACRO=EXEC</t>
  </si>
  <si>
    <t>DM 039</t>
  </si>
  <si>
    <t>PEPSSI_LOAD_PARM  8  171  MACRO=EXEC</t>
  </si>
  <si>
    <t>PEPSSI_SET_HV_LEVEL  170  MACRO=EXEC</t>
  </si>
  <si>
    <t>277 16:28:34</t>
  </si>
  <si>
    <t>277 08:10:33</t>
  </si>
  <si>
    <t>277 16:30:12</t>
  </si>
  <si>
    <t>277 08:12:11</t>
  </si>
  <si>
    <t>PEPSSI_MAC_NEST  40  MACRO=EXEC</t>
  </si>
  <si>
    <t>DM 040</t>
  </si>
  <si>
    <t>PEPSSI_LOAD_PARM  8  176  MACRO=EXEC</t>
  </si>
  <si>
    <t>277 16:30:14</t>
  </si>
  <si>
    <t>277 08:12:13</t>
  </si>
  <si>
    <t>277 16:31:52</t>
  </si>
  <si>
    <t>277 08:13:51</t>
  </si>
  <si>
    <t>PEPSSI_MAC_NEST  41  MACRO=EXEC</t>
  </si>
  <si>
    <t>DM 041</t>
  </si>
  <si>
    <t>PEPSSI_LOAD_PARM  8  181  MACRO=EXEC</t>
  </si>
  <si>
    <t>PEPSSI_SET_HV_LEVEL  180  MACRO=EXEC</t>
  </si>
  <si>
    <t>277 16:31:54</t>
  </si>
  <si>
    <t>277 08:13:53</t>
  </si>
  <si>
    <t>277 16:33:32</t>
  </si>
  <si>
    <t>277 08:15:31</t>
  </si>
  <si>
    <t>PEPSSI_SPECTRUM_INTERVAL  N2  40  MACRO=EXEC</t>
  </si>
  <si>
    <t>277 16:33:33</t>
  </si>
  <si>
    <t>277 08:15:32</t>
  </si>
  <si>
    <t>277 16:33:34</t>
  </si>
  <si>
    <t>277 08:15:33</t>
  </si>
  <si>
    <t>PEPSSI_SPECTRUM_INTERVAL  N1  3600  MACRO=EXEC</t>
  </si>
  <si>
    <t>277 16:33:35</t>
  </si>
  <si>
    <t>277 08:15:34</t>
  </si>
  <si>
    <t>PEPSSI_STAT_INT  300  MACRO=EXEC</t>
  </si>
  <si>
    <t>277 16:38:51</t>
  </si>
  <si>
    <t>277 08:20:50</t>
  </si>
  <si>
    <t>TT 270</t>
  </si>
  <si>
    <t>277 16:38:54</t>
  </si>
  <si>
    <t>277 08:20:53</t>
  </si>
  <si>
    <t>277 16:38:57</t>
  </si>
  <si>
    <t>277 08:20:56</t>
  </si>
  <si>
    <t>277 16:39:00</t>
  </si>
  <si>
    <t>277 08:20:59</t>
  </si>
  <si>
    <t>277 16:49:01</t>
  </si>
  <si>
    <t>277 08:31:00</t>
  </si>
  <si>
    <t>TT 271</t>
  </si>
  <si>
    <t>DM 101</t>
  </si>
  <si>
    <t>PEPSSI_MEM_STR_LOAD_1  PARAMS   0  0  MACRO=EXEC</t>
  </si>
  <si>
    <t>Disable Trigger Mode</t>
  </si>
  <si>
    <t>PEPSSI_MEM_STR_LOAD_1  PARAMS   2  32  MACRO=EXEC</t>
  </si>
  <si>
    <t>Set Burst Limit to 31</t>
  </si>
  <si>
    <t>PEPSSI_MEM_STR_LOAD_1  PARAMS   3  1  MACRO=EXEC</t>
  </si>
  <si>
    <t>Output N1 Data to SSR</t>
  </si>
  <si>
    <t>PEPSSI_MEM_STR_LOAD_1  PARAMS   4  0  MACRO=EXEC</t>
  </si>
  <si>
    <t>Stop N2 Data to SSR</t>
  </si>
  <si>
    <t>PEPSSI_MEM_STR_LOAD_1  PARAMS   5  1  MACRO=EXEC</t>
  </si>
  <si>
    <t>Output N3 Data to SSR</t>
  </si>
  <si>
    <t>PEPSSI_MEM_STR_LOAD_16BIT  PARAMS   6  1  MACRO=EXEC</t>
  </si>
  <si>
    <t>Pre-trigger Wait set to 0.01 hours</t>
  </si>
  <si>
    <t>PEPSSI_MEM_STR_LOAD_16BIT  PARAMS   8  47800  MACRO=EXEC</t>
  </si>
  <si>
    <t>Post-trigger Collection set to 478 hours</t>
  </si>
  <si>
    <t>PEPSSI_MEM_STR_LOAD_16BIT  PARAMS   10  65535  MACRO=EXEC</t>
  </si>
  <si>
    <t>Trigger Hi Byte Threshold set to 65535</t>
  </si>
  <si>
    <t>PEPSSI_MEM_STR_LOAD_16BIT  PARAMS   12  65535  MACRO=EXEC</t>
  </si>
  <si>
    <t>Trigger Lo Byte Threshold set to 65535</t>
  </si>
  <si>
    <t>PEPSSI_MEM_STR_LOAD_16BIT  PARAMS   38  3  MACRO=EXEC</t>
  </si>
  <si>
    <t>N2 Monitor Rate set to 3</t>
  </si>
  <si>
    <t>PEPSSI_MEM_STR_LOAD_1  PARAMS   45  0  MACRO=EXEC</t>
  </si>
  <si>
    <t>Ignore GNC Flags</t>
  </si>
  <si>
    <t>PEPSSI_MEM_STR_LOAD_1  PARAMS   43  1  MACRO=EXEC</t>
  </si>
  <si>
    <t>Reset Trigger Count to 0</t>
  </si>
  <si>
    <t>277 16:50:01</t>
  </si>
  <si>
    <t>277 08:32:00</t>
  </si>
  <si>
    <t>PEPSSI_MEM_STR_LOAD_1  PARAMS   0  1  MACRO=EXEC</t>
  </si>
  <si>
    <t>Enable Trigger Mode</t>
  </si>
  <si>
    <t>PEPSSI_MAC_DELAY  360  MACRO=EXEC</t>
  </si>
  <si>
    <t>277 16:56:01</t>
  </si>
  <si>
    <t>277 08:38:00</t>
  </si>
  <si>
    <t>PEPSSI_MAC_LOOP_BEGIN  20  MACRO=EXEC</t>
  </si>
  <si>
    <t>PEPSSI_MEM_STR_LOAD_1  PARAMS   1  1  MACRO=EXEC</t>
  </si>
  <si>
    <t>Force Trigger</t>
  </si>
  <si>
    <t>277 17:02:01</t>
  </si>
  <si>
    <t>277 08:44:00</t>
  </si>
  <si>
    <t>PEPSSI_MEM_READ  37868   46   MACRO=EXEC</t>
  </si>
  <si>
    <t>PEPSSI_MAC_LOOP_BEGIN  40  MACRO=EXEC</t>
  </si>
  <si>
    <t>PEPSSI_MAC_DELAY  600  MACRO=EXEC</t>
  </si>
  <si>
    <t>277 17:12:01</t>
  </si>
  <si>
    <t>277 08:54:00</t>
  </si>
  <si>
    <t>PEPSSI_MAC_DELAY  42600  MACRO=EXEC</t>
  </si>
  <si>
    <t>277 17:49:01</t>
  </si>
  <si>
    <t>277 09:31:00</t>
  </si>
  <si>
    <t>TT 272</t>
  </si>
  <si>
    <t>PEPSSI_MAC_RUN  102  MACRO=EXEC</t>
  </si>
  <si>
    <t>DM 102</t>
  </si>
  <si>
    <t>PEPSSI_MEM_WR_EN  ENA  MACRO=EXEC</t>
  </si>
  <si>
    <t>PEPSSI_MEM_LOAD  ADDR=46262  NUM_BYTES=2  MACRO=EXEC [missing data]</t>
  </si>
  <si>
    <t>PEPSSI_MEM_WR_EN  DIS  MACRO=EXEC</t>
  </si>
  <si>
    <t>278 05:02:07</t>
  </si>
  <si>
    <t>277 20:44:00</t>
  </si>
  <si>
    <t>278 05:12:07</t>
  </si>
  <si>
    <t>277 20:54:00</t>
  </si>
  <si>
    <t>278 17:02:13</t>
  </si>
  <si>
    <t>278 08:44:00</t>
  </si>
  <si>
    <t>278 17:12:14</t>
  </si>
  <si>
    <t>278 08:54:00</t>
  </si>
  <si>
    <t>279 05:02:20</t>
  </si>
  <si>
    <t>278 20:44:00</t>
  </si>
  <si>
    <t>279 05:12:20</t>
  </si>
  <si>
    <t>278 20:54:00</t>
  </si>
  <si>
    <t>279 17:02:26</t>
  </si>
  <si>
    <t>279 08:44:00</t>
  </si>
  <si>
    <t>279 17:12:26</t>
  </si>
  <si>
    <t>279 08:54:00</t>
  </si>
  <si>
    <t>280 05:02:32</t>
  </si>
  <si>
    <t>279 20:44:00</t>
  </si>
  <si>
    <t>280 05:12:32</t>
  </si>
  <si>
    <t>279 20:54:00</t>
  </si>
  <si>
    <t>280 17:02:38</t>
  </si>
  <si>
    <t>280 08:44:00</t>
  </si>
  <si>
    <t>280 17:12:39</t>
  </si>
  <si>
    <t>280 08:54:00</t>
  </si>
  <si>
    <t>281 05:02:45</t>
  </si>
  <si>
    <t>280 20:44:00</t>
  </si>
  <si>
    <t>281 05:12:45</t>
  </si>
  <si>
    <t>280 20:54:00</t>
  </si>
  <si>
    <t>281 17:02:51</t>
  </si>
  <si>
    <t>281 08:44:00</t>
  </si>
  <si>
    <t>281 17:12:51</t>
  </si>
  <si>
    <t>281 08:54:00</t>
  </si>
  <si>
    <t>282 05:02:57</t>
  </si>
  <si>
    <t>281 20:44:00</t>
  </si>
  <si>
    <t>282 05:12:57</t>
  </si>
  <si>
    <t>281 20:54:00</t>
  </si>
  <si>
    <t>282 17:03:03</t>
  </si>
  <si>
    <t>282 08:44:00</t>
  </si>
  <si>
    <t>282 17:13:04</t>
  </si>
  <si>
    <t>282 08:54:00</t>
  </si>
  <si>
    <t>283 05:03:10</t>
  </si>
  <si>
    <t>282 20:44:00</t>
  </si>
  <si>
    <t>283 05:13:10</t>
  </si>
  <si>
    <t>282 20:54:00</t>
  </si>
  <si>
    <t>283 17:03:16</t>
  </si>
  <si>
    <t>283 08:44:00</t>
  </si>
  <si>
    <t>283 17:13:16</t>
  </si>
  <si>
    <t>283 08:54:00</t>
  </si>
  <si>
    <t>284 05:03:22</t>
  </si>
  <si>
    <t>283 20:44:00</t>
  </si>
  <si>
    <t>284 05:13:22</t>
  </si>
  <si>
    <t>283 20:54:00</t>
  </si>
  <si>
    <t>284 17:03:28</t>
  </si>
  <si>
    <t>284 08:44:00</t>
  </si>
  <si>
    <t>284 17:13:29</t>
  </si>
  <si>
    <t>284 08:54:00</t>
  </si>
  <si>
    <t>285 05:03:35</t>
  </si>
  <si>
    <t>284 20:44:00</t>
  </si>
  <si>
    <t>285 05:13:35</t>
  </si>
  <si>
    <t>284 20:54:00</t>
  </si>
  <si>
    <t>285 17:03:41</t>
  </si>
  <si>
    <t>285 08:44:00</t>
  </si>
  <si>
    <t>285 17:13:41</t>
  </si>
  <si>
    <t>285 08:54:00</t>
  </si>
  <si>
    <t>286 05:03:47</t>
  </si>
  <si>
    <t>285 20:44:00</t>
  </si>
  <si>
    <t>286 05:13:47</t>
  </si>
  <si>
    <t>285 20:54:00</t>
  </si>
  <si>
    <t>286 17:03:53</t>
  </si>
  <si>
    <t>286 08:44:00</t>
  </si>
  <si>
    <t>286 17:13:54</t>
  </si>
  <si>
    <t>286 08:54:00</t>
  </si>
  <si>
    <t>287 05:04:00</t>
  </si>
  <si>
    <t>286 20:44:00</t>
  </si>
  <si>
    <t>287 05:14:00</t>
  </si>
  <si>
    <t>286 20:54:00</t>
  </si>
  <si>
    <t>287 17:04:06</t>
  </si>
  <si>
    <t>287 08:44:00</t>
  </si>
  <si>
    <t>287 17:14:06</t>
  </si>
  <si>
    <t>287 08:54:00</t>
  </si>
  <si>
    <t>288 05:04:12</t>
  </si>
  <si>
    <t>287 20:44:00</t>
  </si>
  <si>
    <t>288 05:14:12</t>
  </si>
  <si>
    <t>287 20:54:00</t>
  </si>
  <si>
    <t>288 17:04:18</t>
  </si>
  <si>
    <t>288 08:44:00</t>
  </si>
  <si>
    <t>288 17:14:19</t>
  </si>
  <si>
    <t>288 08:54:00</t>
  </si>
  <si>
    <t>289 05:04:25</t>
  </si>
  <si>
    <t>288 20:44:00</t>
  </si>
  <si>
    <t>289 05:14:25</t>
  </si>
  <si>
    <t>288 20:54:00</t>
  </si>
  <si>
    <t>289 17:04:31</t>
  </si>
  <si>
    <t>289 08:44:00</t>
  </si>
  <si>
    <t>289 17:14:31</t>
  </si>
  <si>
    <t>289 08:54:00</t>
  </si>
  <si>
    <t>290 05:04:37</t>
  </si>
  <si>
    <t>289 20:44:00</t>
  </si>
  <si>
    <t>290 05:14:37</t>
  </si>
  <si>
    <t>289 20:54:00</t>
  </si>
  <si>
    <t>290 17:04:43</t>
  </si>
  <si>
    <t>290 08:44:00</t>
  </si>
  <si>
    <t>290 17:14:43</t>
  </si>
  <si>
    <t>290 08:54:00</t>
  </si>
  <si>
    <t>291 05:04:50</t>
  </si>
  <si>
    <t>290 20:44:00</t>
  </si>
  <si>
    <t>291 05:14:50</t>
  </si>
  <si>
    <t>290 20:54:00</t>
  </si>
  <si>
    <t>291 17:04:56</t>
  </si>
  <si>
    <t>291 08:44:00</t>
  </si>
  <si>
    <t>291 17:14:56</t>
  </si>
  <si>
    <t>291 08:54:00</t>
  </si>
  <si>
    <t>292 05:05:02</t>
  </si>
  <si>
    <t>291 20:44:00</t>
  </si>
  <si>
    <t>292 05:15:02</t>
  </si>
  <si>
    <t>291 20:54:00</t>
  </si>
  <si>
    <t>292 17:05:08</t>
  </si>
  <si>
    <t>292 08:44:00</t>
  </si>
  <si>
    <t>292 17:15:08</t>
  </si>
  <si>
    <t>292 08:54:00</t>
  </si>
  <si>
    <t>293 05:05:14</t>
  </si>
  <si>
    <t>292 20:44:00</t>
  </si>
  <si>
    <t>293 05:15:15</t>
  </si>
  <si>
    <t>292 20:54:00</t>
  </si>
  <si>
    <t>293 17:05:21</t>
  </si>
  <si>
    <t>293 08:44:00</t>
  </si>
  <si>
    <t>293 17:15:21</t>
  </si>
  <si>
    <t>293 08:54:00</t>
  </si>
  <si>
    <t>294 05:05:27</t>
  </si>
  <si>
    <t>293 20:44:00</t>
  </si>
  <si>
    <t>294 05:15:27</t>
  </si>
  <si>
    <t>293 20:54:00</t>
  </si>
  <si>
    <t>294 17:05:33</t>
  </si>
  <si>
    <t>294 08:44:00</t>
  </si>
  <si>
    <t>294 17:15:33</t>
  </si>
  <si>
    <t>294 08:54:00</t>
  </si>
  <si>
    <t>295 05:05:39</t>
  </si>
  <si>
    <t>294 20:44:00</t>
  </si>
  <si>
    <t>295 05:15:39</t>
  </si>
  <si>
    <t>294 20:54:00</t>
  </si>
  <si>
    <t>295 17:05:45</t>
  </si>
  <si>
    <t>295 08:44:00</t>
  </si>
  <si>
    <t>295 17:15:46</t>
  </si>
  <si>
    <t>295 08:54:00</t>
  </si>
  <si>
    <t>296 05:05:52</t>
  </si>
  <si>
    <t>295 20:44:00</t>
  </si>
  <si>
    <t>296 05:15:52</t>
  </si>
  <si>
    <t>295 20:54:00</t>
  </si>
  <si>
    <t>296 17:05:58</t>
  </si>
  <si>
    <t>296 08:44:00</t>
  </si>
  <si>
    <t>296 17:15:58</t>
  </si>
  <si>
    <t>296 08:54:00</t>
  </si>
  <si>
    <t>297 05:06:04</t>
  </si>
  <si>
    <t>296 20:44:00</t>
  </si>
  <si>
    <t>297 05:16:04</t>
  </si>
  <si>
    <t>296 20:54:00</t>
  </si>
  <si>
    <t>297 17:06:10</t>
  </si>
  <si>
    <t>297 08:44:00</t>
  </si>
  <si>
    <t>297 17:06:13</t>
  </si>
  <si>
    <t>297 08:44:03</t>
  </si>
  <si>
    <t>297 17:12:13</t>
  </si>
  <si>
    <t>297 08:50:03</t>
  </si>
  <si>
    <t>297 17:22:13</t>
  </si>
  <si>
    <t>297 09:00:03</t>
  </si>
  <si>
    <t>298 05:12:19</t>
  </si>
  <si>
    <t>297 20:50:03</t>
  </si>
  <si>
    <t>298 05:22:19</t>
  </si>
  <si>
    <t>297 21:00:03</t>
  </si>
  <si>
    <t>298 17:12:25</t>
  </si>
  <si>
    <t>298 08:50:03</t>
  </si>
  <si>
    <t>298 17:22:25</t>
  </si>
  <si>
    <t>298 09:00:03</t>
  </si>
  <si>
    <t>299 05:12:32</t>
  </si>
  <si>
    <t>298 20:50:03</t>
  </si>
  <si>
    <t>299 05:22:32</t>
  </si>
  <si>
    <t>298 21:00:03</t>
  </si>
  <si>
    <t>299 17:12:38</t>
  </si>
  <si>
    <t>299 08:50:03</t>
  </si>
  <si>
    <t>299 17:22:38</t>
  </si>
  <si>
    <t>299 09:00:03</t>
  </si>
  <si>
    <t>300 05:12:44</t>
  </si>
  <si>
    <t>299 20:50:03</t>
  </si>
  <si>
    <t>300 05:22:44</t>
  </si>
  <si>
    <t>299 21:00:03</t>
  </si>
  <si>
    <t>300 17:12:50</t>
  </si>
  <si>
    <t>300 08:50:03</t>
  </si>
  <si>
    <t>300 17:22:50</t>
  </si>
  <si>
    <t>300 09:00:03</t>
  </si>
  <si>
    <t>301 05:12:56</t>
  </si>
  <si>
    <t>300 20:50:03</t>
  </si>
  <si>
    <t>301 05:22:56</t>
  </si>
  <si>
    <t>300 21:00:03</t>
  </si>
  <si>
    <t>301 17:13:02</t>
  </si>
  <si>
    <t>301 08:50:03</t>
  </si>
  <si>
    <t>301 17:23:02</t>
  </si>
  <si>
    <t>301 09:00:03</t>
  </si>
  <si>
    <t>302 05:13:08</t>
  </si>
  <si>
    <t>301 20:50:03</t>
  </si>
  <si>
    <t>302 05:23:08</t>
  </si>
  <si>
    <t>301 21:00:03</t>
  </si>
  <si>
    <t>302 17:13:14</t>
  </si>
  <si>
    <t>302 08:50:03</t>
  </si>
  <si>
    <t>302 17:23:14</t>
  </si>
  <si>
    <t>302 09:00:03</t>
  </si>
  <si>
    <t>303 05:13:20</t>
  </si>
  <si>
    <t>302 20:50:03</t>
  </si>
  <si>
    <t>303 05:23:20</t>
  </si>
  <si>
    <t>302 21:00:03</t>
  </si>
  <si>
    <t>303 17:13:26</t>
  </si>
  <si>
    <t>303 08:50:03</t>
  </si>
  <si>
    <t>303 17:23:26</t>
  </si>
  <si>
    <t>303 09:00:03</t>
  </si>
  <si>
    <t>304 05:13:32</t>
  </si>
  <si>
    <t>303 20:50:03</t>
  </si>
  <si>
    <t>304 05:23:32</t>
  </si>
  <si>
    <t>303 21:00:03</t>
  </si>
  <si>
    <t>304 17:13:38</t>
  </si>
  <si>
    <t>304 08:50:03</t>
  </si>
  <si>
    <t>304 17:23:38</t>
  </si>
  <si>
    <t>304 09:00:03</t>
  </si>
  <si>
    <t>305 05:13:44</t>
  </si>
  <si>
    <t>304 20:50:03</t>
  </si>
  <si>
    <t>305 05:23:44</t>
  </si>
  <si>
    <t>304 21:00:03</t>
  </si>
  <si>
    <t>305 17:13:50</t>
  </si>
  <si>
    <t>305 08:50:03</t>
  </si>
  <si>
    <t>305 17:23:50</t>
  </si>
  <si>
    <t>305 09:00:03</t>
  </si>
  <si>
    <t>306 05:13:56</t>
  </si>
  <si>
    <t>305 20:50:03</t>
  </si>
  <si>
    <t>306 05:23:56</t>
  </si>
  <si>
    <t>305 21:00:03</t>
  </si>
  <si>
    <t>306 17:14:02</t>
  </si>
  <si>
    <t>306 08:50:03</t>
  </si>
  <si>
    <t>306 17:24:02</t>
  </si>
  <si>
    <t>306 09:00:03</t>
  </si>
  <si>
    <t>307 05:14:08</t>
  </si>
  <si>
    <t>306 20:50:03</t>
  </si>
  <si>
    <t>307 05:24:08</t>
  </si>
  <si>
    <t>306 21:00:03</t>
  </si>
  <si>
    <t>307 17:14:14</t>
  </si>
  <si>
    <t>307 08:50:03</t>
  </si>
  <si>
    <t>307 17:24:14</t>
  </si>
  <si>
    <t>307 09:00:03</t>
  </si>
  <si>
    <t>308 05:14:20</t>
  </si>
  <si>
    <t>307 20:50:03</t>
  </si>
  <si>
    <t>308 05:24:20</t>
  </si>
  <si>
    <t>307 21:00:03</t>
  </si>
  <si>
    <t>308 17:14:26</t>
  </si>
  <si>
    <t>308 08:50:03</t>
  </si>
  <si>
    <t>308 17:24:26</t>
  </si>
  <si>
    <t>308 09:00:03</t>
  </si>
  <si>
    <t>309 05:14:32</t>
  </si>
  <si>
    <t>308 20:50:03</t>
  </si>
  <si>
    <t>309 05:24:32</t>
  </si>
  <si>
    <t>308 21:00:03</t>
  </si>
  <si>
    <t>309 17:14:37</t>
  </si>
  <si>
    <t>309 08:50:03</t>
  </si>
  <si>
    <t>309 17:24:38</t>
  </si>
  <si>
    <t>309 09:00:03</t>
  </si>
  <si>
    <t>310 05:14:43</t>
  </si>
  <si>
    <t>309 20:50:03</t>
  </si>
  <si>
    <t>310 05:24:43</t>
  </si>
  <si>
    <t>309 21:00:03</t>
  </si>
  <si>
    <t>310 17:14:49</t>
  </si>
  <si>
    <t>310 08:50:03</t>
  </si>
  <si>
    <t>310 17:24:49</t>
  </si>
  <si>
    <t>310 09:00:03</t>
  </si>
  <si>
    <t>311 05:14:55</t>
  </si>
  <si>
    <t>310 20:50:03</t>
  </si>
  <si>
    <t>311 05:24:55</t>
  </si>
  <si>
    <t>310 21:00:03</t>
  </si>
  <si>
    <t>311 17:15:01</t>
  </si>
  <si>
    <t>311 08:50:03</t>
  </si>
  <si>
    <t>311 17:25:01</t>
  </si>
  <si>
    <t>311 09:00:03</t>
  </si>
  <si>
    <t>312 05:15:07</t>
  </si>
  <si>
    <t>311 20:50:03</t>
  </si>
  <si>
    <t>312 05:25:07</t>
  </si>
  <si>
    <t>311 21:00:03</t>
  </si>
  <si>
    <t>312 17:15:12</t>
  </si>
  <si>
    <t>312 08:50:03</t>
  </si>
  <si>
    <t>312 17:25:12</t>
  </si>
  <si>
    <t>312 09:00:03</t>
  </si>
  <si>
    <t>313 05:15:18</t>
  </si>
  <si>
    <t>312 20:50:03</t>
  </si>
  <si>
    <t>313 05:25:18</t>
  </si>
  <si>
    <t>312 21:00:03</t>
  </si>
  <si>
    <t>313 17:15:24</t>
  </si>
  <si>
    <t>313 08:50:03</t>
  </si>
  <si>
    <t>313 17:25:24</t>
  </si>
  <si>
    <t>313 09:00:03</t>
  </si>
  <si>
    <t>314 05:15:30</t>
  </si>
  <si>
    <t>313 20:50:03</t>
  </si>
  <si>
    <t>314 05:25:30</t>
  </si>
  <si>
    <t>313 21:00:03</t>
  </si>
  <si>
    <t>314 17:15:35</t>
  </si>
  <si>
    <t>314 08:50:03</t>
  </si>
  <si>
    <t>314 17:25:35</t>
  </si>
  <si>
    <t>314 09:00:03</t>
  </si>
  <si>
    <t>315 05:15:41</t>
  </si>
  <si>
    <t>314 20:50:03</t>
  </si>
  <si>
    <t>315 05:25:41</t>
  </si>
  <si>
    <t>314 21:00:03</t>
  </si>
  <si>
    <t>315 17:15:47</t>
  </si>
  <si>
    <t>315 08:50:03</t>
  </si>
  <si>
    <t>315 17:25:47</t>
  </si>
  <si>
    <t>315 09:00:03</t>
  </si>
  <si>
    <t>316 05:15:52</t>
  </si>
  <si>
    <t>315 20:50:03</t>
  </si>
  <si>
    <t>316 05:25:52</t>
  </si>
  <si>
    <t>315 21:00:03</t>
  </si>
  <si>
    <t>316 17:15:58</t>
  </si>
  <si>
    <t>316 08:50:03</t>
  </si>
  <si>
    <t>316 17:25:58</t>
  </si>
  <si>
    <t>316 09:00:03</t>
  </si>
  <si>
    <t>317 05:16:03</t>
  </si>
  <si>
    <t>316 20:50:03</t>
  </si>
  <si>
    <t>317 05:26:03</t>
  </si>
  <si>
    <t>316 21:00:03</t>
  </si>
  <si>
    <t>317 17:16:09</t>
  </si>
  <si>
    <t>317 08:50:03</t>
  </si>
  <si>
    <t>317 17:16:12</t>
  </si>
  <si>
    <t>317 08:50:06</t>
  </si>
  <si>
    <t>317 17:22:12</t>
  </si>
  <si>
    <t>317 08:56:06</t>
  </si>
  <si>
    <t>317 17:32:12</t>
  </si>
  <si>
    <t>317 09:06:06</t>
  </si>
  <si>
    <t>318 05:22:18</t>
  </si>
  <si>
    <t>317 20:56:06</t>
  </si>
  <si>
    <t>318 05:32:18</t>
  </si>
  <si>
    <t>317 21:06:06</t>
  </si>
  <si>
    <t>318 17:22:23</t>
  </si>
  <si>
    <t>318 08:56:06</t>
  </si>
  <si>
    <t>318 17:32:23</t>
  </si>
  <si>
    <t>318 09:06:06</t>
  </si>
  <si>
    <t>319 05:22:29</t>
  </si>
  <si>
    <t>318 20:56:06</t>
  </si>
  <si>
    <t>319 05:32:29</t>
  </si>
  <si>
    <t>318 21:06:06</t>
  </si>
  <si>
    <t>319 17:22:34</t>
  </si>
  <si>
    <t>319 08:56:06</t>
  </si>
  <si>
    <t>319 17:32:34</t>
  </si>
  <si>
    <t>319 09:06:06</t>
  </si>
  <si>
    <t>320 05:22:40</t>
  </si>
  <si>
    <t>319 20:56:06</t>
  </si>
  <si>
    <t>320 05:32:40</t>
  </si>
  <si>
    <t>319 21:06:06</t>
  </si>
  <si>
    <t>320 17:22:45</t>
  </si>
  <si>
    <t>320 08:56:06</t>
  </si>
  <si>
    <t>320 17:32:45</t>
  </si>
  <si>
    <t>320 09:06:06</t>
  </si>
  <si>
    <t>321 05:22:51</t>
  </si>
  <si>
    <t>320 20:56:06</t>
  </si>
  <si>
    <t>321 05:32:51</t>
  </si>
  <si>
    <t>320 21:06:06</t>
  </si>
  <si>
    <t>321 17:22:56</t>
  </si>
  <si>
    <t>321 08:56:06</t>
  </si>
  <si>
    <t>321 17:32:56</t>
  </si>
  <si>
    <t>321 09:06:06</t>
  </si>
  <si>
    <t>322 05:23:01</t>
  </si>
  <si>
    <t>321 20:56:06</t>
  </si>
  <si>
    <t>322 05:33:01</t>
  </si>
  <si>
    <t>321 21:06:06</t>
  </si>
  <si>
    <t>322 17:23:07</t>
  </si>
  <si>
    <t>322 08:56:06</t>
  </si>
  <si>
    <t>322 17:33:07</t>
  </si>
  <si>
    <t>322 09:06:06</t>
  </si>
  <si>
    <t>323 05:23:12</t>
  </si>
  <si>
    <t>322 20:56:06</t>
  </si>
  <si>
    <t>323 05:33:12</t>
  </si>
  <si>
    <t>322 21:06:06</t>
  </si>
  <si>
    <t>323 17:23:17</t>
  </si>
  <si>
    <t>323 08:56:06</t>
  </si>
  <si>
    <t>323 17:33:17</t>
  </si>
  <si>
    <t>323 09:06:06</t>
  </si>
  <si>
    <t>324 05:23:23</t>
  </si>
  <si>
    <t>323 20:56:06</t>
  </si>
  <si>
    <t>324 05:33:23</t>
  </si>
  <si>
    <t>323 21:06:06</t>
  </si>
  <si>
    <t>324 17:23:28</t>
  </si>
  <si>
    <t>324 08:56:06</t>
  </si>
  <si>
    <t>324 17:33:28</t>
  </si>
  <si>
    <t>324 09:06:06</t>
  </si>
  <si>
    <t>325 05:23:33</t>
  </si>
  <si>
    <t>324 20:56:06</t>
  </si>
  <si>
    <t>325 05:33:33</t>
  </si>
  <si>
    <t>324 21:06:06</t>
  </si>
  <si>
    <t>325 17:23:38</t>
  </si>
  <si>
    <t>325 08:56:06</t>
  </si>
  <si>
    <t>325 17:33:38</t>
  </si>
  <si>
    <t>325 09:06:06</t>
  </si>
  <si>
    <t>326 05:23:44</t>
  </si>
  <si>
    <t>325 20:56:06</t>
  </si>
  <si>
    <t>326 05:33:44</t>
  </si>
  <si>
    <t>325 21:06:06</t>
  </si>
  <si>
    <t>326 17:23:49</t>
  </si>
  <si>
    <t>326 08:56:06</t>
  </si>
  <si>
    <t>326 17:33:49</t>
  </si>
  <si>
    <t>326 09:06:06</t>
  </si>
  <si>
    <t>327 05:23:54</t>
  </si>
  <si>
    <t>326 20:56:06</t>
  </si>
  <si>
    <t>327 05:33:54</t>
  </si>
  <si>
    <t>326 21:06:06</t>
  </si>
  <si>
    <t>327 17:23:59</t>
  </si>
  <si>
    <t>327 08:56:06</t>
  </si>
  <si>
    <t>327 17:33:59</t>
  </si>
  <si>
    <t>327 09:06:06</t>
  </si>
  <si>
    <t>328 05:24:04</t>
  </si>
  <si>
    <t>327 20:56:06</t>
  </si>
  <si>
    <t>328 05:34:04</t>
  </si>
  <si>
    <t>327 21:06:06</t>
  </si>
  <si>
    <t>328 17:24:09</t>
  </si>
  <si>
    <t>328 08:56:06</t>
  </si>
  <si>
    <t>328 17:34:09</t>
  </si>
  <si>
    <t>328 09:06:06</t>
  </si>
  <si>
    <t>329 05:24:14</t>
  </si>
  <si>
    <t>328 20:56:06</t>
  </si>
  <si>
    <t>329 05:34:14</t>
  </si>
  <si>
    <t>328 21:06:06</t>
  </si>
  <si>
    <t>329 17:24:19</t>
  </si>
  <si>
    <t>329 08:56:06</t>
  </si>
  <si>
    <t>329 17:34:19</t>
  </si>
  <si>
    <t>329 09:06:06</t>
  </si>
  <si>
    <t>330 05:24:24</t>
  </si>
  <si>
    <t>329 20:56:06</t>
  </si>
  <si>
    <t>330 05:34:24</t>
  </si>
  <si>
    <t>329 21:06:06</t>
  </si>
  <si>
    <t>330 17:24:29</t>
  </si>
  <si>
    <t>330 08:56:06</t>
  </si>
  <si>
    <t>330 17:34:29</t>
  </si>
  <si>
    <t>330 09:06:06</t>
  </si>
  <si>
    <t>331 05:24:34</t>
  </si>
  <si>
    <t>330 20:56:06</t>
  </si>
  <si>
    <t>331 05:34:34</t>
  </si>
  <si>
    <t>330 21:06:06</t>
  </si>
  <si>
    <t>331 17:24:39</t>
  </si>
  <si>
    <t>331 08:56:06</t>
  </si>
  <si>
    <t>331 17:34:39</t>
  </si>
  <si>
    <t>331 09:06:06</t>
  </si>
  <si>
    <t>332 05:24:44</t>
  </si>
  <si>
    <t>331 20:56:06</t>
  </si>
  <si>
    <t>332 05:34:44</t>
  </si>
  <si>
    <t>331 21:06:06</t>
  </si>
  <si>
    <t>332 17:24:49</t>
  </si>
  <si>
    <t>332 08:56:06</t>
  </si>
  <si>
    <t>332 17:34:49</t>
  </si>
  <si>
    <t>332 09:06:06</t>
  </si>
  <si>
    <t>333 05:24:54</t>
  </si>
  <si>
    <t>332 20:56:06</t>
  </si>
  <si>
    <t>333 05:34:54</t>
  </si>
  <si>
    <t>332 21:06:06</t>
  </si>
  <si>
    <t>333 17:24:58</t>
  </si>
  <si>
    <t>333 08:56:06</t>
  </si>
  <si>
    <t>333 17:34:59</t>
  </si>
  <si>
    <t>333 09:06:06</t>
  </si>
  <si>
    <t>334 05:25:03</t>
  </si>
  <si>
    <t>333 20:56:06</t>
  </si>
  <si>
    <t>334 05:35:03</t>
  </si>
  <si>
    <t>333 21:06:06</t>
  </si>
  <si>
    <t>334 17:25:08</t>
  </si>
  <si>
    <t>334 08:56:06</t>
  </si>
  <si>
    <t>334 17:35:08</t>
  </si>
  <si>
    <t>334 09:06:06</t>
  </si>
  <si>
    <t>335 05:25:13</t>
  </si>
  <si>
    <t>334 20:56:06</t>
  </si>
  <si>
    <t>335 05:35:13</t>
  </si>
  <si>
    <t>334 21:06:06</t>
  </si>
  <si>
    <t>335 17:25:17</t>
  </si>
  <si>
    <t>335 08:56:06</t>
  </si>
  <si>
    <t>335 17:35:17</t>
  </si>
  <si>
    <t>335 09:06:06</t>
  </si>
  <si>
    <t>336 05:25:22</t>
  </si>
  <si>
    <t>335 20:56:06</t>
  </si>
  <si>
    <t>336 05:35:22</t>
  </si>
  <si>
    <t>335 21:06:06</t>
  </si>
  <si>
    <t>336 17:25:27</t>
  </si>
  <si>
    <t>336 08:56:06</t>
  </si>
  <si>
    <t>336 17:35:27</t>
  </si>
  <si>
    <t>336 09:06:06</t>
  </si>
  <si>
    <t>337 05:25:31</t>
  </si>
  <si>
    <t>336 20:56:06</t>
  </si>
  <si>
    <t>337 05:35:31</t>
  </si>
  <si>
    <t>336 21:06:06</t>
  </si>
  <si>
    <t>337 17:25:36</t>
  </si>
  <si>
    <t>337 08:56:06</t>
  </si>
  <si>
    <t>337 17:25:39</t>
  </si>
  <si>
    <t>337 08:56:09</t>
  </si>
  <si>
    <t>337 17:31:39</t>
  </si>
  <si>
    <t>337 09:02:09</t>
  </si>
  <si>
    <t>337 17:41:39</t>
  </si>
  <si>
    <t>337 09:12:09</t>
  </si>
  <si>
    <t>338 05:31:43</t>
  </si>
  <si>
    <t>337 21:02:09</t>
  </si>
  <si>
    <t>338 05:41:44</t>
  </si>
  <si>
    <t>337 21:12:09</t>
  </si>
  <si>
    <t>338 17:31:48</t>
  </si>
  <si>
    <t>338 09:02:09</t>
  </si>
  <si>
    <t>338 17:41:48</t>
  </si>
  <si>
    <t>338 09:12:09</t>
  </si>
  <si>
    <t>339 05:31:52</t>
  </si>
  <si>
    <t>338 21:02:09</t>
  </si>
  <si>
    <t>339 05:41:53</t>
  </si>
  <si>
    <t>338 21:12:09</t>
  </si>
  <si>
    <t>339 17:31:57</t>
  </si>
  <si>
    <t>339 09:02:09</t>
  </si>
  <si>
    <t>339 17:41:57</t>
  </si>
  <si>
    <t>339 09:12:09</t>
  </si>
  <si>
    <t>340 05:32:01</t>
  </si>
  <si>
    <t>339 21:02:09</t>
  </si>
  <si>
    <t>340 05:42:01</t>
  </si>
  <si>
    <t>339 21:12:09</t>
  </si>
  <si>
    <t>340 17:32:06</t>
  </si>
  <si>
    <t>340 09:02:09</t>
  </si>
  <si>
    <t>340 17:42:06</t>
  </si>
  <si>
    <t>340 09:12:09</t>
  </si>
  <si>
    <t>341 05:32:10</t>
  </si>
  <si>
    <t>340 21:02:09</t>
  </si>
  <si>
    <t>341 05:42:10</t>
  </si>
  <si>
    <t>340 21:12:09</t>
  </si>
  <si>
    <t>341 17:32:14</t>
  </si>
  <si>
    <t>341 09:02:09</t>
  </si>
  <si>
    <t>341 17:42:14</t>
  </si>
  <si>
    <t>341 09:12:09</t>
  </si>
  <si>
    <t>342 05:32:19</t>
  </si>
  <si>
    <t>341 21:02:09</t>
  </si>
  <si>
    <t>342 05:42:19</t>
  </si>
  <si>
    <t>341 21:12:09</t>
  </si>
  <si>
    <t>342 17:32:23</t>
  </si>
  <si>
    <t>342 09:02:09</t>
  </si>
  <si>
    <t>342 17:42:23</t>
  </si>
  <si>
    <t>342 09:12:09</t>
  </si>
  <si>
    <t>343 05:32:27</t>
  </si>
  <si>
    <t>342 21:02:09</t>
  </si>
  <si>
    <t>343 05:42:27</t>
  </si>
  <si>
    <t>342 21:12:09</t>
  </si>
  <si>
    <t>343 17:32:31</t>
  </si>
  <si>
    <t>343 09:02:09</t>
  </si>
  <si>
    <t>343 17:42:31</t>
  </si>
  <si>
    <t>343 09:12:09</t>
  </si>
  <si>
    <t>344 05:32:36</t>
  </si>
  <si>
    <t>343 21:02:09</t>
  </si>
  <si>
    <t>344 05:42:36</t>
  </si>
  <si>
    <t>343 21:12:09</t>
  </si>
  <si>
    <t>344 17:32:40</t>
  </si>
  <si>
    <t>344 09:02:09</t>
  </si>
  <si>
    <t>344 17:42:40</t>
  </si>
  <si>
    <t>344 09:12:09</t>
  </si>
  <si>
    <t>345 05:32:44</t>
  </si>
  <si>
    <t>344 21:02:09</t>
  </si>
  <si>
    <t>345 05:42:44</t>
  </si>
  <si>
    <t>344 21:12:09</t>
  </si>
  <si>
    <t>345 17:32:48</t>
  </si>
  <si>
    <t>345 09:02:09</t>
  </si>
  <si>
    <t>345 17:42:48</t>
  </si>
  <si>
    <t>345 09:12:09</t>
  </si>
  <si>
    <t>346 05:32:52</t>
  </si>
  <si>
    <t>345 21:02:09</t>
  </si>
  <si>
    <t>346 05:42:52</t>
  </si>
  <si>
    <t>345 21:12:09</t>
  </si>
  <si>
    <t>346 17:32:56</t>
  </si>
  <si>
    <t>346 09:02:09</t>
  </si>
  <si>
    <t>346 17:42:56</t>
  </si>
  <si>
    <t>346 09:12:09</t>
  </si>
  <si>
    <t>347 05:33:00</t>
  </si>
  <si>
    <t>346 21:02:09</t>
  </si>
  <si>
    <t>347 05:43:00</t>
  </si>
  <si>
    <t>346 21:12:09</t>
  </si>
  <si>
    <t>347 17:33:04</t>
  </si>
  <si>
    <t>347 09:02:09</t>
  </si>
  <si>
    <t>347 17:43:04</t>
  </si>
  <si>
    <t>347 09:12:09</t>
  </si>
  <si>
    <t>348 05:33:08</t>
  </si>
  <si>
    <t>347 21:02:09</t>
  </si>
  <si>
    <t>348 05:43:08</t>
  </si>
  <si>
    <t>347 21:12:09</t>
  </si>
  <si>
    <t>348 17:33:12</t>
  </si>
  <si>
    <t>348 09:02:09</t>
  </si>
  <si>
    <t>348 17:43:12</t>
  </si>
  <si>
    <t>348 09:12:09</t>
  </si>
  <si>
    <t>349 05:33:16</t>
  </si>
  <si>
    <t>348 21:02:09</t>
  </si>
  <si>
    <t>349 05:43:16</t>
  </si>
  <si>
    <t>348 21:12:09</t>
  </si>
  <si>
    <t>349 17:33:19</t>
  </si>
  <si>
    <t>349 09:02:09</t>
  </si>
  <si>
    <t>349 17:43:19</t>
  </si>
  <si>
    <t>349 09:12:09</t>
  </si>
  <si>
    <t>350 05:33:23</t>
  </si>
  <si>
    <t>349 21:02:09</t>
  </si>
  <si>
    <t>350 05:43:23</t>
  </si>
  <si>
    <t>349 21:12:09</t>
  </si>
  <si>
    <t>350 17:33:27</t>
  </si>
  <si>
    <t>350 09:02:09</t>
  </si>
  <si>
    <t>350 17:43:27</t>
  </si>
  <si>
    <t>350 09:12:09</t>
  </si>
  <si>
    <t>351 05:33:31</t>
  </si>
  <si>
    <t>350 21:02:09</t>
  </si>
  <si>
    <t>351 05:43:31</t>
  </si>
  <si>
    <t>350 21:12:09</t>
  </si>
  <si>
    <t>351 17:33:34</t>
  </si>
  <si>
    <t>351 09:02:09</t>
  </si>
  <si>
    <t>351 17:43:34</t>
  </si>
  <si>
    <t>351 09:12:09</t>
  </si>
  <si>
    <t>352 05:33:38</t>
  </si>
  <si>
    <t>351 21:02:09</t>
  </si>
  <si>
    <t>352 05:43:38</t>
  </si>
  <si>
    <t>351 21:12:09</t>
  </si>
  <si>
    <t>352 17:33:41</t>
  </si>
  <si>
    <t>352 09:02:09</t>
  </si>
  <si>
    <t>352 17:43:42</t>
  </si>
  <si>
    <t>352 09:12:09</t>
  </si>
  <si>
    <t>353 05:33:45</t>
  </si>
  <si>
    <t>352 21:02:09</t>
  </si>
  <si>
    <t>353 05:43:45</t>
  </si>
  <si>
    <t>352 21:12:09</t>
  </si>
  <si>
    <t>353 17:33:49</t>
  </si>
  <si>
    <t>353 09:02:09</t>
  </si>
  <si>
    <t>353 17:43:49</t>
  </si>
  <si>
    <t>353 09:12:09</t>
  </si>
  <si>
    <t>354 05:33:52</t>
  </si>
  <si>
    <t>353 21:02:09</t>
  </si>
  <si>
    <t>354 05:43:52</t>
  </si>
  <si>
    <t>353 21:12:09</t>
  </si>
  <si>
    <t>354 17:33:56</t>
  </si>
  <si>
    <t>354 09:02:09</t>
  </si>
  <si>
    <t>354 17:43:56</t>
  </si>
  <si>
    <t>354 09:12:09</t>
  </si>
  <si>
    <t>355 05:33:59</t>
  </si>
  <si>
    <t>354 21:02:09</t>
  </si>
  <si>
    <t>355 05:43:59</t>
  </si>
  <si>
    <t>354 21:12:09</t>
  </si>
  <si>
    <t>355 17:34:02</t>
  </si>
  <si>
    <t>355 09:02:09</t>
  </si>
  <si>
    <t>355 17:44:02</t>
  </si>
  <si>
    <t>355 09:12:09</t>
  </si>
  <si>
    <t>356 05:34:06</t>
  </si>
  <si>
    <t>355 21:02:09</t>
  </si>
  <si>
    <t>356 05:44:06</t>
  </si>
  <si>
    <t>355 21:12:09</t>
  </si>
  <si>
    <t>356 17:34:09</t>
  </si>
  <si>
    <t>356 09:02:09</t>
  </si>
  <si>
    <t>356 17:44:09</t>
  </si>
  <si>
    <t>356 09:12:09</t>
  </si>
  <si>
    <t>357 05:34:12</t>
  </si>
  <si>
    <t>356 21:02:09</t>
  </si>
  <si>
    <t>357 05:44:12</t>
  </si>
  <si>
    <t>356 21:12:09</t>
  </si>
  <si>
    <t>357 17:34:16</t>
  </si>
  <si>
    <t>357 09:02:09</t>
  </si>
  <si>
    <t>357 17:34:19</t>
  </si>
  <si>
    <t>357 09:02:12</t>
  </si>
  <si>
    <t>357 17:40:19</t>
  </si>
  <si>
    <t>357 09:08:12</t>
  </si>
  <si>
    <t>357 17:50:19</t>
  </si>
  <si>
    <t>357 09:18:12</t>
  </si>
  <si>
    <t>358 05:40:22</t>
  </si>
  <si>
    <t>357 21:08:12</t>
  </si>
  <si>
    <t>358 05:50:22</t>
  </si>
  <si>
    <t>357 21:18:12</t>
  </si>
  <si>
    <t>358 17:40:25</t>
  </si>
  <si>
    <t>358 09:08:12</t>
  </si>
  <si>
    <t>358 17:50:25</t>
  </si>
  <si>
    <t>358 09:18:12</t>
  </si>
  <si>
    <t>359 05:40:28</t>
  </si>
  <si>
    <t>358 21:08:12</t>
  </si>
  <si>
    <t>359 05:50:28</t>
  </si>
  <si>
    <t>358 21:18:12</t>
  </si>
  <si>
    <t>359 17:40:31</t>
  </si>
  <si>
    <t>359 09:08:12</t>
  </si>
  <si>
    <t>359 17:50:31</t>
  </si>
  <si>
    <t>359 09:18:12</t>
  </si>
  <si>
    <t>360 05:40:34</t>
  </si>
  <si>
    <t>359 21:08:12</t>
  </si>
  <si>
    <t>360 05:50:34</t>
  </si>
  <si>
    <t>359 21:18:12</t>
  </si>
  <si>
    <t>360 17:40:37</t>
  </si>
  <si>
    <t>360 09:08:12</t>
  </si>
  <si>
    <t>360 17:50:37</t>
  </si>
  <si>
    <t>360 09:18:12</t>
  </si>
  <si>
    <t>361 05:40:40</t>
  </si>
  <si>
    <t>360 21:08:12</t>
  </si>
  <si>
    <t>361 05:50:40</t>
  </si>
  <si>
    <t>360 21:18:12</t>
  </si>
  <si>
    <t>361 17:40:43</t>
  </si>
  <si>
    <t>361 09:08:12</t>
  </si>
  <si>
    <t>361 17:50:43</t>
  </si>
  <si>
    <t>361 09:18:12</t>
  </si>
  <si>
    <t>362 05:40:46</t>
  </si>
  <si>
    <t>361 21:08:12</t>
  </si>
  <si>
    <t>362 05:50:46</t>
  </si>
  <si>
    <t>361 21:18:12</t>
  </si>
  <si>
    <t>362 17:40:49</t>
  </si>
  <si>
    <t>362 09:08:12</t>
  </si>
  <si>
    <t>362 17:50:49</t>
  </si>
  <si>
    <t>362 09:18:12</t>
  </si>
  <si>
    <t>363 05:40:52</t>
  </si>
  <si>
    <t>362 21:08:12</t>
  </si>
  <si>
    <t>363 05:50:52</t>
  </si>
  <si>
    <t>362 21:18:12</t>
  </si>
  <si>
    <t>363 17:40:55</t>
  </si>
  <si>
    <t>363 09:08:12</t>
  </si>
  <si>
    <t>363 17:50:55</t>
  </si>
  <si>
    <t>363 09:18:12</t>
  </si>
  <si>
    <t>364 05:40:58</t>
  </si>
  <si>
    <t>363 21:08:12</t>
  </si>
  <si>
    <t>364 05:50:58</t>
  </si>
  <si>
    <t>363 21:18:12</t>
  </si>
  <si>
    <t>364 17:41:00</t>
  </si>
  <si>
    <t>364 09:08:12</t>
  </si>
  <si>
    <t>364 17:51:00</t>
  </si>
  <si>
    <t>364 09:18:12</t>
  </si>
  <si>
    <t>365 05:41:03</t>
  </si>
  <si>
    <t>364 21:08:12</t>
  </si>
  <si>
    <t>365 05:51:03</t>
  </si>
  <si>
    <t>364 21:18:12</t>
  </si>
  <si>
    <t>365 17:41:06</t>
  </si>
  <si>
    <t>365 09:08:12</t>
  </si>
  <si>
    <t>365 17:51:06</t>
  </si>
  <si>
    <t>365 09:18:12</t>
  </si>
  <si>
    <t>366 05:41:08</t>
  </si>
  <si>
    <t>365 21:08:12</t>
  </si>
  <si>
    <t>366 05:51:08</t>
  </si>
  <si>
    <t>365 21:18:12</t>
  </si>
  <si>
    <t>366 17:41:11</t>
  </si>
  <si>
    <t>366 09:08:12</t>
  </si>
  <si>
    <t>366 17:51:11</t>
  </si>
  <si>
    <t>366 09:18:12</t>
  </si>
  <si>
    <t>001 05:41:13</t>
  </si>
  <si>
    <t>366 21:08:12</t>
  </si>
  <si>
    <t>001 05:51:14</t>
  </si>
  <si>
    <t>366 21:18:12</t>
  </si>
  <si>
    <t>001 17:41:16</t>
  </si>
  <si>
    <t>001 09:08:12</t>
  </si>
  <si>
    <t>001 17:51:16</t>
  </si>
  <si>
    <t>001 09:18:12</t>
  </si>
  <si>
    <t>002 05:41:18</t>
  </si>
  <si>
    <t>001 21:08:12</t>
  </si>
  <si>
    <t>002 05:51:19</t>
  </si>
  <si>
    <t>001 21:18:12</t>
  </si>
  <si>
    <t>002 17:41:21</t>
  </si>
  <si>
    <t>002 09:08:12</t>
  </si>
  <si>
    <t>002 17:51:21</t>
  </si>
  <si>
    <t>002 09:18:12</t>
  </si>
  <si>
    <t>003 05:41:23</t>
  </si>
  <si>
    <t>002 21:08:12</t>
  </si>
  <si>
    <t>003 05:51:23</t>
  </si>
  <si>
    <t>002 21:18:12</t>
  </si>
  <si>
    <t>003 17:41:26</t>
  </si>
  <si>
    <t>003 09:08:12</t>
  </si>
  <si>
    <t>003 17:51:26</t>
  </si>
  <si>
    <t>003 09:18:12</t>
  </si>
  <si>
    <t>004 05:41:28</t>
  </si>
  <si>
    <t>003 21:08:12</t>
  </si>
  <si>
    <t>004 05:51:28</t>
  </si>
  <si>
    <t>003 21:18:12</t>
  </si>
  <si>
    <t>004 17:41:30</t>
  </si>
  <si>
    <t>004 09:08:12</t>
  </si>
  <si>
    <t>004 17:51:30</t>
  </si>
  <si>
    <t>004 09:18:12</t>
  </si>
  <si>
    <t>005 05:41:33</t>
  </si>
  <si>
    <t>004 21:08:12</t>
  </si>
  <si>
    <t>005 05:51:33</t>
  </si>
  <si>
    <t>004 21:18:12</t>
  </si>
  <si>
    <t>005 17:41:35</t>
  </si>
  <si>
    <t>005 09:08:12</t>
  </si>
  <si>
    <t>005 17:51:35</t>
  </si>
  <si>
    <t>005 09:18:12</t>
  </si>
  <si>
    <t>006 05:41:37</t>
  </si>
  <si>
    <t>005 21:08:12</t>
  </si>
  <si>
    <t>006 05:51:37</t>
  </si>
  <si>
    <t>005 21:18:12</t>
  </si>
  <si>
    <t>006 17:41:39</t>
  </si>
  <si>
    <t>006 09:08:12</t>
  </si>
  <si>
    <t>006 17:51:39</t>
  </si>
  <si>
    <t>006 09:18:12</t>
  </si>
  <si>
    <t>007 05:41:41</t>
  </si>
  <si>
    <t>006 21:08:12</t>
  </si>
  <si>
    <t>007 05:51:41</t>
  </si>
  <si>
    <t>006 21:18:12</t>
  </si>
  <si>
    <t>007 17:41:43</t>
  </si>
  <si>
    <t>007 09:08:12</t>
  </si>
  <si>
    <t>007 17:51:43</t>
  </si>
  <si>
    <t>007 09:18:12</t>
  </si>
  <si>
    <t>008 05:41:45</t>
  </si>
  <si>
    <t>007 21:08:12</t>
  </si>
  <si>
    <t>008 05:51:45</t>
  </si>
  <si>
    <t>007 21:18:12</t>
  </si>
  <si>
    <t>008 17:41:47</t>
  </si>
  <si>
    <t>008 09:08:12</t>
  </si>
  <si>
    <t>008 17:51:47</t>
  </si>
  <si>
    <t>008 09:18:12</t>
  </si>
  <si>
    <t>009 05:41:49</t>
  </si>
  <si>
    <t>008 21:08:12</t>
  </si>
  <si>
    <t>009 05:51:49</t>
  </si>
  <si>
    <t>008 21:18:12</t>
  </si>
  <si>
    <t>009 17:41:51</t>
  </si>
  <si>
    <t>009 09:08:12</t>
  </si>
  <si>
    <t>009 17:51:51</t>
  </si>
  <si>
    <t>009 09:18:12</t>
  </si>
  <si>
    <t>010 05:41:53</t>
  </si>
  <si>
    <t>009 21:08:12</t>
  </si>
  <si>
    <t>010 05:51:53</t>
  </si>
  <si>
    <t>009 21:18:12</t>
  </si>
  <si>
    <t>010 17:41:55</t>
  </si>
  <si>
    <t>010 09:08:12</t>
  </si>
  <si>
    <t>010 17:51:55</t>
  </si>
  <si>
    <t>010 09:18:12</t>
  </si>
  <si>
    <t>011 05:41:57</t>
  </si>
  <si>
    <t>010 21:08:12</t>
  </si>
  <si>
    <t>011 05:51:57</t>
  </si>
  <si>
    <t>010 21:18:12</t>
  </si>
  <si>
    <t>011 17:41:59</t>
  </si>
  <si>
    <t>011 09:08:12</t>
  </si>
  <si>
    <t>011 17:42:02</t>
  </si>
  <si>
    <t>011 09:08:15</t>
  </si>
  <si>
    <t>011 17:48:02</t>
  </si>
  <si>
    <t>011 09:14:15</t>
  </si>
  <si>
    <t>011 17:58:02</t>
  </si>
  <si>
    <t>011 09:24:15</t>
  </si>
  <si>
    <t>012 05:48:03</t>
  </si>
  <si>
    <t>011 21:14:15</t>
  </si>
  <si>
    <t>012 05:58:03</t>
  </si>
  <si>
    <t>011 21:24:15</t>
  </si>
  <si>
    <t>012 17:48:05</t>
  </si>
  <si>
    <t>012 09:14:15</t>
  </si>
  <si>
    <t>012 17:58:05</t>
  </si>
  <si>
    <t>012 09:24:15</t>
  </si>
  <si>
    <t>013 05:48:07</t>
  </si>
  <si>
    <t>012 21:14:15</t>
  </si>
  <si>
    <t>013 05:58:07</t>
  </si>
  <si>
    <t>012 21:24:15</t>
  </si>
  <si>
    <t>013 17:48:08</t>
  </si>
  <si>
    <t>013 09:14:15</t>
  </si>
  <si>
    <t>013 17:58:08</t>
  </si>
  <si>
    <t>013 09:24:15</t>
  </si>
  <si>
    <t>014 05:48:10</t>
  </si>
  <si>
    <t>013 21:14:15</t>
  </si>
  <si>
    <t>014 05:58:10</t>
  </si>
  <si>
    <t>013 21:24:15</t>
  </si>
  <si>
    <t>014 17:48:11</t>
  </si>
  <si>
    <t>014 09:14:15</t>
  </si>
  <si>
    <t>014 17:58:11</t>
  </si>
  <si>
    <t>014 09:24:15</t>
  </si>
  <si>
    <t>015 05:48:13</t>
  </si>
  <si>
    <t>014 21:14:15</t>
  </si>
  <si>
    <t>015 05:58:13</t>
  </si>
  <si>
    <t>014 21:24:15</t>
  </si>
  <si>
    <t>015 17:48:14</t>
  </si>
  <si>
    <t>015 09:14:15</t>
  </si>
  <si>
    <t>015 17:58:14</t>
  </si>
  <si>
    <t>015 09:24:15</t>
  </si>
  <si>
    <t>016 05:48:16</t>
  </si>
  <si>
    <t>015 21:14:15</t>
  </si>
  <si>
    <t>016 05:58:16</t>
  </si>
  <si>
    <t>015 21:24:15</t>
  </si>
  <si>
    <t>016 17:48:17</t>
  </si>
  <si>
    <t>016 09:14:15</t>
  </si>
  <si>
    <t>016 17:58:17</t>
  </si>
  <si>
    <t>016 09:24:15</t>
  </si>
  <si>
    <t>017 05:48:19</t>
  </si>
  <si>
    <t>016 21:14:15</t>
  </si>
  <si>
    <t>017 05:58:19</t>
  </si>
  <si>
    <t>016 21:24:15</t>
  </si>
  <si>
    <t>017 17:48:20</t>
  </si>
  <si>
    <t>017 09:14:15</t>
  </si>
  <si>
    <t>017 17:58:20</t>
  </si>
  <si>
    <t>017 09:24:15</t>
  </si>
  <si>
    <t>018 05:48:21</t>
  </si>
  <si>
    <t>017 21:14:15</t>
  </si>
  <si>
    <t>018 05:58:21</t>
  </si>
  <si>
    <t>017 21:24:15</t>
  </si>
  <si>
    <t>018 17:48:22</t>
  </si>
  <si>
    <t>018 09:14:15</t>
  </si>
  <si>
    <t>018 17:58:22</t>
  </si>
  <si>
    <t>018 09:24:15</t>
  </si>
  <si>
    <t>019 05:48:24</t>
  </si>
  <si>
    <t>018 21:14:15</t>
  </si>
  <si>
    <t>019 05:58:24</t>
  </si>
  <si>
    <t>018 21:24:15</t>
  </si>
  <si>
    <t>019 17:48:25</t>
  </si>
  <si>
    <t>019 09:14:15</t>
  </si>
  <si>
    <t>019 17:58:25</t>
  </si>
  <si>
    <t>019 09:24:15</t>
  </si>
  <si>
    <t>020 05:48:26</t>
  </si>
  <si>
    <t>019 21:14:15</t>
  </si>
  <si>
    <t>020 05:58:26</t>
  </si>
  <si>
    <t>019 21:24:15</t>
  </si>
  <si>
    <t>020 17:48:27</t>
  </si>
  <si>
    <t>020 09:14:15</t>
  </si>
  <si>
    <t>020 17:58:27</t>
  </si>
  <si>
    <t>020 09:24:15</t>
  </si>
  <si>
    <t>021 05:48:28</t>
  </si>
  <si>
    <t>020 21:14:15</t>
  </si>
  <si>
    <t>021 05:58:28</t>
  </si>
  <si>
    <t>020 21:24:15</t>
  </si>
  <si>
    <t>021 17:48:29</t>
  </si>
  <si>
    <t>021 09:14:15</t>
  </si>
  <si>
    <t>021 17:58:29</t>
  </si>
  <si>
    <t>021 09:24:15</t>
  </si>
  <si>
    <t>022 05:48:30</t>
  </si>
  <si>
    <t>021 21:14:15</t>
  </si>
  <si>
    <t>022 05:58:30</t>
  </si>
  <si>
    <t>021 21:24:15</t>
  </si>
  <si>
    <t>022 17:48:31</t>
  </si>
  <si>
    <t>022 09:14:15</t>
  </si>
  <si>
    <t>022 17:58:31</t>
  </si>
  <si>
    <t>022 09:24:15</t>
  </si>
  <si>
    <t>023 05:48:32</t>
  </si>
  <si>
    <t>022 21:14:15</t>
  </si>
  <si>
    <t>023 05:58:32</t>
  </si>
  <si>
    <t>022 21:24:15</t>
  </si>
  <si>
    <t>023 17:48:33</t>
  </si>
  <si>
    <t>023 09:14:15</t>
  </si>
  <si>
    <t>023 17:58:33</t>
  </si>
  <si>
    <t>023 09:24:15</t>
  </si>
  <si>
    <t>024 05:48:34</t>
  </si>
  <si>
    <t>023 21:14:15</t>
  </si>
  <si>
    <t>024 05:58:34</t>
  </si>
  <si>
    <t>023 21:24:15</t>
  </si>
  <si>
    <t>024 17:48:35</t>
  </si>
  <si>
    <t>024 09:14:15</t>
  </si>
  <si>
    <t>024 17:58:35</t>
  </si>
  <si>
    <t>024 09:24:15</t>
  </si>
  <si>
    <t>025 05:48:35</t>
  </si>
  <si>
    <t>024 21:14:15</t>
  </si>
  <si>
    <t>025 05:58:35</t>
  </si>
  <si>
    <t>024 21:24:15</t>
  </si>
  <si>
    <t>025 17:48:36</t>
  </si>
  <si>
    <t>025 09:14:15</t>
  </si>
  <si>
    <t>025 17:58:36</t>
  </si>
  <si>
    <t>025 09:24:15</t>
  </si>
  <si>
    <t>026 05:48:37</t>
  </si>
  <si>
    <t>025 21:14:15</t>
  </si>
  <si>
    <t>026 05:58:37</t>
  </si>
  <si>
    <t>025 21:24:15</t>
  </si>
  <si>
    <t>026 17:48:37</t>
  </si>
  <si>
    <t>026 09:14:15</t>
  </si>
  <si>
    <t>026 17:58:37</t>
  </si>
  <si>
    <t>026 09:24:15</t>
  </si>
  <si>
    <t>027 05:48:38</t>
  </si>
  <si>
    <t>026 21:14:15</t>
  </si>
  <si>
    <t>027 05:58:38</t>
  </si>
  <si>
    <t>026 21:24:15</t>
  </si>
  <si>
    <t>027 17:48:39</t>
  </si>
  <si>
    <t>027 09:14:15</t>
  </si>
  <si>
    <t>027 17:58:39</t>
  </si>
  <si>
    <t>027 09:24:15</t>
  </si>
  <si>
    <t>028 05:48:39</t>
  </si>
  <si>
    <t>027 21:14:15</t>
  </si>
  <si>
    <t>028 05:58:39</t>
  </si>
  <si>
    <t>027 21:24:15</t>
  </si>
  <si>
    <t>028 17:48:40</t>
  </si>
  <si>
    <t>028 09:14:15</t>
  </si>
  <si>
    <t>028 17:58:40</t>
  </si>
  <si>
    <t>028 09:24:15</t>
  </si>
  <si>
    <t>029 05:48:40</t>
  </si>
  <si>
    <t>028 21:14:15</t>
  </si>
  <si>
    <t>029 05:58:40</t>
  </si>
  <si>
    <t>028 21:24:15</t>
  </si>
  <si>
    <t>029 17:48:41</t>
  </si>
  <si>
    <t>029 09:14:15</t>
  </si>
  <si>
    <t>029 17:58:41</t>
  </si>
  <si>
    <t>029 09:24:15</t>
  </si>
  <si>
    <t>030 05:48:41</t>
  </si>
  <si>
    <t>029 21:14:15</t>
  </si>
  <si>
    <t>030 05:58:41</t>
  </si>
  <si>
    <t>029 21:24:15</t>
  </si>
  <si>
    <t>030 17:48:41</t>
  </si>
  <si>
    <t>030 09:14:15</t>
  </si>
  <si>
    <t>030 17:58:42</t>
  </si>
  <si>
    <t>030 09:24:15</t>
  </si>
  <si>
    <t>031 05:48:42</t>
  </si>
  <si>
    <t>030 21:14:15</t>
  </si>
  <si>
    <t>031 05:58:42</t>
  </si>
  <si>
    <t>030 21:24:15</t>
  </si>
  <si>
    <t>031 17:48:42</t>
  </si>
  <si>
    <t>031 09:14:15</t>
  </si>
  <si>
    <t>031 17:48:45</t>
  </si>
  <si>
    <t>031 09:14:18</t>
  </si>
  <si>
    <t>031 17:54:45</t>
  </si>
  <si>
    <t>031 09:20:18</t>
  </si>
  <si>
    <t>031 18:04:45</t>
  </si>
  <si>
    <t>031 09:30:18</t>
  </si>
  <si>
    <t>032 05:54:45</t>
  </si>
  <si>
    <t>031 21:20:18</t>
  </si>
  <si>
    <t>032 06:04:45</t>
  </si>
  <si>
    <t>031 21:30:18</t>
  </si>
  <si>
    <t>032 17:54:46</t>
  </si>
  <si>
    <t>032 09:20:18</t>
  </si>
  <si>
    <t>032 18:04:46</t>
  </si>
  <si>
    <t>032 09:30:18</t>
  </si>
  <si>
    <t>033 05:54:46</t>
  </si>
  <si>
    <t>032 21:20:18</t>
  </si>
  <si>
    <t>033 06:04:46</t>
  </si>
  <si>
    <t>032 21:30:18</t>
  </si>
  <si>
    <t>033 17:54:46</t>
  </si>
  <si>
    <t>033 09:20:18</t>
  </si>
  <si>
    <t>033 18:04:46</t>
  </si>
  <si>
    <t>033 09:30:18</t>
  </si>
  <si>
    <t>034 05:54:46</t>
  </si>
  <si>
    <t>033 21:20:18</t>
  </si>
  <si>
    <t>034 06:04:46</t>
  </si>
  <si>
    <t>033 21:30:18</t>
  </si>
  <si>
    <t>034 17:54:46</t>
  </si>
  <si>
    <t>034 09:20:18</t>
  </si>
  <si>
    <t>034 18:04:46</t>
  </si>
  <si>
    <t>034 09:30:18</t>
  </si>
  <si>
    <t>035 05:54:46</t>
  </si>
  <si>
    <t>034 21:20:18</t>
  </si>
  <si>
    <t>035 06:04:46</t>
  </si>
  <si>
    <t>034 21:30:18</t>
  </si>
  <si>
    <t>035 17:54:46</t>
  </si>
  <si>
    <t>035 09:20:18</t>
  </si>
  <si>
    <t>035 18:04:46</t>
  </si>
  <si>
    <t>035 09:30:18</t>
  </si>
  <si>
    <t>036 05:54:46</t>
  </si>
  <si>
    <t>035 21:20:18</t>
  </si>
  <si>
    <t>036 06:04:46</t>
  </si>
  <si>
    <t>035 21:30:18</t>
  </si>
  <si>
    <t>036 17:54:46</t>
  </si>
  <si>
    <t>036 09:20:18</t>
  </si>
  <si>
    <t>036 18:04:46</t>
  </si>
  <si>
    <t>036 09:30:18</t>
  </si>
  <si>
    <t>037 05:54:46</t>
  </si>
  <si>
    <t>036 21:20:18</t>
  </si>
  <si>
    <t>037 06:04:46</t>
  </si>
  <si>
    <t>036 21:30:18</t>
  </si>
  <si>
    <t>037 17:54:46</t>
  </si>
  <si>
    <t>037 09:20:18</t>
  </si>
  <si>
    <t>037 18:04:46</t>
  </si>
  <si>
    <t>037 09:30:18</t>
  </si>
  <si>
    <t>038 05:54:46</t>
  </si>
  <si>
    <t>037 21:20:18</t>
  </si>
  <si>
    <t>038 06:04:46</t>
  </si>
  <si>
    <t>037 21:30:18</t>
  </si>
  <si>
    <t>038 17:54:46</t>
  </si>
  <si>
    <t>038 09:20:18</t>
  </si>
  <si>
    <t>038 18:04:46</t>
  </si>
  <si>
    <t>038 09:30:18</t>
  </si>
  <si>
    <t>039 05:54:46</t>
  </si>
  <si>
    <t>038 21:20:18</t>
  </si>
  <si>
    <t>039 06:04:46</t>
  </si>
  <si>
    <t>038 21:30:18</t>
  </si>
  <si>
    <t>039 17:54:46</t>
  </si>
  <si>
    <t>039 09:20:18</t>
  </si>
  <si>
    <t>039 18:04:46</t>
  </si>
  <si>
    <t>039 09:30:18</t>
  </si>
  <si>
    <t>040 05:54:45</t>
  </si>
  <si>
    <t>039 21:20:18</t>
  </si>
  <si>
    <t>040 06:04:45</t>
  </si>
  <si>
    <t>039 21:30:18</t>
  </si>
  <si>
    <t>040 17:54:45</t>
  </si>
  <si>
    <t>040 09:20:18</t>
  </si>
  <si>
    <t>040 18:04:45</t>
  </si>
  <si>
    <t>040 09:30:18</t>
  </si>
  <si>
    <t>041 05:54:45</t>
  </si>
  <si>
    <t>040 21:20:18</t>
  </si>
  <si>
    <t>041 06:04:45</t>
  </si>
  <si>
    <t>040 21:30:18</t>
  </si>
  <si>
    <t>041 17:54:44</t>
  </si>
  <si>
    <t>041 09:20:18</t>
  </si>
  <si>
    <t>041 18:04:44</t>
  </si>
  <si>
    <t>041 09:30:18</t>
  </si>
  <si>
    <t>042 05:54:44</t>
  </si>
  <si>
    <t>041 21:20:18</t>
  </si>
  <si>
    <t>042 06:04:44</t>
  </si>
  <si>
    <t>041 21:30:18</t>
  </si>
  <si>
    <t>042 17:54:44</t>
  </si>
  <si>
    <t>042 09:20:18</t>
  </si>
  <si>
    <t>042 18:04:44</t>
  </si>
  <si>
    <t>042 09:30:18</t>
  </si>
  <si>
    <t>043 05:54:43</t>
  </si>
  <si>
    <t>042 21:20:18</t>
  </si>
  <si>
    <t>043 06:04:43</t>
  </si>
  <si>
    <t>042 21:30:18</t>
  </si>
  <si>
    <t>043 17:54:43</t>
  </si>
  <si>
    <t>043 09:20:18</t>
  </si>
  <si>
    <t>043 18:04:43</t>
  </si>
  <si>
    <t>043 09:30:18</t>
  </si>
  <si>
    <t>044 05:54:42</t>
  </si>
  <si>
    <t>043 21:20:18</t>
  </si>
  <si>
    <t>044 06:04:42</t>
  </si>
  <si>
    <t>043 21:30:18</t>
  </si>
  <si>
    <t>044 17:54:42</t>
  </si>
  <si>
    <t>044 09:20:18</t>
  </si>
  <si>
    <t>044 18:04:42</t>
  </si>
  <si>
    <t>044 09:30:18</t>
  </si>
  <si>
    <t>045 05:54:41</t>
  </si>
  <si>
    <t>044 21:20:18</t>
  </si>
  <si>
    <t>045 06:04:41</t>
  </si>
  <si>
    <t>044 21:30:18</t>
  </si>
  <si>
    <t>045 17:54:41</t>
  </si>
  <si>
    <t>045 09:20:18</t>
  </si>
  <si>
    <t>045 18:04:41</t>
  </si>
  <si>
    <t>045 09:30:18</t>
  </si>
  <si>
    <t>046 05:54:40</t>
  </si>
  <si>
    <t>045 21:20:18</t>
  </si>
  <si>
    <t>046 06:04:40</t>
  </si>
  <si>
    <t>045 21:30:18</t>
  </si>
  <si>
    <t>046 17:54:39</t>
  </si>
  <si>
    <t>046 09:20:18</t>
  </si>
  <si>
    <t>046 18:04:39</t>
  </si>
  <si>
    <t>046 09:30:18</t>
  </si>
  <si>
    <t>047 05:54:39</t>
  </si>
  <si>
    <t>046 21:20:18</t>
  </si>
  <si>
    <t>047 06:04:39</t>
  </si>
  <si>
    <t>046 21:30:18</t>
  </si>
  <si>
    <t>047 17:54:38</t>
  </si>
  <si>
    <t>047 09:20:18</t>
  </si>
  <si>
    <t>047 18:04:38</t>
  </si>
  <si>
    <t>047 09:30:18</t>
  </si>
  <si>
    <t>048 05:54:37</t>
  </si>
  <si>
    <t>047 21:20:18</t>
  </si>
  <si>
    <t>048 06:04:37</t>
  </si>
  <si>
    <t>047 21:30:18</t>
  </si>
  <si>
    <t>048 17:54:36</t>
  </si>
  <si>
    <t>048 09:20:18</t>
  </si>
  <si>
    <t>048 18:04:36</t>
  </si>
  <si>
    <t>048 09:30:18</t>
  </si>
  <si>
    <t>049 05:54:36</t>
  </si>
  <si>
    <t>048 21:20:18</t>
  </si>
  <si>
    <t>049 06:04:36</t>
  </si>
  <si>
    <t>048 21:30:18</t>
  </si>
  <si>
    <t>049 17:54:35</t>
  </si>
  <si>
    <t>049 09:20:18</t>
  </si>
  <si>
    <t>049 18:04:35</t>
  </si>
  <si>
    <t>049 09:30:18</t>
  </si>
  <si>
    <t>050 05:54:34</t>
  </si>
  <si>
    <t>049 21:20:18</t>
  </si>
  <si>
    <t>050 06:04:34</t>
  </si>
  <si>
    <t>049 21:30:18</t>
  </si>
  <si>
    <t>050 17:54:33</t>
  </si>
  <si>
    <t>050 09:20:18</t>
  </si>
  <si>
    <t>050 18:04:33</t>
  </si>
  <si>
    <t>050 09:30:18</t>
  </si>
  <si>
    <t>051 05:54:32</t>
  </si>
  <si>
    <t>050 21:20:18</t>
  </si>
  <si>
    <t>051 06:04:32</t>
  </si>
  <si>
    <t>050 21:30:18</t>
  </si>
  <si>
    <t>051 17:54:31</t>
  </si>
  <si>
    <t>051 09:20:18</t>
  </si>
  <si>
    <t>051 17:54:34</t>
  </si>
  <si>
    <t>051 09:20:21</t>
  </si>
  <si>
    <t>051 18:00:34</t>
  </si>
  <si>
    <t>051 09:26:21</t>
  </si>
  <si>
    <t>051 18:10:34</t>
  </si>
  <si>
    <t>051 09:36:21</t>
  </si>
  <si>
    <t>052 06:00:33</t>
  </si>
  <si>
    <t>051 21:26:21</t>
  </si>
  <si>
    <t>052 06:10:33</t>
  </si>
  <si>
    <t>051 21:36:21</t>
  </si>
  <si>
    <t>052 18:00:32</t>
  </si>
  <si>
    <t>052 09:26:21</t>
  </si>
  <si>
    <t>052 18:10:32</t>
  </si>
  <si>
    <t>052 09:36:21</t>
  </si>
  <si>
    <t>053 06:00:31</t>
  </si>
  <si>
    <t>052 21:26:21</t>
  </si>
  <si>
    <t>053 06:10:31</t>
  </si>
  <si>
    <t>052 21:36:21</t>
  </si>
  <si>
    <t>053 18:00:30</t>
  </si>
  <si>
    <t>053 09:26:21</t>
  </si>
  <si>
    <t>053 18:10:30</t>
  </si>
  <si>
    <t>053 09:36:21</t>
  </si>
  <si>
    <t>054 06:00:29</t>
  </si>
  <si>
    <t>053 21:26:21</t>
  </si>
  <si>
    <t>054 06:10:29</t>
  </si>
  <si>
    <t>053 21:36:21</t>
  </si>
  <si>
    <t>054 18:00:28</t>
  </si>
  <si>
    <t>054 09:26:21</t>
  </si>
  <si>
    <t>054 18:10:28</t>
  </si>
  <si>
    <t>054 09:36:21</t>
  </si>
  <si>
    <t>055 06:00:27</t>
  </si>
  <si>
    <t>054 21:26:21</t>
  </si>
  <si>
    <t>055 06:10:27</t>
  </si>
  <si>
    <t>054 21:36:21</t>
  </si>
  <si>
    <t>055 18:00:26</t>
  </si>
  <si>
    <t>055 09:26:21</t>
  </si>
  <si>
    <t>055 18:10:26</t>
  </si>
  <si>
    <t>055 09:36:21</t>
  </si>
  <si>
    <t>056 06:00:25</t>
  </si>
  <si>
    <t>055 21:26:21</t>
  </si>
  <si>
    <t>056 06:10:25</t>
  </si>
  <si>
    <t>055 21:36:21</t>
  </si>
  <si>
    <t>056 18:00:23</t>
  </si>
  <si>
    <t>056 09:26:21</t>
  </si>
  <si>
    <t>056 18:10:23</t>
  </si>
  <si>
    <t>056 09:36:21</t>
  </si>
  <si>
    <t>057 06:00:22</t>
  </si>
  <si>
    <t>056 21:26:21</t>
  </si>
  <si>
    <t>057 06:10:22</t>
  </si>
  <si>
    <t>056 21:36:21</t>
  </si>
  <si>
    <t>057 18:00:21</t>
  </si>
  <si>
    <t>057 09:26:21</t>
  </si>
  <si>
    <t>057 18:10:21</t>
  </si>
  <si>
    <t>057 09:36:21</t>
  </si>
  <si>
    <t>058 06:00:20</t>
  </si>
  <si>
    <t>057 21:26:21</t>
  </si>
  <si>
    <t>058 06:10:20</t>
  </si>
  <si>
    <t>057 21:36:21</t>
  </si>
  <si>
    <t>058 18:00:18</t>
  </si>
  <si>
    <t>058 09:26:21</t>
  </si>
  <si>
    <t>058 18:10:18</t>
  </si>
  <si>
    <t>058 09:36:21</t>
  </si>
  <si>
    <t>059 06:00:17</t>
  </si>
  <si>
    <t>058 21:26:21</t>
  </si>
  <si>
    <t>059 06:10:17</t>
  </si>
  <si>
    <t>058 21:36:21</t>
  </si>
  <si>
    <t>059 18:00:16</t>
  </si>
  <si>
    <t>059 09:26:21</t>
  </si>
  <si>
    <t>059 18:10:16</t>
  </si>
  <si>
    <t>059 09:36:21</t>
  </si>
  <si>
    <t>060 06:00:14</t>
  </si>
  <si>
    <t>059 21:26:21</t>
  </si>
  <si>
    <t>060 06:10:14</t>
  </si>
  <si>
    <t>059 21:36:21</t>
  </si>
  <si>
    <t>060 18:00:13</t>
  </si>
  <si>
    <t>060 09:26:21</t>
  </si>
  <si>
    <t>060 18:10:13</t>
  </si>
  <si>
    <t>060 09:36:21</t>
  </si>
  <si>
    <t>061 06:00:11</t>
  </si>
  <si>
    <t>060 21:26:21</t>
  </si>
  <si>
    <t>061 06:10:11</t>
  </si>
  <si>
    <t>060 21:36:21</t>
  </si>
  <si>
    <t>061 18:00:10</t>
  </si>
  <si>
    <t>061 09:26:21</t>
  </si>
  <si>
    <t>061 18:10:10</t>
  </si>
  <si>
    <t>061 09:36:21</t>
  </si>
  <si>
    <t>062 06:00:09</t>
  </si>
  <si>
    <t>061 21:26:21</t>
  </si>
  <si>
    <t>062 06:10:09</t>
  </si>
  <si>
    <t>061 21:36:21</t>
  </si>
  <si>
    <t>062 18:00:07</t>
  </si>
  <si>
    <t>062 09:26:21</t>
  </si>
  <si>
    <t>062 18:10:07</t>
  </si>
  <si>
    <t>062 09:36:21</t>
  </si>
  <si>
    <t>063 06:00:06</t>
  </si>
  <si>
    <t>062 21:26:21</t>
  </si>
  <si>
    <t>063 06:10:06</t>
  </si>
  <si>
    <t>062 21:36:21</t>
  </si>
  <si>
    <t>063 18:00:04</t>
  </si>
  <si>
    <t>063 09:26:21</t>
  </si>
  <si>
    <t>063 18:10:04</t>
  </si>
  <si>
    <t>063 09:36:21</t>
  </si>
  <si>
    <t>064 06:00:03</t>
  </si>
  <si>
    <t>063 21:26:21</t>
  </si>
  <si>
    <t>064 06:10:03</t>
  </si>
  <si>
    <t>063 21:36:21</t>
  </si>
  <si>
    <t>064 18:00:01</t>
  </si>
  <si>
    <t>064 09:26:21</t>
  </si>
  <si>
    <t>064 18:10:01</t>
  </si>
  <si>
    <t>064 09:36:21</t>
  </si>
  <si>
    <t>065 05:59:59</t>
  </si>
  <si>
    <t>064 21:26:21</t>
  </si>
  <si>
    <t>065 06:09:59</t>
  </si>
  <si>
    <t>064 21:36:21</t>
  </si>
  <si>
    <t>065 17:59:58</t>
  </si>
  <si>
    <t>065 09:26:21</t>
  </si>
  <si>
    <t>065 18:09:58</t>
  </si>
  <si>
    <t>065 09:36:21</t>
  </si>
  <si>
    <t>066 05:59:56</t>
  </si>
  <si>
    <t>065 21:26:21</t>
  </si>
  <si>
    <t>066 06:09:56</t>
  </si>
  <si>
    <t>065 21:36:21</t>
  </si>
  <si>
    <t>066 17:59:54</t>
  </si>
  <si>
    <t>066 09:26:21</t>
  </si>
  <si>
    <t>066 18:09:54</t>
  </si>
  <si>
    <t>066 09:36:21</t>
  </si>
  <si>
    <t>067 05:59:53</t>
  </si>
  <si>
    <t>066 21:26:21</t>
  </si>
  <si>
    <t>067 06:09:53</t>
  </si>
  <si>
    <t>066 21:36:21</t>
  </si>
  <si>
    <t>067 17:59:51</t>
  </si>
  <si>
    <t>067 09:26:21</t>
  </si>
  <si>
    <t>067 18:09:51</t>
  </si>
  <si>
    <t>067 09:36:21</t>
  </si>
  <si>
    <t>068 05:59:49</t>
  </si>
  <si>
    <t>067 21:26:21</t>
  </si>
  <si>
    <t>068 06:09:49</t>
  </si>
  <si>
    <t>067 21:36:21</t>
  </si>
  <si>
    <t>068 17:59:48</t>
  </si>
  <si>
    <t>068 09:26:21</t>
  </si>
  <si>
    <t>068 18:09:48</t>
  </si>
  <si>
    <t>068 09:36:21</t>
  </si>
  <si>
    <t>069 05:59:46</t>
  </si>
  <si>
    <t>068 21:26:21</t>
  </si>
  <si>
    <t>069 06:09:46</t>
  </si>
  <si>
    <t>068 21:36:21</t>
  </si>
  <si>
    <t>069 17:59:44</t>
  </si>
  <si>
    <t>069 09:26:21</t>
  </si>
  <si>
    <t>069 18:09:44</t>
  </si>
  <si>
    <t>069 09:36:21</t>
  </si>
  <si>
    <t>070 05:59:42</t>
  </si>
  <si>
    <t>069 21:26:21</t>
  </si>
  <si>
    <t>070 06:09:42</t>
  </si>
  <si>
    <t>069 21:36:21</t>
  </si>
  <si>
    <t>070 17:59:41</t>
  </si>
  <si>
    <t>070 09:26:21</t>
  </si>
  <si>
    <t>070 18:09:41</t>
  </si>
  <si>
    <t>070 09:36:21</t>
  </si>
  <si>
    <t>071 05:59:39</t>
  </si>
  <si>
    <t>070 21:26:21</t>
  </si>
  <si>
    <t>071 06:09:39</t>
  </si>
  <si>
    <t>070 21:36:21</t>
  </si>
  <si>
    <t>071 17:59:37</t>
  </si>
  <si>
    <t>071 09:26:21</t>
  </si>
  <si>
    <t>071 17:59:40</t>
  </si>
  <si>
    <t>071 09:26:24</t>
  </si>
  <si>
    <t>071 18:05:40</t>
  </si>
  <si>
    <t>071 09:32:24</t>
  </si>
  <si>
    <t>071 18:15:40</t>
  </si>
  <si>
    <t>071 09:42:24</t>
  </si>
  <si>
    <t>072 06:05:38</t>
  </si>
  <si>
    <t>071 21:32:24</t>
  </si>
  <si>
    <t>072 06:15:38</t>
  </si>
  <si>
    <t>071 21:42:24</t>
  </si>
  <si>
    <t>072 18:05:36</t>
  </si>
  <si>
    <t>072 09:32:24</t>
  </si>
  <si>
    <t>072 18:15:36</t>
  </si>
  <si>
    <t>072 09:42:24</t>
  </si>
  <si>
    <t>073 06:05:34</t>
  </si>
  <si>
    <t>072 21:32:24</t>
  </si>
  <si>
    <t>073 06:15:34</t>
  </si>
  <si>
    <t>072 21:42:24</t>
  </si>
  <si>
    <t>073 18:05:32</t>
  </si>
  <si>
    <t>073 09:32:24</t>
  </si>
  <si>
    <t>073 18:15:32</t>
  </si>
  <si>
    <t>073 09:42:24</t>
  </si>
  <si>
    <t>074 06:05:31</t>
  </si>
  <si>
    <t>073 21:32:24</t>
  </si>
  <si>
    <t>074 06:15:30</t>
  </si>
  <si>
    <t>073 21:42:24</t>
  </si>
  <si>
    <t>074 18:05:29</t>
  </si>
  <si>
    <t>074 09:32:24</t>
  </si>
  <si>
    <t>074 18:15:29</t>
  </si>
  <si>
    <t>074 09:42:24</t>
  </si>
  <si>
    <t>075 06:05:27</t>
  </si>
  <si>
    <t>074 21:32:24</t>
  </si>
  <si>
    <t>075 06:15:27</t>
  </si>
  <si>
    <t>074 21:42:24</t>
  </si>
  <si>
    <t>075 18:05:25</t>
  </si>
  <si>
    <t>075 09:32:24</t>
  </si>
  <si>
    <t>075 18:15:25</t>
  </si>
  <si>
    <t>075 09:42:24</t>
  </si>
  <si>
    <t>076 06:05:23</t>
  </si>
  <si>
    <t>075 21:32:24</t>
  </si>
  <si>
    <t>076 06:15:23</t>
  </si>
  <si>
    <t>075 21:42:24</t>
  </si>
  <si>
    <t>076 18:05:21</t>
  </si>
  <si>
    <t>076 09:32:24</t>
  </si>
  <si>
    <t>076 18:15:21</t>
  </si>
  <si>
    <t>076 09:42:24</t>
  </si>
  <si>
    <t>077 06:05:19</t>
  </si>
  <si>
    <t>076 21:32:24</t>
  </si>
  <si>
    <t>077 06:15:19</t>
  </si>
  <si>
    <t>076 21:42:24</t>
  </si>
  <si>
    <t>077 18:05:17</t>
  </si>
  <si>
    <t>077 09:32:24</t>
  </si>
  <si>
    <t>077 18:15:17</t>
  </si>
  <si>
    <t>077 09:42:24</t>
  </si>
  <si>
    <t>078 06:05:15</t>
  </si>
  <si>
    <t>077 21:32:24</t>
  </si>
  <si>
    <t>078 06:15:15</t>
  </si>
  <si>
    <t>077 21:42:24</t>
  </si>
  <si>
    <t>078 18:05:13</t>
  </si>
  <si>
    <t>078 09:32:24</t>
  </si>
  <si>
    <t>078 18:15:13</t>
  </si>
  <si>
    <t>078 09:42:24</t>
  </si>
  <si>
    <t>079 06:05:11</t>
  </si>
  <si>
    <t>078 21:32:24</t>
  </si>
  <si>
    <t>079 06:15:11</t>
  </si>
  <si>
    <t>078 21:42:24</t>
  </si>
  <si>
    <t>079 18:05:08</t>
  </si>
  <si>
    <t>079 09:32:24</t>
  </si>
  <si>
    <t>079 18:15:08</t>
  </si>
  <si>
    <t>079 09:42:24</t>
  </si>
  <si>
    <t>080 06:05:06</t>
  </si>
  <si>
    <t>079 21:32:24</t>
  </si>
  <si>
    <t>080 06:15:06</t>
  </si>
  <si>
    <t>079 21:42:24</t>
  </si>
  <si>
    <t>080 18:05:04</t>
  </si>
  <si>
    <t>080 09:32:24</t>
  </si>
  <si>
    <t>080 18:15:04</t>
  </si>
  <si>
    <t>080 09:42:24</t>
  </si>
  <si>
    <t>081 06:05:02</t>
  </si>
  <si>
    <t>080 21:32:24</t>
  </si>
  <si>
    <t>081 06:15:02</t>
  </si>
  <si>
    <t>080 21:42:24</t>
  </si>
  <si>
    <t>081 18:05:00</t>
  </si>
  <si>
    <t>081 09:32:24</t>
  </si>
  <si>
    <t>081 18:15:00</t>
  </si>
  <si>
    <t>081 09:42:24</t>
  </si>
  <si>
    <t>082 06:04:58</t>
  </si>
  <si>
    <t>081 21:32:24</t>
  </si>
  <si>
    <t>082 06:14:58</t>
  </si>
  <si>
    <t>081 21:42:24</t>
  </si>
  <si>
    <t>082 18:04:56</t>
  </si>
  <si>
    <t>082 09:32:24</t>
  </si>
  <si>
    <t>082 18:14:56</t>
  </si>
  <si>
    <t>082 09:42:24</t>
  </si>
  <si>
    <t>083 06:04:54</t>
  </si>
  <si>
    <t>082 21:32:24</t>
  </si>
  <si>
    <t>083 06:14:54</t>
  </si>
  <si>
    <t>082 21:42:24</t>
  </si>
  <si>
    <t>083 07:32:29</t>
  </si>
  <si>
    <t>082 23:00:00</t>
  </si>
  <si>
    <t>TT 370</t>
  </si>
  <si>
    <t>K2PE_PEPSSI_POWEROFF_2025_082</t>
  </si>
  <si>
    <t>083 07:32:30</t>
  </si>
  <si>
    <t>082 23:00:01</t>
  </si>
  <si>
    <t>083 07:32:33</t>
  </si>
  <si>
    <t>082 23:00:04</t>
  </si>
  <si>
    <t>083 07:32:36</t>
  </si>
  <si>
    <t>082 23:00:07</t>
  </si>
  <si>
    <t>083 07:32:39</t>
  </si>
  <si>
    <t>082 23:00:10</t>
  </si>
  <si>
    <t>083 07:32:42</t>
  </si>
  <si>
    <t>082 23:00:13</t>
  </si>
  <si>
    <t>083 07:32:45</t>
  </si>
  <si>
    <t>082 23:00:16</t>
  </si>
  <si>
    <t>083 07:32:48</t>
  </si>
  <si>
    <t>082 23:00:19</t>
  </si>
  <si>
    <t>083 07:32:51</t>
  </si>
  <si>
    <t>082 23:00:22</t>
  </si>
  <si>
    <t>083 07:32:54</t>
  </si>
  <si>
    <t>082 23:00:25</t>
  </si>
  <si>
    <t>083 07:32:57</t>
  </si>
  <si>
    <t>082 23:00:28</t>
  </si>
  <si>
    <t>083 07:33:00</t>
  </si>
  <si>
    <t>082 23:00:31</t>
  </si>
  <si>
    <t>083 07:33:03</t>
  </si>
  <si>
    <t>082 23:00:34</t>
  </si>
  <si>
    <t>083 07:33:06</t>
  </si>
  <si>
    <t>082 23:00:37</t>
  </si>
  <si>
    <t>083 07:33:09</t>
  </si>
  <si>
    <t>082 23:00:40</t>
  </si>
  <si>
    <t>083 07:33:39</t>
  </si>
  <si>
    <t>082 23:01:10</t>
  </si>
  <si>
    <t>083 07:33:44</t>
  </si>
  <si>
    <t>082 23:01:15</t>
  </si>
  <si>
    <t>083 07:33:48</t>
  </si>
  <si>
    <t>082 23:01:19</t>
  </si>
  <si>
    <t>083 07:33:53</t>
  </si>
  <si>
    <t>082 23:01:24</t>
  </si>
  <si>
    <t>083 07:33:57</t>
  </si>
  <si>
    <t>082 23:01:28</t>
  </si>
  <si>
    <t>083 07:34:02</t>
  </si>
  <si>
    <t>082 23:01:33</t>
  </si>
  <si>
    <t>083 07:34:06</t>
  </si>
  <si>
    <t>082 23:01:37</t>
  </si>
  <si>
    <t>083 07:34:11</t>
  </si>
  <si>
    <t>082 23:01:42</t>
  </si>
  <si>
    <t>083 07:34:15</t>
  </si>
  <si>
    <t>082 23:01:46</t>
  </si>
  <si>
    <t>bits per sec</t>
  </si>
  <si>
    <t xml:space="preserve">238 Mbits </t>
  </si>
  <si>
    <t>120  hrs</t>
  </si>
  <si>
    <t xml:space="preserve">27 hours of playback - </t>
  </si>
  <si>
    <t>will be in 3rd week</t>
  </si>
  <si>
    <t>560b/sec</t>
  </si>
  <si>
    <t>179 12:22:06</t>
  </si>
  <si>
    <t>179 03:30:00</t>
  </si>
  <si>
    <t>K2PE_PEPSSI_Power_On_Macros_102_104_105_2026_179</t>
  </si>
  <si>
    <t>179 12:50:06</t>
  </si>
  <si>
    <t>179 03:58:00</t>
  </si>
  <si>
    <t>TT 012</t>
  </si>
  <si>
    <t>179 12:50:09</t>
  </si>
  <si>
    <t>179 03:58:03</t>
  </si>
  <si>
    <t>179 12:50:12</t>
  </si>
  <si>
    <t>179 03:58:06</t>
  </si>
  <si>
    <t>179 12:50:15</t>
  </si>
  <si>
    <t>179 03:58:09</t>
  </si>
  <si>
    <t>179 12:51:06</t>
  </si>
  <si>
    <t>179 03:59:00</t>
  </si>
  <si>
    <t>179 13:01:06</t>
  </si>
  <si>
    <t>179 04:09:00</t>
  </si>
  <si>
    <t>179 13:11:06</t>
  </si>
  <si>
    <t>179 04:19:00</t>
  </si>
  <si>
    <t>PEPSSI_MAC_RUN  105  MACRO=EXEC</t>
  </si>
  <si>
    <t>TRK_194_1</t>
  </si>
  <si>
    <t>2026-194T12:42:00</t>
  </si>
  <si>
    <t>TRK_194_2</t>
  </si>
  <si>
    <t>2026-194T23:12:00</t>
  </si>
  <si>
    <t>TRK_195_1_</t>
  </si>
  <si>
    <t>2026-195T12:37:00</t>
  </si>
  <si>
    <t>TRK_196_1</t>
  </si>
  <si>
    <t>2026-196T00:51:00</t>
  </si>
  <si>
    <t>TRK_196_2</t>
  </si>
  <si>
    <t>2026-196T13:06:00</t>
  </si>
  <si>
    <t>2026-197T15:16:00</t>
  </si>
  <si>
    <t>TRK_198_1</t>
  </si>
  <si>
    <t>2026-198T04:11:00</t>
  </si>
  <si>
    <t>TRK_199_1</t>
  </si>
  <si>
    <t>2026-199T02:51:00</t>
  </si>
  <si>
    <t>TRK_199_2</t>
  </si>
  <si>
    <t>2026-199T11:56:00</t>
  </si>
  <si>
    <t>TRK_200_1_</t>
  </si>
  <si>
    <t>2026-200T14:06:00</t>
  </si>
  <si>
    <t>TRK_201_1</t>
  </si>
  <si>
    <t>2026-201T06:56:00</t>
  </si>
  <si>
    <t>n1/hsk3/n2,TA</t>
  </si>
  <si>
    <t>26179 MAC 104/105</t>
  </si>
  <si>
    <t>197/15:01</t>
  </si>
  <si>
    <t>198/03:56</t>
  </si>
  <si>
    <t>199/02:36</t>
  </si>
  <si>
    <t>199/11:41</t>
  </si>
  <si>
    <t>200/13:51</t>
  </si>
  <si>
    <t>201/06:41</t>
  </si>
  <si>
    <t>196/12:51</t>
  </si>
  <si>
    <t>196/00:36</t>
  </si>
  <si>
    <t>195/12:22</t>
  </si>
  <si>
    <t>194/22:57</t>
  </si>
  <si>
    <t>194/12:27</t>
  </si>
  <si>
    <t>179/03:30</t>
  </si>
  <si>
    <t>181/20:00</t>
  </si>
  <si>
    <t>181/21:45</t>
  </si>
  <si>
    <t>GAIN TEST doy 181</t>
  </si>
  <si>
    <t>182 04:52:12</t>
  </si>
  <si>
    <t>181 20:00:00</t>
  </si>
  <si>
    <t>TT  55</t>
  </si>
  <si>
    <t>K1SW_A4_SWAP_GAIN_181_1</t>
  </si>
  <si>
    <t>gain 5.4 Mbit</t>
  </si>
  <si>
    <t>182 06:37:12</t>
  </si>
  <si>
    <t>181 21:45:00</t>
  </si>
  <si>
    <t>K1SW_A4_SWAP_Daily_ON_181_1_endGain</t>
  </si>
  <si>
    <t>alice wakeup</t>
  </si>
  <si>
    <t>Gain End</t>
  </si>
  <si>
    <t>SWAP 2H</t>
  </si>
  <si>
    <t>remainder</t>
  </si>
  <si>
    <t>Mbits used</t>
  </si>
  <si>
    <t>bytes/s</t>
  </si>
  <si>
    <t>hibernation 2024/25</t>
  </si>
  <si>
    <t>25-077/07:16</t>
  </si>
  <si>
    <t>083 08:10:34</t>
  </si>
  <si>
    <t>082 23:38:05</t>
  </si>
  <si>
    <t>TT 373</t>
  </si>
  <si>
    <t>K2SW_A4_SWAP_Off_082</t>
  </si>
  <si>
    <t>25-082/23:38</t>
  </si>
  <si>
    <t>End hib 2025</t>
  </si>
  <si>
    <t>hib 2025/26</t>
  </si>
  <si>
    <t>Mbit remainder</t>
  </si>
  <si>
    <t>hib 24/25 end</t>
  </si>
  <si>
    <t>Start hib 25/26</t>
  </si>
  <si>
    <t>219 11:53:39</t>
  </si>
  <si>
    <t>219 03:22:01</t>
  </si>
  <si>
    <t>TT 266</t>
  </si>
  <si>
    <t>K2SW_A4_SWAP_On_To_Low_219</t>
  </si>
  <si>
    <t>hib 24/25 10M</t>
  </si>
  <si>
    <t>26179 data</t>
  </si>
  <si>
    <t>179/22:54</t>
  </si>
  <si>
    <t>184/17:17</t>
  </si>
  <si>
    <t>187/14:30</t>
  </si>
  <si>
    <t>192/13:57</t>
  </si>
  <si>
    <t>25-365/17:04</t>
  </si>
  <si>
    <t>001 02:01:11</t>
  </si>
  <si>
    <t>365 17:04:22</t>
  </si>
  <si>
    <t>DM 105</t>
  </si>
  <si>
    <t>jan hib 25</t>
  </si>
  <si>
    <t>25-365/21:47</t>
  </si>
  <si>
    <t>26-009/03:31</t>
  </si>
  <si>
    <t>25-015/17:17</t>
  </si>
  <si>
    <t>n1/n2/n3/st/ta</t>
  </si>
  <si>
    <t>172 03:53:40</t>
  </si>
  <si>
    <t>171 19:01:46</t>
  </si>
  <si>
    <t>TT 421</t>
  </si>
  <si>
    <t>K2PE_PEPSSI_POWEROFF_2026_171</t>
  </si>
  <si>
    <t>off bef hib exit</t>
  </si>
  <si>
    <t>171/19:02</t>
  </si>
  <si>
    <t>26-170/15:09</t>
  </si>
  <si>
    <t>5.1Mb sample</t>
  </si>
  <si>
    <t>added .1 to this</t>
  </si>
  <si>
    <t>to keep later pbs same</t>
  </si>
  <si>
    <t>182 06:37:37</t>
  </si>
  <si>
    <t>181 21:45:25</t>
  </si>
  <si>
    <t>193/14:45</t>
  </si>
  <si>
    <t>26-014/11:20</t>
  </si>
  <si>
    <t>25-070/08:58</t>
  </si>
  <si>
    <t>TRK_197_1</t>
  </si>
  <si>
    <t>2026-197T03:41:00</t>
  </si>
  <si>
    <t>197/03:26</t>
  </si>
  <si>
    <t>25-081/18:34</t>
  </si>
  <si>
    <t>N1 = 360</t>
  </si>
  <si>
    <t>RT30M =&gt;</t>
  </si>
  <si>
    <t>nonh25 30M</t>
  </si>
  <si>
    <t>25-128/04:02</t>
  </si>
  <si>
    <t>25-126/03:18</t>
  </si>
  <si>
    <t>alice spinning pixellist</t>
  </si>
  <si>
    <t>start</t>
  </si>
  <si>
    <t>clusters</t>
  </si>
  <si>
    <t>raw dlv</t>
  </si>
  <si>
    <t>dldv</t>
  </si>
  <si>
    <t>208_1 dldv</t>
  </si>
  <si>
    <t>calculated end</t>
  </si>
  <si>
    <t>end time to play back 30.074 Mbits</t>
  </si>
  <si>
    <t>TRK_207_1</t>
  </si>
  <si>
    <t>2026-205T03:56:00</t>
  </si>
  <si>
    <t>TRK_205_2</t>
  </si>
  <si>
    <t>2026-205T22:26:00</t>
  </si>
  <si>
    <t>2026-207T04:41:00</t>
  </si>
  <si>
    <t>TRK_207_2</t>
  </si>
  <si>
    <t>2026-207T22:20:00</t>
  </si>
  <si>
    <t>2026-208T22:15:00</t>
  </si>
  <si>
    <t>total alice played back</t>
  </si>
  <si>
    <t>2026-211T03:20:00</t>
  </si>
  <si>
    <t>2026-212T03:50:00</t>
  </si>
  <si>
    <t>2026-212T14:05:00</t>
  </si>
  <si>
    <t>2026-213T02:40:00</t>
  </si>
  <si>
    <t>TRK_213_2</t>
  </si>
  <si>
    <t>2026-213T22:55:00</t>
  </si>
  <si>
    <t>2026-214T11:40:00</t>
  </si>
  <si>
    <t>TRK_214_2</t>
  </si>
  <si>
    <t>2026-214T23:15:00</t>
  </si>
  <si>
    <t>2026-215T14:35:00</t>
  </si>
  <si>
    <t>2026-216T03:49:00</t>
  </si>
  <si>
    <t>TRK_216_2</t>
  </si>
  <si>
    <t>2026-216T21:39:00</t>
  </si>
  <si>
    <t>TRK_217_1</t>
  </si>
  <si>
    <t>2026-217T14:34:00</t>
  </si>
  <si>
    <t>TRK_218_1</t>
  </si>
  <si>
    <t>2026-218T03:44:00</t>
  </si>
  <si>
    <t>TRK_218_2</t>
  </si>
  <si>
    <t>2026-218T11:34:00</t>
  </si>
  <si>
    <t>TRK_218_3</t>
  </si>
  <si>
    <t>2026-218T21:34:00</t>
  </si>
  <si>
    <t>2026-219T10:19:00</t>
  </si>
  <si>
    <t>TRK_220_1</t>
  </si>
  <si>
    <t>2026-220T03:19:00</t>
  </si>
  <si>
    <t>TRK_221_1</t>
  </si>
  <si>
    <t>2026-221T03:19:00</t>
  </si>
  <si>
    <t>TRK_221_2</t>
  </si>
  <si>
    <t>2026-221T09:59:00</t>
  </si>
  <si>
    <t>205/03:41</t>
  </si>
  <si>
    <t>205/22:11</t>
  </si>
  <si>
    <t>207/04:26</t>
  </si>
  <si>
    <t>208/22:00</t>
  </si>
  <si>
    <t>211/03:05</t>
  </si>
  <si>
    <t>212/03:35</t>
  </si>
  <si>
    <t>212/13:50</t>
  </si>
  <si>
    <t>213/02:25</t>
  </si>
  <si>
    <t>213/22:40</t>
  </si>
  <si>
    <t>214/11:25</t>
  </si>
  <si>
    <t>214/23:00</t>
  </si>
  <si>
    <t>215/14:20</t>
  </si>
  <si>
    <t>216/21:24</t>
  </si>
  <si>
    <t>217/14:19</t>
  </si>
  <si>
    <t>218/03:29</t>
  </si>
  <si>
    <t>218/11:19</t>
  </si>
  <si>
    <t>218/21:19</t>
  </si>
  <si>
    <t>219/10:04</t>
  </si>
  <si>
    <t>220/03:04</t>
  </si>
  <si>
    <t>221/03:04</t>
  </si>
  <si>
    <t>221/09:44</t>
  </si>
  <si>
    <t>216/03:34</t>
  </si>
  <si>
    <t>207/22:05</t>
  </si>
  <si>
    <t>Alice Spinning Pixellist part 1</t>
  </si>
  <si>
    <t>Alice Spinning Pixellist part 2</t>
  </si>
  <si>
    <t>oversubx Mbt</t>
  </si>
  <si>
    <t>(partial 30Mb)</t>
  </si>
  <si>
    <t>202 05:03:29</t>
  </si>
  <si>
    <t>201 20:10:00</t>
  </si>
  <si>
    <t>TT 019</t>
  </si>
  <si>
    <t>K2PE_PEPSSI_Run_Macros_111_103_109_2026_201</t>
  </si>
  <si>
    <t>202 05:03:32</t>
  </si>
  <si>
    <t>201 20:10:03</t>
  </si>
  <si>
    <t>202 05:03:35</t>
  </si>
  <si>
    <t>201 20:10:06</t>
  </si>
  <si>
    <t>202 05:03:38</t>
  </si>
  <si>
    <t>201 20:10:09</t>
  </si>
  <si>
    <t>202 05:13:29</t>
  </si>
  <si>
    <t>201 20:20:00</t>
  </si>
  <si>
    <t>TT 020</t>
  </si>
  <si>
    <t>202 04:53:29</t>
  </si>
  <si>
    <t>201 20:00:00</t>
  </si>
  <si>
    <t>TT 018</t>
  </si>
  <si>
    <t>202 05:23:29</t>
  </si>
  <si>
    <t>201 20:30:00</t>
  </si>
  <si>
    <t>TT 021</t>
  </si>
  <si>
    <t>PEPSSI_MAC_RUN  109  MACRO=EXEC</t>
  </si>
  <si>
    <t>MAC 103/109</t>
  </si>
  <si>
    <t>360/7200/1800</t>
  </si>
  <si>
    <t>26-208/16:54</t>
  </si>
  <si>
    <t>26-211/20:31</t>
  </si>
  <si>
    <t>26-219/18:07</t>
  </si>
  <si>
    <t>26201 data</t>
  </si>
  <si>
    <t>25-133/18:11</t>
  </si>
  <si>
    <t>25-144/16:53</t>
  </si>
  <si>
    <t>25-149/18:09</t>
  </si>
  <si>
    <t>RT10M =&gt;</t>
  </si>
  <si>
    <t>RT2H =&gt;</t>
  </si>
  <si>
    <t>163 01:43:42</t>
  </si>
  <si>
    <t>162 17:15:41</t>
  </si>
  <si>
    <t>163 08:28:02</t>
  </si>
  <si>
    <t>163 00:00:01</t>
  </si>
  <si>
    <t>TT 100</t>
  </si>
  <si>
    <t>K1SW_A4_SWAP_Daily_ON_163_1_rate_change_to_10M</t>
  </si>
  <si>
    <t>163 08:28:22</t>
  </si>
  <si>
    <t>163 00:00:21</t>
  </si>
  <si>
    <t>163 08:28:27</t>
  </si>
  <si>
    <t>163 00:00:26</t>
  </si>
  <si>
    <t>163 08:36:38</t>
  </si>
  <si>
    <t>163 00:08:37</t>
  </si>
  <si>
    <t>TT 101</t>
  </si>
  <si>
    <t>SWAP_SCI_SWP_PLAN  12  MACRO=EXEC</t>
  </si>
  <si>
    <t>SWAP_SCI_SWP_ANGLE  0  MACRO=EXEC</t>
  </si>
  <si>
    <t>SWAP_SYS_MODE  HVSCI  MACRO=EXEC</t>
  </si>
  <si>
    <t>SWAP_TLM_RT_RATE  10M  MACRO=EXEC</t>
  </si>
  <si>
    <t>SWAP_TLM_SM_RATE  1H  MACRO=EXEC</t>
  </si>
  <si>
    <t>nonh25 10M</t>
  </si>
  <si>
    <t>25-201/08:29</t>
  </si>
  <si>
    <t>201/08:29</t>
  </si>
  <si>
    <t>207 04:25:13</t>
  </si>
  <si>
    <t>206 19:55:01</t>
  </si>
  <si>
    <t>TT 443</t>
  </si>
  <si>
    <t>K1SW_A4_SWAP_Daily_ON_206_1_end_autonomy_load</t>
  </si>
  <si>
    <t>207 04:25:33</t>
  </si>
  <si>
    <t>206 19:55:21</t>
  </si>
  <si>
    <t>207 04:25:38</t>
  </si>
  <si>
    <t>206 19:55:26</t>
  </si>
  <si>
    <t>RT1H=&gt;</t>
  </si>
  <si>
    <t>gain start</t>
  </si>
  <si>
    <t>207 04:33:29</t>
  </si>
  <si>
    <t>206 20:03:17</t>
  </si>
  <si>
    <t>SWAP_TLM_RT_RATE  2H  MACRO=EXEC</t>
  </si>
  <si>
    <t>25-206/19:55</t>
  </si>
  <si>
    <t>swap 26179</t>
  </si>
  <si>
    <t>pepssi 26179</t>
  </si>
  <si>
    <t>219 02:10:57</t>
  </si>
  <si>
    <t>218 17:39:22</t>
  </si>
  <si>
    <t>SWAP_EXEC_MACRO  MACRO_1  MACRO=EXEC</t>
  </si>
  <si>
    <t>K2SW_A4_SWAP_Off_218</t>
  </si>
  <si>
    <t>219 02:16:41</t>
  </si>
  <si>
    <t>218 17:45:06</t>
  </si>
  <si>
    <t>219 12:01:51</t>
  </si>
  <si>
    <t>219 03:30:13</t>
  </si>
  <si>
    <t>chng to 10M</t>
  </si>
  <si>
    <t>181 13:08:26</t>
  </si>
  <si>
    <t>181 04:40:03</t>
  </si>
  <si>
    <t>TT  13</t>
  </si>
  <si>
    <t>K1SW_A4_SWAP_Daily_ON_181_1_rate_change</t>
  </si>
  <si>
    <t>181 13:08:46</t>
  </si>
  <si>
    <t>181 04:40:23</t>
  </si>
  <si>
    <t>181 13:08:51</t>
  </si>
  <si>
    <t>181 04:40:28</t>
  </si>
  <si>
    <t>181 13:16:28</t>
  </si>
  <si>
    <t>181 04:48:05</t>
  </si>
  <si>
    <t>chng to 2H</t>
  </si>
  <si>
    <t>nonh25 2H</t>
  </si>
  <si>
    <t>stop at gain start</t>
  </si>
  <si>
    <t>2H to gain st</t>
  </si>
  <si>
    <t>pwr on hib25</t>
  </si>
  <si>
    <t>pwroff preh25</t>
  </si>
  <si>
    <t>25-219/03:22</t>
  </si>
  <si>
    <t>25-218/17:45</t>
  </si>
  <si>
    <t>hib 25 2H</t>
  </si>
  <si>
    <t>&lt;== at power off</t>
  </si>
  <si>
    <t>e</t>
  </si>
  <si>
    <t>carry over 4107 to next track</t>
  </si>
  <si>
    <t>25-163/08:37</t>
  </si>
  <si>
    <t>25-181/04:48</t>
  </si>
  <si>
    <t>after autonomy off</t>
  </si>
  <si>
    <t>pwr on autend</t>
  </si>
  <si>
    <t>25-225/05:09</t>
  </si>
  <si>
    <t>25-273/13:54</t>
  </si>
  <si>
    <t>25-281/01:38</t>
  </si>
  <si>
    <t>25-306/10:55</t>
  </si>
  <si>
    <t>25-332/12:45</t>
  </si>
  <si>
    <t>25-342/17:45</t>
  </si>
  <si>
    <t>26-021/09:25</t>
  </si>
  <si>
    <t>25-163/17:07</t>
  </si>
  <si>
    <t>25-172/02:45</t>
  </si>
  <si>
    <t>25-174/17:59</t>
  </si>
  <si>
    <t>25-187/23:06</t>
  </si>
  <si>
    <t>25-196/01:49</t>
  </si>
  <si>
    <t>25159 load</t>
  </si>
  <si>
    <t>Gain Test 2026</t>
  </si>
  <si>
    <t>above is met range played back last year</t>
  </si>
  <si>
    <t>ta only</t>
  </si>
  <si>
    <t>put on 205_1</t>
  </si>
  <si>
    <t>26-055/17:25</t>
  </si>
  <si>
    <t>out of order</t>
  </si>
  <si>
    <t>will come dwn</t>
  </si>
  <si>
    <t>Mbits / track 10%</t>
  </si>
  <si>
    <t xml:space="preserve">hib 24/25 </t>
  </si>
  <si>
    <t>24/25 hib</t>
  </si>
  <si>
    <t>24-276/01:32</t>
  </si>
  <si>
    <t>25-123/0807</t>
  </si>
  <si>
    <t>25-003/16:48</t>
  </si>
  <si>
    <t>met1</t>
  </si>
  <si>
    <t>met2</t>
  </si>
  <si>
    <t>met3</t>
  </si>
  <si>
    <t>met4</t>
  </si>
  <si>
    <t>data_type</t>
  </si>
  <si>
    <t>no oversubscr</t>
  </si>
  <si>
    <t>26-20120:10</t>
  </si>
  <si>
    <t>typo in sasf</t>
  </si>
  <si>
    <t>original acquisition start</t>
  </si>
  <si>
    <t xml:space="preserve">and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</si>
</sst>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_(* #,##0.00_);_(* \(#,##0.00\);_(* \-??_);_(@_)"/>
    <numFmt numFmtId="166" formatCode="_(* #,##0.0_);_(* \(#,##0.0\);_(* \-??_);_(@_)"/>
    <numFmt numFmtId="167" formatCode="#,##0.000000_);\(#,##0.000000\)"/>
    <numFmt numFmtId="168" formatCode="#,##0.0000000000_);\(#,##0.0000000000\)"/>
    <numFmt numFmtId="169" formatCode="0.000000"/>
    <numFmt numFmtId="170" formatCode="0.0000"/>
    <numFmt numFmtId="171" formatCode="0.0000000"/>
    <numFmt numFmtId="172" formatCode="0.000"/>
    <numFmt numFmtId="173" formatCode="[hh]:mm:ss"/>
    <numFmt numFmtId="174" formatCode="0.0000000000"/>
  </numFmts>
  <fonts count="67">
    <font>
      <sz val="11"/>
      <color theme="1"/>
      <name val="Calibri"/>
      <family val="2"/>
    </font>
    <font>
      <sz val="11"/>
      <color theme="1"/>
      <name val="Arial"/>
      <family val="2"/>
      <scheme val="minor"/>
    </font>
    <font>
      <sz val="12"/>
      <color theme="1"/>
      <name val="Calibri"/>
      <family val="2"/>
    </font>
    <font>
      <b/>
      <sz val="11"/>
      <color theme="1"/>
      <name val="Calibri"/>
      <family val="2"/>
    </font>
    <font>
      <sz val="11"/>
      <color rgb="FF000000"/>
      <name val="Calibri"/>
      <family val="2"/>
    </font>
    <font>
      <vertAlign val="subscript"/>
      <sz val="11"/>
      <color rgb="FF000000"/>
      <name val="Calibri"/>
      <family val="2"/>
    </font>
    <font>
      <i/>
      <sz val="11"/>
      <color theme="1"/>
      <name val="Calibri"/>
      <family val="2"/>
    </font>
    <font>
      <b/>
      <sz val="11"/>
      <color theme="0"/>
      <name val="Calibri"/>
      <family val="2"/>
    </font>
    <font>
      <sz val="11"/>
      <color theme="0"/>
      <name val="Calibri"/>
      <family val="2"/>
    </font>
    <font>
      <sz val="11"/>
      <color theme="4" tint="-0.249977111117893"/>
      <name val="Calibri"/>
      <family val="2"/>
    </font>
    <font>
      <sz val="8"/>
      <color theme="1"/>
      <name val="Arial"/>
      <family val="2"/>
    </font>
    <font>
      <sz val="10"/>
      <color theme="1"/>
      <name val="Calibri"/>
      <family val="2"/>
    </font>
    <font>
      <b/>
      <sz val="8"/>
      <color theme="1"/>
      <name val="Arial"/>
      <family val="2"/>
    </font>
    <font>
      <b/>
      <sz val="11"/>
      <color theme="4" tint="-0.249977111117893"/>
      <name val="Calibri"/>
      <family val="2"/>
    </font>
    <font>
      <b/>
      <strike/>
      <sz val="9"/>
      <color theme="4" tint="-0.249977111117893"/>
      <name val="Arial"/>
      <family val="2"/>
    </font>
    <font>
      <b/>
      <sz val="8"/>
      <color theme="4" tint="-0.249977111117893"/>
      <name val="Arial"/>
      <family val="2"/>
    </font>
    <font>
      <sz val="10"/>
      <color theme="1"/>
      <name val="Arial"/>
      <family val="2"/>
    </font>
    <font>
      <sz val="10"/>
      <color theme="1"/>
      <name val="Arial Unicode MS"/>
    </font>
    <font>
      <b/>
      <sz val="12"/>
      <color theme="1"/>
      <name val="Calibri"/>
      <family val="2"/>
    </font>
    <font>
      <sz val="8"/>
      <color theme="1"/>
      <name val="Calibri"/>
      <family val="2"/>
    </font>
    <font>
      <strike/>
      <sz val="11"/>
      <color theme="1"/>
      <name val="Calibri"/>
      <family val="2"/>
    </font>
    <font>
      <b/>
      <strike/>
      <sz val="11"/>
      <color theme="1"/>
      <name val="Calibri"/>
      <family val="2"/>
    </font>
    <font>
      <b/>
      <strike/>
      <sz val="12"/>
      <color theme="1"/>
      <name val="Calibri"/>
      <family val="2"/>
    </font>
    <font>
      <strike/>
      <sz val="12"/>
      <color theme="1"/>
      <name val="Calibri"/>
      <family val="2"/>
    </font>
    <font>
      <sz val="10"/>
      <name val="Arial"/>
      <family val="2"/>
    </font>
    <font>
      <sz val="9"/>
      <color rgb="FF000000"/>
      <name val="Tahoma"/>
      <family val="2"/>
    </font>
    <font>
      <b/>
      <sz val="11"/>
      <color theme="1"/>
      <name val="Calibri"/>
      <family val="2"/>
    </font>
    <font>
      <sz val="11"/>
      <color theme="1"/>
      <name val="Calibri"/>
      <family val="2"/>
    </font>
    <font>
      <b/>
      <sz val="11"/>
      <color theme="1"/>
      <name val="Calibri"/>
      <family val="2"/>
    </font>
    <font>
      <sz val="11"/>
      <color theme="1"/>
      <name val="Calibri"/>
      <family val="2"/>
    </font>
    <font>
      <sz val="11"/>
      <color theme="1"/>
      <name val="Aptos Narrow"/>
      <family val="2"/>
    </font>
    <font>
      <b/>
      <sz val="11"/>
      <color theme="1"/>
      <name val="Aptos Narrow"/>
      <family val="2"/>
    </font>
    <font>
      <sz val="11"/>
      <color theme="1"/>
      <name val="Calibri"/>
      <family val="2"/>
    </font>
    <font>
      <sz val="11"/>
      <color theme="1"/>
      <name val="Calibri"/>
      <family val="2"/>
    </font>
    <font>
      <sz val="8"/>
      <color theme="1"/>
      <name val="Arial"/>
      <family val="2"/>
    </font>
    <font>
      <sz val="11"/>
      <color theme="1"/>
      <name val="Calibri"/>
      <family val="2"/>
    </font>
    <font>
      <b/>
      <sz val="11"/>
      <color theme="1"/>
      <name val="Calibri"/>
      <family val="2"/>
    </font>
    <font>
      <b/>
      <sz val="8"/>
      <color theme="1"/>
      <name val="Arial"/>
      <family val="2"/>
    </font>
    <font>
      <b/>
      <sz val="11"/>
      <color theme="1"/>
      <name val="Calibri"/>
      <family val="2"/>
    </font>
    <font>
      <b/>
      <sz val="10"/>
      <color theme="1"/>
      <name val="Arial"/>
      <family val="2"/>
    </font>
    <font>
      <b/>
      <sz val="11"/>
      <color theme="1"/>
      <name val="Calibri"/>
      <family val="2"/>
    </font>
    <font>
      <sz val="11"/>
      <color theme="1"/>
      <name val="Calibri"/>
      <family val="2"/>
    </font>
    <font>
      <b/>
      <sz val="14"/>
      <color rgb="FF000000"/>
      <name val="Calibri"/>
      <family val="2"/>
    </font>
    <font>
      <b/>
      <sz val="14"/>
      <color rgb="FFFD1DFF"/>
      <name val="Calibri"/>
      <family val="2"/>
    </font>
    <font>
      <b/>
      <sz val="14"/>
      <color rgb="FFFD1DFF"/>
      <name val="Calibri (Body)"/>
    </font>
    <font>
      <sz val="12"/>
      <color theme="1"/>
      <name val="Arial Narrow Bold"/>
    </font>
    <font>
      <b/>
      <sz val="12"/>
      <color theme="1"/>
      <name val="Arial Narrow Bold"/>
    </font>
    <font>
      <b/>
      <sz val="14"/>
      <color theme="1"/>
      <name val="Calibri"/>
      <family val="2"/>
    </font>
    <font>
      <b/>
      <sz val="14"/>
      <color theme="1"/>
      <name val="Arial"/>
      <family val="2"/>
    </font>
    <font>
      <b/>
      <sz val="14"/>
      <color theme="1"/>
      <name val="Arial Narrow"/>
      <family val="2"/>
    </font>
    <font>
      <sz val="14"/>
      <color theme="1"/>
      <name val="Arial Narrow"/>
      <family val="2"/>
    </font>
    <font>
      <b/>
      <sz val="16"/>
      <color theme="1"/>
      <name val="Calibri"/>
      <family val="2"/>
    </font>
    <font>
      <b/>
      <sz val="12"/>
      <color theme="8" tint="-0.249977111117893"/>
      <name val="Calibri"/>
      <family val="2"/>
    </font>
    <font>
      <sz val="11"/>
      <color rgb="FF00B050"/>
      <name val="Calibri"/>
      <family val="2"/>
    </font>
    <font>
      <sz val="8"/>
      <color rgb="FF000000"/>
      <name val="Arial"/>
      <family val="2"/>
    </font>
    <font>
      <b/>
      <sz val="8"/>
      <color rgb="FF000000"/>
      <name val="Arial"/>
      <family val="2"/>
    </font>
    <font>
      <sz val="8"/>
      <color rgb="FF000000"/>
      <name val="Arial"/>
      <family val="2"/>
      <charset val="1"/>
    </font>
    <font>
      <b/>
      <sz val="11"/>
      <color rgb="FFC00000"/>
      <name val="Calibri"/>
      <family val="2"/>
    </font>
    <font>
      <sz val="8"/>
      <name val="Calibri"/>
      <family val="2"/>
    </font>
    <font>
      <sz val="11"/>
      <color rgb="FFC00000"/>
      <name val="Calibri"/>
      <family val="2"/>
    </font>
    <font>
      <b/>
      <sz val="11"/>
      <color theme="1"/>
      <name val="Arial"/>
      <family val="2"/>
      <scheme val="minor"/>
    </font>
    <font>
      <sz val="9"/>
      <color theme="1"/>
      <name val="Arial"/>
      <family val="2"/>
      <scheme val="minor"/>
    </font>
    <font>
      <sz val="10"/>
      <color theme="1"/>
      <name val="Arial"/>
      <family val="2"/>
      <scheme val="minor"/>
    </font>
    <font>
      <sz val="11"/>
      <color theme="9" tint="-0.249977111117893"/>
      <name val="Calibri"/>
      <family val="2"/>
    </font>
    <font>
      <sz val="11"/>
      <color theme="5"/>
      <name val="Calibri"/>
      <family val="2"/>
    </font>
    <font>
      <sz val="11"/>
      <color rgb="FFFF0000"/>
      <name val="Calibri"/>
      <family val="2"/>
    </font>
    <font>
      <b/>
      <sz val="11"/>
      <color rgb="FFFF0000"/>
      <name val="Calibri"/>
      <family val="2"/>
    </font>
  </fonts>
  <fills count="70">
    <fill>
      <patternFill patternType="none"/>
    </fill>
    <fill>
      <patternFill patternType="gray125"/>
    </fill>
    <fill>
      <patternFill patternType="solid">
        <fgColor theme="4" tint="0.79979857783745845"/>
        <bgColor rgb="FFDAE3F3"/>
      </patternFill>
    </fill>
    <fill>
      <patternFill patternType="solid">
        <fgColor theme="0" tint="-0.249977111117893"/>
        <bgColor rgb="FFB3CAC7"/>
      </patternFill>
    </fill>
    <fill>
      <patternFill patternType="solid">
        <fgColor theme="9" tint="0.79979857783745845"/>
        <bgColor rgb="FFDDE8CB"/>
      </patternFill>
    </fill>
    <fill>
      <patternFill patternType="solid">
        <fgColor theme="7" tint="0.39979247413556324"/>
        <bgColor rgb="FFFFDE59"/>
      </patternFill>
    </fill>
    <fill>
      <patternFill patternType="solid">
        <fgColor theme="8" tint="0.39979247413556324"/>
        <bgColor rgb="FFB4C7DC"/>
      </patternFill>
    </fill>
    <fill>
      <patternFill patternType="solid">
        <fgColor theme="8" tint="0.79979857783745845"/>
        <bgColor rgb="FFDEEBF7"/>
      </patternFill>
    </fill>
    <fill>
      <patternFill patternType="solid">
        <fgColor rgb="FFFF0000"/>
        <bgColor rgb="FFBF0041"/>
      </patternFill>
    </fill>
    <fill>
      <patternFill patternType="solid">
        <fgColor rgb="FF00B050"/>
        <bgColor rgb="FF008000"/>
      </patternFill>
    </fill>
    <fill>
      <patternFill patternType="solid">
        <fgColor theme="4" tint="-0.249977111117893"/>
        <bgColor rgb="FF2F5597"/>
      </patternFill>
    </fill>
    <fill>
      <patternFill patternType="solid">
        <fgColor theme="8" tint="0.59978026673177287"/>
        <bgColor rgb="FFB4C7DC"/>
      </patternFill>
    </fill>
    <fill>
      <patternFill patternType="solid">
        <fgColor theme="7" tint="0.79979857783745845"/>
        <bgColor rgb="FFFFF5CE"/>
      </patternFill>
    </fill>
    <fill>
      <patternFill patternType="solid">
        <fgColor rgb="FFCCFFCC"/>
        <bgColor rgb="FFCCFFFF"/>
      </patternFill>
    </fill>
    <fill>
      <patternFill patternType="solid">
        <fgColor rgb="FF92D050"/>
        <bgColor rgb="FF77BC65"/>
      </patternFill>
    </fill>
    <fill>
      <patternFill patternType="solid">
        <fgColor rgb="FFFFFF00"/>
        <bgColor rgb="FFE6E905"/>
      </patternFill>
    </fill>
    <fill>
      <patternFill patternType="solid">
        <fgColor theme="0" tint="-0.14999847407452621"/>
        <bgColor rgb="FFDDDDDD"/>
      </patternFill>
    </fill>
    <fill>
      <patternFill patternType="solid">
        <fgColor rgb="FF00B0F0"/>
        <bgColor rgb="FF00B050"/>
      </patternFill>
    </fill>
    <fill>
      <patternFill patternType="solid">
        <fgColor theme="0" tint="-4.9989318521683403E-2"/>
        <bgColor rgb="FFE2F0D9"/>
      </patternFill>
    </fill>
    <fill>
      <patternFill patternType="solid">
        <fgColor theme="5" tint="0.79979857783745845"/>
        <bgColor rgb="FFFFF2CC"/>
      </patternFill>
    </fill>
    <fill>
      <patternFill patternType="solid">
        <fgColor theme="7" tint="0.59978026673177287"/>
        <bgColor rgb="FFE8F2A1"/>
      </patternFill>
    </fill>
    <fill>
      <patternFill patternType="solid">
        <fgColor rgb="FFFFC000"/>
        <bgColor rgb="FFFFBF00"/>
      </patternFill>
    </fill>
    <fill>
      <patternFill patternType="solid">
        <fgColor rgb="FFCCFFFF"/>
        <bgColor rgb="FFCCFFCC"/>
      </patternFill>
    </fill>
    <fill>
      <patternFill patternType="solid">
        <fgColor rgb="FF008000"/>
        <bgColor rgb="FF127622"/>
      </patternFill>
    </fill>
    <fill>
      <patternFill patternType="solid">
        <fgColor theme="4" tint="0.59978026673177287"/>
        <bgColor rgb="FFB4C7E7"/>
      </patternFill>
    </fill>
    <fill>
      <patternFill patternType="solid">
        <fgColor rgb="FFB4C7DC"/>
        <bgColor rgb="FFB4C7E7"/>
      </patternFill>
    </fill>
    <fill>
      <patternFill patternType="solid">
        <fgColor rgb="FFFFF5CE"/>
        <bgColor rgb="FFFFF2CC"/>
      </patternFill>
    </fill>
    <fill>
      <patternFill patternType="solid">
        <fgColor rgb="FF77BC65"/>
        <bgColor rgb="FF92D050"/>
      </patternFill>
    </fill>
    <fill>
      <patternFill patternType="solid">
        <fgColor rgb="FFDEDCE6"/>
        <bgColor rgb="FFDDDDDD"/>
      </patternFill>
    </fill>
    <fill>
      <patternFill patternType="solid">
        <fgColor rgb="FFFFCC00"/>
        <bgColor rgb="FFFFC000"/>
      </patternFill>
    </fill>
    <fill>
      <patternFill patternType="solid">
        <fgColor rgb="FFFFBF00"/>
        <bgColor rgb="FFFFC000"/>
      </patternFill>
    </fill>
    <fill>
      <patternFill patternType="solid">
        <fgColor rgb="FFD4EA6B"/>
        <bgColor rgb="FFE4F94F"/>
      </patternFill>
    </fill>
    <fill>
      <patternFill patternType="solid">
        <fgColor rgb="FFAFD095"/>
        <bgColor rgb="FFB3CAC7"/>
      </patternFill>
    </fill>
    <fill>
      <patternFill patternType="solid">
        <fgColor rgb="FFE6E905"/>
        <bgColor rgb="FFFFFF00"/>
      </patternFill>
    </fill>
    <fill>
      <patternFill patternType="solid">
        <fgColor rgb="FFE0C2CD"/>
        <bgColor rgb="FFD9D9D9"/>
      </patternFill>
    </fill>
    <fill>
      <patternFill patternType="solid">
        <fgColor rgb="FFACB20C"/>
        <bgColor rgb="FF92D050"/>
      </patternFill>
    </fill>
    <fill>
      <patternFill patternType="solid">
        <fgColor rgb="FFB3CAC7"/>
        <bgColor rgb="FFB4C7DC"/>
      </patternFill>
    </fill>
    <fill>
      <patternFill patternType="solid">
        <fgColor rgb="FFDDDDDD"/>
        <bgColor rgb="FFDEDCE6"/>
      </patternFill>
    </fill>
    <fill>
      <patternFill patternType="solid">
        <fgColor rgb="FFE4F94F"/>
        <bgColor rgb="FFCCFF33"/>
      </patternFill>
    </fill>
    <fill>
      <patternFill patternType="solid">
        <fgColor rgb="FFDDE8CB"/>
        <bgColor rgb="FFE2F0D9"/>
      </patternFill>
    </fill>
    <fill>
      <patternFill patternType="solid">
        <fgColor rgb="FFFFDE59"/>
        <bgColor rgb="FFFFD966"/>
      </patternFill>
    </fill>
    <fill>
      <patternFill patternType="solid">
        <fgColor rgb="FFE8F2A1"/>
        <bgColor rgb="FFFFE699"/>
      </patternFill>
    </fill>
    <fill>
      <patternFill patternType="solid">
        <fgColor theme="0"/>
        <bgColor rgb="FFF2F2F2"/>
      </patternFill>
    </fill>
    <fill>
      <patternFill patternType="solid">
        <fgColor rgb="FFFFF678"/>
        <bgColor rgb="FFFFE699"/>
      </patternFill>
    </fill>
    <fill>
      <patternFill patternType="solid">
        <fgColor rgb="FFCCFF33"/>
        <bgColor rgb="FFE4F94F"/>
      </patternFill>
    </fill>
    <fill>
      <patternFill patternType="solid">
        <fgColor rgb="FFFFFF00"/>
        <bgColor indexed="64"/>
      </patternFill>
    </fill>
    <fill>
      <patternFill patternType="solid">
        <fgColor rgb="FFCCFFCC"/>
      </patternFill>
    </fill>
    <fill>
      <patternFill patternType="solid">
        <fgColor theme="8" tint="0.79998168889431442"/>
        <bgColor indexed="64"/>
      </patternFill>
    </fill>
    <fill>
      <patternFill patternType="solid">
        <fgColor rgb="FFFFCC00"/>
      </patternFill>
    </fill>
    <fill>
      <patternFill patternType="solid">
        <fgColor rgb="FFFFC000"/>
        <bgColor indexed="64"/>
      </patternFill>
    </fill>
    <fill>
      <patternFill patternType="solid">
        <fgColor rgb="FFFFCC00"/>
        <bgColor rgb="FFFFFF00"/>
      </patternFill>
    </fill>
    <fill>
      <patternFill patternType="solid">
        <fgColor theme="7" tint="0.79998168889431442"/>
        <bgColor indexed="64"/>
      </patternFill>
    </fill>
    <fill>
      <patternFill patternType="solid">
        <fgColor theme="4" tint="0.59999389629810485"/>
        <bgColor rgb="FFFFF5CE"/>
      </patternFill>
    </fill>
    <fill>
      <patternFill patternType="solid">
        <fgColor rgb="FF92D050"/>
        <bgColor indexed="64"/>
      </patternFill>
    </fill>
    <fill>
      <patternFill patternType="solid">
        <fgColor rgb="FF92D050"/>
        <bgColor rgb="FFFFF5CE"/>
      </patternFill>
    </fill>
    <fill>
      <patternFill patternType="solid">
        <fgColor theme="3" tint="0.79998168889431442"/>
        <bgColor rgb="FFFFF5CE"/>
      </patternFill>
    </fill>
    <fill>
      <patternFill patternType="solid">
        <fgColor rgb="FF00B0F0"/>
        <bgColor indexed="64"/>
      </patternFill>
    </fill>
    <fill>
      <patternFill patternType="solid">
        <fgColor theme="2" tint="-9.9978637043366805E-2"/>
        <bgColor indexed="64"/>
      </patternFill>
    </fill>
    <fill>
      <patternFill patternType="solid">
        <fgColor rgb="FF00B0F0"/>
        <bgColor rgb="FFFFC000"/>
      </patternFill>
    </fill>
    <fill>
      <patternFill patternType="solid">
        <fgColor theme="8" tint="0.59999389629810485"/>
        <bgColor rgb="FFFFF5CE"/>
      </patternFill>
    </fill>
    <fill>
      <patternFill patternType="solid">
        <fgColor theme="4" tint="0.39997558519241921"/>
        <bgColor rgb="FFFFFF00"/>
      </patternFill>
    </fill>
    <fill>
      <patternFill patternType="solid">
        <fgColor theme="4" tint="0.39997558519241921"/>
        <bgColor rgb="FFFFF5CE"/>
      </patternFill>
    </fill>
    <fill>
      <patternFill patternType="solid">
        <fgColor rgb="FFFFC000"/>
        <bgColor rgb="FFFFFF00"/>
      </patternFill>
    </fill>
    <fill>
      <patternFill patternType="solid">
        <fgColor rgb="FF00B0F0"/>
        <bgColor rgb="FFFFF5CE"/>
      </patternFill>
    </fill>
    <fill>
      <patternFill patternType="solid">
        <fgColor theme="4" tint="0.79998168889431442"/>
        <bgColor rgb="FFFFF5CE"/>
      </patternFill>
    </fill>
    <fill>
      <patternFill patternType="solid">
        <fgColor theme="4" tint="0.79998168889431442"/>
        <bgColor indexed="64"/>
      </patternFill>
    </fill>
    <fill>
      <patternFill patternType="solid">
        <fgColor theme="3" tint="0.79998168889431442"/>
        <bgColor rgb="FFFFFF00"/>
      </patternFill>
    </fill>
    <fill>
      <patternFill patternType="solid">
        <fgColor theme="9" tint="0.79998168889431442"/>
        <bgColor rgb="FFFFF5CE"/>
      </patternFill>
    </fill>
    <fill>
      <patternFill patternType="solid">
        <fgColor theme="9" tint="0.79998168889431442"/>
        <bgColor indexed="64"/>
      </patternFill>
    </fill>
    <fill>
      <patternFill patternType="solid">
        <fgColor theme="5" tint="0.59999389629810485"/>
        <bgColor rgb="FFFFFF00"/>
      </patternFill>
    </fill>
  </fills>
  <borders count="3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thin">
        <color auto="1"/>
      </right>
      <top/>
      <bottom style="thin">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4">
    <xf numFmtId="0" fontId="0" fillId="0" borderId="0"/>
    <xf numFmtId="165" fontId="27" fillId="0" borderId="0" applyBorder="0" applyProtection="0"/>
    <xf numFmtId="0" fontId="2" fillId="0" borderId="0"/>
    <xf numFmtId="0" fontId="1" fillId="0" borderId="0"/>
  </cellStyleXfs>
  <cellXfs count="470">
    <xf numFmtId="0" fontId="0" fillId="0" borderId="0" xfId="0"/>
    <xf numFmtId="0" fontId="48" fillId="43" borderId="29" xfId="0" applyFont="1" applyFill="1" applyBorder="1" applyAlignment="1">
      <alignment horizontal="center" vertical="center" wrapText="1" readingOrder="1"/>
    </xf>
    <xf numFmtId="0" fontId="0" fillId="0" borderId="2" xfId="0" applyBorder="1" applyAlignment="1">
      <alignment horizontal="center"/>
    </xf>
    <xf numFmtId="0" fontId="0" fillId="0" borderId="0" xfId="0" applyAlignment="1">
      <alignment horizontal="center"/>
    </xf>
    <xf numFmtId="164" fontId="0" fillId="0" borderId="0" xfId="0" applyNumberFormat="1" applyAlignment="1">
      <alignment horizontal="center"/>
    </xf>
    <xf numFmtId="1" fontId="0" fillId="0" borderId="0" xfId="0" applyNumberFormat="1"/>
    <xf numFmtId="0" fontId="3" fillId="2" borderId="0" xfId="0" applyFont="1" applyFill="1"/>
    <xf numFmtId="0" fontId="3" fillId="2" borderId="0" xfId="0" applyFont="1" applyFill="1" applyAlignment="1">
      <alignment horizontal="center"/>
    </xf>
    <xf numFmtId="0" fontId="0" fillId="2" borderId="0" xfId="0" applyFill="1"/>
    <xf numFmtId="0" fontId="0" fillId="2" borderId="0" xfId="0" applyFill="1" applyAlignment="1">
      <alignment horizontal="center"/>
    </xf>
    <xf numFmtId="164" fontId="0" fillId="2" borderId="0" xfId="0" applyNumberFormat="1" applyFill="1" applyAlignment="1">
      <alignment horizontal="center"/>
    </xf>
    <xf numFmtId="0" fontId="0" fillId="3" borderId="0" xfId="0" applyFill="1"/>
    <xf numFmtId="0" fontId="0" fillId="3" borderId="0" xfId="0" applyFill="1" applyAlignment="1">
      <alignment horizontal="center"/>
    </xf>
    <xf numFmtId="0" fontId="0" fillId="3" borderId="0" xfId="0" applyFill="1" applyAlignment="1">
      <alignment horizontal="center" wrapText="1"/>
    </xf>
    <xf numFmtId="164" fontId="0" fillId="3" borderId="0" xfId="0" applyNumberFormat="1" applyFill="1" applyAlignment="1">
      <alignment horizontal="center" wrapText="1"/>
    </xf>
    <xf numFmtId="0" fontId="3" fillId="4" borderId="0" xfId="0" applyFont="1" applyFill="1"/>
    <xf numFmtId="0" fontId="0" fillId="4" borderId="0" xfId="0" applyFill="1" applyAlignment="1">
      <alignment horizontal="center"/>
    </xf>
    <xf numFmtId="0" fontId="0" fillId="0" borderId="0" xfId="0" applyAlignment="1">
      <alignment horizontal="right"/>
    </xf>
    <xf numFmtId="164" fontId="0" fillId="0" borderId="0" xfId="0" applyNumberFormat="1"/>
    <xf numFmtId="166" fontId="27" fillId="0" borderId="0" xfId="1" applyNumberFormat="1" applyBorder="1" applyAlignment="1" applyProtection="1">
      <alignment horizontal="center"/>
    </xf>
    <xf numFmtId="165" fontId="27" fillId="0" borderId="0" xfId="1" applyBorder="1" applyAlignment="1" applyProtection="1">
      <alignment horizontal="center"/>
    </xf>
    <xf numFmtId="1" fontId="27" fillId="0" borderId="0" xfId="1" applyNumberFormat="1" applyBorder="1" applyProtection="1"/>
    <xf numFmtId="165" fontId="27" fillId="0" borderId="1" xfId="1" applyBorder="1" applyAlignment="1" applyProtection="1">
      <alignment horizontal="center"/>
    </xf>
    <xf numFmtId="1" fontId="27" fillId="0" borderId="1" xfId="1" applyNumberFormat="1" applyBorder="1" applyProtection="1"/>
    <xf numFmtId="165" fontId="3" fillId="0" borderId="0" xfId="0" applyNumberFormat="1" applyFont="1" applyAlignment="1">
      <alignment horizontal="center"/>
    </xf>
    <xf numFmtId="0" fontId="0" fillId="4" borderId="0" xfId="0" applyFill="1" applyAlignment="1">
      <alignment horizontal="right"/>
    </xf>
    <xf numFmtId="165" fontId="0" fillId="0" borderId="0" xfId="0" applyNumberFormat="1" applyAlignment="1">
      <alignment horizontal="center"/>
    </xf>
    <xf numFmtId="0" fontId="0" fillId="4" borderId="0" xfId="0" applyFill="1"/>
    <xf numFmtId="165" fontId="3" fillId="5" borderId="0" xfId="0" applyNumberFormat="1" applyFont="1" applyFill="1" applyAlignment="1">
      <alignment horizontal="center"/>
    </xf>
    <xf numFmtId="0" fontId="0" fillId="7" borderId="2" xfId="0" applyFill="1" applyBorder="1" applyAlignment="1">
      <alignment horizontal="center"/>
    </xf>
    <xf numFmtId="0" fontId="6" fillId="0" borderId="0" xfId="0" applyFont="1" applyAlignment="1">
      <alignment horizontal="right"/>
    </xf>
    <xf numFmtId="2" fontId="0" fillId="0" borderId="0" xfId="0" applyNumberFormat="1" applyAlignment="1">
      <alignment horizontal="center"/>
    </xf>
    <xf numFmtId="0" fontId="0" fillId="8" borderId="0" xfId="0" applyFill="1"/>
    <xf numFmtId="165" fontId="27" fillId="8" borderId="0" xfId="1" applyFill="1" applyBorder="1" applyAlignment="1" applyProtection="1">
      <alignment horizontal="center"/>
    </xf>
    <xf numFmtId="0" fontId="0" fillId="8" borderId="0" xfId="0" applyFill="1" applyAlignment="1">
      <alignment horizontal="center"/>
    </xf>
    <xf numFmtId="0" fontId="0" fillId="9" borderId="0" xfId="0" applyFill="1" applyAlignment="1">
      <alignment horizontal="center"/>
    </xf>
    <xf numFmtId="0" fontId="0" fillId="9" borderId="0" xfId="0" applyFill="1"/>
    <xf numFmtId="165" fontId="7" fillId="9" borderId="0" xfId="0" applyNumberFormat="1" applyFont="1" applyFill="1" applyAlignment="1">
      <alignment horizontal="center"/>
    </xf>
    <xf numFmtId="0" fontId="8" fillId="9" borderId="0" xfId="0" applyFont="1" applyFill="1" applyAlignment="1">
      <alignment horizontal="center"/>
    </xf>
    <xf numFmtId="0" fontId="6" fillId="0" borderId="0" xfId="0" applyFont="1" applyAlignment="1">
      <alignment horizontal="center"/>
    </xf>
    <xf numFmtId="0" fontId="0" fillId="10" borderId="0" xfId="0" applyFill="1" applyAlignment="1">
      <alignment horizontal="center"/>
    </xf>
    <xf numFmtId="0" fontId="0" fillId="10" borderId="0" xfId="0" applyFill="1"/>
    <xf numFmtId="165" fontId="7" fillId="10" borderId="0" xfId="0" applyNumberFormat="1" applyFont="1" applyFill="1" applyAlignment="1">
      <alignment horizontal="center"/>
    </xf>
    <xf numFmtId="0" fontId="8" fillId="10" borderId="0" xfId="0" applyFont="1" applyFill="1" applyAlignment="1">
      <alignment horizontal="center"/>
    </xf>
    <xf numFmtId="164" fontId="0" fillId="11" borderId="2" xfId="0" applyNumberFormat="1" applyFill="1" applyBorder="1" applyAlignment="1">
      <alignment horizontal="center"/>
    </xf>
    <xf numFmtId="164" fontId="0" fillId="12" borderId="0" xfId="0" applyNumberFormat="1" applyFill="1" applyAlignment="1">
      <alignment horizontal="center"/>
    </xf>
    <xf numFmtId="0" fontId="0" fillId="12" borderId="0" xfId="0" applyFill="1" applyAlignment="1">
      <alignment horizontal="center"/>
    </xf>
    <xf numFmtId="165" fontId="0" fillId="12" borderId="0" xfId="0" applyNumberFormat="1" applyFill="1" applyAlignment="1">
      <alignment horizontal="center"/>
    </xf>
    <xf numFmtId="167" fontId="3" fillId="12" borderId="0" xfId="1" applyNumberFormat="1" applyFont="1" applyFill="1" applyBorder="1" applyAlignment="1" applyProtection="1">
      <alignment horizontal="center"/>
    </xf>
    <xf numFmtId="165" fontId="3" fillId="12" borderId="0" xfId="1" applyFont="1" applyFill="1" applyBorder="1" applyAlignment="1" applyProtection="1">
      <alignment horizontal="center"/>
    </xf>
    <xf numFmtId="165" fontId="3" fillId="12" borderId="0" xfId="0" applyNumberFormat="1" applyFont="1" applyFill="1" applyAlignment="1">
      <alignment horizontal="center"/>
    </xf>
    <xf numFmtId="164" fontId="0" fillId="5" borderId="0" xfId="0" applyNumberFormat="1" applyFill="1"/>
    <xf numFmtId="0" fontId="0" fillId="5" borderId="0" xfId="0" applyFill="1" applyAlignment="1">
      <alignment horizontal="center"/>
    </xf>
    <xf numFmtId="165" fontId="0" fillId="5" borderId="0" xfId="0" applyNumberFormat="1" applyFill="1" applyAlignment="1">
      <alignment horizontal="center"/>
    </xf>
    <xf numFmtId="0" fontId="3" fillId="12" borderId="3" xfId="0" applyFont="1" applyFill="1" applyBorder="1"/>
    <xf numFmtId="0" fontId="0" fillId="12" borderId="4" xfId="0" applyFill="1" applyBorder="1"/>
    <xf numFmtId="164" fontId="0" fillId="12" borderId="4" xfId="0" applyNumberFormat="1" applyFill="1" applyBorder="1" applyAlignment="1">
      <alignment horizontal="center"/>
    </xf>
    <xf numFmtId="0" fontId="0" fillId="12" borderId="5" xfId="0" applyFill="1" applyBorder="1" applyAlignment="1">
      <alignment horizontal="center"/>
    </xf>
    <xf numFmtId="0" fontId="0" fillId="12" borderId="6" xfId="0" applyFill="1" applyBorder="1"/>
    <xf numFmtId="0" fontId="3" fillId="12" borderId="3" xfId="0" applyFont="1" applyFill="1" applyBorder="1" applyAlignment="1">
      <alignment horizontal="center"/>
    </xf>
    <xf numFmtId="1" fontId="0" fillId="12" borderId="4" xfId="0" applyNumberFormat="1" applyFill="1" applyBorder="1"/>
    <xf numFmtId="0" fontId="0" fillId="12" borderId="7" xfId="0" applyFill="1" applyBorder="1" applyAlignment="1">
      <alignment horizontal="center"/>
    </xf>
    <xf numFmtId="0" fontId="0" fillId="12" borderId="0" xfId="0" applyFill="1"/>
    <xf numFmtId="0" fontId="0" fillId="12" borderId="8" xfId="0" applyFill="1" applyBorder="1" applyAlignment="1">
      <alignment horizontal="center"/>
    </xf>
    <xf numFmtId="0" fontId="0" fillId="12" borderId="9" xfId="0" applyFill="1" applyBorder="1"/>
    <xf numFmtId="1" fontId="0" fillId="12" borderId="0" xfId="0" applyNumberFormat="1" applyFill="1"/>
    <xf numFmtId="0" fontId="0" fillId="12" borderId="10" xfId="0" applyFill="1" applyBorder="1" applyAlignment="1">
      <alignment horizontal="center"/>
    </xf>
    <xf numFmtId="0" fontId="9" fillId="12" borderId="0" xfId="0" applyFont="1" applyFill="1" applyAlignment="1">
      <alignment horizontal="center"/>
    </xf>
    <xf numFmtId="168" fontId="0" fillId="12" borderId="11" xfId="0" applyNumberFormat="1" applyFill="1" applyBorder="1" applyAlignment="1">
      <alignment horizontal="center"/>
    </xf>
    <xf numFmtId="1" fontId="9" fillId="12" borderId="0" xfId="0" applyNumberFormat="1" applyFont="1" applyFill="1"/>
    <xf numFmtId="1" fontId="0" fillId="7" borderId="2" xfId="0" applyNumberFormat="1" applyFill="1" applyBorder="1" applyAlignment="1">
      <alignment horizontal="center"/>
    </xf>
    <xf numFmtId="0" fontId="0" fillId="12" borderId="12" xfId="0" applyFill="1" applyBorder="1" applyAlignment="1">
      <alignment horizontal="center"/>
    </xf>
    <xf numFmtId="0" fontId="9" fillId="12" borderId="2" xfId="0" applyFont="1" applyFill="1" applyBorder="1" applyAlignment="1">
      <alignment horizontal="center"/>
    </xf>
    <xf numFmtId="0" fontId="0" fillId="12" borderId="2" xfId="0" applyFill="1" applyBorder="1" applyAlignment="1">
      <alignment horizontal="center"/>
    </xf>
    <xf numFmtId="168" fontId="0" fillId="12" borderId="2" xfId="0" applyNumberFormat="1" applyFill="1" applyBorder="1" applyAlignment="1">
      <alignment horizontal="center"/>
    </xf>
    <xf numFmtId="0" fontId="0" fillId="12" borderId="13" xfId="0" applyFill="1" applyBorder="1" applyAlignment="1">
      <alignment horizontal="center"/>
    </xf>
    <xf numFmtId="1" fontId="9" fillId="12" borderId="2" xfId="0" applyNumberFormat="1" applyFont="1" applyFill="1" applyBorder="1"/>
    <xf numFmtId="0" fontId="0" fillId="12" borderId="9" xfId="0" applyFill="1" applyBorder="1" applyAlignment="1">
      <alignment horizontal="center"/>
    </xf>
    <xf numFmtId="14" fontId="0" fillId="0" borderId="0" xfId="0" applyNumberFormat="1" applyAlignment="1">
      <alignment horizontal="center"/>
    </xf>
    <xf numFmtId="0" fontId="10" fillId="0" borderId="2" xfId="0" applyFont="1" applyBorder="1"/>
    <xf numFmtId="0" fontId="11" fillId="0" borderId="0" xfId="0" applyFont="1"/>
    <xf numFmtId="0" fontId="10" fillId="13" borderId="2" xfId="0" applyFont="1" applyFill="1" applyBorder="1"/>
    <xf numFmtId="3" fontId="0" fillId="0" borderId="0" xfId="0" applyNumberFormat="1"/>
    <xf numFmtId="0" fontId="12" fillId="13" borderId="2" xfId="0" applyFont="1" applyFill="1" applyBorder="1"/>
    <xf numFmtId="0" fontId="0" fillId="12" borderId="14" xfId="0" applyFill="1" applyBorder="1" applyAlignment="1">
      <alignment horizontal="center"/>
    </xf>
    <xf numFmtId="1" fontId="9" fillId="12" borderId="15" xfId="0" applyNumberFormat="1" applyFont="1" applyFill="1" applyBorder="1"/>
    <xf numFmtId="0" fontId="0" fillId="12" borderId="15" xfId="0" applyFill="1" applyBorder="1" applyAlignment="1">
      <alignment horizontal="center"/>
    </xf>
    <xf numFmtId="0" fontId="0" fillId="12" borderId="16" xfId="0" applyFill="1" applyBorder="1" applyAlignment="1">
      <alignment horizontal="center"/>
    </xf>
    <xf numFmtId="0" fontId="3" fillId="12" borderId="0" xfId="0" applyFont="1" applyFill="1" applyAlignment="1">
      <alignment horizontal="center"/>
    </xf>
    <xf numFmtId="0" fontId="13" fillId="12" borderId="0" xfId="0" applyFont="1" applyFill="1" applyAlignment="1">
      <alignment horizontal="center"/>
    </xf>
    <xf numFmtId="0" fontId="9" fillId="12" borderId="15" xfId="0" applyFont="1" applyFill="1" applyBorder="1" applyAlignment="1">
      <alignment horizontal="center"/>
    </xf>
    <xf numFmtId="0" fontId="3" fillId="0" borderId="0" xfId="0" applyFont="1"/>
    <xf numFmtId="0" fontId="0" fillId="14" borderId="0" xfId="0" applyFill="1" applyAlignment="1">
      <alignment horizontal="center"/>
    </xf>
    <xf numFmtId="0" fontId="0" fillId="0" borderId="0" xfId="0" applyAlignment="1">
      <alignment horizontal="left"/>
    </xf>
    <xf numFmtId="0" fontId="9" fillId="0" borderId="0" xfId="0" applyFont="1" applyAlignment="1">
      <alignment horizontal="center"/>
    </xf>
    <xf numFmtId="0" fontId="0" fillId="0" borderId="17" xfId="0" applyBorder="1" applyAlignment="1">
      <alignment horizontal="center"/>
    </xf>
    <xf numFmtId="0" fontId="9" fillId="2" borderId="0" xfId="0" applyFont="1" applyFill="1" applyAlignment="1">
      <alignment horizontal="center"/>
    </xf>
    <xf numFmtId="1" fontId="0" fillId="0" borderId="0" xfId="0" applyNumberFormat="1" applyAlignment="1">
      <alignment horizontal="center"/>
    </xf>
    <xf numFmtId="0" fontId="3" fillId="15" borderId="3" xfId="0" applyFont="1" applyFill="1" applyBorder="1"/>
    <xf numFmtId="0" fontId="0" fillId="15" borderId="6" xfId="0" applyFill="1" applyBorder="1" applyAlignment="1">
      <alignment horizontal="left"/>
    </xf>
    <xf numFmtId="0" fontId="3" fillId="15" borderId="7" xfId="0" applyFont="1" applyFill="1" applyBorder="1"/>
    <xf numFmtId="0" fontId="0" fillId="15" borderId="9" xfId="0" applyFill="1" applyBorder="1" applyAlignment="1">
      <alignment horizontal="left"/>
    </xf>
    <xf numFmtId="0" fontId="3" fillId="15" borderId="14" xfId="0" applyFont="1" applyFill="1" applyBorder="1"/>
    <xf numFmtId="0" fontId="0" fillId="15" borderId="16" xfId="0" applyFill="1" applyBorder="1" applyAlignment="1">
      <alignment horizontal="left"/>
    </xf>
    <xf numFmtId="1" fontId="0" fillId="12" borderId="0" xfId="0" applyNumberFormat="1" applyFill="1" applyAlignment="1">
      <alignment horizontal="center"/>
    </xf>
    <xf numFmtId="1" fontId="0" fillId="12" borderId="9" xfId="0" applyNumberFormat="1" applyFill="1" applyBorder="1" applyAlignment="1">
      <alignment horizontal="center"/>
    </xf>
    <xf numFmtId="0" fontId="0" fillId="3" borderId="7" xfId="0" applyFill="1" applyBorder="1" applyAlignment="1">
      <alignment horizontal="center"/>
    </xf>
    <xf numFmtId="0" fontId="9" fillId="3" borderId="0" xfId="0" applyFont="1" applyFill="1" applyAlignment="1">
      <alignment horizontal="center"/>
    </xf>
    <xf numFmtId="1" fontId="0" fillId="3" borderId="0" xfId="0" applyNumberFormat="1" applyFill="1" applyAlignment="1">
      <alignment horizontal="center"/>
    </xf>
    <xf numFmtId="1" fontId="0" fillId="3" borderId="9" xfId="0" applyNumberFormat="1" applyFill="1" applyBorder="1" applyAlignment="1">
      <alignment horizontal="center"/>
    </xf>
    <xf numFmtId="0" fontId="0" fillId="16" borderId="7" xfId="0" applyFill="1" applyBorder="1" applyAlignment="1">
      <alignment horizontal="center"/>
    </xf>
    <xf numFmtId="1" fontId="0" fillId="16" borderId="0" xfId="0" applyNumberFormat="1" applyFill="1" applyAlignment="1">
      <alignment horizontal="center"/>
    </xf>
    <xf numFmtId="0" fontId="9" fillId="16" borderId="0" xfId="0" applyFont="1" applyFill="1" applyAlignment="1">
      <alignment horizontal="center"/>
    </xf>
    <xf numFmtId="0" fontId="0" fillId="16" borderId="0" xfId="0" applyFill="1" applyAlignment="1">
      <alignment horizontal="center"/>
    </xf>
    <xf numFmtId="1" fontId="0" fillId="16" borderId="9" xfId="0" applyNumberFormat="1" applyFill="1" applyBorder="1" applyAlignment="1">
      <alignment horizontal="center"/>
    </xf>
    <xf numFmtId="1" fontId="0" fillId="12" borderId="15" xfId="0" applyNumberFormat="1" applyFill="1" applyBorder="1" applyAlignment="1">
      <alignment horizontal="center"/>
    </xf>
    <xf numFmtId="0" fontId="14" fillId="2" borderId="2" xfId="0" applyFont="1" applyFill="1" applyBorder="1" applyAlignment="1">
      <alignment horizontal="center"/>
    </xf>
    <xf numFmtId="0" fontId="15" fillId="2" borderId="2" xfId="0" applyFont="1" applyFill="1" applyBorder="1" applyAlignment="1">
      <alignment horizontal="center"/>
    </xf>
    <xf numFmtId="0" fontId="0" fillId="15" borderId="0" xfId="0" applyFill="1" applyAlignment="1">
      <alignment horizontal="center"/>
    </xf>
    <xf numFmtId="0" fontId="0" fillId="17" borderId="0" xfId="0" applyFill="1" applyAlignment="1">
      <alignment horizontal="center"/>
    </xf>
    <xf numFmtId="1" fontId="9" fillId="2" borderId="0" xfId="0" applyNumberFormat="1" applyFont="1" applyFill="1" applyAlignment="1">
      <alignment horizontal="center"/>
    </xf>
    <xf numFmtId="0" fontId="13" fillId="2" borderId="0" xfId="0" applyFont="1" applyFill="1" applyAlignment="1">
      <alignment horizontal="center"/>
    </xf>
    <xf numFmtId="0" fontId="0" fillId="18" borderId="7" xfId="0" applyFill="1" applyBorder="1" applyAlignment="1">
      <alignment horizontal="center"/>
    </xf>
    <xf numFmtId="0" fontId="0" fillId="18" borderId="0" xfId="0" applyFill="1" applyAlignment="1">
      <alignment horizontal="center"/>
    </xf>
    <xf numFmtId="1" fontId="0" fillId="18" borderId="0" xfId="0" applyNumberFormat="1" applyFill="1" applyAlignment="1">
      <alignment horizontal="center"/>
    </xf>
    <xf numFmtId="0" fontId="0" fillId="19" borderId="0" xfId="0" applyFill="1" applyAlignment="1">
      <alignment horizontal="center"/>
    </xf>
    <xf numFmtId="0" fontId="10" fillId="0" borderId="2" xfId="0" applyFont="1" applyBorder="1" applyAlignment="1">
      <alignment horizontal="center"/>
    </xf>
    <xf numFmtId="0" fontId="12" fillId="0" borderId="2" xfId="0" applyFont="1" applyBorder="1" applyAlignment="1">
      <alignment horizontal="center"/>
    </xf>
    <xf numFmtId="0" fontId="16" fillId="0" borderId="2" xfId="0" applyFont="1" applyBorder="1" applyAlignment="1">
      <alignment horizontal="center"/>
    </xf>
    <xf numFmtId="0" fontId="12" fillId="13" borderId="2" xfId="0" applyFont="1" applyFill="1" applyBorder="1" applyAlignment="1">
      <alignment horizontal="center"/>
    </xf>
    <xf numFmtId="1" fontId="0" fillId="0" borderId="18" xfId="0" applyNumberFormat="1" applyBorder="1" applyAlignment="1">
      <alignment horizontal="center"/>
    </xf>
    <xf numFmtId="0" fontId="0" fillId="0" borderId="19" xfId="0" applyBorder="1" applyAlignment="1">
      <alignment horizontal="center"/>
    </xf>
    <xf numFmtId="1" fontId="0" fillId="0" borderId="19" xfId="0" applyNumberFormat="1" applyBorder="1" applyAlignment="1">
      <alignment horizontal="center"/>
    </xf>
    <xf numFmtId="1" fontId="0" fillId="0" borderId="20" xfId="0" applyNumberFormat="1" applyBorder="1"/>
    <xf numFmtId="0" fontId="3" fillId="15" borderId="3" xfId="0" applyFont="1" applyFill="1" applyBorder="1" applyAlignment="1">
      <alignment horizontal="center"/>
    </xf>
    <xf numFmtId="0" fontId="0" fillId="15" borderId="6" xfId="0" applyFill="1" applyBorder="1" applyAlignment="1">
      <alignment horizontal="center"/>
    </xf>
    <xf numFmtId="0" fontId="17" fillId="0" borderId="0" xfId="0" applyFont="1" applyAlignment="1">
      <alignment vertical="center"/>
    </xf>
    <xf numFmtId="0" fontId="3" fillId="15" borderId="7" xfId="0" applyFont="1" applyFill="1" applyBorder="1" applyAlignment="1">
      <alignment horizontal="center"/>
    </xf>
    <xf numFmtId="0" fontId="0" fillId="15" borderId="9" xfId="0" applyFill="1" applyBorder="1" applyAlignment="1">
      <alignment horizontal="center"/>
    </xf>
    <xf numFmtId="0" fontId="3" fillId="15" borderId="14" xfId="0" applyFont="1" applyFill="1" applyBorder="1" applyAlignment="1">
      <alignment horizontal="center"/>
    </xf>
    <xf numFmtId="0" fontId="0" fillId="15" borderId="16" xfId="0" applyFill="1" applyBorder="1" applyAlignment="1">
      <alignment horizontal="center"/>
    </xf>
    <xf numFmtId="0" fontId="11" fillId="0" borderId="0" xfId="0" applyFont="1" applyAlignment="1">
      <alignment horizontal="right"/>
    </xf>
    <xf numFmtId="1" fontId="3" fillId="0" borderId="0" xfId="0" applyNumberFormat="1" applyFont="1" applyAlignment="1">
      <alignment horizontal="center"/>
    </xf>
    <xf numFmtId="1" fontId="3" fillId="12" borderId="0" xfId="0" applyNumberFormat="1" applyFont="1" applyFill="1" applyAlignment="1">
      <alignment horizontal="center"/>
    </xf>
    <xf numFmtId="169" fontId="0" fillId="0" borderId="0" xfId="0" applyNumberFormat="1" applyAlignment="1">
      <alignment horizontal="center"/>
    </xf>
    <xf numFmtId="0" fontId="3" fillId="0" borderId="0" xfId="0" applyFont="1" applyAlignment="1">
      <alignment horizontal="center"/>
    </xf>
    <xf numFmtId="0" fontId="3" fillId="0" borderId="0" xfId="0" applyFont="1" applyAlignment="1">
      <alignment horizontal="right"/>
    </xf>
    <xf numFmtId="1" fontId="0" fillId="20" borderId="0" xfId="0" applyNumberFormat="1" applyFill="1" applyAlignment="1">
      <alignment horizontal="center"/>
    </xf>
    <xf numFmtId="1" fontId="0" fillId="15" borderId="9" xfId="0" applyNumberFormat="1" applyFill="1" applyBorder="1" applyAlignment="1">
      <alignment horizontal="center"/>
    </xf>
    <xf numFmtId="1" fontId="0" fillId="21" borderId="0" xfId="0" applyNumberFormat="1" applyFill="1" applyAlignment="1">
      <alignment horizontal="center"/>
    </xf>
    <xf numFmtId="1" fontId="0" fillId="14" borderId="0" xfId="0" applyNumberFormat="1" applyFill="1" applyAlignment="1">
      <alignment horizontal="center"/>
    </xf>
    <xf numFmtId="1" fontId="9" fillId="12" borderId="0" xfId="0" applyNumberFormat="1" applyFont="1" applyFill="1" applyAlignment="1">
      <alignment horizontal="center"/>
    </xf>
    <xf numFmtId="0" fontId="11" fillId="0" borderId="2" xfId="0" applyFont="1" applyBorder="1" applyAlignment="1">
      <alignment horizontal="center"/>
    </xf>
    <xf numFmtId="0" fontId="10" fillId="22" borderId="2" xfId="0" applyFont="1" applyFill="1" applyBorder="1"/>
    <xf numFmtId="0" fontId="12" fillId="22" borderId="2" xfId="0" applyFont="1" applyFill="1" applyBorder="1"/>
    <xf numFmtId="0" fontId="10" fillId="22" borderId="2" xfId="0" applyFont="1" applyFill="1" applyBorder="1" applyAlignment="1">
      <alignment horizontal="center"/>
    </xf>
    <xf numFmtId="0" fontId="12" fillId="22" borderId="2" xfId="0" applyFont="1" applyFill="1" applyBorder="1" applyAlignment="1">
      <alignment horizontal="center"/>
    </xf>
    <xf numFmtId="1" fontId="0" fillId="0" borderId="21" xfId="0" applyNumberFormat="1" applyBorder="1" applyAlignment="1">
      <alignment horizontal="center"/>
    </xf>
    <xf numFmtId="1" fontId="0" fillId="12" borderId="21" xfId="0" applyNumberFormat="1" applyFill="1" applyBorder="1" applyAlignment="1">
      <alignment horizontal="center"/>
    </xf>
    <xf numFmtId="1" fontId="0" fillId="12" borderId="3" xfId="0" applyNumberFormat="1" applyFill="1" applyBorder="1" applyAlignment="1">
      <alignment horizontal="center"/>
    </xf>
    <xf numFmtId="0" fontId="0" fillId="0" borderId="21" xfId="0" applyBorder="1" applyAlignment="1">
      <alignment horizontal="center"/>
    </xf>
    <xf numFmtId="1" fontId="0" fillId="12" borderId="6" xfId="0" applyNumberFormat="1" applyFill="1" applyBorder="1" applyAlignment="1">
      <alignment horizontal="center"/>
    </xf>
    <xf numFmtId="169" fontId="0" fillId="0" borderId="22" xfId="0" applyNumberFormat="1" applyBorder="1" applyAlignment="1">
      <alignment horizontal="center"/>
    </xf>
    <xf numFmtId="0" fontId="10" fillId="22" borderId="11" xfId="0" applyFont="1" applyFill="1" applyBorder="1" applyAlignment="1">
      <alignment horizontal="center"/>
    </xf>
    <xf numFmtId="1" fontId="0" fillId="12" borderId="16" xfId="0" applyNumberFormat="1" applyFill="1" applyBorder="1" applyAlignment="1">
      <alignment horizontal="center"/>
    </xf>
    <xf numFmtId="1" fontId="0" fillId="12" borderId="22" xfId="0" applyNumberFormat="1" applyFill="1" applyBorder="1" applyAlignment="1">
      <alignment horizontal="center"/>
    </xf>
    <xf numFmtId="1" fontId="0" fillId="12" borderId="14" xfId="0" applyNumberFormat="1" applyFill="1" applyBorder="1" applyAlignment="1">
      <alignment horizontal="center"/>
    </xf>
    <xf numFmtId="0" fontId="0" fillId="0" borderId="23" xfId="0" applyBorder="1" applyAlignment="1">
      <alignment horizontal="center"/>
    </xf>
    <xf numFmtId="1" fontId="0" fillId="0" borderId="16" xfId="0" applyNumberFormat="1" applyBorder="1" applyAlignment="1">
      <alignment horizontal="center"/>
    </xf>
    <xf numFmtId="164" fontId="0" fillId="15" borderId="18" xfId="0" applyNumberFormat="1" applyFill="1" applyBorder="1" applyAlignment="1">
      <alignment horizontal="center"/>
    </xf>
    <xf numFmtId="0" fontId="0" fillId="15" borderId="20" xfId="0" applyFill="1" applyBorder="1" applyAlignment="1">
      <alignment horizontal="center"/>
    </xf>
    <xf numFmtId="0" fontId="0" fillId="0" borderId="22" xfId="0" applyBorder="1" applyAlignment="1">
      <alignment horizontal="center"/>
    </xf>
    <xf numFmtId="0" fontId="0" fillId="12" borderId="3" xfId="0" applyFill="1" applyBorder="1" applyAlignment="1">
      <alignment horizontal="center"/>
    </xf>
    <xf numFmtId="1" fontId="0" fillId="12" borderId="4" xfId="0" applyNumberFormat="1" applyFill="1" applyBorder="1" applyAlignment="1">
      <alignment horizontal="center"/>
    </xf>
    <xf numFmtId="0" fontId="0" fillId="0" borderId="4" xfId="0" applyBorder="1" applyAlignment="1">
      <alignment horizontal="center"/>
    </xf>
    <xf numFmtId="170" fontId="0" fillId="12" borderId="4" xfId="0" applyNumberFormat="1" applyFill="1" applyBorder="1" applyAlignment="1">
      <alignment horizontal="center"/>
    </xf>
    <xf numFmtId="1" fontId="0" fillId="12" borderId="4" xfId="0" applyNumberFormat="1" applyFill="1" applyBorder="1" applyAlignment="1">
      <alignment horizontal="left"/>
    </xf>
    <xf numFmtId="0" fontId="18" fillId="2" borderId="0" xfId="2" applyFont="1" applyFill="1"/>
    <xf numFmtId="0" fontId="2" fillId="2" borderId="0" xfId="2" applyFill="1"/>
    <xf numFmtId="0" fontId="3" fillId="12" borderId="7" xfId="0" applyFont="1" applyFill="1" applyBorder="1" applyAlignment="1">
      <alignment horizontal="center"/>
    </xf>
    <xf numFmtId="1" fontId="3" fillId="20" borderId="0" xfId="0" applyNumberFormat="1" applyFont="1" applyFill="1" applyAlignment="1">
      <alignment horizontal="center"/>
    </xf>
    <xf numFmtId="0" fontId="18" fillId="7" borderId="0" xfId="2" applyFont="1" applyFill="1"/>
    <xf numFmtId="1" fontId="0" fillId="12" borderId="20" xfId="0" applyNumberFormat="1" applyFill="1" applyBorder="1" applyAlignment="1">
      <alignment horizontal="center"/>
    </xf>
    <xf numFmtId="169" fontId="0" fillId="0" borderId="0" xfId="0" applyNumberFormat="1"/>
    <xf numFmtId="0" fontId="0" fillId="0" borderId="15" xfId="0" applyBorder="1" applyAlignment="1">
      <alignment horizontal="center"/>
    </xf>
    <xf numFmtId="1" fontId="0" fillId="0" borderId="15" xfId="0" applyNumberFormat="1" applyBorder="1"/>
    <xf numFmtId="0" fontId="10" fillId="0" borderId="0" xfId="0" applyFont="1"/>
    <xf numFmtId="164" fontId="0" fillId="0" borderId="0" xfId="0" applyNumberFormat="1" applyAlignment="1">
      <alignment horizontal="right"/>
    </xf>
    <xf numFmtId="0" fontId="19" fillId="0" borderId="0" xfId="0" applyFont="1"/>
    <xf numFmtId="0" fontId="18" fillId="11" borderId="0" xfId="2" applyFont="1" applyFill="1"/>
    <xf numFmtId="0" fontId="3" fillId="23" borderId="2" xfId="0" applyFont="1" applyFill="1" applyBorder="1" applyAlignment="1">
      <alignment horizontal="center"/>
    </xf>
    <xf numFmtId="20" fontId="2" fillId="2" borderId="0" xfId="2" applyNumberFormat="1" applyFill="1" applyAlignment="1">
      <alignment vertical="center" wrapText="1"/>
    </xf>
    <xf numFmtId="0" fontId="2" fillId="2" borderId="0" xfId="2" applyFill="1" applyAlignment="1">
      <alignment vertical="center" wrapText="1"/>
    </xf>
    <xf numFmtId="0" fontId="2" fillId="4" borderId="0" xfId="2" applyFill="1" applyAlignment="1">
      <alignment vertical="center"/>
    </xf>
    <xf numFmtId="171" fontId="0" fillId="0" borderId="0" xfId="0" applyNumberFormat="1" applyAlignment="1">
      <alignment horizontal="center"/>
    </xf>
    <xf numFmtId="0" fontId="20" fillId="0" borderId="0" xfId="0" applyFont="1" applyAlignment="1">
      <alignment horizontal="center"/>
    </xf>
    <xf numFmtId="0" fontId="21" fillId="12" borderId="3" xfId="0" applyFont="1" applyFill="1" applyBorder="1" applyAlignment="1">
      <alignment horizontal="center"/>
    </xf>
    <xf numFmtId="1" fontId="21" fillId="20" borderId="0" xfId="0" applyNumberFormat="1" applyFont="1" applyFill="1" applyAlignment="1">
      <alignment horizontal="center"/>
    </xf>
    <xf numFmtId="164" fontId="20" fillId="0" borderId="0" xfId="0" applyNumberFormat="1" applyFont="1" applyAlignment="1">
      <alignment horizontal="center"/>
    </xf>
    <xf numFmtId="1" fontId="20" fillId="12" borderId="0" xfId="0" applyNumberFormat="1" applyFont="1" applyFill="1" applyAlignment="1">
      <alignment horizontal="center"/>
    </xf>
    <xf numFmtId="1" fontId="20" fillId="0" borderId="0" xfId="0" applyNumberFormat="1" applyFont="1" applyAlignment="1">
      <alignment horizontal="center"/>
    </xf>
    <xf numFmtId="1" fontId="20" fillId="12" borderId="9" xfId="0" applyNumberFormat="1" applyFont="1" applyFill="1" applyBorder="1" applyAlignment="1">
      <alignment horizontal="center"/>
    </xf>
    <xf numFmtId="0" fontId="22" fillId="11" borderId="0" xfId="2" applyFont="1" applyFill="1"/>
    <xf numFmtId="0" fontId="23" fillId="2" borderId="0" xfId="2" applyFont="1" applyFill="1"/>
    <xf numFmtId="20" fontId="23" fillId="2" borderId="0" xfId="2" applyNumberFormat="1" applyFont="1" applyFill="1" applyAlignment="1">
      <alignment vertical="center" wrapText="1"/>
    </xf>
    <xf numFmtId="0" fontId="0" fillId="24" borderId="0" xfId="0" applyFill="1" applyAlignment="1">
      <alignment horizontal="center"/>
    </xf>
    <xf numFmtId="1" fontId="3" fillId="24" borderId="0" xfId="0" applyNumberFormat="1" applyFont="1" applyFill="1" applyAlignment="1">
      <alignment horizontal="center"/>
    </xf>
    <xf numFmtId="0" fontId="3" fillId="12" borderId="3" xfId="0" applyFont="1" applyFill="1" applyBorder="1" applyAlignment="1">
      <alignment horizontal="left"/>
    </xf>
    <xf numFmtId="172" fontId="3" fillId="0" borderId="0" xfId="0" applyNumberFormat="1" applyFont="1" applyAlignment="1">
      <alignment horizontal="center"/>
    </xf>
    <xf numFmtId="0" fontId="0" fillId="25" borderId="0" xfId="0" applyFill="1" applyAlignment="1">
      <alignment horizontal="center"/>
    </xf>
    <xf numFmtId="1" fontId="3" fillId="26" borderId="0" xfId="0" applyNumberFormat="1" applyFont="1" applyFill="1" applyAlignment="1">
      <alignment horizontal="center"/>
    </xf>
    <xf numFmtId="0" fontId="3" fillId="27" borderId="0" xfId="0" applyFont="1" applyFill="1"/>
    <xf numFmtId="1" fontId="3" fillId="25" borderId="0" xfId="0" applyNumberFormat="1" applyFont="1" applyFill="1" applyAlignment="1">
      <alignment horizontal="center"/>
    </xf>
    <xf numFmtId="173" fontId="0" fillId="25" borderId="0" xfId="0" applyNumberFormat="1" applyFill="1" applyAlignment="1">
      <alignment horizontal="center"/>
    </xf>
    <xf numFmtId="164" fontId="3" fillId="0" borderId="0" xfId="0" applyNumberFormat="1" applyFont="1" applyAlignment="1">
      <alignment horizontal="center"/>
    </xf>
    <xf numFmtId="0" fontId="3" fillId="15" borderId="3" xfId="0" applyFont="1" applyFill="1" applyBorder="1" applyAlignment="1">
      <alignment horizontal="right"/>
    </xf>
    <xf numFmtId="0" fontId="26" fillId="26" borderId="0" xfId="0" applyFont="1" applyFill="1" applyAlignment="1">
      <alignment horizontal="center"/>
    </xf>
    <xf numFmtId="0" fontId="0" fillId="28" borderId="0" xfId="0" applyFill="1" applyAlignment="1">
      <alignment horizontal="center"/>
    </xf>
    <xf numFmtId="169" fontId="0" fillId="15" borderId="6" xfId="0" applyNumberFormat="1" applyFill="1" applyBorder="1" applyAlignment="1">
      <alignment horizontal="center"/>
    </xf>
    <xf numFmtId="0" fontId="27" fillId="0" borderId="0" xfId="0" applyFont="1"/>
    <xf numFmtId="0" fontId="27" fillId="0" borderId="0" xfId="0" applyFont="1" applyAlignment="1">
      <alignment horizontal="right"/>
    </xf>
    <xf numFmtId="0" fontId="27" fillId="0" borderId="0" xfId="0" applyFont="1" applyAlignment="1">
      <alignment horizontal="center"/>
    </xf>
    <xf numFmtId="0" fontId="28" fillId="15" borderId="3" xfId="0" applyFont="1" applyFill="1" applyBorder="1" applyAlignment="1">
      <alignment horizontal="center"/>
    </xf>
    <xf numFmtId="169" fontId="27" fillId="15" borderId="6" xfId="0" applyNumberFormat="1" applyFont="1" applyFill="1" applyBorder="1" applyAlignment="1">
      <alignment horizontal="center"/>
    </xf>
    <xf numFmtId="0" fontId="10" fillId="29" borderId="2" xfId="0" applyFont="1" applyFill="1" applyBorder="1"/>
    <xf numFmtId="0" fontId="12" fillId="29" borderId="2" xfId="0" applyFont="1" applyFill="1" applyBorder="1"/>
    <xf numFmtId="0" fontId="0" fillId="30" borderId="0" xfId="0" applyFill="1" applyAlignment="1">
      <alignment horizontal="center"/>
    </xf>
    <xf numFmtId="0" fontId="0" fillId="30" borderId="0" xfId="0" applyFill="1"/>
    <xf numFmtId="0" fontId="2" fillId="30" borderId="0" xfId="2" applyFill="1" applyAlignment="1">
      <alignment vertical="center" wrapText="1"/>
    </xf>
    <xf numFmtId="0" fontId="18" fillId="11" borderId="0" xfId="2" applyFont="1" applyFill="1" applyAlignment="1">
      <alignment horizontal="center"/>
    </xf>
    <xf numFmtId="1" fontId="18" fillId="11" borderId="24" xfId="2" applyNumberFormat="1" applyFont="1" applyFill="1" applyBorder="1" applyAlignment="1">
      <alignment horizontal="center"/>
    </xf>
    <xf numFmtId="169" fontId="18" fillId="11" borderId="25" xfId="2" applyNumberFormat="1" applyFont="1" applyFill="1" applyBorder="1" applyAlignment="1">
      <alignment horizontal="center"/>
    </xf>
    <xf numFmtId="0" fontId="29" fillId="0" borderId="0" xfId="0" applyFont="1"/>
    <xf numFmtId="0" fontId="18" fillId="11" borderId="26" xfId="2" applyFont="1" applyFill="1" applyBorder="1" applyAlignment="1">
      <alignment horizontal="center"/>
    </xf>
    <xf numFmtId="0" fontId="18" fillId="11" borderId="27" xfId="2" applyFont="1" applyFill="1" applyBorder="1" applyAlignment="1">
      <alignment horizontal="center"/>
    </xf>
    <xf numFmtId="1" fontId="18" fillId="11" borderId="0" xfId="2" applyNumberFormat="1" applyFont="1" applyFill="1" applyAlignment="1">
      <alignment horizontal="center"/>
    </xf>
    <xf numFmtId="169" fontId="18" fillId="11" borderId="0" xfId="2" applyNumberFormat="1" applyFont="1" applyFill="1" applyAlignment="1">
      <alignment horizontal="center"/>
    </xf>
    <xf numFmtId="1" fontId="0" fillId="12" borderId="0" xfId="0" applyNumberFormat="1" applyFill="1" applyAlignment="1">
      <alignment horizontal="center" wrapText="1"/>
    </xf>
    <xf numFmtId="0" fontId="0" fillId="13" borderId="0" xfId="0" applyFill="1" applyAlignment="1">
      <alignment horizontal="center"/>
    </xf>
    <xf numFmtId="0" fontId="0" fillId="13" borderId="0" xfId="0" applyFill="1"/>
    <xf numFmtId="0" fontId="0" fillId="25" borderId="0" xfId="0" applyFill="1" applyAlignment="1">
      <alignment horizontal="center" wrapText="1"/>
    </xf>
    <xf numFmtId="2" fontId="18" fillId="31" borderId="0" xfId="2" applyNumberFormat="1" applyFont="1" applyFill="1" applyAlignment="1">
      <alignment horizontal="center"/>
    </xf>
    <xf numFmtId="0" fontId="0" fillId="32" borderId="0" xfId="0" applyFill="1"/>
    <xf numFmtId="2" fontId="0" fillId="30" borderId="0" xfId="0" applyNumberFormat="1" applyFill="1" applyAlignment="1">
      <alignment horizontal="center"/>
    </xf>
    <xf numFmtId="0" fontId="30" fillId="0" borderId="0" xfId="0" applyFont="1" applyAlignment="1">
      <alignment vertical="center" wrapText="1"/>
    </xf>
    <xf numFmtId="0" fontId="30" fillId="15" borderId="0" xfId="0" applyFont="1" applyFill="1" applyAlignment="1">
      <alignment vertical="center" wrapText="1"/>
    </xf>
    <xf numFmtId="0" fontId="31" fillId="15" borderId="0" xfId="0" applyFont="1" applyFill="1" applyAlignment="1">
      <alignment vertical="center" wrapText="1"/>
    </xf>
    <xf numFmtId="173" fontId="0" fillId="0" borderId="0" xfId="0" applyNumberFormat="1" applyAlignment="1">
      <alignment horizontal="center"/>
    </xf>
    <xf numFmtId="0" fontId="31" fillId="0" borderId="0" xfId="0" applyFont="1"/>
    <xf numFmtId="0" fontId="31" fillId="0" borderId="0" xfId="0" applyFont="1" applyAlignment="1">
      <alignment vertical="center" wrapText="1"/>
    </xf>
    <xf numFmtId="0" fontId="30" fillId="33" borderId="0" xfId="0" applyFont="1" applyFill="1" applyAlignment="1">
      <alignment vertical="center" wrapText="1"/>
    </xf>
    <xf numFmtId="0" fontId="31" fillId="33" borderId="0" xfId="0" applyFont="1" applyFill="1" applyAlignment="1">
      <alignment vertical="center" wrapText="1"/>
    </xf>
    <xf numFmtId="0" fontId="0" fillId="30" borderId="0" xfId="0" applyFill="1" applyAlignment="1">
      <alignment horizontal="left"/>
    </xf>
    <xf numFmtId="0" fontId="18" fillId="15" borderId="0" xfId="2" applyFont="1" applyFill="1"/>
    <xf numFmtId="0" fontId="0" fillId="34" borderId="0" xfId="0" applyFill="1"/>
    <xf numFmtId="0" fontId="0" fillId="13" borderId="0" xfId="0" applyFill="1" applyAlignment="1">
      <alignment horizontal="left"/>
    </xf>
    <xf numFmtId="0" fontId="18" fillId="33" borderId="0" xfId="2" applyFont="1" applyFill="1"/>
    <xf numFmtId="0" fontId="3" fillId="13" borderId="0" xfId="0" applyFont="1" applyFill="1" applyAlignment="1">
      <alignment horizontal="center"/>
    </xf>
    <xf numFmtId="0" fontId="18" fillId="35" borderId="0" xfId="2" applyFont="1" applyFill="1"/>
    <xf numFmtId="0" fontId="30" fillId="35" borderId="0" xfId="0" applyFont="1" applyFill="1" applyAlignment="1">
      <alignment vertical="center" wrapText="1"/>
    </xf>
    <xf numFmtId="0" fontId="31" fillId="35" borderId="0" xfId="0" applyFont="1" applyFill="1" applyAlignment="1">
      <alignment vertical="center" wrapText="1"/>
    </xf>
    <xf numFmtId="0" fontId="12" fillId="25" borderId="2" xfId="0" applyFont="1" applyFill="1" applyBorder="1"/>
    <xf numFmtId="0" fontId="31" fillId="0" borderId="0" xfId="0" applyFont="1" applyAlignment="1">
      <alignment horizontal="center" vertical="center" wrapText="1"/>
    </xf>
    <xf numFmtId="0" fontId="18" fillId="2" borderId="0" xfId="2" applyFont="1" applyFill="1" applyAlignment="1">
      <alignment vertical="center" wrapText="1"/>
    </xf>
    <xf numFmtId="1" fontId="3" fillId="12" borderId="0" xfId="0" applyNumberFormat="1" applyFont="1" applyFill="1" applyAlignment="1">
      <alignment horizontal="center" wrapText="1"/>
    </xf>
    <xf numFmtId="1" fontId="3" fillId="36" borderId="0" xfId="0" applyNumberFormat="1" applyFont="1" applyFill="1" applyAlignment="1">
      <alignment horizontal="center"/>
    </xf>
    <xf numFmtId="1" fontId="29" fillId="12" borderId="9" xfId="0" applyNumberFormat="1" applyFont="1" applyFill="1" applyBorder="1" applyAlignment="1">
      <alignment horizontal="center"/>
    </xf>
    <xf numFmtId="0" fontId="18" fillId="31" borderId="0" xfId="2" applyFont="1" applyFill="1" applyAlignment="1">
      <alignment horizontal="center"/>
    </xf>
    <xf numFmtId="0" fontId="0" fillId="36" borderId="0" xfId="0" applyFill="1" applyAlignment="1">
      <alignment vertical="center" wrapText="1"/>
    </xf>
    <xf numFmtId="2" fontId="0" fillId="13" borderId="0" xfId="0" applyNumberFormat="1" applyFill="1" applyAlignment="1">
      <alignment horizontal="center"/>
    </xf>
    <xf numFmtId="0" fontId="3" fillId="25" borderId="0" xfId="0" applyFont="1" applyFill="1" applyAlignment="1">
      <alignment horizontal="center" wrapText="1"/>
    </xf>
    <xf numFmtId="0" fontId="0" fillId="36" borderId="0" xfId="0" applyFill="1"/>
    <xf numFmtId="0" fontId="18" fillId="13" borderId="0" xfId="2" applyFont="1" applyFill="1" applyAlignment="1">
      <alignment horizontal="center"/>
    </xf>
    <xf numFmtId="0" fontId="3" fillId="30" borderId="0" xfId="0" applyFont="1" applyFill="1" applyAlignment="1">
      <alignment horizontal="center"/>
    </xf>
    <xf numFmtId="0" fontId="0" fillId="30" borderId="0" xfId="0" applyFill="1" applyAlignment="1">
      <alignment vertical="center" wrapText="1"/>
    </xf>
    <xf numFmtId="0" fontId="18" fillId="30" borderId="0" xfId="2" applyFont="1" applyFill="1" applyAlignment="1">
      <alignment horizontal="center"/>
    </xf>
    <xf numFmtId="0" fontId="0" fillId="0" borderId="0" xfId="0" applyAlignment="1">
      <alignment vertical="center" wrapText="1"/>
    </xf>
    <xf numFmtId="2" fontId="18" fillId="11" borderId="0" xfId="2" applyNumberFormat="1" applyFont="1" applyFill="1" applyAlignment="1">
      <alignment horizontal="center"/>
    </xf>
    <xf numFmtId="2" fontId="0" fillId="0" borderId="0" xfId="0" applyNumberFormat="1"/>
    <xf numFmtId="1" fontId="3" fillId="25" borderId="0" xfId="0" applyNumberFormat="1" applyFont="1" applyFill="1" applyAlignment="1">
      <alignment horizontal="center" wrapText="1"/>
    </xf>
    <xf numFmtId="1" fontId="29" fillId="0" borderId="0" xfId="0" applyNumberFormat="1" applyFont="1" applyAlignment="1">
      <alignment horizontal="center"/>
    </xf>
    <xf numFmtId="0" fontId="29" fillId="0" borderId="0" xfId="0" applyFont="1" applyAlignment="1">
      <alignment horizontal="center"/>
    </xf>
    <xf numFmtId="172" fontId="18" fillId="33" borderId="0" xfId="2" applyNumberFormat="1" applyFont="1" applyFill="1"/>
    <xf numFmtId="0" fontId="32" fillId="0" borderId="0" xfId="0" applyFont="1" applyAlignment="1">
      <alignment horizontal="center"/>
    </xf>
    <xf numFmtId="0" fontId="32" fillId="0" borderId="0" xfId="0" applyFont="1"/>
    <xf numFmtId="0" fontId="32" fillId="0" borderId="0" xfId="0" applyFont="1" applyAlignment="1">
      <alignment horizontal="right"/>
    </xf>
    <xf numFmtId="172" fontId="0" fillId="13" borderId="0" xfId="0" applyNumberFormat="1" applyFill="1"/>
    <xf numFmtId="173" fontId="3" fillId="13" borderId="0" xfId="0" applyNumberFormat="1" applyFont="1" applyFill="1" applyAlignment="1">
      <alignment horizontal="center"/>
    </xf>
    <xf numFmtId="172" fontId="18" fillId="13" borderId="0" xfId="2" applyNumberFormat="1" applyFont="1" applyFill="1" applyAlignment="1">
      <alignment horizontal="center"/>
    </xf>
    <xf numFmtId="172" fontId="18" fillId="11" borderId="0" xfId="2" applyNumberFormat="1" applyFont="1" applyFill="1" applyAlignment="1">
      <alignment horizontal="center"/>
    </xf>
    <xf numFmtId="172" fontId="0" fillId="30" borderId="0" xfId="0" applyNumberFormat="1" applyFill="1" applyAlignment="1">
      <alignment horizontal="center"/>
    </xf>
    <xf numFmtId="0" fontId="0" fillId="34" borderId="0" xfId="0" applyFill="1" applyAlignment="1">
      <alignment horizontal="center"/>
    </xf>
    <xf numFmtId="0" fontId="33" fillId="0" borderId="0" xfId="0" applyFont="1" applyAlignment="1">
      <alignment horizontal="right"/>
    </xf>
    <xf numFmtId="0" fontId="10" fillId="15" borderId="2" xfId="0" applyFont="1" applyFill="1" applyBorder="1"/>
    <xf numFmtId="0" fontId="34" fillId="15" borderId="2" xfId="0" applyFont="1" applyFill="1" applyBorder="1"/>
    <xf numFmtId="0" fontId="3" fillId="15" borderId="0" xfId="0" applyFont="1" applyFill="1" applyAlignment="1">
      <alignment horizontal="center"/>
    </xf>
    <xf numFmtId="1" fontId="35" fillId="15" borderId="0" xfId="0" applyNumberFormat="1" applyFont="1" applyFill="1" applyAlignment="1">
      <alignment horizontal="center"/>
    </xf>
    <xf numFmtId="2" fontId="18" fillId="13" borderId="0" xfId="2" applyNumberFormat="1" applyFont="1" applyFill="1" applyAlignment="1">
      <alignment horizontal="center"/>
    </xf>
    <xf numFmtId="0" fontId="36" fillId="13" borderId="0" xfId="0" applyFont="1" applyFill="1" applyAlignment="1">
      <alignment horizontal="center"/>
    </xf>
    <xf numFmtId="1" fontId="0" fillId="15" borderId="0" xfId="0" applyNumberFormat="1" applyFill="1" applyAlignment="1">
      <alignment horizontal="center" wrapText="1"/>
    </xf>
    <xf numFmtId="1" fontId="32" fillId="25" borderId="0" xfId="0" applyNumberFormat="1" applyFont="1" applyFill="1" applyAlignment="1">
      <alignment horizontal="center"/>
    </xf>
    <xf numFmtId="0" fontId="37" fillId="13" borderId="2" xfId="0" applyFont="1" applyFill="1" applyBorder="1"/>
    <xf numFmtId="2" fontId="0" fillId="31" borderId="0" xfId="0" applyNumberFormat="1" applyFill="1"/>
    <xf numFmtId="1" fontId="0" fillId="25" borderId="0" xfId="0" applyNumberFormat="1" applyFill="1" applyAlignment="1">
      <alignment horizontal="center" wrapText="1"/>
    </xf>
    <xf numFmtId="1" fontId="32" fillId="12" borderId="9" xfId="0" applyNumberFormat="1" applyFont="1" applyFill="1" applyBorder="1" applyAlignment="1">
      <alignment horizontal="center"/>
    </xf>
    <xf numFmtId="1" fontId="29" fillId="25" borderId="0" xfId="0" applyNumberFormat="1" applyFont="1" applyFill="1" applyAlignment="1">
      <alignment horizontal="center"/>
    </xf>
    <xf numFmtId="1" fontId="29" fillId="12" borderId="0" xfId="0" applyNumberFormat="1" applyFont="1" applyFill="1" applyAlignment="1">
      <alignment horizontal="center" wrapText="1"/>
    </xf>
    <xf numFmtId="1" fontId="0" fillId="25" borderId="0" xfId="0" applyNumberFormat="1" applyFill="1" applyAlignment="1">
      <alignment horizontal="center"/>
    </xf>
    <xf numFmtId="2" fontId="18" fillId="30" borderId="0" xfId="2" applyNumberFormat="1" applyFont="1" applyFill="1" applyAlignment="1">
      <alignment horizontal="center"/>
    </xf>
    <xf numFmtId="0" fontId="26" fillId="0" borderId="0" xfId="0" applyFont="1"/>
    <xf numFmtId="1" fontId="38" fillId="12" borderId="0" xfId="0" applyNumberFormat="1" applyFont="1" applyFill="1" applyAlignment="1">
      <alignment horizontal="center" wrapText="1"/>
    </xf>
    <xf numFmtId="1" fontId="32" fillId="0" borderId="0" xfId="0" applyNumberFormat="1" applyFont="1" applyAlignment="1">
      <alignment horizontal="center"/>
    </xf>
    <xf numFmtId="0" fontId="0" fillId="15" borderId="0" xfId="0" applyFill="1" applyAlignment="1">
      <alignment vertical="center" wrapText="1"/>
    </xf>
    <xf numFmtId="0" fontId="0" fillId="15" borderId="0" xfId="0" applyFill="1"/>
    <xf numFmtId="1" fontId="27" fillId="0" borderId="0" xfId="0" applyNumberFormat="1" applyFont="1" applyAlignment="1">
      <alignment horizontal="center"/>
    </xf>
    <xf numFmtId="0" fontId="0" fillId="37" borderId="0" xfId="0" applyFill="1"/>
    <xf numFmtId="0" fontId="39" fillId="0" borderId="0" xfId="0" applyFont="1"/>
    <xf numFmtId="0" fontId="40" fillId="38" borderId="0" xfId="0" applyFont="1" applyFill="1"/>
    <xf numFmtId="1" fontId="32" fillId="38" borderId="9" xfId="0" applyNumberFormat="1" applyFont="1" applyFill="1" applyBorder="1" applyAlignment="1">
      <alignment horizontal="center"/>
    </xf>
    <xf numFmtId="172" fontId="32" fillId="38" borderId="9" xfId="0" applyNumberFormat="1" applyFont="1" applyFill="1" applyBorder="1" applyAlignment="1">
      <alignment horizontal="center"/>
    </xf>
    <xf numFmtId="0" fontId="41" fillId="38" borderId="0" xfId="0" applyFont="1" applyFill="1"/>
    <xf numFmtId="0" fontId="26" fillId="15" borderId="0" xfId="0" applyFont="1" applyFill="1"/>
    <xf numFmtId="1" fontId="3" fillId="12" borderId="7" xfId="0" applyNumberFormat="1" applyFont="1" applyFill="1" applyBorder="1" applyAlignment="1">
      <alignment horizontal="center"/>
    </xf>
    <xf numFmtId="0" fontId="0" fillId="39" borderId="0" xfId="0" applyFill="1" applyAlignment="1">
      <alignment horizontal="center"/>
    </xf>
    <xf numFmtId="0" fontId="0" fillId="40" borderId="0" xfId="0" applyFill="1" applyAlignment="1">
      <alignment horizontal="center"/>
    </xf>
    <xf numFmtId="164" fontId="0" fillId="40" borderId="0" xfId="0" applyNumberFormat="1" applyFill="1" applyAlignment="1">
      <alignment horizontal="center"/>
    </xf>
    <xf numFmtId="0" fontId="3" fillId="40" borderId="0" xfId="0" applyFont="1" applyFill="1" applyAlignment="1">
      <alignment horizontal="center"/>
    </xf>
    <xf numFmtId="0" fontId="0" fillId="41" borderId="0" xfId="0" applyFill="1" applyAlignment="1">
      <alignment horizontal="center"/>
    </xf>
    <xf numFmtId="0" fontId="3" fillId="41" borderId="0" xfId="0" applyFont="1" applyFill="1" applyAlignment="1">
      <alignment horizontal="center"/>
    </xf>
    <xf numFmtId="0" fontId="0" fillId="31" borderId="0" xfId="0" applyFill="1" applyAlignment="1">
      <alignment horizontal="left"/>
    </xf>
    <xf numFmtId="0" fontId="0" fillId="31" borderId="0" xfId="0" applyFill="1" applyAlignment="1">
      <alignment horizontal="center"/>
    </xf>
    <xf numFmtId="164" fontId="0" fillId="41" borderId="0" xfId="0" applyNumberFormat="1" applyFill="1" applyAlignment="1">
      <alignment horizontal="center"/>
    </xf>
    <xf numFmtId="164" fontId="3" fillId="41" borderId="0" xfId="0" applyNumberFormat="1" applyFont="1" applyFill="1" applyAlignment="1">
      <alignment horizontal="center"/>
    </xf>
    <xf numFmtId="0" fontId="0" fillId="40" borderId="0" xfId="0" applyFill="1"/>
    <xf numFmtId="0" fontId="0" fillId="40" borderId="0" xfId="0" applyFill="1" applyAlignment="1">
      <alignment horizontal="right"/>
    </xf>
    <xf numFmtId="164" fontId="3" fillId="40" borderId="0" xfId="0" applyNumberFormat="1" applyFont="1" applyFill="1" applyAlignment="1">
      <alignment horizontal="center"/>
    </xf>
    <xf numFmtId="0" fontId="3" fillId="16" borderId="2" xfId="0" applyFont="1" applyFill="1" applyBorder="1" applyAlignment="1">
      <alignment horizontal="center"/>
    </xf>
    <xf numFmtId="0" fontId="3" fillId="16" borderId="2" xfId="0" applyFont="1" applyFill="1" applyBorder="1" applyAlignment="1">
      <alignment horizontal="center" wrapText="1"/>
    </xf>
    <xf numFmtId="0" fontId="0" fillId="16" borderId="2" xfId="0" applyFill="1" applyBorder="1" applyAlignment="1">
      <alignment horizontal="center"/>
    </xf>
    <xf numFmtId="0" fontId="0" fillId="0" borderId="2" xfId="0" applyBorder="1"/>
    <xf numFmtId="0" fontId="0" fillId="0" borderId="2" xfId="0" applyBorder="1" applyAlignment="1">
      <alignment horizontal="right"/>
    </xf>
    <xf numFmtId="0" fontId="3" fillId="42" borderId="2" xfId="0" applyFont="1" applyFill="1" applyBorder="1" applyAlignment="1">
      <alignment horizontal="center"/>
    </xf>
    <xf numFmtId="0" fontId="3" fillId="0" borderId="2" xfId="0" applyFont="1" applyBorder="1" applyAlignment="1">
      <alignment horizontal="center"/>
    </xf>
    <xf numFmtId="0" fontId="3" fillId="0" borderId="2" xfId="0" applyFont="1" applyBorder="1"/>
    <xf numFmtId="0" fontId="46" fillId="0" borderId="0" xfId="0" applyFont="1"/>
    <xf numFmtId="0" fontId="45" fillId="0" borderId="0" xfId="0" applyFont="1"/>
    <xf numFmtId="0" fontId="46" fillId="0" borderId="0" xfId="0" applyFont="1" applyAlignment="1">
      <alignment horizontal="center"/>
    </xf>
    <xf numFmtId="0" fontId="47" fillId="0" borderId="0" xfId="0" applyFont="1" applyAlignment="1">
      <alignment horizontal="center"/>
    </xf>
    <xf numFmtId="0" fontId="3" fillId="0" borderId="2" xfId="0" applyFont="1" applyBorder="1" applyAlignment="1">
      <alignment horizontal="left"/>
    </xf>
    <xf numFmtId="0" fontId="48" fillId="43" borderId="24" xfId="0" applyFont="1" applyFill="1" applyBorder="1" applyAlignment="1">
      <alignment vertical="center" wrapText="1"/>
    </xf>
    <xf numFmtId="0" fontId="48" fillId="43" borderId="2" xfId="0" applyFont="1" applyFill="1" applyBorder="1" applyAlignment="1">
      <alignment vertical="center" wrapText="1"/>
    </xf>
    <xf numFmtId="0" fontId="50" fillId="0" borderId="2" xfId="0" applyFont="1" applyBorder="1" applyAlignment="1">
      <alignment horizontal="center" wrapText="1" readingOrder="1"/>
    </xf>
    <xf numFmtId="171" fontId="50" fillId="0" borderId="8" xfId="0" applyNumberFormat="1" applyFont="1" applyBorder="1" applyAlignment="1">
      <alignment horizontal="right" wrapText="1" readingOrder="1"/>
    </xf>
    <xf numFmtId="171" fontId="50" fillId="0" borderId="8" xfId="0" applyNumberFormat="1" applyFont="1" applyBorder="1" applyAlignment="1">
      <alignment horizontal="right"/>
    </xf>
    <xf numFmtId="171" fontId="50" fillId="0" borderId="2" xfId="0" applyNumberFormat="1" applyFont="1" applyBorder="1" applyAlignment="1">
      <alignment horizontal="right" wrapText="1" readingOrder="1"/>
    </xf>
    <xf numFmtId="171" fontId="50" fillId="0" borderId="2" xfId="0" applyNumberFormat="1" applyFont="1" applyBorder="1" applyAlignment="1">
      <alignment horizontal="right"/>
    </xf>
    <xf numFmtId="0" fontId="50" fillId="0" borderId="2" xfId="0" applyFont="1" applyBorder="1"/>
    <xf numFmtId="0" fontId="51" fillId="0" borderId="0" xfId="0" applyFont="1"/>
    <xf numFmtId="0" fontId="2" fillId="0" borderId="3" xfId="0" applyFont="1" applyBorder="1"/>
    <xf numFmtId="0" fontId="2" fillId="0" borderId="4" xfId="0" applyFont="1" applyBorder="1"/>
    <xf numFmtId="0" fontId="2" fillId="0" borderId="6" xfId="0" applyFont="1" applyBorder="1"/>
    <xf numFmtId="0" fontId="2" fillId="0" borderId="7" xfId="0" applyFont="1" applyBorder="1"/>
    <xf numFmtId="0" fontId="2" fillId="0" borderId="0" xfId="0" applyFont="1"/>
    <xf numFmtId="2" fontId="2" fillId="0" borderId="9" xfId="0" applyNumberFormat="1" applyFont="1" applyBorder="1"/>
    <xf numFmtId="0" fontId="2" fillId="0" borderId="9" xfId="0" applyFont="1" applyBorder="1"/>
    <xf numFmtId="0" fontId="0" fillId="0" borderId="9" xfId="0" applyBorder="1"/>
    <xf numFmtId="1" fontId="2" fillId="0" borderId="9" xfId="0" applyNumberFormat="1" applyFont="1" applyBorder="1"/>
    <xf numFmtId="1" fontId="18" fillId="0" borderId="9" xfId="0" applyNumberFormat="1" applyFont="1" applyBorder="1"/>
    <xf numFmtId="0" fontId="2" fillId="0" borderId="14" xfId="0" applyFont="1" applyBorder="1"/>
    <xf numFmtId="0" fontId="2" fillId="0" borderId="15" xfId="0" applyFont="1" applyBorder="1"/>
    <xf numFmtId="1" fontId="18" fillId="0" borderId="16" xfId="0" applyNumberFormat="1" applyFont="1" applyBorder="1"/>
    <xf numFmtId="0" fontId="0" fillId="33" borderId="0" xfId="0" applyFill="1" applyAlignment="1">
      <alignment horizontal="center"/>
    </xf>
    <xf numFmtId="0" fontId="0" fillId="33" borderId="0" xfId="0" applyFill="1"/>
    <xf numFmtId="0" fontId="3" fillId="12" borderId="0" xfId="0" applyFont="1" applyFill="1" applyAlignment="1">
      <alignment horizontal="center" wrapText="1"/>
    </xf>
    <xf numFmtId="169" fontId="0" fillId="33" borderId="0" xfId="0" applyNumberFormat="1" applyFill="1"/>
    <xf numFmtId="0" fontId="0" fillId="12" borderId="0" xfId="0" applyFill="1" applyAlignment="1">
      <alignment horizontal="center" wrapText="1"/>
    </xf>
    <xf numFmtId="164" fontId="0" fillId="12" borderId="17" xfId="0" applyNumberFormat="1" applyFill="1" applyBorder="1" applyAlignment="1">
      <alignment horizontal="center"/>
    </xf>
    <xf numFmtId="164" fontId="0" fillId="0" borderId="0" xfId="0" applyNumberFormat="1" applyAlignment="1">
      <alignment horizontal="left"/>
    </xf>
    <xf numFmtId="0" fontId="0" fillId="44" borderId="0" xfId="0" applyFill="1" applyAlignment="1">
      <alignment horizontal="center"/>
    </xf>
    <xf numFmtId="0" fontId="0" fillId="20" borderId="0" xfId="0" applyFill="1" applyAlignment="1">
      <alignment horizontal="center"/>
    </xf>
    <xf numFmtId="0" fontId="0" fillId="20" borderId="0" xfId="0" applyFill="1" applyAlignment="1">
      <alignment horizontal="left"/>
    </xf>
    <xf numFmtId="165" fontId="27" fillId="8" borderId="0" xfId="1" applyFill="1" applyBorder="1" applyProtection="1"/>
    <xf numFmtId="0" fontId="8" fillId="9" borderId="0" xfId="0" applyFont="1" applyFill="1"/>
    <xf numFmtId="0" fontId="8" fillId="10" borderId="0" xfId="0" applyFont="1" applyFill="1"/>
    <xf numFmtId="167" fontId="0" fillId="12" borderId="0" xfId="0" applyNumberFormat="1" applyFill="1" applyAlignment="1">
      <alignment horizontal="center"/>
    </xf>
    <xf numFmtId="174" fontId="0" fillId="0" borderId="0" xfId="0" applyNumberFormat="1"/>
    <xf numFmtId="0" fontId="0" fillId="11" borderId="2" xfId="0" applyFill="1" applyBorder="1" applyAlignment="1">
      <alignment horizontal="center"/>
    </xf>
    <xf numFmtId="0" fontId="0" fillId="5" borderId="0" xfId="0" applyFill="1"/>
    <xf numFmtId="0" fontId="0" fillId="45" borderId="0" xfId="0" applyFill="1"/>
    <xf numFmtId="1" fontId="53" fillId="0" borderId="0" xfId="0" applyNumberFormat="1" applyFont="1" applyAlignment="1">
      <alignment horizontal="center"/>
    </xf>
    <xf numFmtId="0" fontId="54" fillId="46" borderId="30" xfId="3" applyFont="1" applyFill="1" applyBorder="1"/>
    <xf numFmtId="0" fontId="0" fillId="47" borderId="0" xfId="0" applyFill="1"/>
    <xf numFmtId="0" fontId="54" fillId="46" borderId="30" xfId="0" applyFont="1" applyFill="1" applyBorder="1"/>
    <xf numFmtId="0" fontId="27" fillId="2" borderId="0" xfId="2" applyFont="1" applyFill="1"/>
    <xf numFmtId="0" fontId="27" fillId="2" borderId="0" xfId="2" applyFont="1" applyFill="1" applyAlignment="1">
      <alignment vertical="center" wrapText="1"/>
    </xf>
    <xf numFmtId="0" fontId="54" fillId="48" borderId="30" xfId="0" applyFont="1" applyFill="1" applyBorder="1"/>
    <xf numFmtId="0" fontId="55" fillId="46" borderId="30" xfId="3" applyFont="1" applyFill="1" applyBorder="1"/>
    <xf numFmtId="0" fontId="0" fillId="49" borderId="0" xfId="0" applyFill="1"/>
    <xf numFmtId="0" fontId="54" fillId="50" borderId="2" xfId="0" applyFont="1" applyFill="1" applyBorder="1"/>
    <xf numFmtId="0" fontId="55" fillId="50" borderId="2" xfId="0" applyFont="1" applyFill="1" applyBorder="1"/>
    <xf numFmtId="0" fontId="56" fillId="50" borderId="2" xfId="0" applyFont="1" applyFill="1" applyBorder="1"/>
    <xf numFmtId="0" fontId="0" fillId="51" borderId="0" xfId="0" applyFill="1"/>
    <xf numFmtId="0" fontId="55" fillId="48" borderId="30" xfId="0" applyFont="1" applyFill="1" applyBorder="1"/>
    <xf numFmtId="1" fontId="0" fillId="52" borderId="0" xfId="0" applyNumberFormat="1" applyFill="1" applyAlignment="1">
      <alignment horizontal="center"/>
    </xf>
    <xf numFmtId="2" fontId="18" fillId="13" borderId="1" xfId="2" applyNumberFormat="1" applyFont="1" applyFill="1" applyBorder="1" applyAlignment="1">
      <alignment horizontal="center"/>
    </xf>
    <xf numFmtId="0" fontId="54" fillId="53" borderId="30" xfId="0" applyFont="1" applyFill="1" applyBorder="1"/>
    <xf numFmtId="1" fontId="29" fillId="54" borderId="9" xfId="0" applyNumberFormat="1" applyFont="1" applyFill="1" applyBorder="1" applyAlignment="1">
      <alignment horizontal="center"/>
    </xf>
    <xf numFmtId="1" fontId="57" fillId="0" borderId="0" xfId="0" applyNumberFormat="1" applyFont="1" applyAlignment="1">
      <alignment horizontal="center"/>
    </xf>
    <xf numFmtId="2" fontId="18" fillId="13" borderId="31" xfId="2" applyNumberFormat="1" applyFont="1" applyFill="1" applyBorder="1" applyAlignment="1">
      <alignment horizontal="center"/>
    </xf>
    <xf numFmtId="0" fontId="54" fillId="46" borderId="0" xfId="3" applyFont="1" applyFill="1"/>
    <xf numFmtId="1" fontId="0" fillId="55" borderId="0" xfId="0" applyNumberFormat="1" applyFill="1" applyAlignment="1">
      <alignment horizontal="center"/>
    </xf>
    <xf numFmtId="0" fontId="59" fillId="30" borderId="0" xfId="0" applyFont="1" applyFill="1" applyAlignment="1">
      <alignment horizontal="center"/>
    </xf>
    <xf numFmtId="1" fontId="57" fillId="12" borderId="0" xfId="0" applyNumberFormat="1" applyFont="1" applyFill="1" applyAlignment="1">
      <alignment horizontal="center"/>
    </xf>
    <xf numFmtId="1" fontId="0" fillId="52" borderId="0" xfId="0" applyNumberFormat="1" applyFill="1" applyAlignment="1">
      <alignment horizontal="center" wrapText="1"/>
    </xf>
    <xf numFmtId="0" fontId="0" fillId="56" borderId="0" xfId="0" applyFill="1" applyAlignment="1">
      <alignment horizontal="center"/>
    </xf>
    <xf numFmtId="0" fontId="0" fillId="56" borderId="0" xfId="0" applyFill="1"/>
    <xf numFmtId="0" fontId="0" fillId="57" borderId="0" xfId="0" applyFill="1"/>
    <xf numFmtId="0" fontId="60" fillId="0" borderId="0" xfId="0" applyFont="1"/>
    <xf numFmtId="0" fontId="61" fillId="0" borderId="0" xfId="0" applyFont="1"/>
    <xf numFmtId="0" fontId="61" fillId="57" borderId="0" xfId="0" applyFont="1" applyFill="1"/>
    <xf numFmtId="0" fontId="62" fillId="0" borderId="0" xfId="0" applyFont="1"/>
    <xf numFmtId="0" fontId="62" fillId="57" borderId="0" xfId="0" applyFont="1" applyFill="1"/>
    <xf numFmtId="1" fontId="59" fillId="0" borderId="0" xfId="0" applyNumberFormat="1" applyFont="1" applyAlignment="1">
      <alignment horizontal="center"/>
    </xf>
    <xf numFmtId="2" fontId="18" fillId="58" borderId="0" xfId="2" applyNumberFormat="1" applyFont="1" applyFill="1" applyAlignment="1">
      <alignment horizontal="center"/>
    </xf>
    <xf numFmtId="0" fontId="54" fillId="0" borderId="30" xfId="0" applyFont="1" applyBorder="1"/>
    <xf numFmtId="0" fontId="0" fillId="56" borderId="0" xfId="0" applyFill="1" applyAlignment="1">
      <alignment horizontal="right"/>
    </xf>
    <xf numFmtId="0" fontId="55" fillId="46" borderId="30" xfId="0" applyFont="1" applyFill="1" applyBorder="1"/>
    <xf numFmtId="0" fontId="56" fillId="0" borderId="2" xfId="0" applyFont="1" applyBorder="1"/>
    <xf numFmtId="1" fontId="0" fillId="59" borderId="0" xfId="0" applyNumberFormat="1" applyFill="1" applyAlignment="1">
      <alignment horizontal="center"/>
    </xf>
    <xf numFmtId="1" fontId="29" fillId="12" borderId="0" xfId="0" applyNumberFormat="1" applyFont="1" applyFill="1" applyAlignment="1">
      <alignment horizontal="center"/>
    </xf>
    <xf numFmtId="1" fontId="59" fillId="12" borderId="9" xfId="0" applyNumberFormat="1" applyFont="1" applyFill="1" applyBorder="1" applyAlignment="1">
      <alignment horizontal="center"/>
    </xf>
    <xf numFmtId="0" fontId="56" fillId="60" borderId="2" xfId="0" applyFont="1" applyFill="1" applyBorder="1"/>
    <xf numFmtId="1" fontId="0" fillId="61" borderId="0" xfId="0" applyNumberFormat="1" applyFill="1" applyAlignment="1">
      <alignment horizontal="center"/>
    </xf>
    <xf numFmtId="2" fontId="3" fillId="49" borderId="0" xfId="0" applyNumberFormat="1" applyFont="1" applyFill="1" applyAlignment="1">
      <alignment horizontal="center"/>
    </xf>
    <xf numFmtId="0" fontId="54" fillId="49" borderId="30" xfId="0" applyFont="1" applyFill="1" applyBorder="1"/>
    <xf numFmtId="0" fontId="54" fillId="56" borderId="30" xfId="0" applyFont="1" applyFill="1" applyBorder="1"/>
    <xf numFmtId="0" fontId="55" fillId="49" borderId="30" xfId="0" applyFont="1" applyFill="1" applyBorder="1"/>
    <xf numFmtId="0" fontId="2" fillId="2" borderId="0" xfId="2" applyFill="1" applyAlignment="1">
      <alignment horizontal="right" vertical="center" wrapText="1"/>
    </xf>
    <xf numFmtId="0" fontId="55" fillId="62" borderId="2" xfId="0" applyFont="1" applyFill="1" applyBorder="1"/>
    <xf numFmtId="0" fontId="55" fillId="49" borderId="2" xfId="0" applyFont="1" applyFill="1" applyBorder="1"/>
    <xf numFmtId="1" fontId="0" fillId="63" borderId="0" xfId="0" applyNumberFormat="1" applyFill="1" applyAlignment="1">
      <alignment horizontal="center"/>
    </xf>
    <xf numFmtId="1" fontId="0" fillId="64" borderId="0" xfId="0" applyNumberFormat="1" applyFill="1" applyAlignment="1">
      <alignment horizontal="center" wrapText="1"/>
    </xf>
    <xf numFmtId="0" fontId="54" fillId="65" borderId="30" xfId="0" applyFont="1" applyFill="1" applyBorder="1"/>
    <xf numFmtId="0" fontId="56" fillId="66" borderId="2" xfId="0" applyFont="1" applyFill="1" applyBorder="1"/>
    <xf numFmtId="1" fontId="0" fillId="55" borderId="0" xfId="0" applyNumberFormat="1" applyFill="1" applyAlignment="1">
      <alignment horizontal="center" wrapText="1"/>
    </xf>
    <xf numFmtId="0" fontId="56" fillId="69" borderId="2" xfId="0" applyFont="1" applyFill="1" applyBorder="1"/>
    <xf numFmtId="1" fontId="63" fillId="0" borderId="0" xfId="0" applyNumberFormat="1" applyFont="1" applyAlignment="1">
      <alignment horizontal="center"/>
    </xf>
    <xf numFmtId="1" fontId="63" fillId="0" borderId="0" xfId="0" applyNumberFormat="1" applyFont="1" applyAlignment="1">
      <alignment horizontal="left"/>
    </xf>
    <xf numFmtId="0" fontId="64" fillId="0" borderId="0" xfId="0" applyFont="1" applyAlignment="1">
      <alignment horizontal="center"/>
    </xf>
    <xf numFmtId="0" fontId="64" fillId="0" borderId="0" xfId="0" applyFont="1" applyAlignment="1">
      <alignment horizontal="right"/>
    </xf>
    <xf numFmtId="0" fontId="64" fillId="68" borderId="0" xfId="0" applyFont="1" applyFill="1"/>
    <xf numFmtId="0" fontId="64" fillId="0" borderId="0" xfId="0" applyFont="1"/>
    <xf numFmtId="1" fontId="65" fillId="12" borderId="9" xfId="0" applyNumberFormat="1" applyFont="1" applyFill="1" applyBorder="1" applyAlignment="1">
      <alignment horizontal="center"/>
    </xf>
    <xf numFmtId="0" fontId="0" fillId="0" borderId="0" xfId="0" applyAlignment="1">
      <alignment horizontal="center"/>
    </xf>
    <xf numFmtId="0" fontId="0" fillId="6" borderId="2" xfId="0" applyFill="1" applyBorder="1" applyAlignment="1">
      <alignment horizontal="center"/>
    </xf>
    <xf numFmtId="0" fontId="4" fillId="7" borderId="2" xfId="0" applyFont="1" applyFill="1" applyBorder="1" applyAlignment="1">
      <alignment horizontal="right"/>
    </xf>
    <xf numFmtId="0" fontId="0" fillId="7" borderId="2" xfId="0" applyFill="1" applyBorder="1" applyAlignment="1">
      <alignment horizontal="right"/>
    </xf>
    <xf numFmtId="0" fontId="42" fillId="16" borderId="2" xfId="0" applyFont="1" applyFill="1" applyBorder="1" applyAlignment="1">
      <alignment horizontal="center"/>
    </xf>
    <xf numFmtId="0" fontId="45" fillId="0" borderId="28" xfId="0" applyFont="1" applyBorder="1" applyAlignment="1">
      <alignment horizontal="left" wrapText="1"/>
    </xf>
    <xf numFmtId="0" fontId="0" fillId="0" borderId="2" xfId="0" applyBorder="1" applyAlignment="1">
      <alignment horizontal="center"/>
    </xf>
    <xf numFmtId="0" fontId="45" fillId="0" borderId="28" xfId="0" applyFont="1" applyBorder="1" applyAlignment="1">
      <alignment horizontal="left" vertical="center" wrapText="1"/>
    </xf>
    <xf numFmtId="0" fontId="0" fillId="0" borderId="10" xfId="0" applyBorder="1" applyAlignment="1">
      <alignment horizontal="center"/>
    </xf>
    <xf numFmtId="0" fontId="44" fillId="16" borderId="2" xfId="0" applyFont="1" applyFill="1" applyBorder="1" applyAlignment="1">
      <alignment horizontal="center"/>
    </xf>
    <xf numFmtId="0" fontId="46" fillId="0" borderId="28" xfId="0" applyFont="1" applyBorder="1" applyAlignment="1">
      <alignment horizontal="left"/>
    </xf>
    <xf numFmtId="0" fontId="52" fillId="0" borderId="23" xfId="0" applyFont="1" applyBorder="1" applyAlignment="1">
      <alignment horizontal="center"/>
    </xf>
    <xf numFmtId="0" fontId="48" fillId="43" borderId="29" xfId="0" applyFont="1" applyFill="1" applyBorder="1" applyAlignment="1">
      <alignment horizontal="center" vertical="center" wrapText="1" readingOrder="1"/>
    </xf>
    <xf numFmtId="0" fontId="49" fillId="0" borderId="28" xfId="0" applyFont="1" applyBorder="1" applyAlignment="1">
      <alignment horizontal="left" vertical="top" wrapText="1"/>
    </xf>
    <xf numFmtId="0" fontId="51" fillId="20" borderId="0" xfId="0" applyFont="1" applyFill="1" applyAlignment="1">
      <alignment horizontal="center"/>
    </xf>
    <xf numFmtId="0" fontId="66" fillId="13" borderId="0" xfId="0" applyFont="1" applyFill="1" applyAlignment="1">
      <alignment horizontal="center"/>
    </xf>
    <xf numFmtId="1" fontId="65" fillId="67" borderId="0" xfId="0" applyNumberFormat="1" applyFont="1" applyFill="1" applyAlignment="1">
      <alignment horizontal="center"/>
    </xf>
  </cellXfs>
  <cellStyles count="4">
    <cellStyle name="Comma" xfId="1" builtinId="3"/>
    <cellStyle name="Normal" xfId="0" builtinId="0"/>
    <cellStyle name="Normal 2" xfId="2" xr:uid="{00000000-0005-0000-0000-000006000000}"/>
    <cellStyle name="Normal 3" xfId="3" xr:uid="{C260EE9F-154D-418A-8F21-4716B700A363}"/>
  </cellStyles>
  <dxfs count="31">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
      <font>
        <sz val="11"/>
        <color rgb="FFFFFF00"/>
        <name val="Calibri"/>
        <family val="2"/>
      </font>
      <fill>
        <patternFill>
          <bgColor rgb="FFFF0000"/>
        </patternFill>
      </fill>
    </dxf>
  </dxfs>
  <tableStyles count="0" defaultTableStyle="TableStyleMedium2" defaultPivotStyle="PivotStyleLight16"/>
  <colors>
    <indexedColors>
      <rgbColor rgb="FF000000"/>
      <rgbColor rgb="FFFFFFFF"/>
      <rgbColor rgb="FFFF0000"/>
      <rgbColor rgb="FFCCFF33"/>
      <rgbColor rgb="FF0000FF"/>
      <rgbColor rgb="FFFFFF00"/>
      <rgbColor rgb="FFFD1DFF"/>
      <rgbColor rgb="FFDAE3F3"/>
      <rgbColor rgb="FFFFF2CC"/>
      <rgbColor rgb="FF008000"/>
      <rgbColor rgb="FF000080"/>
      <rgbColor rgb="FFAFD095"/>
      <rgbColor rgb="FFBF0041"/>
      <rgbColor rgb="FF127622"/>
      <rgbColor rgb="FFBFBFBF"/>
      <rgbColor rgb="FF92D050"/>
      <rgbColor rgb="FF8FAADC"/>
      <rgbColor rgb="FFD62E4E"/>
      <rgbColor rgb="FFFFF5CE"/>
      <rgbColor rgb="FFCCFFFF"/>
      <rgbColor rgb="FFE8F2A1"/>
      <rgbColor rgb="FFFFC000"/>
      <rgbColor rgb="FFDEDCE6"/>
      <rgbColor rgb="FFBDD7EE"/>
      <rgbColor rgb="FF000080"/>
      <rgbColor rgb="FFFBE5D6"/>
      <rgbColor rgb="FFE6E905"/>
      <rgbColor rgb="FFDDE8CB"/>
      <rgbColor rgb="FFFFE699"/>
      <rgbColor rgb="FFF2F2F2"/>
      <rgbColor rgb="FFD4EA6B"/>
      <rgbColor rgb="FF0000FF"/>
      <rgbColor rgb="FF00B0F0"/>
      <rgbColor rgb="FFDEEBF7"/>
      <rgbColor rgb="FFCCFFCC"/>
      <rgbColor rgb="FFFFF678"/>
      <rgbColor rgb="FFB4C7E7"/>
      <rgbColor rgb="FFE0C2CD"/>
      <rgbColor rgb="FFB4C7DC"/>
      <rgbColor rgb="FFFFD966"/>
      <rgbColor rgb="FF2E75B6"/>
      <rgbColor rgb="FFB3CAC7"/>
      <rgbColor rgb="FFACB20C"/>
      <rgbColor rgb="FFFFCC00"/>
      <rgbColor rgb="FFFFBF00"/>
      <rgbColor rgb="FFFF4000"/>
      <rgbColor rgb="FFD9D9D9"/>
      <rgbColor rgb="FF77BC65"/>
      <rgbColor rgb="FFE2F0D9"/>
      <rgbColor rgb="FF00B050"/>
      <rgbColor rgb="FF003300"/>
      <rgbColor rgb="FFE4F94F"/>
      <rgbColor rgb="FFB85C00"/>
      <rgbColor rgb="FFDDDDDD"/>
      <rgbColor rgb="FF2F5597"/>
      <rgbColor rgb="FFFFDE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685800</xdr:colOff>
      <xdr:row>293</xdr:row>
      <xdr:rowOff>61560</xdr:rowOff>
    </xdr:from>
    <xdr:to>
      <xdr:col>12</xdr:col>
      <xdr:colOff>1800</xdr:colOff>
      <xdr:row>294</xdr:row>
      <xdr:rowOff>70560</xdr:rowOff>
    </xdr:to>
    <xdr:sp macro="" textlink="">
      <xdr:nvSpPr>
        <xdr:cNvPr id="2" name="Oval 1">
          <a:extLst>
            <a:ext uri="{FF2B5EF4-FFF2-40B4-BE49-F238E27FC236}">
              <a16:creationId xmlns:a16="http://schemas.microsoft.com/office/drawing/2014/main" id="{00000000-0008-0000-0000-000002000000}"/>
            </a:ext>
          </a:extLst>
        </xdr:cNvPr>
        <xdr:cNvSpPr/>
      </xdr:nvSpPr>
      <xdr:spPr>
        <a:xfrm>
          <a:off x="8842320" y="56185920"/>
          <a:ext cx="814680" cy="190080"/>
        </a:xfrm>
        <a:prstGeom prst="ellipse">
          <a:avLst/>
        </a:prstGeom>
        <a:noFill/>
        <a:ln w="28440">
          <a:solidFill>
            <a:srgbClr val="2E75B6"/>
          </a:solidFill>
          <a:miter/>
        </a:ln>
      </xdr:spPr>
      <xdr:style>
        <a:lnRef idx="0">
          <a:scrgbClr r="0" g="0" b="0"/>
        </a:lnRef>
        <a:fillRef idx="0">
          <a:scrgbClr r="0" g="0" b="0"/>
        </a:fillRef>
        <a:effectRef idx="0">
          <a:scrgbClr r="0" g="0" b="0"/>
        </a:effectRef>
        <a:fontRef idx="minor"/>
      </xdr:style>
    </xdr:sp>
    <xdr:clientData/>
  </xdr:twoCellAnchor>
  <xdr:twoCellAnchor>
    <xdr:from>
      <xdr:col>11</xdr:col>
      <xdr:colOff>763200</xdr:colOff>
      <xdr:row>292</xdr:row>
      <xdr:rowOff>71280</xdr:rowOff>
    </xdr:from>
    <xdr:to>
      <xdr:col>12</xdr:col>
      <xdr:colOff>779400</xdr:colOff>
      <xdr:row>293</xdr:row>
      <xdr:rowOff>82080</xdr:rowOff>
    </xdr:to>
    <xdr:sp macro="" textlink="">
      <xdr:nvSpPr>
        <xdr:cNvPr id="3" name="Oval 2">
          <a:extLst>
            <a:ext uri="{FF2B5EF4-FFF2-40B4-BE49-F238E27FC236}">
              <a16:creationId xmlns:a16="http://schemas.microsoft.com/office/drawing/2014/main" id="{00000000-0008-0000-0000-000003000000}"/>
            </a:ext>
          </a:extLst>
        </xdr:cNvPr>
        <xdr:cNvSpPr/>
      </xdr:nvSpPr>
      <xdr:spPr>
        <a:xfrm>
          <a:off x="9624600" y="56014920"/>
          <a:ext cx="810000" cy="191520"/>
        </a:xfrm>
        <a:prstGeom prst="ellipse">
          <a:avLst/>
        </a:prstGeom>
        <a:noFill/>
        <a:ln w="28440">
          <a:solidFill>
            <a:srgbClr val="C00000"/>
          </a:solidFill>
          <a:miter/>
        </a:ln>
      </xdr:spPr>
      <xdr:style>
        <a:lnRef idx="0">
          <a:scrgbClr r="0" g="0" b="0"/>
        </a:lnRef>
        <a:fillRef idx="0">
          <a:scrgbClr r="0" g="0" b="0"/>
        </a:fillRef>
        <a:effectRef idx="0">
          <a:scrgbClr r="0" g="0" b="0"/>
        </a:effectRef>
        <a:fontRef idx="minor"/>
      </xdr:style>
    </xdr:sp>
    <xdr:clientData/>
  </xdr:twoCellAnchor>
  <xdr:twoCellAnchor>
    <xdr:from>
      <xdr:col>9</xdr:col>
      <xdr:colOff>65520</xdr:colOff>
      <xdr:row>339</xdr:row>
      <xdr:rowOff>82440</xdr:rowOff>
    </xdr:from>
    <xdr:to>
      <xdr:col>11</xdr:col>
      <xdr:colOff>37800</xdr:colOff>
      <xdr:row>341</xdr:row>
      <xdr:rowOff>168120</xdr:rowOff>
    </xdr:to>
    <xdr:cxnSp macro="">
      <xdr:nvCxnSpPr>
        <xdr:cNvPr id="4" name="Straight Arrow Connector 5">
          <a:extLst>
            <a:ext uri="{FF2B5EF4-FFF2-40B4-BE49-F238E27FC236}">
              <a16:creationId xmlns:a16="http://schemas.microsoft.com/office/drawing/2014/main" id="{00000000-0008-0000-0000-000004000000}"/>
            </a:ext>
          </a:extLst>
        </xdr:cNvPr>
        <xdr:cNvCxnSpPr/>
      </xdr:nvCxnSpPr>
      <xdr:spPr>
        <a:xfrm>
          <a:off x="7329240" y="64531800"/>
          <a:ext cx="1570320" cy="447840"/>
        </a:xfrm>
        <a:prstGeom prst="straightConnector1">
          <a:avLst/>
        </a:prstGeom>
        <a:ln w="6480">
          <a:solidFill>
            <a:srgbClr val="5B9BD5"/>
          </a:solidFill>
          <a:miter/>
          <a:tailEnd type="triangle" w="med" len="med"/>
        </a:ln>
      </xdr:spPr>
    </xdr:cxnSp>
    <xdr:clientData/>
  </xdr:twoCellAnchor>
  <xdr:twoCellAnchor>
    <xdr:from>
      <xdr:col>9</xdr:col>
      <xdr:colOff>66600</xdr:colOff>
      <xdr:row>343</xdr:row>
      <xdr:rowOff>101520</xdr:rowOff>
    </xdr:from>
    <xdr:to>
      <xdr:col>12</xdr:col>
      <xdr:colOff>54720</xdr:colOff>
      <xdr:row>343</xdr:row>
      <xdr:rowOff>122760</xdr:rowOff>
    </xdr:to>
    <xdr:cxnSp macro="">
      <xdr:nvCxnSpPr>
        <xdr:cNvPr id="5" name="Straight Arrow Connector 13">
          <a:extLst>
            <a:ext uri="{FF2B5EF4-FFF2-40B4-BE49-F238E27FC236}">
              <a16:creationId xmlns:a16="http://schemas.microsoft.com/office/drawing/2014/main" id="{00000000-0008-0000-0000-000005000000}"/>
            </a:ext>
          </a:extLst>
        </xdr:cNvPr>
        <xdr:cNvCxnSpPr/>
      </xdr:nvCxnSpPr>
      <xdr:spPr>
        <a:xfrm flipV="1">
          <a:off x="7330320" y="65274840"/>
          <a:ext cx="2379960" cy="21600"/>
        </a:xfrm>
        <a:prstGeom prst="straightConnector1">
          <a:avLst/>
        </a:prstGeom>
        <a:ln w="6480">
          <a:solidFill>
            <a:srgbClr val="5B9BD5"/>
          </a:solidFill>
          <a:miter/>
          <a:tailEnd type="triangle" w="med" len="med"/>
        </a:ln>
      </xdr:spPr>
    </xdr:cxnSp>
    <xdr:clientData/>
  </xdr:twoCellAnchor>
  <xdr:twoCellAnchor>
    <xdr:from>
      <xdr:col>9</xdr:col>
      <xdr:colOff>66600</xdr:colOff>
      <xdr:row>342</xdr:row>
      <xdr:rowOff>110880</xdr:rowOff>
    </xdr:from>
    <xdr:to>
      <xdr:col>11</xdr:col>
      <xdr:colOff>96120</xdr:colOff>
      <xdr:row>343</xdr:row>
      <xdr:rowOff>55080</xdr:rowOff>
    </xdr:to>
    <xdr:cxnSp macro="">
      <xdr:nvCxnSpPr>
        <xdr:cNvPr id="6" name="Straight Arrow Connector 15">
          <a:extLst>
            <a:ext uri="{FF2B5EF4-FFF2-40B4-BE49-F238E27FC236}">
              <a16:creationId xmlns:a16="http://schemas.microsoft.com/office/drawing/2014/main" id="{00000000-0008-0000-0000-000006000000}"/>
            </a:ext>
          </a:extLst>
        </xdr:cNvPr>
        <xdr:cNvCxnSpPr/>
      </xdr:nvCxnSpPr>
      <xdr:spPr>
        <a:xfrm>
          <a:off x="7330320" y="65103120"/>
          <a:ext cx="1627560" cy="125640"/>
        </a:xfrm>
        <a:prstGeom prst="straightConnector1">
          <a:avLst/>
        </a:prstGeom>
        <a:ln w="6480">
          <a:solidFill>
            <a:srgbClr val="5B9BD5"/>
          </a:solidFill>
          <a:miter/>
          <a:tailEnd type="triangle" w="med" len="med"/>
        </a:ln>
      </xdr:spPr>
    </xdr:cxnSp>
    <xdr:clientData/>
  </xdr:twoCellAnchor>
  <xdr:twoCellAnchor>
    <xdr:from>
      <xdr:col>9</xdr:col>
      <xdr:colOff>54720</xdr:colOff>
      <xdr:row>344</xdr:row>
      <xdr:rowOff>61200</xdr:rowOff>
    </xdr:from>
    <xdr:to>
      <xdr:col>10</xdr:col>
      <xdr:colOff>695160</xdr:colOff>
      <xdr:row>344</xdr:row>
      <xdr:rowOff>63360</xdr:rowOff>
    </xdr:to>
    <xdr:cxnSp macro="">
      <xdr:nvCxnSpPr>
        <xdr:cNvPr id="7" name="Straight Arrow Connector 16">
          <a:extLst>
            <a:ext uri="{FF2B5EF4-FFF2-40B4-BE49-F238E27FC236}">
              <a16:creationId xmlns:a16="http://schemas.microsoft.com/office/drawing/2014/main" id="{00000000-0008-0000-0000-000007000000}"/>
            </a:ext>
          </a:extLst>
        </xdr:cNvPr>
        <xdr:cNvCxnSpPr/>
      </xdr:nvCxnSpPr>
      <xdr:spPr>
        <a:xfrm>
          <a:off x="7318440" y="65415240"/>
          <a:ext cx="1533600" cy="2520"/>
        </a:xfrm>
        <a:prstGeom prst="straightConnector1">
          <a:avLst/>
        </a:prstGeom>
        <a:ln w="6480">
          <a:solidFill>
            <a:srgbClr val="5B9BD5"/>
          </a:solidFill>
          <a:miter/>
          <a:tailEnd type="triangle" w="med" len="med"/>
        </a:ln>
      </xdr:spPr>
    </xdr:cxnSp>
    <xdr:clientData/>
  </xdr:twoCellAnchor>
  <xdr:twoCellAnchor>
    <xdr:from>
      <xdr:col>9</xdr:col>
      <xdr:colOff>75960</xdr:colOff>
      <xdr:row>344</xdr:row>
      <xdr:rowOff>92880</xdr:rowOff>
    </xdr:from>
    <xdr:to>
      <xdr:col>12</xdr:col>
      <xdr:colOff>65520</xdr:colOff>
      <xdr:row>346</xdr:row>
      <xdr:rowOff>44280</xdr:rowOff>
    </xdr:to>
    <xdr:cxnSp macro="">
      <xdr:nvCxnSpPr>
        <xdr:cNvPr id="8" name="Straight Arrow Connector 19">
          <a:extLst>
            <a:ext uri="{FF2B5EF4-FFF2-40B4-BE49-F238E27FC236}">
              <a16:creationId xmlns:a16="http://schemas.microsoft.com/office/drawing/2014/main" id="{00000000-0008-0000-0000-000008000000}"/>
            </a:ext>
          </a:extLst>
        </xdr:cNvPr>
        <xdr:cNvCxnSpPr/>
      </xdr:nvCxnSpPr>
      <xdr:spPr>
        <a:xfrm flipV="1">
          <a:off x="7339680" y="65446920"/>
          <a:ext cx="2381400" cy="313920"/>
        </a:xfrm>
        <a:prstGeom prst="straightConnector1">
          <a:avLst/>
        </a:prstGeom>
        <a:ln w="6480">
          <a:solidFill>
            <a:srgbClr val="5B9BD5"/>
          </a:solidFill>
          <a:miter/>
          <a:tailEnd type="triangle" w="med" len="med"/>
        </a:ln>
      </xdr:spPr>
    </xdr:cxnSp>
    <xdr:clientData/>
  </xdr:twoCellAnchor>
  <xdr:twoCellAnchor>
    <xdr:from>
      <xdr:col>9</xdr:col>
      <xdr:colOff>66600</xdr:colOff>
      <xdr:row>341</xdr:row>
      <xdr:rowOff>91800</xdr:rowOff>
    </xdr:from>
    <xdr:to>
      <xdr:col>12</xdr:col>
      <xdr:colOff>85680</xdr:colOff>
      <xdr:row>342</xdr:row>
      <xdr:rowOff>82440</xdr:rowOff>
    </xdr:to>
    <xdr:cxnSp macro="">
      <xdr:nvCxnSpPr>
        <xdr:cNvPr id="9" name="Straight Arrow Connector 32">
          <a:extLst>
            <a:ext uri="{FF2B5EF4-FFF2-40B4-BE49-F238E27FC236}">
              <a16:creationId xmlns:a16="http://schemas.microsoft.com/office/drawing/2014/main" id="{00000000-0008-0000-0000-000009000000}"/>
            </a:ext>
          </a:extLst>
        </xdr:cNvPr>
        <xdr:cNvCxnSpPr/>
      </xdr:nvCxnSpPr>
      <xdr:spPr>
        <a:xfrm>
          <a:off x="7330320" y="64902960"/>
          <a:ext cx="2410920" cy="172080"/>
        </a:xfrm>
        <a:prstGeom prst="straightConnector1">
          <a:avLst/>
        </a:prstGeom>
        <a:ln w="6480">
          <a:solidFill>
            <a:srgbClr val="5B9BD5"/>
          </a:solidFill>
          <a:miter/>
          <a:tailEnd type="triangle" w="med" len="med"/>
        </a:ln>
      </xdr:spPr>
    </xdr:cxnSp>
    <xdr:clientData/>
  </xdr:twoCellAnchor>
  <xdr:twoCellAnchor>
    <xdr:from>
      <xdr:col>9</xdr:col>
      <xdr:colOff>103680</xdr:colOff>
      <xdr:row>345</xdr:row>
      <xdr:rowOff>149400</xdr:rowOff>
    </xdr:from>
    <xdr:to>
      <xdr:col>11</xdr:col>
      <xdr:colOff>8280</xdr:colOff>
      <xdr:row>347</xdr:row>
      <xdr:rowOff>65160</xdr:rowOff>
    </xdr:to>
    <xdr:cxnSp macro="">
      <xdr:nvCxnSpPr>
        <xdr:cNvPr id="10" name="Straight Arrow Connector 36">
          <a:extLst>
            <a:ext uri="{FF2B5EF4-FFF2-40B4-BE49-F238E27FC236}">
              <a16:creationId xmlns:a16="http://schemas.microsoft.com/office/drawing/2014/main" id="{00000000-0008-0000-0000-00000A000000}"/>
            </a:ext>
          </a:extLst>
        </xdr:cNvPr>
        <xdr:cNvCxnSpPr/>
      </xdr:nvCxnSpPr>
      <xdr:spPr>
        <a:xfrm flipV="1">
          <a:off x="7367400" y="65684520"/>
          <a:ext cx="1502640" cy="278280"/>
        </a:xfrm>
        <a:prstGeom prst="straightConnector1">
          <a:avLst/>
        </a:prstGeom>
        <a:ln w="6480">
          <a:solidFill>
            <a:srgbClr val="5B9BD5"/>
          </a:solidFill>
          <a:miter/>
          <a:tailEnd type="triangle" w="med" len="med"/>
        </a:ln>
      </xdr:spPr>
    </xdr:cxnSp>
    <xdr:clientData/>
  </xdr:twoCellAnchor>
  <xdr:twoCellAnchor>
    <xdr:from>
      <xdr:col>11</xdr:col>
      <xdr:colOff>493560</xdr:colOff>
      <xdr:row>357</xdr:row>
      <xdr:rowOff>4320</xdr:rowOff>
    </xdr:from>
    <xdr:to>
      <xdr:col>12</xdr:col>
      <xdr:colOff>570960</xdr:colOff>
      <xdr:row>363</xdr:row>
      <xdr:rowOff>2880</xdr:rowOff>
    </xdr:to>
    <xdr:cxnSp macro="">
      <xdr:nvCxnSpPr>
        <xdr:cNvPr id="11" name="Straight Arrow Connector 3">
          <a:extLst>
            <a:ext uri="{FF2B5EF4-FFF2-40B4-BE49-F238E27FC236}">
              <a16:creationId xmlns:a16="http://schemas.microsoft.com/office/drawing/2014/main" id="{00000000-0008-0000-0000-00000B000000}"/>
            </a:ext>
          </a:extLst>
        </xdr:cNvPr>
        <xdr:cNvCxnSpPr/>
      </xdr:nvCxnSpPr>
      <xdr:spPr>
        <a:xfrm flipH="1">
          <a:off x="9354960" y="67711320"/>
          <a:ext cx="871560" cy="1084680"/>
        </a:xfrm>
        <a:prstGeom prst="straightConnector1">
          <a:avLst/>
        </a:prstGeom>
        <a:ln w="6480">
          <a:solidFill>
            <a:srgbClr val="5B9BD5"/>
          </a:solidFill>
          <a:miter/>
          <a:tailEnd type="triangle" w="med" len="med"/>
        </a:ln>
      </xdr:spPr>
    </xdr:cxnSp>
    <xdr:clientData/>
  </xdr:twoCellAnchor>
  <xdr:twoCellAnchor>
    <xdr:from>
      <xdr:col>9</xdr:col>
      <xdr:colOff>66240</xdr:colOff>
      <xdr:row>346</xdr:row>
      <xdr:rowOff>65520</xdr:rowOff>
    </xdr:from>
    <xdr:to>
      <xdr:col>12</xdr:col>
      <xdr:colOff>19080</xdr:colOff>
      <xdr:row>362</xdr:row>
      <xdr:rowOff>112320</xdr:rowOff>
    </xdr:to>
    <xdr:cxnSp macro="">
      <xdr:nvCxnSpPr>
        <xdr:cNvPr id="12" name="Straight Arrow Connector 7">
          <a:extLst>
            <a:ext uri="{FF2B5EF4-FFF2-40B4-BE49-F238E27FC236}">
              <a16:creationId xmlns:a16="http://schemas.microsoft.com/office/drawing/2014/main" id="{00000000-0008-0000-0000-00000C000000}"/>
            </a:ext>
          </a:extLst>
        </xdr:cNvPr>
        <xdr:cNvCxnSpPr/>
      </xdr:nvCxnSpPr>
      <xdr:spPr>
        <a:xfrm>
          <a:off x="7329960" y="65781720"/>
          <a:ext cx="2344680" cy="2942640"/>
        </a:xfrm>
        <a:prstGeom prst="straightConnector1">
          <a:avLst/>
        </a:prstGeom>
        <a:ln w="6480">
          <a:solidFill>
            <a:srgbClr val="5B9BD5"/>
          </a:solidFill>
          <a:miter/>
          <a:tailEnd type="triangle" w="med" len="med"/>
        </a:ln>
      </xdr:spPr>
    </xdr:cxnSp>
    <xdr:clientData/>
  </xdr:twoCellAnchor>
  <xdr:twoCellAnchor>
    <xdr:from>
      <xdr:col>9</xdr:col>
      <xdr:colOff>60120</xdr:colOff>
      <xdr:row>347</xdr:row>
      <xdr:rowOff>80280</xdr:rowOff>
    </xdr:from>
    <xdr:to>
      <xdr:col>11</xdr:col>
      <xdr:colOff>207720</xdr:colOff>
      <xdr:row>364</xdr:row>
      <xdr:rowOff>2520</xdr:rowOff>
    </xdr:to>
    <xdr:cxnSp macro="">
      <xdr:nvCxnSpPr>
        <xdr:cNvPr id="13" name="Straight Arrow Connector 9">
          <a:extLst>
            <a:ext uri="{FF2B5EF4-FFF2-40B4-BE49-F238E27FC236}">
              <a16:creationId xmlns:a16="http://schemas.microsoft.com/office/drawing/2014/main" id="{00000000-0008-0000-0000-00000D000000}"/>
            </a:ext>
          </a:extLst>
        </xdr:cNvPr>
        <xdr:cNvCxnSpPr/>
      </xdr:nvCxnSpPr>
      <xdr:spPr>
        <a:xfrm>
          <a:off x="7323840" y="65977560"/>
          <a:ext cx="1745640" cy="2999160"/>
        </a:xfrm>
        <a:prstGeom prst="straightConnector1">
          <a:avLst/>
        </a:prstGeom>
        <a:ln w="6480">
          <a:solidFill>
            <a:srgbClr val="5B9BD5"/>
          </a:solidFill>
          <a:miter/>
          <a:tailEnd type="triangle" w="med" len="med"/>
        </a:ln>
      </xdr:spPr>
    </xdr:cxnSp>
    <xdr:clientData/>
  </xdr:twoCellAnchor>
  <xdr:twoCellAnchor>
    <xdr:from>
      <xdr:col>9</xdr:col>
      <xdr:colOff>101520</xdr:colOff>
      <xdr:row>360</xdr:row>
      <xdr:rowOff>54720</xdr:rowOff>
    </xdr:from>
    <xdr:to>
      <xdr:col>12</xdr:col>
      <xdr:colOff>87480</xdr:colOff>
      <xdr:row>365</xdr:row>
      <xdr:rowOff>7200</xdr:rowOff>
    </xdr:to>
    <xdr:cxnSp macro="">
      <xdr:nvCxnSpPr>
        <xdr:cNvPr id="14" name="Straight Arrow Connector 11">
          <a:extLst>
            <a:ext uri="{FF2B5EF4-FFF2-40B4-BE49-F238E27FC236}">
              <a16:creationId xmlns:a16="http://schemas.microsoft.com/office/drawing/2014/main" id="{00000000-0008-0000-0000-00000E000000}"/>
            </a:ext>
          </a:extLst>
        </xdr:cNvPr>
        <xdr:cNvCxnSpPr/>
      </xdr:nvCxnSpPr>
      <xdr:spPr>
        <a:xfrm>
          <a:off x="7365240" y="68304600"/>
          <a:ext cx="2377800" cy="857520"/>
        </a:xfrm>
        <a:prstGeom prst="straightConnector1">
          <a:avLst/>
        </a:prstGeom>
        <a:ln w="6480">
          <a:solidFill>
            <a:srgbClr val="5B9BD5"/>
          </a:solidFill>
          <a:miter/>
          <a:tailEnd type="triangle" w="med" len="med"/>
        </a:ln>
      </xdr:spPr>
    </xdr:cxnSp>
    <xdr:clientData/>
  </xdr:twoCellAnchor>
  <xdr:twoCellAnchor>
    <xdr:from>
      <xdr:col>6</xdr:col>
      <xdr:colOff>30240</xdr:colOff>
      <xdr:row>393</xdr:row>
      <xdr:rowOff>80640</xdr:rowOff>
    </xdr:from>
    <xdr:to>
      <xdr:col>12</xdr:col>
      <xdr:colOff>60480</xdr:colOff>
      <xdr:row>402</xdr:row>
      <xdr:rowOff>166320</xdr:rowOff>
    </xdr:to>
    <xdr:cxnSp macro="">
      <xdr:nvCxnSpPr>
        <xdr:cNvPr id="15" name="Straight Arrow Connector 6">
          <a:extLst>
            <a:ext uri="{FF2B5EF4-FFF2-40B4-BE49-F238E27FC236}">
              <a16:creationId xmlns:a16="http://schemas.microsoft.com/office/drawing/2014/main" id="{00000000-0008-0000-0000-00000F000000}"/>
            </a:ext>
          </a:extLst>
        </xdr:cNvPr>
        <xdr:cNvCxnSpPr/>
      </xdr:nvCxnSpPr>
      <xdr:spPr>
        <a:xfrm>
          <a:off x="4545000" y="74302560"/>
          <a:ext cx="5171040" cy="1715040"/>
        </a:xfrm>
        <a:prstGeom prst="straightConnector1">
          <a:avLst/>
        </a:prstGeom>
        <a:ln w="6480">
          <a:solidFill>
            <a:srgbClr val="5B9BD5"/>
          </a:solidFill>
          <a:miter/>
          <a:tailEnd type="triangle" w="med" len="med"/>
        </a:ln>
      </xdr:spPr>
    </xdr:cxnSp>
    <xdr:clientData/>
  </xdr:twoCellAnchor>
  <xdr:twoCellAnchor>
    <xdr:from>
      <xdr:col>8</xdr:col>
      <xdr:colOff>761760</xdr:colOff>
      <xdr:row>361</xdr:row>
      <xdr:rowOff>109800</xdr:rowOff>
    </xdr:from>
    <xdr:to>
      <xdr:col>11</xdr:col>
      <xdr:colOff>18720</xdr:colOff>
      <xdr:row>380</xdr:row>
      <xdr:rowOff>158400</xdr:rowOff>
    </xdr:to>
    <xdr:cxnSp macro="">
      <xdr:nvCxnSpPr>
        <xdr:cNvPr id="16" name="Straight Arrow Connector 8">
          <a:extLst>
            <a:ext uri="{FF2B5EF4-FFF2-40B4-BE49-F238E27FC236}">
              <a16:creationId xmlns:a16="http://schemas.microsoft.com/office/drawing/2014/main" id="{00000000-0008-0000-0000-000010000000}"/>
            </a:ext>
          </a:extLst>
        </xdr:cNvPr>
        <xdr:cNvCxnSpPr/>
      </xdr:nvCxnSpPr>
      <xdr:spPr>
        <a:xfrm>
          <a:off x="7203240" y="68540400"/>
          <a:ext cx="1677240" cy="3487680"/>
        </a:xfrm>
        <a:prstGeom prst="straightConnector1">
          <a:avLst/>
        </a:prstGeom>
        <a:ln w="6480">
          <a:solidFill>
            <a:srgbClr val="5B9BD5"/>
          </a:solidFill>
          <a:miter/>
          <a:tailEnd type="triangle" w="med" len="med"/>
        </a:ln>
      </xdr:spPr>
    </xdr:cxnSp>
    <xdr:clientData/>
  </xdr:twoCellAnchor>
  <xdr:twoCellAnchor>
    <xdr:from>
      <xdr:col>6</xdr:col>
      <xdr:colOff>1080</xdr:colOff>
      <xdr:row>394</xdr:row>
      <xdr:rowOff>91440</xdr:rowOff>
    </xdr:from>
    <xdr:to>
      <xdr:col>11</xdr:col>
      <xdr:colOff>8280</xdr:colOff>
      <xdr:row>403</xdr:row>
      <xdr:rowOff>158040</xdr:rowOff>
    </xdr:to>
    <xdr:cxnSp macro="">
      <xdr:nvCxnSpPr>
        <xdr:cNvPr id="17" name="Straight Arrow Connector 14">
          <a:extLst>
            <a:ext uri="{FF2B5EF4-FFF2-40B4-BE49-F238E27FC236}">
              <a16:creationId xmlns:a16="http://schemas.microsoft.com/office/drawing/2014/main" id="{00000000-0008-0000-0000-000011000000}"/>
            </a:ext>
          </a:extLst>
        </xdr:cNvPr>
        <xdr:cNvCxnSpPr/>
      </xdr:nvCxnSpPr>
      <xdr:spPr>
        <a:xfrm>
          <a:off x="4515840" y="74494440"/>
          <a:ext cx="4354200" cy="1695600"/>
        </a:xfrm>
        <a:prstGeom prst="straightConnector1">
          <a:avLst/>
        </a:prstGeom>
        <a:ln w="6480">
          <a:solidFill>
            <a:srgbClr val="C00000"/>
          </a:solidFill>
          <a:miter/>
          <a:tailEnd type="triangle" w="med" len="med"/>
        </a:ln>
      </xdr:spPr>
    </xdr:cxnSp>
    <xdr:clientData/>
  </xdr:twoCellAnchor>
  <xdr:twoCellAnchor>
    <xdr:from>
      <xdr:col>6</xdr:col>
      <xdr:colOff>12240</xdr:colOff>
      <xdr:row>396</xdr:row>
      <xdr:rowOff>44640</xdr:rowOff>
    </xdr:from>
    <xdr:to>
      <xdr:col>12</xdr:col>
      <xdr:colOff>207720</xdr:colOff>
      <xdr:row>406</xdr:row>
      <xdr:rowOff>170640</xdr:rowOff>
    </xdr:to>
    <xdr:cxnSp macro="">
      <xdr:nvCxnSpPr>
        <xdr:cNvPr id="18" name="Straight Arrow Connector 20">
          <a:extLst>
            <a:ext uri="{FF2B5EF4-FFF2-40B4-BE49-F238E27FC236}">
              <a16:creationId xmlns:a16="http://schemas.microsoft.com/office/drawing/2014/main" id="{00000000-0008-0000-0000-000012000000}"/>
            </a:ext>
          </a:extLst>
        </xdr:cNvPr>
        <xdr:cNvCxnSpPr/>
      </xdr:nvCxnSpPr>
      <xdr:spPr>
        <a:xfrm>
          <a:off x="4527000" y="74809440"/>
          <a:ext cx="5336280" cy="1936080"/>
        </a:xfrm>
        <a:prstGeom prst="straightConnector1">
          <a:avLst/>
        </a:prstGeom>
        <a:ln w="6480">
          <a:solidFill>
            <a:srgbClr val="5B9BD5"/>
          </a:solidFill>
          <a:miter/>
          <a:tailEnd type="triangle" w="med" len="med"/>
        </a:ln>
      </xdr:spPr>
    </xdr:cxnSp>
    <xdr:clientData/>
  </xdr:twoCellAnchor>
  <xdr:twoCellAnchor>
    <xdr:from>
      <xdr:col>5</xdr:col>
      <xdr:colOff>648720</xdr:colOff>
      <xdr:row>399</xdr:row>
      <xdr:rowOff>74520</xdr:rowOff>
    </xdr:from>
    <xdr:to>
      <xdr:col>12</xdr:col>
      <xdr:colOff>138240</xdr:colOff>
      <xdr:row>411</xdr:row>
      <xdr:rowOff>11520</xdr:rowOff>
    </xdr:to>
    <xdr:cxnSp macro="">
      <xdr:nvCxnSpPr>
        <xdr:cNvPr id="19" name="Straight Arrow Connector 24">
          <a:extLst>
            <a:ext uri="{FF2B5EF4-FFF2-40B4-BE49-F238E27FC236}">
              <a16:creationId xmlns:a16="http://schemas.microsoft.com/office/drawing/2014/main" id="{00000000-0008-0000-0000-000013000000}"/>
            </a:ext>
          </a:extLst>
        </xdr:cNvPr>
        <xdr:cNvCxnSpPr/>
      </xdr:nvCxnSpPr>
      <xdr:spPr>
        <a:xfrm>
          <a:off x="4482360" y="75382200"/>
          <a:ext cx="5311440" cy="2109240"/>
        </a:xfrm>
        <a:prstGeom prst="straightConnector1">
          <a:avLst/>
        </a:prstGeom>
        <a:ln w="6480">
          <a:solidFill>
            <a:srgbClr val="5B9BD5"/>
          </a:solidFill>
          <a:miter/>
          <a:tailEnd type="triangle" w="med" len="med"/>
        </a:ln>
      </xdr:spPr>
    </xdr:cxnSp>
    <xdr:clientData/>
  </xdr:twoCellAnchor>
  <xdr:twoCellAnchor>
    <xdr:from>
      <xdr:col>6</xdr:col>
      <xdr:colOff>94680</xdr:colOff>
      <xdr:row>397</xdr:row>
      <xdr:rowOff>93960</xdr:rowOff>
    </xdr:from>
    <xdr:to>
      <xdr:col>11</xdr:col>
      <xdr:colOff>51840</xdr:colOff>
      <xdr:row>407</xdr:row>
      <xdr:rowOff>141480</xdr:rowOff>
    </xdr:to>
    <xdr:cxnSp macro="">
      <xdr:nvCxnSpPr>
        <xdr:cNvPr id="20" name="Straight Arrow Connector 26">
          <a:extLst>
            <a:ext uri="{FF2B5EF4-FFF2-40B4-BE49-F238E27FC236}">
              <a16:creationId xmlns:a16="http://schemas.microsoft.com/office/drawing/2014/main" id="{00000000-0008-0000-0000-000014000000}"/>
            </a:ext>
          </a:extLst>
        </xdr:cNvPr>
        <xdr:cNvCxnSpPr/>
      </xdr:nvCxnSpPr>
      <xdr:spPr>
        <a:xfrm>
          <a:off x="4609440" y="75039840"/>
          <a:ext cx="4304160" cy="1857600"/>
        </a:xfrm>
        <a:prstGeom prst="straightConnector1">
          <a:avLst/>
        </a:prstGeom>
        <a:ln w="6480">
          <a:solidFill>
            <a:srgbClr val="C00000"/>
          </a:solidFill>
          <a:miter/>
          <a:tailEnd type="triangle" w="med" len="med"/>
        </a:ln>
      </xdr:spPr>
    </xdr:cxnSp>
    <xdr:clientData/>
  </xdr:twoCellAnchor>
  <xdr:twoCellAnchor>
    <xdr:from>
      <xdr:col>6</xdr:col>
      <xdr:colOff>190440</xdr:colOff>
      <xdr:row>402</xdr:row>
      <xdr:rowOff>110880</xdr:rowOff>
    </xdr:from>
    <xdr:to>
      <xdr:col>12</xdr:col>
      <xdr:colOff>161280</xdr:colOff>
      <xdr:row>412</xdr:row>
      <xdr:rowOff>46800</xdr:rowOff>
    </xdr:to>
    <xdr:cxnSp macro="">
      <xdr:nvCxnSpPr>
        <xdr:cNvPr id="21" name="Straight Arrow Connector 29">
          <a:extLst>
            <a:ext uri="{FF2B5EF4-FFF2-40B4-BE49-F238E27FC236}">
              <a16:creationId xmlns:a16="http://schemas.microsoft.com/office/drawing/2014/main" id="{00000000-0008-0000-0000-000015000000}"/>
            </a:ext>
          </a:extLst>
        </xdr:cNvPr>
        <xdr:cNvCxnSpPr/>
      </xdr:nvCxnSpPr>
      <xdr:spPr>
        <a:xfrm>
          <a:off x="4705200" y="75961800"/>
          <a:ext cx="5111640" cy="1746000"/>
        </a:xfrm>
        <a:prstGeom prst="straightConnector1">
          <a:avLst/>
        </a:prstGeom>
        <a:ln w="6480">
          <a:solidFill>
            <a:srgbClr val="5B9BD5"/>
          </a:solidFill>
          <a:miter/>
          <a:tailEnd type="triangle" w="med" len="med"/>
        </a:ln>
      </xdr:spPr>
    </xdr:cxnSp>
    <xdr:clientData/>
  </xdr:twoCellAnchor>
  <xdr:twoCellAnchor>
    <xdr:from>
      <xdr:col>6</xdr:col>
      <xdr:colOff>181800</xdr:colOff>
      <xdr:row>403</xdr:row>
      <xdr:rowOff>91080</xdr:rowOff>
    </xdr:from>
    <xdr:to>
      <xdr:col>11</xdr:col>
      <xdr:colOff>95040</xdr:colOff>
      <xdr:row>413</xdr:row>
      <xdr:rowOff>46080</xdr:rowOff>
    </xdr:to>
    <xdr:cxnSp macro="">
      <xdr:nvCxnSpPr>
        <xdr:cNvPr id="22" name="Straight Arrow Connector 34">
          <a:extLst>
            <a:ext uri="{FF2B5EF4-FFF2-40B4-BE49-F238E27FC236}">
              <a16:creationId xmlns:a16="http://schemas.microsoft.com/office/drawing/2014/main" id="{00000000-0008-0000-0000-000016000000}"/>
            </a:ext>
          </a:extLst>
        </xdr:cNvPr>
        <xdr:cNvCxnSpPr/>
      </xdr:nvCxnSpPr>
      <xdr:spPr>
        <a:xfrm>
          <a:off x="4696560" y="76122720"/>
          <a:ext cx="4260240" cy="1765080"/>
        </a:xfrm>
        <a:prstGeom prst="straightConnector1">
          <a:avLst/>
        </a:prstGeom>
        <a:ln w="6480">
          <a:solidFill>
            <a:srgbClr val="C00000"/>
          </a:solidFill>
          <a:miter/>
          <a:tailEnd type="triangle" w="med" len="med"/>
        </a:ln>
      </xdr:spPr>
    </xdr:cxnSp>
    <xdr:clientData/>
  </xdr:twoCellAnchor>
  <xdr:twoCellAnchor>
    <xdr:from>
      <xdr:col>6</xdr:col>
      <xdr:colOff>208800</xdr:colOff>
      <xdr:row>404</xdr:row>
      <xdr:rowOff>80640</xdr:rowOff>
    </xdr:from>
    <xdr:to>
      <xdr:col>12</xdr:col>
      <xdr:colOff>146880</xdr:colOff>
      <xdr:row>413</xdr:row>
      <xdr:rowOff>106560</xdr:rowOff>
    </xdr:to>
    <xdr:cxnSp macro="">
      <xdr:nvCxnSpPr>
        <xdr:cNvPr id="23" name="Straight Arrow Connector 38">
          <a:extLst>
            <a:ext uri="{FF2B5EF4-FFF2-40B4-BE49-F238E27FC236}">
              <a16:creationId xmlns:a16="http://schemas.microsoft.com/office/drawing/2014/main" id="{00000000-0008-0000-0000-000017000000}"/>
            </a:ext>
          </a:extLst>
        </xdr:cNvPr>
        <xdr:cNvCxnSpPr/>
      </xdr:nvCxnSpPr>
      <xdr:spPr>
        <a:xfrm>
          <a:off x="4723560" y="76293360"/>
          <a:ext cx="5078880" cy="1654920"/>
        </a:xfrm>
        <a:prstGeom prst="straightConnector1">
          <a:avLst/>
        </a:prstGeom>
        <a:ln w="6480">
          <a:solidFill>
            <a:srgbClr val="5B9BD5"/>
          </a:solidFill>
          <a:miter/>
          <a:tailEnd type="triangle" w="med" len="med"/>
        </a:ln>
      </xdr:spPr>
    </xdr:cxnSp>
    <xdr:clientData/>
  </xdr:twoCellAnchor>
  <xdr:twoCellAnchor>
    <xdr:from>
      <xdr:col>6</xdr:col>
      <xdr:colOff>210960</xdr:colOff>
      <xdr:row>405</xdr:row>
      <xdr:rowOff>102960</xdr:rowOff>
    </xdr:from>
    <xdr:to>
      <xdr:col>11</xdr:col>
      <xdr:colOff>86400</xdr:colOff>
      <xdr:row>414</xdr:row>
      <xdr:rowOff>106560</xdr:rowOff>
    </xdr:to>
    <xdr:cxnSp macro="">
      <xdr:nvCxnSpPr>
        <xdr:cNvPr id="24" name="Straight Arrow Connector 40">
          <a:extLst>
            <a:ext uri="{FF2B5EF4-FFF2-40B4-BE49-F238E27FC236}">
              <a16:creationId xmlns:a16="http://schemas.microsoft.com/office/drawing/2014/main" id="{00000000-0008-0000-0000-000018000000}"/>
            </a:ext>
          </a:extLst>
        </xdr:cNvPr>
        <xdr:cNvCxnSpPr/>
      </xdr:nvCxnSpPr>
      <xdr:spPr>
        <a:xfrm>
          <a:off x="4725720" y="76496760"/>
          <a:ext cx="4222440" cy="1632600"/>
        </a:xfrm>
        <a:prstGeom prst="straightConnector1">
          <a:avLst/>
        </a:prstGeom>
        <a:ln w="6480">
          <a:solidFill>
            <a:srgbClr val="C00000"/>
          </a:solidFill>
          <a:miter/>
          <a:tailEnd type="triangle" w="med" len="med"/>
        </a:ln>
      </xdr:spPr>
    </xdr:cxnSp>
    <xdr:clientData/>
  </xdr:twoCellAnchor>
  <xdr:twoCellAnchor>
    <xdr:from>
      <xdr:col>6</xdr:col>
      <xdr:colOff>255240</xdr:colOff>
      <xdr:row>406</xdr:row>
      <xdr:rowOff>33120</xdr:rowOff>
    </xdr:from>
    <xdr:to>
      <xdr:col>12</xdr:col>
      <xdr:colOff>112320</xdr:colOff>
      <xdr:row>428</xdr:row>
      <xdr:rowOff>75600</xdr:rowOff>
    </xdr:to>
    <xdr:cxnSp macro="">
      <xdr:nvCxnSpPr>
        <xdr:cNvPr id="25" name="Straight Arrow Connector 41">
          <a:extLst>
            <a:ext uri="{FF2B5EF4-FFF2-40B4-BE49-F238E27FC236}">
              <a16:creationId xmlns:a16="http://schemas.microsoft.com/office/drawing/2014/main" id="{00000000-0008-0000-0000-000019000000}"/>
            </a:ext>
          </a:extLst>
        </xdr:cNvPr>
        <xdr:cNvCxnSpPr/>
      </xdr:nvCxnSpPr>
      <xdr:spPr>
        <a:xfrm>
          <a:off x="4770000" y="76607640"/>
          <a:ext cx="4997880" cy="4081680"/>
        </a:xfrm>
        <a:prstGeom prst="straightConnector1">
          <a:avLst/>
        </a:prstGeom>
        <a:ln w="6480">
          <a:solidFill>
            <a:srgbClr val="5B9BD5"/>
          </a:solidFill>
          <a:miter/>
          <a:tailEnd type="triangle" w="med" len="med"/>
        </a:ln>
      </xdr:spPr>
    </xdr:cxnSp>
    <xdr:clientData/>
  </xdr:twoCellAnchor>
  <xdr:twoCellAnchor>
    <xdr:from>
      <xdr:col>6</xdr:col>
      <xdr:colOff>277560</xdr:colOff>
      <xdr:row>407</xdr:row>
      <xdr:rowOff>101160</xdr:rowOff>
    </xdr:from>
    <xdr:to>
      <xdr:col>11</xdr:col>
      <xdr:colOff>60480</xdr:colOff>
      <xdr:row>428</xdr:row>
      <xdr:rowOff>143640</xdr:rowOff>
    </xdr:to>
    <xdr:cxnSp macro="">
      <xdr:nvCxnSpPr>
        <xdr:cNvPr id="26" name="Straight Arrow Connector 44">
          <a:extLst>
            <a:ext uri="{FF2B5EF4-FFF2-40B4-BE49-F238E27FC236}">
              <a16:creationId xmlns:a16="http://schemas.microsoft.com/office/drawing/2014/main" id="{00000000-0008-0000-0000-00001A000000}"/>
            </a:ext>
          </a:extLst>
        </xdr:cNvPr>
        <xdr:cNvCxnSpPr/>
      </xdr:nvCxnSpPr>
      <xdr:spPr>
        <a:xfrm>
          <a:off x="4792320" y="76856760"/>
          <a:ext cx="4129920" cy="3900600"/>
        </a:xfrm>
        <a:prstGeom prst="straightConnector1">
          <a:avLst/>
        </a:prstGeom>
        <a:ln w="6480">
          <a:solidFill>
            <a:srgbClr val="C00000"/>
          </a:solidFill>
          <a:miter/>
          <a:tailEnd type="triangle" w="med" len="med"/>
        </a:ln>
      </xdr:spPr>
    </xdr:cxnSp>
    <xdr:clientData/>
  </xdr:twoCellAnchor>
  <xdr:twoCellAnchor>
    <xdr:from>
      <xdr:col>6</xdr:col>
      <xdr:colOff>38880</xdr:colOff>
      <xdr:row>413</xdr:row>
      <xdr:rowOff>90360</xdr:rowOff>
    </xdr:from>
    <xdr:to>
      <xdr:col>7</xdr:col>
      <xdr:colOff>424080</xdr:colOff>
      <xdr:row>413</xdr:row>
      <xdr:rowOff>97920</xdr:rowOff>
    </xdr:to>
    <xdr:cxnSp macro="">
      <xdr:nvCxnSpPr>
        <xdr:cNvPr id="27" name="Straight Arrow Connector 46">
          <a:extLst>
            <a:ext uri="{FF2B5EF4-FFF2-40B4-BE49-F238E27FC236}">
              <a16:creationId xmlns:a16="http://schemas.microsoft.com/office/drawing/2014/main" id="{00000000-0008-0000-0000-00001B000000}"/>
            </a:ext>
          </a:extLst>
        </xdr:cNvPr>
        <xdr:cNvCxnSpPr/>
      </xdr:nvCxnSpPr>
      <xdr:spPr>
        <a:xfrm>
          <a:off x="4553640" y="77931720"/>
          <a:ext cx="1344600" cy="7920"/>
        </a:xfrm>
        <a:prstGeom prst="straightConnector1">
          <a:avLst/>
        </a:prstGeom>
        <a:ln w="6480">
          <a:solidFill>
            <a:srgbClr val="5B9BD5"/>
          </a:solidFill>
          <a:miter/>
          <a:tailEnd type="triangle" w="med" len="med"/>
        </a:ln>
      </xdr:spPr>
    </xdr:cxnSp>
    <xdr:clientData/>
  </xdr:twoCellAnchor>
  <xdr:twoCellAnchor>
    <xdr:from>
      <xdr:col>6</xdr:col>
      <xdr:colOff>180720</xdr:colOff>
      <xdr:row>400</xdr:row>
      <xdr:rowOff>92160</xdr:rowOff>
    </xdr:from>
    <xdr:to>
      <xdr:col>11</xdr:col>
      <xdr:colOff>95040</xdr:colOff>
      <xdr:row>412</xdr:row>
      <xdr:rowOff>7920</xdr:rowOff>
    </xdr:to>
    <xdr:cxnSp macro="">
      <xdr:nvCxnSpPr>
        <xdr:cNvPr id="28" name="Straight Arrow Connector 27">
          <a:extLst>
            <a:ext uri="{FF2B5EF4-FFF2-40B4-BE49-F238E27FC236}">
              <a16:creationId xmlns:a16="http://schemas.microsoft.com/office/drawing/2014/main" id="{00000000-0008-0000-0000-00001C000000}"/>
            </a:ext>
          </a:extLst>
        </xdr:cNvPr>
        <xdr:cNvCxnSpPr/>
      </xdr:nvCxnSpPr>
      <xdr:spPr>
        <a:xfrm>
          <a:off x="4695480" y="75580920"/>
          <a:ext cx="4261320" cy="2088000"/>
        </a:xfrm>
        <a:prstGeom prst="straightConnector1">
          <a:avLst/>
        </a:prstGeom>
        <a:ln w="6480">
          <a:solidFill>
            <a:srgbClr val="C00000"/>
          </a:solidFill>
          <a:miter/>
          <a:tailEnd type="triangle" w="med" len="med"/>
        </a:ln>
      </xdr:spPr>
    </xdr:cxnSp>
    <xdr:clientData/>
  </xdr:twoCellAnchor>
  <xdr:twoCellAnchor>
    <xdr:from>
      <xdr:col>2</xdr:col>
      <xdr:colOff>658080</xdr:colOff>
      <xdr:row>430</xdr:row>
      <xdr:rowOff>62280</xdr:rowOff>
    </xdr:from>
    <xdr:to>
      <xdr:col>12</xdr:col>
      <xdr:colOff>68040</xdr:colOff>
      <xdr:row>437</xdr:row>
      <xdr:rowOff>56520</xdr:rowOff>
    </xdr:to>
    <xdr:cxnSp macro="">
      <xdr:nvCxnSpPr>
        <xdr:cNvPr id="29" name="Straight Arrow Connector 21">
          <a:extLst>
            <a:ext uri="{FF2B5EF4-FFF2-40B4-BE49-F238E27FC236}">
              <a16:creationId xmlns:a16="http://schemas.microsoft.com/office/drawing/2014/main" id="{00000000-0008-0000-0000-00001D000000}"/>
            </a:ext>
          </a:extLst>
        </xdr:cNvPr>
        <xdr:cNvCxnSpPr/>
      </xdr:nvCxnSpPr>
      <xdr:spPr>
        <a:xfrm flipV="1">
          <a:off x="2062800" y="81056520"/>
          <a:ext cx="7660800" cy="1299600"/>
        </a:xfrm>
        <a:prstGeom prst="straightConnector1">
          <a:avLst/>
        </a:prstGeom>
        <a:ln w="19080">
          <a:solidFill>
            <a:srgbClr val="BF9000"/>
          </a:solidFill>
          <a:miter/>
          <a:tailEnd type="triangle" w="med" len="med"/>
        </a:ln>
      </xdr:spPr>
    </xdr:cxnSp>
    <xdr:clientData/>
  </xdr:twoCellAnchor>
  <xdr:twoCellAnchor>
    <xdr:from>
      <xdr:col>5</xdr:col>
      <xdr:colOff>312120</xdr:colOff>
      <xdr:row>328</xdr:row>
      <xdr:rowOff>178200</xdr:rowOff>
    </xdr:from>
    <xdr:to>
      <xdr:col>11</xdr:col>
      <xdr:colOff>120960</xdr:colOff>
      <xdr:row>337</xdr:row>
      <xdr:rowOff>115200</xdr:rowOff>
    </xdr:to>
    <xdr:cxnSp macro="">
      <xdr:nvCxnSpPr>
        <xdr:cNvPr id="30" name="Straight Arrow Connector 10">
          <a:extLst>
            <a:ext uri="{FF2B5EF4-FFF2-40B4-BE49-F238E27FC236}">
              <a16:creationId xmlns:a16="http://schemas.microsoft.com/office/drawing/2014/main" id="{00000000-0008-0000-0000-00001E000000}"/>
            </a:ext>
          </a:extLst>
        </xdr:cNvPr>
        <xdr:cNvCxnSpPr/>
      </xdr:nvCxnSpPr>
      <xdr:spPr>
        <a:xfrm>
          <a:off x="4145760" y="62636760"/>
          <a:ext cx="4836960" cy="1566000"/>
        </a:xfrm>
        <a:prstGeom prst="straightConnector1">
          <a:avLst/>
        </a:prstGeom>
        <a:ln w="6480">
          <a:solidFill>
            <a:srgbClr val="5B9BD5"/>
          </a:solidFill>
          <a:miter/>
          <a:tailEnd type="triangle" w="med" len="med"/>
        </a:ln>
      </xdr:spPr>
    </xdr:cxnSp>
    <xdr:clientData/>
  </xdr:twoCellAnchor>
  <xdr:twoCellAnchor>
    <xdr:from>
      <xdr:col>4</xdr:col>
      <xdr:colOff>776880</xdr:colOff>
      <xdr:row>480</xdr:row>
      <xdr:rowOff>98280</xdr:rowOff>
    </xdr:from>
    <xdr:to>
      <xdr:col>12</xdr:col>
      <xdr:colOff>12960</xdr:colOff>
      <xdr:row>480</xdr:row>
      <xdr:rowOff>152280</xdr:rowOff>
    </xdr:to>
    <xdr:cxnSp macro="">
      <xdr:nvCxnSpPr>
        <xdr:cNvPr id="31" name="Straight Arrow Connector 4">
          <a:extLst>
            <a:ext uri="{FF2B5EF4-FFF2-40B4-BE49-F238E27FC236}">
              <a16:creationId xmlns:a16="http://schemas.microsoft.com/office/drawing/2014/main" id="{00000000-0008-0000-0000-00001F000000}"/>
            </a:ext>
          </a:extLst>
        </xdr:cNvPr>
        <xdr:cNvCxnSpPr/>
      </xdr:nvCxnSpPr>
      <xdr:spPr>
        <a:xfrm>
          <a:off x="3746160" y="90351000"/>
          <a:ext cx="5922360" cy="54360"/>
        </a:xfrm>
        <a:prstGeom prst="straightConnector1">
          <a:avLst/>
        </a:prstGeom>
        <a:ln w="6480">
          <a:solidFill>
            <a:srgbClr val="5B9BD5"/>
          </a:solidFill>
          <a:miter/>
          <a:tailEnd type="triangle" w="med" len="med"/>
        </a:ln>
      </xdr:spPr>
    </xdr:cxnSp>
    <xdr:clientData/>
  </xdr:twoCellAnchor>
  <xdr:twoCellAnchor>
    <xdr:from>
      <xdr:col>4</xdr:col>
      <xdr:colOff>830160</xdr:colOff>
      <xdr:row>481</xdr:row>
      <xdr:rowOff>102240</xdr:rowOff>
    </xdr:from>
    <xdr:to>
      <xdr:col>11</xdr:col>
      <xdr:colOff>25920</xdr:colOff>
      <xdr:row>481</xdr:row>
      <xdr:rowOff>137880</xdr:rowOff>
    </xdr:to>
    <xdr:cxnSp macro="">
      <xdr:nvCxnSpPr>
        <xdr:cNvPr id="32" name="Straight Arrow Connector 12">
          <a:extLst>
            <a:ext uri="{FF2B5EF4-FFF2-40B4-BE49-F238E27FC236}">
              <a16:creationId xmlns:a16="http://schemas.microsoft.com/office/drawing/2014/main" id="{00000000-0008-0000-0000-000020000000}"/>
            </a:ext>
          </a:extLst>
        </xdr:cNvPr>
        <xdr:cNvCxnSpPr/>
      </xdr:nvCxnSpPr>
      <xdr:spPr>
        <a:xfrm flipV="1">
          <a:off x="3799440" y="90535680"/>
          <a:ext cx="5088240" cy="36000"/>
        </a:xfrm>
        <a:prstGeom prst="straightConnector1">
          <a:avLst/>
        </a:prstGeom>
        <a:ln w="6480">
          <a:solidFill>
            <a:srgbClr val="C00000"/>
          </a:solidFill>
          <a:miter/>
          <a:tailEnd type="triangle" w="med" len="med"/>
        </a:ln>
      </xdr:spPr>
    </xdr:cxnSp>
    <xdr:clientData/>
  </xdr:twoCellAnchor>
  <xdr:twoCellAnchor>
    <xdr:from>
      <xdr:col>4</xdr:col>
      <xdr:colOff>857880</xdr:colOff>
      <xdr:row>483</xdr:row>
      <xdr:rowOff>34560</xdr:rowOff>
    </xdr:from>
    <xdr:to>
      <xdr:col>11</xdr:col>
      <xdr:colOff>182880</xdr:colOff>
      <xdr:row>484</xdr:row>
      <xdr:rowOff>176760</xdr:rowOff>
    </xdr:to>
    <xdr:cxnSp macro="">
      <xdr:nvCxnSpPr>
        <xdr:cNvPr id="33" name="Straight Arrow Connector 33">
          <a:extLst>
            <a:ext uri="{FF2B5EF4-FFF2-40B4-BE49-F238E27FC236}">
              <a16:creationId xmlns:a16="http://schemas.microsoft.com/office/drawing/2014/main" id="{00000000-0008-0000-0000-000021000000}"/>
            </a:ext>
          </a:extLst>
        </xdr:cNvPr>
        <xdr:cNvCxnSpPr/>
      </xdr:nvCxnSpPr>
      <xdr:spPr>
        <a:xfrm flipV="1">
          <a:off x="3827160" y="90830160"/>
          <a:ext cx="5217480" cy="323280"/>
        </a:xfrm>
        <a:prstGeom prst="straightConnector1">
          <a:avLst/>
        </a:prstGeom>
        <a:ln w="6480">
          <a:solidFill>
            <a:srgbClr val="C00000"/>
          </a:solidFill>
          <a:miter/>
          <a:tailEnd type="triangle" w="med" len="med"/>
        </a:ln>
      </xdr:spPr>
    </xdr:cxnSp>
    <xdr:clientData/>
  </xdr:twoCellAnchor>
  <xdr:twoCellAnchor>
    <xdr:from>
      <xdr:col>4</xdr:col>
      <xdr:colOff>703440</xdr:colOff>
      <xdr:row>481</xdr:row>
      <xdr:rowOff>154080</xdr:rowOff>
    </xdr:from>
    <xdr:to>
      <xdr:col>12</xdr:col>
      <xdr:colOff>103680</xdr:colOff>
      <xdr:row>483</xdr:row>
      <xdr:rowOff>147960</xdr:rowOff>
    </xdr:to>
    <xdr:cxnSp macro="">
      <xdr:nvCxnSpPr>
        <xdr:cNvPr id="34" name="Straight Arrow Connector 37">
          <a:extLst>
            <a:ext uri="{FF2B5EF4-FFF2-40B4-BE49-F238E27FC236}">
              <a16:creationId xmlns:a16="http://schemas.microsoft.com/office/drawing/2014/main" id="{00000000-0008-0000-0000-000022000000}"/>
            </a:ext>
          </a:extLst>
        </xdr:cNvPr>
        <xdr:cNvCxnSpPr/>
      </xdr:nvCxnSpPr>
      <xdr:spPr>
        <a:xfrm flipV="1">
          <a:off x="3672720" y="90587520"/>
          <a:ext cx="6086520" cy="356400"/>
        </a:xfrm>
        <a:prstGeom prst="straightConnector1">
          <a:avLst/>
        </a:prstGeom>
        <a:ln w="6480">
          <a:solidFill>
            <a:srgbClr val="5B9BD5"/>
          </a:solidFill>
          <a:miter/>
          <a:tailEnd type="triangle" w="med" len="med"/>
        </a:ln>
      </xdr:spPr>
    </xdr:cxnSp>
    <xdr:clientData/>
  </xdr:twoCellAnchor>
  <xdr:twoCellAnchor>
    <xdr:from>
      <xdr:col>5</xdr:col>
      <xdr:colOff>378360</xdr:colOff>
      <xdr:row>627</xdr:row>
      <xdr:rowOff>62280</xdr:rowOff>
    </xdr:from>
    <xdr:to>
      <xdr:col>8</xdr:col>
      <xdr:colOff>1440</xdr:colOff>
      <xdr:row>629</xdr:row>
      <xdr:rowOff>53640</xdr:rowOff>
    </xdr:to>
    <xdr:cxnSp macro="">
      <xdr:nvCxnSpPr>
        <xdr:cNvPr id="35" name="Straight Arrow Connector 1">
          <a:extLst>
            <a:ext uri="{FF2B5EF4-FFF2-40B4-BE49-F238E27FC236}">
              <a16:creationId xmlns:a16="http://schemas.microsoft.com/office/drawing/2014/main" id="{00000000-0008-0000-0000-000023000000}"/>
            </a:ext>
          </a:extLst>
        </xdr:cNvPr>
        <xdr:cNvCxnSpPr/>
      </xdr:nvCxnSpPr>
      <xdr:spPr>
        <a:xfrm>
          <a:off x="4212000" y="120542760"/>
          <a:ext cx="2231280" cy="363240"/>
        </a:xfrm>
        <a:prstGeom prst="straightConnector1">
          <a:avLst/>
        </a:prstGeom>
        <a:ln w="6480">
          <a:solidFill>
            <a:srgbClr val="5B9BD5"/>
          </a:solidFill>
          <a:miter/>
          <a:tailEnd type="triangle" w="med" len="med"/>
        </a:ln>
      </xdr:spPr>
    </xdr:cxnSp>
    <xdr:clientData/>
  </xdr:twoCellAnchor>
  <xdr:twoCellAnchor>
    <xdr:from>
      <xdr:col>4</xdr:col>
      <xdr:colOff>657720</xdr:colOff>
      <xdr:row>628</xdr:row>
      <xdr:rowOff>61200</xdr:rowOff>
    </xdr:from>
    <xdr:to>
      <xdr:col>6</xdr:col>
      <xdr:colOff>955440</xdr:colOff>
      <xdr:row>630</xdr:row>
      <xdr:rowOff>119520</xdr:rowOff>
    </xdr:to>
    <xdr:cxnSp macro="">
      <xdr:nvCxnSpPr>
        <xdr:cNvPr id="36" name="Straight Arrow Connector 2">
          <a:extLst>
            <a:ext uri="{FF2B5EF4-FFF2-40B4-BE49-F238E27FC236}">
              <a16:creationId xmlns:a16="http://schemas.microsoft.com/office/drawing/2014/main" id="{00000000-0008-0000-0000-000024000000}"/>
            </a:ext>
          </a:extLst>
        </xdr:cNvPr>
        <xdr:cNvCxnSpPr/>
      </xdr:nvCxnSpPr>
      <xdr:spPr>
        <a:xfrm>
          <a:off x="3627000" y="120722760"/>
          <a:ext cx="1843560" cy="439560"/>
        </a:xfrm>
        <a:prstGeom prst="straightConnector1">
          <a:avLst/>
        </a:prstGeom>
        <a:ln w="6480">
          <a:solidFill>
            <a:srgbClr val="C00000"/>
          </a:solidFill>
          <a:miter/>
          <a:tailEnd type="triangle" w="med" len="med"/>
        </a:ln>
      </xdr:spPr>
    </xdr:cxnSp>
    <xdr:clientData/>
  </xdr:twoCellAnchor>
  <xdr:twoCellAnchor editAs="oneCell">
    <xdr:from>
      <xdr:col>5</xdr:col>
      <xdr:colOff>284400</xdr:colOff>
      <xdr:row>629</xdr:row>
      <xdr:rowOff>164880</xdr:rowOff>
    </xdr:from>
    <xdr:to>
      <xdr:col>8</xdr:col>
      <xdr:colOff>165600</xdr:colOff>
      <xdr:row>631</xdr:row>
      <xdr:rowOff>118800</xdr:rowOff>
    </xdr:to>
    <xdr:cxnSp macro="">
      <xdr:nvCxnSpPr>
        <xdr:cNvPr id="37" name="Straight Arrow Connector 17">
          <a:extLst>
            <a:ext uri="{FF2B5EF4-FFF2-40B4-BE49-F238E27FC236}">
              <a16:creationId xmlns:a16="http://schemas.microsoft.com/office/drawing/2014/main" id="{00000000-0008-0000-0000-000025000000}"/>
            </a:ext>
          </a:extLst>
        </xdr:cNvPr>
        <xdr:cNvCxnSpPr/>
      </xdr:nvCxnSpPr>
      <xdr:spPr>
        <a:xfrm>
          <a:off x="4118040" y="121016880"/>
          <a:ext cx="2489400" cy="335160"/>
        </a:xfrm>
        <a:prstGeom prst="straightConnector1">
          <a:avLst/>
        </a:prstGeom>
        <a:ln w="6480">
          <a:solidFill>
            <a:srgbClr val="5B9BD5"/>
          </a:solidFill>
          <a:miter/>
          <a:tailEnd type="triangle" w="med" len="med"/>
        </a:ln>
      </xdr:spPr>
    </xdr:cxnSp>
    <xdr:clientData/>
  </xdr:twoCellAnchor>
  <xdr:twoCellAnchor editAs="oneCell">
    <xdr:from>
      <xdr:col>4</xdr:col>
      <xdr:colOff>702000</xdr:colOff>
      <xdr:row>630</xdr:row>
      <xdr:rowOff>93240</xdr:rowOff>
    </xdr:from>
    <xdr:to>
      <xdr:col>7</xdr:col>
      <xdr:colOff>42120</xdr:colOff>
      <xdr:row>632</xdr:row>
      <xdr:rowOff>152280</xdr:rowOff>
    </xdr:to>
    <xdr:cxnSp macro="">
      <xdr:nvCxnSpPr>
        <xdr:cNvPr id="38" name="Straight Arrow Connector 18">
          <a:extLst>
            <a:ext uri="{FF2B5EF4-FFF2-40B4-BE49-F238E27FC236}">
              <a16:creationId xmlns:a16="http://schemas.microsoft.com/office/drawing/2014/main" id="{00000000-0008-0000-0000-000026000000}"/>
            </a:ext>
          </a:extLst>
        </xdr:cNvPr>
        <xdr:cNvCxnSpPr/>
      </xdr:nvCxnSpPr>
      <xdr:spPr>
        <a:xfrm>
          <a:off x="3671280" y="121135680"/>
          <a:ext cx="1845000" cy="440280"/>
        </a:xfrm>
        <a:prstGeom prst="straightConnector1">
          <a:avLst/>
        </a:prstGeom>
        <a:ln w="6480">
          <a:solidFill>
            <a:srgbClr val="C00000"/>
          </a:solidFill>
          <a:miter/>
          <a:tailEnd type="triangle" w="med" len="med"/>
        </a:ln>
      </xdr:spPr>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1048576"/>
  <sheetViews>
    <sheetView topLeftCell="G565" zoomScale="110" zoomScaleNormal="110" workbookViewId="0">
      <selection activeCell="O583" sqref="O583"/>
    </sheetView>
  </sheetViews>
  <sheetFormatPr defaultColWidth="8.265625" defaultRowHeight="14.25" customHeight="1"/>
  <cols>
    <col min="1" max="1" width="11.73046875" customWidth="1"/>
    <col min="3" max="3" width="9.73046875" customWidth="1"/>
    <col min="4" max="4" width="12.59765625" style="3" customWidth="1"/>
    <col min="5" max="5" width="12.265625" customWidth="1"/>
    <col min="6" max="6" width="9.73046875" customWidth="1"/>
    <col min="7" max="7" width="13.59765625" customWidth="1"/>
    <col min="8" max="8" width="13.73046875" customWidth="1"/>
    <col min="9" max="9" width="11.73046875" style="3" customWidth="1"/>
    <col min="10" max="10" width="12.73046875" style="3" customWidth="1"/>
    <col min="11" max="11" width="10" customWidth="1"/>
    <col min="12" max="13" width="11.265625" customWidth="1"/>
    <col min="14" max="14" width="13.86328125" style="4" customWidth="1"/>
    <col min="15" max="15" width="12.59765625" style="3" customWidth="1"/>
    <col min="16" max="16" width="17.86328125" style="3" customWidth="1"/>
    <col min="17" max="17" width="16" customWidth="1"/>
    <col min="18" max="19" width="12.3984375" style="3" customWidth="1"/>
    <col min="20" max="20" width="11.73046875" style="5" customWidth="1"/>
    <col min="21" max="21" width="11.73046875" customWidth="1"/>
    <col min="22" max="22" width="2.3984375" customWidth="1"/>
    <col min="23" max="23" width="15.3984375" customWidth="1"/>
    <col min="24" max="24" width="9" customWidth="1"/>
  </cols>
  <sheetData>
    <row r="2" spans="3:20">
      <c r="C2" s="6" t="s">
        <v>0</v>
      </c>
      <c r="D2" s="7"/>
      <c r="E2" s="6"/>
      <c r="F2" s="8"/>
      <c r="G2" s="8"/>
      <c r="H2" s="8"/>
      <c r="I2" s="9"/>
      <c r="J2" s="9"/>
      <c r="K2" s="8"/>
      <c r="L2" s="8"/>
      <c r="M2" s="8"/>
      <c r="N2" s="10"/>
      <c r="O2" s="9"/>
      <c r="P2" s="9"/>
    </row>
    <row r="3" spans="3:20">
      <c r="H3" s="453" t="s">
        <v>1</v>
      </c>
      <c r="I3" s="453"/>
    </row>
    <row r="4" spans="3:20" ht="28.5" customHeight="1">
      <c r="F4" s="11"/>
      <c r="G4" s="12"/>
      <c r="H4" s="13" t="s">
        <v>2</v>
      </c>
      <c r="I4" s="13" t="s">
        <v>3</v>
      </c>
      <c r="J4" s="13" t="s">
        <v>4</v>
      </c>
      <c r="K4" s="13" t="s">
        <v>5</v>
      </c>
      <c r="L4" s="13" t="s">
        <v>6</v>
      </c>
      <c r="M4" s="13" t="s">
        <v>7</v>
      </c>
      <c r="N4" s="14" t="s">
        <v>8</v>
      </c>
      <c r="O4" s="13"/>
      <c r="P4" s="13" t="s">
        <v>9</v>
      </c>
      <c r="Q4" s="13" t="s">
        <v>10</v>
      </c>
    </row>
    <row r="5" spans="3:20">
      <c r="F5" s="15" t="s">
        <v>11</v>
      </c>
      <c r="G5" s="16"/>
      <c r="H5" s="3"/>
      <c r="K5" s="3"/>
      <c r="L5" s="3"/>
      <c r="M5" s="3"/>
    </row>
    <row r="6" spans="3:20">
      <c r="G6" s="17" t="s">
        <v>12</v>
      </c>
      <c r="H6">
        <v>5680</v>
      </c>
      <c r="I6" s="3">
        <v>2400</v>
      </c>
      <c r="J6" s="3">
        <v>1</v>
      </c>
      <c r="K6">
        <v>3600</v>
      </c>
      <c r="L6" s="18">
        <f>J6*I6/K6</f>
        <v>0.66666666666666663</v>
      </c>
      <c r="M6">
        <f>3600*24</f>
        <v>86400</v>
      </c>
      <c r="N6" s="4">
        <v>22</v>
      </c>
      <c r="P6" s="19">
        <f>L6*M6*N6/1000000</f>
        <v>1.2672000000000001</v>
      </c>
      <c r="Q6" s="20">
        <f>P6</f>
        <v>1.2672000000000001</v>
      </c>
      <c r="T6" s="21"/>
    </row>
    <row r="7" spans="3:20">
      <c r="G7" s="17" t="s">
        <v>13</v>
      </c>
      <c r="H7">
        <v>4928</v>
      </c>
      <c r="I7" s="3">
        <v>1920</v>
      </c>
      <c r="J7" s="3">
        <v>1</v>
      </c>
      <c r="K7">
        <v>90</v>
      </c>
      <c r="L7" s="18">
        <f>J7*I7/K7</f>
        <v>21.333333333333332</v>
      </c>
      <c r="M7">
        <f>3600*24</f>
        <v>86400</v>
      </c>
      <c r="N7" s="4">
        <f>N6</f>
        <v>22</v>
      </c>
      <c r="P7" s="19">
        <f>L7*M7*N7/1000000</f>
        <v>40.550400000000003</v>
      </c>
      <c r="Q7" s="20">
        <f>P7</f>
        <v>40.550400000000003</v>
      </c>
      <c r="T7" s="21"/>
    </row>
    <row r="8" spans="3:20">
      <c r="G8" s="17" t="s">
        <v>14</v>
      </c>
      <c r="H8">
        <v>64000</v>
      </c>
      <c r="I8" s="3">
        <v>20000</v>
      </c>
      <c r="J8" s="3">
        <v>1</v>
      </c>
      <c r="K8">
        <v>7200</v>
      </c>
      <c r="L8" s="18">
        <f>J8*I8/K8</f>
        <v>2.7777777777777777</v>
      </c>
      <c r="M8">
        <f>3600*24</f>
        <v>86400</v>
      </c>
      <c r="N8" s="4">
        <f>N6</f>
        <v>22</v>
      </c>
      <c r="P8" s="19">
        <f>L8*M8*N8/1000000</f>
        <v>5.28</v>
      </c>
      <c r="Q8" s="20">
        <f>P8</f>
        <v>5.28</v>
      </c>
      <c r="T8" s="21"/>
    </row>
    <row r="9" spans="3:20">
      <c r="G9" s="17" t="s">
        <v>15</v>
      </c>
      <c r="H9">
        <v>512</v>
      </c>
      <c r="I9" s="3">
        <f>H9</f>
        <v>512</v>
      </c>
      <c r="J9" s="3">
        <v>1</v>
      </c>
      <c r="K9">
        <v>1800</v>
      </c>
      <c r="L9" s="18">
        <f>J9*I9/K9</f>
        <v>0.28444444444444444</v>
      </c>
      <c r="M9">
        <f>3600*24</f>
        <v>86400</v>
      </c>
      <c r="N9" s="4">
        <f>N6</f>
        <v>22</v>
      </c>
      <c r="P9" s="19">
        <f>L9*M9*N9/1000000</f>
        <v>0.54067200000000004</v>
      </c>
      <c r="Q9" s="22">
        <f>P9</f>
        <v>0.54067200000000004</v>
      </c>
      <c r="T9" s="23"/>
    </row>
    <row r="10" spans="3:20">
      <c r="G10" s="17"/>
      <c r="K10" s="3" t="str">
        <f>IF(AND( (K6/K7)=INT(K6/K7), (K8/K7)=INT(K8/K7) ), " ", "error")</f>
        <v xml:space="preserve"> </v>
      </c>
      <c r="P10" s="24">
        <f>SUM(P6:P9)</f>
        <v>47.638272000000008</v>
      </c>
      <c r="Q10" s="20">
        <f>SUM(Q6:Q9)</f>
        <v>47.638272000000008</v>
      </c>
      <c r="T10" s="21"/>
    </row>
    <row r="12" spans="3:20" ht="28.5" customHeight="1">
      <c r="F12" s="11"/>
      <c r="G12" s="12"/>
      <c r="H12" s="13" t="s">
        <v>2</v>
      </c>
      <c r="I12" s="13" t="s">
        <v>3</v>
      </c>
      <c r="J12" s="13" t="s">
        <v>4</v>
      </c>
      <c r="K12" s="13" t="s">
        <v>5</v>
      </c>
      <c r="L12" s="13" t="s">
        <v>6</v>
      </c>
      <c r="M12" s="13" t="s">
        <v>7</v>
      </c>
      <c r="N12" s="14"/>
      <c r="O12" s="13"/>
      <c r="P12" s="13" t="s">
        <v>9</v>
      </c>
      <c r="Q12" s="13" t="s">
        <v>10</v>
      </c>
    </row>
    <row r="13" spans="3:20">
      <c r="F13" s="15" t="s">
        <v>16</v>
      </c>
      <c r="G13" s="25"/>
    </row>
    <row r="14" spans="3:20">
      <c r="G14" s="17" t="s">
        <v>17</v>
      </c>
      <c r="H14">
        <v>8480</v>
      </c>
      <c r="I14" s="3">
        <v>2900</v>
      </c>
      <c r="J14" s="3">
        <v>1</v>
      </c>
      <c r="K14">
        <f>I22*64</f>
        <v>1280</v>
      </c>
      <c r="L14" s="18">
        <f>J14*I14/K14</f>
        <v>2.265625</v>
      </c>
      <c r="M14">
        <f>3600*24</f>
        <v>86400</v>
      </c>
      <c r="P14" s="20">
        <f>L14*M14*I25*((I23+I24))/1000000</f>
        <v>0</v>
      </c>
      <c r="Q14" s="20">
        <f>L14*M14*I26*((I23+I24))/1000000</f>
        <v>0</v>
      </c>
    </row>
    <row r="15" spans="3:20">
      <c r="G15" s="17" t="s">
        <v>18</v>
      </c>
      <c r="H15">
        <v>992</v>
      </c>
      <c r="I15" s="3">
        <v>600</v>
      </c>
      <c r="J15" s="3">
        <v>1</v>
      </c>
      <c r="K15">
        <f>I22*64</f>
        <v>1280</v>
      </c>
      <c r="L15" s="18">
        <f>J15*I15/K15</f>
        <v>0.46875</v>
      </c>
      <c r="M15">
        <f>3600*24</f>
        <v>86400</v>
      </c>
      <c r="P15" s="20">
        <f>L15*M15*I25*((I23+I24))/1000000</f>
        <v>0</v>
      </c>
      <c r="Q15" s="20">
        <f>L15*M15*I26*((I23+I24))/1000000</f>
        <v>0</v>
      </c>
    </row>
    <row r="16" spans="3:20">
      <c r="G16" s="17" t="s">
        <v>19</v>
      </c>
      <c r="H16">
        <f>H7</f>
        <v>4928</v>
      </c>
      <c r="I16" s="3">
        <v>1400</v>
      </c>
      <c r="J16" s="3">
        <v>1</v>
      </c>
      <c r="K16">
        <f>I22</f>
        <v>20</v>
      </c>
      <c r="L16" s="18">
        <f>J16*I16/K16</f>
        <v>70</v>
      </c>
      <c r="M16">
        <f>3600*24</f>
        <v>86400</v>
      </c>
      <c r="P16" s="22">
        <f>L16*M16*I25*I24/1000000</f>
        <v>0</v>
      </c>
      <c r="Q16" s="22">
        <f>L16*M16*I26*I24/1000000</f>
        <v>0</v>
      </c>
    </row>
    <row r="17" spans="3:25">
      <c r="P17" s="24">
        <f>SUM(P14:P16)</f>
        <v>0</v>
      </c>
      <c r="Q17" s="24">
        <f>SUM(Q14:Q16)</f>
        <v>0</v>
      </c>
    </row>
    <row r="18" spans="3:25">
      <c r="P18" s="26"/>
    </row>
    <row r="19" spans="3:25">
      <c r="F19" s="15" t="s">
        <v>20</v>
      </c>
      <c r="G19" s="27"/>
      <c r="P19" s="28">
        <f>P10+P17</f>
        <v>47.638272000000008</v>
      </c>
      <c r="Q19" s="28">
        <f>Q10+Q17</f>
        <v>47.638272000000008</v>
      </c>
      <c r="R19" s="3" t="s">
        <v>21</v>
      </c>
    </row>
    <row r="21" spans="3:25">
      <c r="F21" s="454" t="s">
        <v>22</v>
      </c>
      <c r="G21" s="454"/>
      <c r="H21" s="454"/>
      <c r="I21" s="454"/>
    </row>
    <row r="22" spans="3:25" ht="15.75">
      <c r="F22" s="455" t="s">
        <v>23</v>
      </c>
      <c r="G22" s="455"/>
      <c r="H22" s="455"/>
      <c r="I22" s="29">
        <v>20</v>
      </c>
      <c r="O22" s="30"/>
    </row>
    <row r="23" spans="3:25">
      <c r="F23" s="456" t="s">
        <v>24</v>
      </c>
      <c r="G23" s="456"/>
      <c r="H23" s="456"/>
      <c r="I23" s="29">
        <f>0.7*I22/10</f>
        <v>1.4</v>
      </c>
    </row>
    <row r="24" spans="3:25">
      <c r="F24" s="456" t="s">
        <v>25</v>
      </c>
      <c r="G24" s="456"/>
      <c r="H24" s="456"/>
      <c r="I24" s="29">
        <v>2</v>
      </c>
    </row>
    <row r="25" spans="3:25">
      <c r="F25" s="456" t="s">
        <v>26</v>
      </c>
      <c r="G25" s="456"/>
      <c r="H25" s="456"/>
      <c r="I25" s="29">
        <v>0</v>
      </c>
    </row>
    <row r="26" spans="3:25">
      <c r="F26" s="456" t="s">
        <v>27</v>
      </c>
      <c r="G26" s="456"/>
      <c r="H26" s="456"/>
      <c r="I26" s="29">
        <v>0</v>
      </c>
    </row>
    <row r="28" spans="3:25">
      <c r="Y28" t="s">
        <v>28</v>
      </c>
    </row>
    <row r="29" spans="3:25">
      <c r="N29" s="4">
        <f>1/30/24</f>
        <v>1.3888888888888889E-3</v>
      </c>
    </row>
    <row r="32" spans="3:25">
      <c r="C32" s="6" t="s">
        <v>29</v>
      </c>
      <c r="D32" s="7"/>
      <c r="E32" s="6"/>
      <c r="F32" s="8"/>
      <c r="G32" s="8"/>
      <c r="H32" s="8"/>
      <c r="I32" s="9"/>
      <c r="J32" s="9"/>
      <c r="K32" s="8"/>
      <c r="L32" s="8"/>
      <c r="M32" s="8"/>
      <c r="N32" s="10"/>
      <c r="O32" s="9"/>
      <c r="P32" s="9"/>
      <c r="Q32" s="8"/>
    </row>
    <row r="33" spans="3:17">
      <c r="H33" s="453" t="s">
        <v>1</v>
      </c>
      <c r="I33" s="453"/>
    </row>
    <row r="34" spans="3:17" ht="28.5" customHeight="1">
      <c r="F34" s="11"/>
      <c r="G34" s="12"/>
      <c r="H34" s="13" t="s">
        <v>2</v>
      </c>
      <c r="I34" s="13" t="s">
        <v>3</v>
      </c>
      <c r="J34" s="13" t="s">
        <v>4</v>
      </c>
      <c r="K34" s="13" t="s">
        <v>5</v>
      </c>
      <c r="L34" s="13" t="s">
        <v>6</v>
      </c>
      <c r="M34" s="13" t="s">
        <v>7</v>
      </c>
      <c r="N34" s="14" t="s">
        <v>8</v>
      </c>
      <c r="O34" s="13"/>
      <c r="P34" s="13" t="s">
        <v>9</v>
      </c>
      <c r="Q34" s="13" t="s">
        <v>10</v>
      </c>
    </row>
    <row r="35" spans="3:17">
      <c r="F35" s="15" t="s">
        <v>11</v>
      </c>
      <c r="G35" s="16"/>
      <c r="H35" s="3"/>
      <c r="K35" s="3"/>
      <c r="L35" s="3"/>
      <c r="M35" s="3"/>
    </row>
    <row r="36" spans="3:17">
      <c r="G36" s="17" t="s">
        <v>12</v>
      </c>
      <c r="H36">
        <v>5680</v>
      </c>
      <c r="I36" s="3">
        <v>3200</v>
      </c>
      <c r="J36" s="3">
        <v>1</v>
      </c>
      <c r="K36">
        <v>3600</v>
      </c>
      <c r="L36" s="18">
        <f>J36*I36/K36</f>
        <v>0.88888888888888884</v>
      </c>
      <c r="M36">
        <f>3600*24</f>
        <v>86400</v>
      </c>
      <c r="N36" s="4">
        <f>1/24</f>
        <v>4.1666666666666664E-2</v>
      </c>
      <c r="O36" s="31"/>
      <c r="P36" s="19">
        <f>L36*M36*N36/1000000</f>
        <v>3.2000000000000002E-3</v>
      </c>
      <c r="Q36" s="20">
        <f>P36</f>
        <v>3.2000000000000002E-3</v>
      </c>
    </row>
    <row r="37" spans="3:17">
      <c r="G37" s="17" t="s">
        <v>13</v>
      </c>
      <c r="H37">
        <v>4928</v>
      </c>
      <c r="I37" s="3">
        <v>1920</v>
      </c>
      <c r="J37" s="3">
        <v>1</v>
      </c>
      <c r="K37">
        <v>90</v>
      </c>
      <c r="L37" s="18">
        <f>J37*I37/K37</f>
        <v>21.333333333333332</v>
      </c>
      <c r="M37">
        <f>3600*24</f>
        <v>86400</v>
      </c>
      <c r="N37" s="4">
        <f>N36</f>
        <v>4.1666666666666664E-2</v>
      </c>
      <c r="O37" s="31"/>
      <c r="P37" s="19">
        <f>L37*M37*N37/1000000</f>
        <v>7.6799999999999993E-2</v>
      </c>
      <c r="Q37" s="20">
        <f>P37</f>
        <v>7.6799999999999993E-2</v>
      </c>
    </row>
    <row r="38" spans="3:17">
      <c r="C38" s="32" t="s">
        <v>30</v>
      </c>
      <c r="D38" s="33"/>
      <c r="E38" s="32"/>
      <c r="G38" s="17" t="s">
        <v>14</v>
      </c>
      <c r="H38">
        <v>64000</v>
      </c>
      <c r="I38" s="3">
        <v>32080</v>
      </c>
      <c r="J38" s="3">
        <v>1</v>
      </c>
      <c r="K38">
        <v>7200</v>
      </c>
      <c r="L38" s="18">
        <f>J38*I38/K38</f>
        <v>4.4555555555555557</v>
      </c>
      <c r="M38">
        <f>3600*24</f>
        <v>86400</v>
      </c>
      <c r="N38" s="4">
        <f>N36</f>
        <v>4.1666666666666664E-2</v>
      </c>
      <c r="O38" s="31"/>
      <c r="P38" s="19">
        <f>L38*M38*N38/1000000</f>
        <v>1.6039999999999999E-2</v>
      </c>
      <c r="Q38" s="20">
        <f>P38</f>
        <v>1.6039999999999999E-2</v>
      </c>
    </row>
    <row r="39" spans="3:17">
      <c r="C39" s="32" t="s">
        <v>31</v>
      </c>
      <c r="D39" s="34"/>
      <c r="E39" s="32" t="s">
        <v>32</v>
      </c>
      <c r="G39" s="17" t="s">
        <v>15</v>
      </c>
      <c r="H39">
        <v>512</v>
      </c>
      <c r="I39" s="3">
        <f>H39</f>
        <v>512</v>
      </c>
      <c r="J39" s="3">
        <v>1</v>
      </c>
      <c r="K39">
        <v>1</v>
      </c>
      <c r="L39" s="18">
        <f>J39*I39/K39</f>
        <v>512</v>
      </c>
      <c r="M39">
        <f>3600*24</f>
        <v>86400</v>
      </c>
      <c r="N39" s="4">
        <f>N36</f>
        <v>4.1666666666666664E-2</v>
      </c>
      <c r="O39" s="31"/>
      <c r="P39" s="19">
        <f>L39*M39*N39/1000000</f>
        <v>1.8431999999999999</v>
      </c>
      <c r="Q39" s="22">
        <f>P39</f>
        <v>1.8431999999999999</v>
      </c>
    </row>
    <row r="40" spans="3:17">
      <c r="G40" s="17"/>
      <c r="K40" s="3" t="str">
        <f>IF(AND( (K36/K37)=INT(K36/K37), (K38/K37)=INT(K38/K37) ), " ", "error")</f>
        <v xml:space="preserve"> </v>
      </c>
      <c r="P40" s="24">
        <f>SUM(P36:P39)</f>
        <v>1.9392399999999999</v>
      </c>
      <c r="Q40" s="20">
        <f>SUM(Q36:Q39)</f>
        <v>1.9392399999999999</v>
      </c>
    </row>
    <row r="42" spans="3:17" ht="28.5" customHeight="1">
      <c r="F42" s="11"/>
      <c r="G42" s="12"/>
      <c r="H42" s="13" t="s">
        <v>2</v>
      </c>
      <c r="I42" s="13" t="s">
        <v>3</v>
      </c>
      <c r="J42" s="13" t="s">
        <v>4</v>
      </c>
      <c r="K42" s="13" t="s">
        <v>5</v>
      </c>
      <c r="L42" s="13" t="s">
        <v>6</v>
      </c>
      <c r="M42" s="13" t="s">
        <v>7</v>
      </c>
      <c r="N42" s="14"/>
      <c r="O42" s="13"/>
      <c r="P42" s="13" t="s">
        <v>9</v>
      </c>
      <c r="Q42" s="13" t="s">
        <v>10</v>
      </c>
    </row>
    <row r="43" spans="3:17">
      <c r="F43" s="15" t="s">
        <v>16</v>
      </c>
      <c r="G43" s="25"/>
    </row>
    <row r="44" spans="3:17">
      <c r="G44" s="17" t="s">
        <v>17</v>
      </c>
      <c r="H44">
        <v>8480</v>
      </c>
      <c r="I44" s="3">
        <f>I$14</f>
        <v>2900</v>
      </c>
      <c r="J44" s="3">
        <v>1</v>
      </c>
      <c r="K44">
        <f>I52*64</f>
        <v>1280</v>
      </c>
      <c r="L44" s="18">
        <f>J44*I44/K44</f>
        <v>2.265625</v>
      </c>
      <c r="M44">
        <f>3600*24</f>
        <v>86400</v>
      </c>
      <c r="P44" s="20">
        <f>L44*M44*I55*((I53+I54))/1000000</f>
        <v>0</v>
      </c>
      <c r="Q44" s="20">
        <f>L44*M44*I56*((I53+I54))/1000000</f>
        <v>0</v>
      </c>
    </row>
    <row r="45" spans="3:17">
      <c r="G45" s="17" t="s">
        <v>18</v>
      </c>
      <c r="H45">
        <v>992</v>
      </c>
      <c r="I45" s="3">
        <f>I$15</f>
        <v>600</v>
      </c>
      <c r="J45" s="3">
        <v>1</v>
      </c>
      <c r="K45">
        <f>I52*64</f>
        <v>1280</v>
      </c>
      <c r="L45" s="18">
        <f>J45*I45/K45</f>
        <v>0.46875</v>
      </c>
      <c r="M45">
        <f>3600*24</f>
        <v>86400</v>
      </c>
      <c r="P45" s="20">
        <f>L45*M45*I55*((I53+I54))/1000000</f>
        <v>0</v>
      </c>
      <c r="Q45" s="20">
        <f>L45*M45*I56*((I53+I54))/1000000</f>
        <v>0</v>
      </c>
    </row>
    <row r="46" spans="3:17">
      <c r="G46" s="17" t="s">
        <v>19</v>
      </c>
      <c r="H46">
        <f>H37</f>
        <v>4928</v>
      </c>
      <c r="I46" s="3">
        <f>I$16</f>
        <v>1400</v>
      </c>
      <c r="J46" s="3">
        <v>1</v>
      </c>
      <c r="K46">
        <f>I52</f>
        <v>20</v>
      </c>
      <c r="L46" s="18">
        <f>J46*I46/K46</f>
        <v>70</v>
      </c>
      <c r="M46">
        <f>3600*24</f>
        <v>86400</v>
      </c>
      <c r="P46" s="22">
        <f>L46*M46*I55*I54/1000000</f>
        <v>0</v>
      </c>
      <c r="Q46" s="22">
        <f>L46*M46*I56*I54/1000000</f>
        <v>0</v>
      </c>
    </row>
    <row r="47" spans="3:17">
      <c r="P47" s="24">
        <f>SUM(P44:P46)</f>
        <v>0</v>
      </c>
      <c r="Q47" s="24">
        <f>SUM(Q44:Q46)</f>
        <v>0</v>
      </c>
    </row>
    <row r="48" spans="3:17">
      <c r="P48" s="26"/>
    </row>
    <row r="49" spans="3:25">
      <c r="F49" s="15" t="s">
        <v>20</v>
      </c>
      <c r="G49" s="27"/>
      <c r="P49" s="28">
        <f>P40+P47</f>
        <v>1.9392399999999999</v>
      </c>
      <c r="Q49" s="28">
        <f>Q40+Q47</f>
        <v>1.9392399999999999</v>
      </c>
      <c r="R49" s="3" t="s">
        <v>21</v>
      </c>
    </row>
    <row r="51" spans="3:25">
      <c r="F51" s="454" t="s">
        <v>22</v>
      </c>
      <c r="G51" s="454"/>
      <c r="H51" s="454"/>
      <c r="I51" s="454"/>
      <c r="K51" t="s">
        <v>33</v>
      </c>
      <c r="L51" t="s">
        <v>34</v>
      </c>
    </row>
    <row r="52" spans="3:25" ht="15.75">
      <c r="F52" s="455" t="s">
        <v>23</v>
      </c>
      <c r="G52" s="455"/>
      <c r="H52" s="455"/>
      <c r="I52" s="29">
        <v>20</v>
      </c>
      <c r="K52">
        <v>1</v>
      </c>
      <c r="L52">
        <v>2</v>
      </c>
      <c r="O52" s="30"/>
    </row>
    <row r="53" spans="3:25">
      <c r="F53" s="456" t="s">
        <v>24</v>
      </c>
      <c r="G53" s="456"/>
      <c r="H53" s="456"/>
      <c r="I53" s="29">
        <f>0.7*I52/10</f>
        <v>1.4</v>
      </c>
      <c r="K53">
        <v>3</v>
      </c>
      <c r="L53">
        <v>6</v>
      </c>
      <c r="M53" t="str">
        <f>IF((K53/L53)=INT(K53/L53), "good", "bad")</f>
        <v>bad</v>
      </c>
    </row>
    <row r="54" spans="3:25">
      <c r="F54" s="456" t="s">
        <v>25</v>
      </c>
      <c r="G54" s="456"/>
      <c r="H54" s="456"/>
      <c r="I54" s="29">
        <v>2</v>
      </c>
      <c r="K54">
        <v>1</v>
      </c>
      <c r="L54">
        <v>2</v>
      </c>
      <c r="M54" t="str">
        <f>IF((K54/L54)=INT(K54/L54), "good", "bad")</f>
        <v>bad</v>
      </c>
    </row>
    <row r="55" spans="3:25">
      <c r="F55" s="456" t="s">
        <v>26</v>
      </c>
      <c r="G55" s="456"/>
      <c r="H55" s="456"/>
      <c r="I55" s="29">
        <v>0</v>
      </c>
      <c r="K55">
        <v>1</v>
      </c>
      <c r="L55">
        <v>2</v>
      </c>
      <c r="M55" t="str">
        <f>IF((K55/L55)=INT(K55/L55), "good", "bad")</f>
        <v>bad</v>
      </c>
    </row>
    <row r="56" spans="3:25">
      <c r="F56" s="456" t="s">
        <v>27</v>
      </c>
      <c r="G56" s="456"/>
      <c r="H56" s="456"/>
      <c r="I56" s="29">
        <v>0</v>
      </c>
    </row>
    <row r="58" spans="3:25">
      <c r="Y58" t="s">
        <v>28</v>
      </c>
    </row>
    <row r="60" spans="3:25">
      <c r="C60" s="6" t="s">
        <v>35</v>
      </c>
      <c r="D60" s="7"/>
      <c r="E60" s="6"/>
      <c r="F60" s="8"/>
      <c r="G60" s="8"/>
      <c r="H60" s="8"/>
      <c r="I60" s="9"/>
      <c r="J60" s="9"/>
      <c r="K60" s="8"/>
      <c r="L60" s="8"/>
      <c r="M60" s="8"/>
      <c r="N60" s="10"/>
      <c r="O60" s="9"/>
      <c r="P60" s="9"/>
    </row>
    <row r="61" spans="3:25">
      <c r="H61" s="453" t="s">
        <v>1</v>
      </c>
      <c r="I61" s="453"/>
    </row>
    <row r="62" spans="3:25" ht="28.5" customHeight="1">
      <c r="F62" s="11"/>
      <c r="G62" s="12"/>
      <c r="H62" s="13" t="s">
        <v>2</v>
      </c>
      <c r="I62" s="13" t="s">
        <v>3</v>
      </c>
      <c r="J62" s="13" t="s">
        <v>4</v>
      </c>
      <c r="K62" s="13" t="s">
        <v>5</v>
      </c>
      <c r="L62" s="13" t="s">
        <v>6</v>
      </c>
      <c r="M62" s="13" t="s">
        <v>7</v>
      </c>
      <c r="N62" s="14" t="s">
        <v>8</v>
      </c>
      <c r="O62" s="13"/>
      <c r="P62" s="13" t="s">
        <v>9</v>
      </c>
      <c r="Q62" s="13" t="s">
        <v>10</v>
      </c>
    </row>
    <row r="63" spans="3:25">
      <c r="F63" s="15" t="s">
        <v>11</v>
      </c>
      <c r="G63" s="16"/>
      <c r="H63" s="3"/>
      <c r="K63" s="3"/>
      <c r="L63" s="3"/>
      <c r="M63" s="3"/>
    </row>
    <row r="64" spans="3:25">
      <c r="G64" s="17" t="s">
        <v>12</v>
      </c>
      <c r="H64">
        <v>5680</v>
      </c>
      <c r="I64" s="3">
        <f>I$6</f>
        <v>2400</v>
      </c>
      <c r="J64" s="3">
        <v>1</v>
      </c>
      <c r="K64">
        <v>180</v>
      </c>
      <c r="L64" s="18">
        <f>J64*I64/K64</f>
        <v>13.333333333333334</v>
      </c>
      <c r="M64">
        <f>3600*24</f>
        <v>86400</v>
      </c>
      <c r="N64" s="4">
        <v>3</v>
      </c>
      <c r="P64" s="19">
        <f>L64*M64*N64/1000000</f>
        <v>3.456</v>
      </c>
      <c r="Q64" s="20">
        <f>P64</f>
        <v>3.456</v>
      </c>
    </row>
    <row r="65" spans="6:18">
      <c r="G65" s="17" t="s">
        <v>13</v>
      </c>
      <c r="H65">
        <v>4928</v>
      </c>
      <c r="I65" s="3">
        <f>I$7</f>
        <v>1920</v>
      </c>
      <c r="J65" s="3">
        <v>1</v>
      </c>
      <c r="K65">
        <v>180</v>
      </c>
      <c r="L65" s="18">
        <f>J65*I65/K65</f>
        <v>10.666666666666666</v>
      </c>
      <c r="M65">
        <f>3600*24</f>
        <v>86400</v>
      </c>
      <c r="N65" s="4">
        <f>N64</f>
        <v>3</v>
      </c>
      <c r="P65" s="19">
        <f>L65*M65*N65/1000000</f>
        <v>2.7648000000000001</v>
      </c>
      <c r="Q65" s="20">
        <f>P65</f>
        <v>2.7648000000000001</v>
      </c>
    </row>
    <row r="66" spans="6:18">
      <c r="G66" s="17" t="s">
        <v>14</v>
      </c>
      <c r="H66">
        <v>64000</v>
      </c>
      <c r="I66" s="3">
        <f>I$8</f>
        <v>20000</v>
      </c>
      <c r="J66" s="3">
        <v>1</v>
      </c>
      <c r="K66">
        <v>7200</v>
      </c>
      <c r="L66" s="18">
        <f>J66*I66/K66</f>
        <v>2.7777777777777777</v>
      </c>
      <c r="M66">
        <f>3600*24</f>
        <v>86400</v>
      </c>
      <c r="N66" s="4">
        <f>N64</f>
        <v>3</v>
      </c>
      <c r="P66" s="19">
        <f>L66*M66*N66/1000000</f>
        <v>0.72</v>
      </c>
      <c r="Q66" s="20">
        <f>P66</f>
        <v>0.72</v>
      </c>
    </row>
    <row r="67" spans="6:18">
      <c r="G67" s="17" t="s">
        <v>15</v>
      </c>
      <c r="H67">
        <v>512</v>
      </c>
      <c r="I67" s="3">
        <f>H67</f>
        <v>512</v>
      </c>
      <c r="J67" s="3">
        <v>1</v>
      </c>
      <c r="K67">
        <v>1800</v>
      </c>
      <c r="L67" s="18">
        <f>J67*I67/K67</f>
        <v>0.28444444444444444</v>
      </c>
      <c r="M67">
        <f>3600*24</f>
        <v>86400</v>
      </c>
      <c r="N67" s="4">
        <f>N64</f>
        <v>3</v>
      </c>
      <c r="P67" s="19">
        <f>L67*M67*N67/1000000</f>
        <v>7.3728000000000002E-2</v>
      </c>
      <c r="Q67" s="22">
        <f>P67</f>
        <v>7.3728000000000002E-2</v>
      </c>
    </row>
    <row r="68" spans="6:18">
      <c r="G68" s="17"/>
      <c r="K68" s="3" t="str">
        <f>IF(AND( (K64/K65)=INT(K64/K65), (K66/K65)=INT(K66/K65) ), " ", "error")</f>
        <v xml:space="preserve"> </v>
      </c>
      <c r="P68" s="24">
        <f>SUM(P64:P67)</f>
        <v>7.0145280000000003</v>
      </c>
      <c r="Q68" s="20">
        <f>SUM(Q64:Q67)</f>
        <v>7.0145280000000003</v>
      </c>
    </row>
    <row r="70" spans="6:18" ht="28.5" customHeight="1">
      <c r="F70" s="11"/>
      <c r="G70" s="12"/>
      <c r="H70" s="13" t="s">
        <v>2</v>
      </c>
      <c r="I70" s="13" t="s">
        <v>3</v>
      </c>
      <c r="J70" s="13" t="s">
        <v>4</v>
      </c>
      <c r="K70" s="13" t="s">
        <v>5</v>
      </c>
      <c r="L70" s="13" t="s">
        <v>6</v>
      </c>
      <c r="M70" s="13" t="s">
        <v>7</v>
      </c>
      <c r="N70" s="14" t="s">
        <v>8</v>
      </c>
      <c r="O70" s="13"/>
      <c r="P70" s="13" t="s">
        <v>9</v>
      </c>
      <c r="Q70" s="13" t="s">
        <v>10</v>
      </c>
    </row>
    <row r="71" spans="6:18">
      <c r="F71" s="15" t="s">
        <v>16</v>
      </c>
      <c r="G71" s="25"/>
    </row>
    <row r="72" spans="6:18">
      <c r="G72" s="17" t="s">
        <v>17</v>
      </c>
      <c r="H72">
        <v>8480</v>
      </c>
      <c r="I72" s="3">
        <f>I$14</f>
        <v>2900</v>
      </c>
      <c r="J72" s="3">
        <v>1</v>
      </c>
      <c r="K72">
        <f>I80*64</f>
        <v>1280</v>
      </c>
      <c r="L72" s="18">
        <f>J72*I72/K72</f>
        <v>2.265625</v>
      </c>
      <c r="M72">
        <f>3600*24</f>
        <v>86400</v>
      </c>
      <c r="N72" s="4">
        <f>I83*(I81+I82)</f>
        <v>0</v>
      </c>
      <c r="P72" s="20">
        <f>L72*M72*I83*((I81+I82))/1000000</f>
        <v>0</v>
      </c>
      <c r="Q72" s="20">
        <f>L72*M72*I84*((I81+I82))/1000000</f>
        <v>0</v>
      </c>
    </row>
    <row r="73" spans="6:18">
      <c r="G73" s="17" t="s">
        <v>18</v>
      </c>
      <c r="H73">
        <v>992</v>
      </c>
      <c r="I73" s="3">
        <f>I$15</f>
        <v>600</v>
      </c>
      <c r="J73" s="3">
        <v>1</v>
      </c>
      <c r="K73">
        <f>I80*64</f>
        <v>1280</v>
      </c>
      <c r="L73" s="18">
        <f>J73*I73/K73</f>
        <v>0.46875</v>
      </c>
      <c r="M73">
        <f>3600*24</f>
        <v>86400</v>
      </c>
      <c r="N73" s="4">
        <f>N72</f>
        <v>0</v>
      </c>
      <c r="P73" s="20">
        <f>L73*M73*I83*((I81+I82))/1000000</f>
        <v>0</v>
      </c>
      <c r="Q73" s="20">
        <f>L73*M73*I84*((I81+I82))/1000000</f>
        <v>0</v>
      </c>
    </row>
    <row r="74" spans="6:18">
      <c r="G74" s="17" t="s">
        <v>19</v>
      </c>
      <c r="H74">
        <f>H65</f>
        <v>4928</v>
      </c>
      <c r="I74" s="3">
        <f>I$16</f>
        <v>1400</v>
      </c>
      <c r="J74" s="3">
        <v>1</v>
      </c>
      <c r="K74">
        <f>I80</f>
        <v>20</v>
      </c>
      <c r="L74" s="18">
        <f>J74*I74/K74</f>
        <v>70</v>
      </c>
      <c r="M74">
        <f>3600*24</f>
        <v>86400</v>
      </c>
      <c r="N74" s="4">
        <f>I84*I82</f>
        <v>0</v>
      </c>
      <c r="P74" s="22">
        <f>L74*M74*I83*I82/1000000</f>
        <v>0</v>
      </c>
      <c r="Q74" s="22">
        <f>L74*M74*I84*I82/1000000</f>
        <v>0</v>
      </c>
    </row>
    <row r="75" spans="6:18">
      <c r="P75" s="24">
        <f>SUM(P72:P74)</f>
        <v>0</v>
      </c>
      <c r="Q75" s="24">
        <f>SUM(Q72:Q74)</f>
        <v>0</v>
      </c>
    </row>
    <row r="76" spans="6:18">
      <c r="P76" s="26"/>
    </row>
    <row r="77" spans="6:18">
      <c r="F77" s="15" t="s">
        <v>20</v>
      </c>
      <c r="G77" s="27"/>
      <c r="P77" s="28">
        <f>P68+P75</f>
        <v>7.0145280000000003</v>
      </c>
      <c r="Q77" s="28">
        <f>Q68+Q75</f>
        <v>7.0145280000000003</v>
      </c>
      <c r="R77" s="3" t="s">
        <v>21</v>
      </c>
    </row>
    <row r="79" spans="6:18">
      <c r="F79" s="454" t="s">
        <v>22</v>
      </c>
      <c r="G79" s="454"/>
      <c r="H79" s="454"/>
      <c r="I79" s="454"/>
    </row>
    <row r="80" spans="6:18" ht="15.75">
      <c r="F80" s="455" t="s">
        <v>23</v>
      </c>
      <c r="G80" s="455"/>
      <c r="H80" s="455"/>
      <c r="I80" s="29">
        <v>20</v>
      </c>
      <c r="O80" s="30"/>
    </row>
    <row r="81" spans="3:25">
      <c r="F81" s="456" t="s">
        <v>24</v>
      </c>
      <c r="G81" s="456"/>
      <c r="H81" s="456"/>
      <c r="I81" s="29">
        <f>0.7*I80/10</f>
        <v>1.4</v>
      </c>
    </row>
    <row r="82" spans="3:25">
      <c r="F82" s="456" t="s">
        <v>25</v>
      </c>
      <c r="G82" s="456"/>
      <c r="H82" s="456"/>
      <c r="I82" s="29">
        <v>2</v>
      </c>
    </row>
    <row r="83" spans="3:25">
      <c r="F83" s="456" t="s">
        <v>26</v>
      </c>
      <c r="G83" s="456"/>
      <c r="H83" s="456"/>
      <c r="I83" s="29">
        <v>0</v>
      </c>
    </row>
    <row r="84" spans="3:25">
      <c r="F84" s="456" t="s">
        <v>27</v>
      </c>
      <c r="G84" s="456"/>
      <c r="H84" s="456"/>
      <c r="I84" s="29">
        <v>0</v>
      </c>
    </row>
    <row r="86" spans="3:25">
      <c r="Y86" t="s">
        <v>28</v>
      </c>
    </row>
    <row r="90" spans="3:25">
      <c r="C90" s="6" t="s">
        <v>36</v>
      </c>
      <c r="D90" s="7"/>
      <c r="E90" s="6"/>
      <c r="F90" s="8"/>
      <c r="G90" s="8"/>
      <c r="H90" s="8"/>
      <c r="I90" s="9"/>
      <c r="J90" s="9"/>
      <c r="K90" s="8"/>
      <c r="L90" s="8"/>
      <c r="M90" s="8"/>
      <c r="N90" s="10"/>
      <c r="O90" s="9"/>
      <c r="P90" s="9"/>
    </row>
    <row r="91" spans="3:25">
      <c r="H91" s="453" t="s">
        <v>1</v>
      </c>
      <c r="I91" s="453"/>
    </row>
    <row r="92" spans="3:25" ht="28.5" customHeight="1">
      <c r="F92" s="11"/>
      <c r="G92" s="12"/>
      <c r="H92" s="13" t="s">
        <v>2</v>
      </c>
      <c r="I92" s="13" t="s">
        <v>3</v>
      </c>
      <c r="J92" s="13" t="s">
        <v>4</v>
      </c>
      <c r="K92" s="13" t="s">
        <v>5</v>
      </c>
      <c r="L92" s="13" t="s">
        <v>6</v>
      </c>
      <c r="M92" s="13" t="s">
        <v>7</v>
      </c>
      <c r="N92" s="14" t="s">
        <v>8</v>
      </c>
      <c r="O92" s="13" t="s">
        <v>37</v>
      </c>
      <c r="P92" s="13" t="s">
        <v>9</v>
      </c>
      <c r="Q92" s="13" t="s">
        <v>10</v>
      </c>
    </row>
    <row r="93" spans="3:25">
      <c r="F93" s="15" t="s">
        <v>11</v>
      </c>
      <c r="G93" s="16"/>
      <c r="H93" s="3"/>
      <c r="K93" s="3"/>
      <c r="L93" s="3"/>
      <c r="M93" s="3"/>
    </row>
    <row r="94" spans="3:25">
      <c r="G94" s="17" t="s">
        <v>12</v>
      </c>
      <c r="H94">
        <v>5680</v>
      </c>
      <c r="I94" s="3">
        <f>I$6</f>
        <v>2400</v>
      </c>
      <c r="J94" s="3">
        <v>1</v>
      </c>
      <c r="K94">
        <v>180</v>
      </c>
      <c r="L94" s="18">
        <f>J94*I94/K94</f>
        <v>13.333333333333334</v>
      </c>
      <c r="M94">
        <f>3600*24</f>
        <v>86400</v>
      </c>
      <c r="N94" s="4">
        <v>19.2</v>
      </c>
      <c r="P94" s="19">
        <f>L94*M94*N94/1000000</f>
        <v>22.118400000000001</v>
      </c>
      <c r="Q94" s="20">
        <f>P94</f>
        <v>22.118400000000001</v>
      </c>
    </row>
    <row r="95" spans="3:25">
      <c r="G95" s="17" t="s">
        <v>13</v>
      </c>
      <c r="H95">
        <v>4928</v>
      </c>
      <c r="I95" s="3">
        <f>I$7</f>
        <v>1920</v>
      </c>
      <c r="J95" s="3">
        <v>0</v>
      </c>
      <c r="K95">
        <v>180</v>
      </c>
      <c r="L95" s="18">
        <f>J95*I95/K95</f>
        <v>0</v>
      </c>
      <c r="M95">
        <f>3600*24</f>
        <v>86400</v>
      </c>
      <c r="N95" s="4">
        <f>N94</f>
        <v>19.2</v>
      </c>
      <c r="P95" s="19">
        <f>L95*M95*N95/1000000</f>
        <v>0</v>
      </c>
      <c r="Q95" s="20">
        <f>P95</f>
        <v>0</v>
      </c>
    </row>
    <row r="96" spans="3:25">
      <c r="G96" s="17" t="s">
        <v>14</v>
      </c>
      <c r="H96">
        <v>64000</v>
      </c>
      <c r="I96" s="3">
        <f>I$8</f>
        <v>20000</v>
      </c>
      <c r="J96" s="3">
        <v>1</v>
      </c>
      <c r="K96">
        <v>7200</v>
      </c>
      <c r="L96" s="18">
        <f>J96*I96/K96</f>
        <v>2.7777777777777777</v>
      </c>
      <c r="M96">
        <f>3600*24</f>
        <v>86400</v>
      </c>
      <c r="N96" s="4">
        <f>N94</f>
        <v>19.2</v>
      </c>
      <c r="P96" s="19">
        <f>L96*M96*N96/1000000</f>
        <v>4.6079999999999997</v>
      </c>
      <c r="Q96" s="20">
        <f>P96</f>
        <v>4.6079999999999997</v>
      </c>
    </row>
    <row r="97" spans="6:18">
      <c r="G97" s="17" t="s">
        <v>15</v>
      </c>
      <c r="H97">
        <v>512</v>
      </c>
      <c r="I97" s="3">
        <f>H97</f>
        <v>512</v>
      </c>
      <c r="J97" s="3">
        <v>1</v>
      </c>
      <c r="K97">
        <v>1800</v>
      </c>
      <c r="L97" s="18">
        <f>J97*I97/K97</f>
        <v>0.28444444444444444</v>
      </c>
      <c r="M97">
        <f>3600*24</f>
        <v>86400</v>
      </c>
      <c r="N97" s="4">
        <f>N94</f>
        <v>19.2</v>
      </c>
      <c r="P97" s="19">
        <f>L97*M97*N97/1000000</f>
        <v>0.47185919999999998</v>
      </c>
      <c r="Q97" s="22">
        <f>P97</f>
        <v>0.47185919999999998</v>
      </c>
    </row>
    <row r="98" spans="6:18">
      <c r="G98" s="17"/>
      <c r="K98" s="3" t="str">
        <f>IF(AND( (K94/K95)=INT(K94/K95), (K96/K95)=INT(K96/K95) ), " ", "error")</f>
        <v xml:space="preserve"> </v>
      </c>
      <c r="P98" s="24">
        <f>SUM(P94:P97)</f>
        <v>27.198259200000003</v>
      </c>
      <c r="Q98" s="20">
        <f>SUM(Q94:Q97)</f>
        <v>27.198259200000003</v>
      </c>
    </row>
    <row r="100" spans="6:18" ht="28.5" customHeight="1">
      <c r="F100" s="11"/>
      <c r="G100" s="12"/>
      <c r="H100" s="13" t="s">
        <v>2</v>
      </c>
      <c r="I100" s="13" t="s">
        <v>3</v>
      </c>
      <c r="J100" s="13" t="s">
        <v>4</v>
      </c>
      <c r="K100" s="13" t="s">
        <v>5</v>
      </c>
      <c r="L100" s="13" t="s">
        <v>6</v>
      </c>
      <c r="M100" s="13" t="s">
        <v>7</v>
      </c>
      <c r="N100" s="14" t="s">
        <v>8</v>
      </c>
      <c r="O100" s="13" t="s">
        <v>37</v>
      </c>
      <c r="P100" s="13" t="s">
        <v>9</v>
      </c>
      <c r="Q100" s="13" t="s">
        <v>10</v>
      </c>
    </row>
    <row r="101" spans="6:18">
      <c r="F101" s="15" t="s">
        <v>16</v>
      </c>
      <c r="G101" s="25"/>
    </row>
    <row r="102" spans="6:18">
      <c r="G102" s="17" t="s">
        <v>17</v>
      </c>
      <c r="H102">
        <v>8480</v>
      </c>
      <c r="I102" s="3">
        <f>I$14</f>
        <v>2900</v>
      </c>
      <c r="J102" s="3">
        <v>1</v>
      </c>
      <c r="K102">
        <f>I110*64</f>
        <v>1280</v>
      </c>
      <c r="L102" s="18">
        <f>J102*I102/K102</f>
        <v>2.265625</v>
      </c>
      <c r="M102">
        <f>3600*24</f>
        <v>86400</v>
      </c>
      <c r="P102" s="20">
        <f>L102*M102*I113*((I111+I112))/1000000</f>
        <v>1.3310999999999999</v>
      </c>
      <c r="Q102" s="20">
        <f>L102*M102*I114*((I111+I112))/1000000</f>
        <v>1.3310999999999999</v>
      </c>
    </row>
    <row r="103" spans="6:18">
      <c r="G103" s="17" t="s">
        <v>18</v>
      </c>
      <c r="H103">
        <v>992</v>
      </c>
      <c r="I103" s="3">
        <f>I$15</f>
        <v>600</v>
      </c>
      <c r="J103" s="3">
        <v>1</v>
      </c>
      <c r="K103">
        <f>I110*64</f>
        <v>1280</v>
      </c>
      <c r="L103" s="18">
        <f>J103*I103/K103</f>
        <v>0.46875</v>
      </c>
      <c r="M103">
        <f>3600*24</f>
        <v>86400</v>
      </c>
      <c r="P103" s="20">
        <f>L103*M103*I113*((I111+I112))/1000000</f>
        <v>0.27539999999999998</v>
      </c>
      <c r="Q103" s="20">
        <f>L103*M103*I114*((I111+I112))/1000000</f>
        <v>0.27539999999999998</v>
      </c>
    </row>
    <row r="104" spans="6:18">
      <c r="G104" s="17" t="s">
        <v>19</v>
      </c>
      <c r="H104">
        <f>H95</f>
        <v>4928</v>
      </c>
      <c r="I104" s="3">
        <f>I$16</f>
        <v>1400</v>
      </c>
      <c r="J104" s="3">
        <v>1</v>
      </c>
      <c r="K104">
        <f>I110</f>
        <v>20</v>
      </c>
      <c r="L104" s="18">
        <f>J104*I104/K104</f>
        <v>70</v>
      </c>
      <c r="M104">
        <f>3600*24</f>
        <v>86400</v>
      </c>
      <c r="P104" s="22">
        <f>L104*M104*I113*I112/1000000</f>
        <v>24.192</v>
      </c>
      <c r="Q104" s="22">
        <f>L104*M104*I114*I112/1000000</f>
        <v>24.192</v>
      </c>
    </row>
    <row r="105" spans="6:18">
      <c r="P105" s="24">
        <f>SUM(P102:P104)</f>
        <v>25.798500000000001</v>
      </c>
      <c r="Q105" s="24">
        <f>SUM(Q102:Q104)</f>
        <v>25.798500000000001</v>
      </c>
    </row>
    <row r="106" spans="6:18">
      <c r="P106" s="26"/>
    </row>
    <row r="107" spans="6:18">
      <c r="F107" s="15" t="s">
        <v>20</v>
      </c>
      <c r="G107" s="27"/>
      <c r="P107" s="28">
        <f>P98+P105</f>
        <v>52.9967592</v>
      </c>
      <c r="Q107" s="28">
        <f>Q98+Q105</f>
        <v>52.9967592</v>
      </c>
      <c r="R107" s="3" t="s">
        <v>21</v>
      </c>
    </row>
    <row r="109" spans="6:18">
      <c r="F109" s="454" t="s">
        <v>22</v>
      </c>
      <c r="G109" s="454"/>
      <c r="H109" s="454"/>
      <c r="I109" s="454"/>
    </row>
    <row r="110" spans="6:18" ht="15.75">
      <c r="F110" s="455" t="s">
        <v>23</v>
      </c>
      <c r="G110" s="455"/>
      <c r="H110" s="455"/>
      <c r="I110" s="29">
        <v>20</v>
      </c>
      <c r="O110" s="30"/>
    </row>
    <row r="111" spans="6:18">
      <c r="F111" s="456" t="s">
        <v>24</v>
      </c>
      <c r="G111" s="456"/>
      <c r="H111" s="456"/>
      <c r="I111" s="29">
        <f>0.7*I110/10</f>
        <v>1.4</v>
      </c>
    </row>
    <row r="112" spans="6:18">
      <c r="F112" s="456" t="s">
        <v>25</v>
      </c>
      <c r="G112" s="456"/>
      <c r="H112" s="456"/>
      <c r="I112" s="29">
        <v>2</v>
      </c>
    </row>
    <row r="113" spans="3:17">
      <c r="F113" s="456" t="s">
        <v>26</v>
      </c>
      <c r="G113" s="456"/>
      <c r="H113" s="456"/>
      <c r="I113" s="29">
        <v>2</v>
      </c>
    </row>
    <row r="114" spans="3:17">
      <c r="F114" s="456" t="s">
        <v>27</v>
      </c>
      <c r="G114" s="456"/>
      <c r="H114" s="456"/>
      <c r="I114" s="29">
        <v>2</v>
      </c>
    </row>
    <row r="119" spans="3:17">
      <c r="C119" s="6" t="s">
        <v>38</v>
      </c>
      <c r="D119" s="7"/>
      <c r="E119" s="6"/>
      <c r="F119" s="8"/>
      <c r="G119" s="8"/>
      <c r="H119" s="8"/>
      <c r="I119" s="9"/>
      <c r="J119" s="9"/>
      <c r="K119" s="8"/>
      <c r="L119" s="8"/>
      <c r="M119" s="8"/>
      <c r="N119" s="10"/>
      <c r="O119" s="9"/>
      <c r="P119" s="9"/>
    </row>
    <row r="120" spans="3:17">
      <c r="H120" s="453" t="s">
        <v>1</v>
      </c>
      <c r="I120" s="453"/>
    </row>
    <row r="121" spans="3:17" ht="28.5" customHeight="1">
      <c r="F121" s="11"/>
      <c r="G121" s="12"/>
      <c r="H121" s="13" t="s">
        <v>2</v>
      </c>
      <c r="I121" s="13" t="s">
        <v>3</v>
      </c>
      <c r="J121" s="13" t="s">
        <v>4</v>
      </c>
      <c r="K121" s="13" t="s">
        <v>5</v>
      </c>
      <c r="L121" s="13" t="s">
        <v>6</v>
      </c>
      <c r="M121" s="13" t="s">
        <v>7</v>
      </c>
      <c r="N121" s="14" t="s">
        <v>8</v>
      </c>
      <c r="O121" s="13" t="s">
        <v>37</v>
      </c>
      <c r="P121" s="13" t="s">
        <v>9</v>
      </c>
      <c r="Q121" s="13" t="s">
        <v>10</v>
      </c>
    </row>
    <row r="122" spans="3:17">
      <c r="F122" s="15" t="s">
        <v>11</v>
      </c>
      <c r="G122" s="16"/>
      <c r="H122" s="3"/>
      <c r="K122" s="3"/>
      <c r="L122" s="3"/>
      <c r="M122" s="3"/>
    </row>
    <row r="123" spans="3:17">
      <c r="G123" s="17" t="s">
        <v>12</v>
      </c>
      <c r="H123">
        <v>5680</v>
      </c>
      <c r="I123" s="3">
        <f>I$6</f>
        <v>2400</v>
      </c>
      <c r="J123" s="3">
        <v>1</v>
      </c>
      <c r="K123">
        <v>180</v>
      </c>
      <c r="L123" s="18">
        <f>J123*I123/K123</f>
        <v>13.333333333333334</v>
      </c>
      <c r="M123">
        <f>3600*24</f>
        <v>86400</v>
      </c>
      <c r="N123" s="4">
        <v>30</v>
      </c>
      <c r="O123" s="3">
        <v>0.1</v>
      </c>
      <c r="P123" s="19">
        <f>L123*M123*N123*O123/1000000</f>
        <v>3.456</v>
      </c>
      <c r="Q123" s="20">
        <f>P123</f>
        <v>3.456</v>
      </c>
    </row>
    <row r="124" spans="3:17">
      <c r="G124" s="17" t="s">
        <v>13</v>
      </c>
      <c r="H124">
        <v>4928</v>
      </c>
      <c r="I124" s="3">
        <f>I$7</f>
        <v>1920</v>
      </c>
      <c r="J124" s="3">
        <v>0</v>
      </c>
      <c r="K124">
        <v>180</v>
      </c>
      <c r="L124" s="18">
        <f>J124*I124/K124</f>
        <v>0</v>
      </c>
      <c r="M124">
        <f>3600*24</f>
        <v>86400</v>
      </c>
      <c r="N124" s="4">
        <v>30</v>
      </c>
      <c r="O124" s="3">
        <v>0.1</v>
      </c>
      <c r="P124" s="19">
        <f>L124*M124*N124*O124/1000000</f>
        <v>0</v>
      </c>
      <c r="Q124" s="20">
        <f>P124</f>
        <v>0</v>
      </c>
    </row>
    <row r="125" spans="3:17">
      <c r="G125" s="17" t="s">
        <v>14</v>
      </c>
      <c r="H125">
        <v>64000</v>
      </c>
      <c r="I125" s="3">
        <f>I$8</f>
        <v>20000</v>
      </c>
      <c r="J125" s="3">
        <v>1</v>
      </c>
      <c r="K125">
        <v>7200</v>
      </c>
      <c r="L125" s="18">
        <f>J125*I125/K125</f>
        <v>2.7777777777777777</v>
      </c>
      <c r="M125">
        <f>3600*24</f>
        <v>86400</v>
      </c>
      <c r="N125" s="4">
        <v>30</v>
      </c>
      <c r="O125" s="3">
        <v>0.1</v>
      </c>
      <c r="P125" s="20">
        <f>L125*M125*N125*O125/1000000</f>
        <v>0.72</v>
      </c>
      <c r="Q125" s="20">
        <f>P125</f>
        <v>0.72</v>
      </c>
    </row>
    <row r="126" spans="3:17">
      <c r="G126" s="17" t="s">
        <v>15</v>
      </c>
      <c r="H126">
        <v>512</v>
      </c>
      <c r="I126" s="3">
        <f>H126</f>
        <v>512</v>
      </c>
      <c r="J126" s="3">
        <v>1</v>
      </c>
      <c r="K126">
        <v>1800</v>
      </c>
      <c r="L126" s="18">
        <f>J126*I126/K126</f>
        <v>0.28444444444444444</v>
      </c>
      <c r="M126">
        <f>3600*24</f>
        <v>86400</v>
      </c>
      <c r="N126" s="4">
        <v>30</v>
      </c>
      <c r="O126" s="3">
        <v>0.1</v>
      </c>
      <c r="P126" s="22">
        <f>L126*M126*N126*O126/1000000</f>
        <v>7.3728000000000002E-2</v>
      </c>
      <c r="Q126" s="22">
        <f>P126</f>
        <v>7.3728000000000002E-2</v>
      </c>
    </row>
    <row r="127" spans="3:17">
      <c r="G127" s="17"/>
      <c r="K127" s="3" t="str">
        <f>IF(AND( (K123/K124)=INT(K123/K124), (K125/K124)=INT(K125/K124) ), " ", "error")</f>
        <v xml:space="preserve"> </v>
      </c>
      <c r="P127" s="24">
        <f>SUM(P123:P126)</f>
        <v>4.2497280000000002</v>
      </c>
      <c r="Q127" s="20">
        <f>SUM(Q123:Q126)</f>
        <v>4.2497280000000002</v>
      </c>
    </row>
    <row r="129" spans="6:18" ht="28.5" customHeight="1">
      <c r="F129" s="11"/>
      <c r="G129" s="12"/>
      <c r="H129" s="13" t="s">
        <v>2</v>
      </c>
      <c r="I129" s="13" t="s">
        <v>3</v>
      </c>
      <c r="J129" s="13" t="s">
        <v>4</v>
      </c>
      <c r="K129" s="13" t="s">
        <v>5</v>
      </c>
      <c r="L129" s="13" t="s">
        <v>6</v>
      </c>
      <c r="M129" s="13" t="s">
        <v>7</v>
      </c>
      <c r="N129" s="14" t="s">
        <v>8</v>
      </c>
      <c r="O129" s="13" t="s">
        <v>37</v>
      </c>
      <c r="P129" s="13" t="s">
        <v>9</v>
      </c>
      <c r="Q129" s="13" t="s">
        <v>10</v>
      </c>
    </row>
    <row r="130" spans="6:18">
      <c r="F130" s="15" t="s">
        <v>16</v>
      </c>
      <c r="G130" s="25"/>
    </row>
    <row r="131" spans="6:18">
      <c r="G131" s="17" t="s">
        <v>17</v>
      </c>
      <c r="H131">
        <v>8480</v>
      </c>
      <c r="I131" s="3">
        <f>I$14</f>
        <v>2900</v>
      </c>
      <c r="J131" s="3">
        <v>1</v>
      </c>
      <c r="K131">
        <f>I139*64</f>
        <v>1280</v>
      </c>
      <c r="L131" s="18">
        <f>J131*I131/K131</f>
        <v>2.265625</v>
      </c>
      <c r="M131">
        <f>3600*24</f>
        <v>86400</v>
      </c>
      <c r="N131" s="4">
        <f>I142*(I140+I141)</f>
        <v>3.4</v>
      </c>
      <c r="P131" s="20">
        <f>L131*M131*I142*((I140+I141))/1000000</f>
        <v>0.66554999999999997</v>
      </c>
      <c r="Q131" s="20">
        <f>L131*M131*I143*((I140+I141))/1000000</f>
        <v>0.66554999999999997</v>
      </c>
    </row>
    <row r="132" spans="6:18">
      <c r="G132" s="17" t="s">
        <v>18</v>
      </c>
      <c r="H132">
        <v>992</v>
      </c>
      <c r="I132" s="3">
        <f>I$15</f>
        <v>600</v>
      </c>
      <c r="J132" s="3">
        <v>1</v>
      </c>
      <c r="K132">
        <f>I139*64</f>
        <v>1280</v>
      </c>
      <c r="L132" s="18">
        <f>J132*I132/K132</f>
        <v>0.46875</v>
      </c>
      <c r="M132">
        <f>3600*24</f>
        <v>86400</v>
      </c>
      <c r="N132" s="4">
        <f>N131</f>
        <v>3.4</v>
      </c>
      <c r="P132" s="20">
        <f>L132*M132*I142*((I140+I141))/1000000</f>
        <v>0.13769999999999999</v>
      </c>
      <c r="Q132" s="20">
        <f>L132*M132*I143*((I140+I141))/1000000</f>
        <v>0.13769999999999999</v>
      </c>
    </row>
    <row r="133" spans="6:18">
      <c r="G133" s="17" t="s">
        <v>19</v>
      </c>
      <c r="H133">
        <f>H124</f>
        <v>4928</v>
      </c>
      <c r="I133" s="3">
        <f>I$16</f>
        <v>1400</v>
      </c>
      <c r="J133" s="3">
        <v>1</v>
      </c>
      <c r="K133">
        <f>I139</f>
        <v>20</v>
      </c>
      <c r="L133" s="18">
        <f>J133*I133/K133</f>
        <v>70</v>
      </c>
      <c r="M133">
        <f>3600*24</f>
        <v>86400</v>
      </c>
      <c r="N133" s="4">
        <f>I143*I141</f>
        <v>2</v>
      </c>
      <c r="P133" s="22">
        <f>L133*M133*I142*I141/1000000</f>
        <v>12.096</v>
      </c>
      <c r="Q133" s="22">
        <f>L133*M133*I143*I141/1000000</f>
        <v>12.096</v>
      </c>
    </row>
    <row r="134" spans="6:18">
      <c r="P134" s="24">
        <f>SUM(P131:P133)</f>
        <v>12.89925</v>
      </c>
      <c r="Q134" s="24">
        <f>SUM(Q131:Q133)</f>
        <v>12.89925</v>
      </c>
    </row>
    <row r="135" spans="6:18">
      <c r="P135" s="26"/>
    </row>
    <row r="136" spans="6:18">
      <c r="F136" s="15" t="s">
        <v>20</v>
      </c>
      <c r="G136" s="27"/>
      <c r="P136" s="28">
        <f>P127+P134</f>
        <v>17.148978</v>
      </c>
      <c r="Q136" s="28">
        <f>Q127+Q134</f>
        <v>17.148978</v>
      </c>
      <c r="R136" s="3" t="s">
        <v>21</v>
      </c>
    </row>
    <row r="138" spans="6:18">
      <c r="F138" s="454" t="s">
        <v>22</v>
      </c>
      <c r="G138" s="454"/>
      <c r="H138" s="454"/>
      <c r="I138" s="454"/>
    </row>
    <row r="139" spans="6:18" ht="15.75">
      <c r="F139" s="455" t="s">
        <v>23</v>
      </c>
      <c r="G139" s="455"/>
      <c r="H139" s="455"/>
      <c r="I139" s="29">
        <v>20</v>
      </c>
      <c r="O139" s="30"/>
    </row>
    <row r="140" spans="6:18">
      <c r="F140" s="456" t="s">
        <v>24</v>
      </c>
      <c r="G140" s="456"/>
      <c r="H140" s="456"/>
      <c r="I140" s="29">
        <f>0.7*I139/10</f>
        <v>1.4</v>
      </c>
    </row>
    <row r="141" spans="6:18">
      <c r="F141" s="456" t="s">
        <v>25</v>
      </c>
      <c r="G141" s="456"/>
      <c r="H141" s="456"/>
      <c r="I141" s="29">
        <v>2</v>
      </c>
    </row>
    <row r="142" spans="6:18">
      <c r="F142" s="456" t="s">
        <v>26</v>
      </c>
      <c r="G142" s="456"/>
      <c r="H142" s="456"/>
      <c r="I142" s="29">
        <v>1</v>
      </c>
    </row>
    <row r="143" spans="6:18">
      <c r="F143" s="456" t="s">
        <v>27</v>
      </c>
      <c r="G143" s="456"/>
      <c r="H143" s="456"/>
      <c r="I143" s="29">
        <v>1</v>
      </c>
    </row>
    <row r="149" spans="3:17">
      <c r="C149" s="6" t="s">
        <v>39</v>
      </c>
      <c r="D149" s="7"/>
      <c r="E149" s="6"/>
      <c r="F149" s="8"/>
      <c r="G149" s="8"/>
      <c r="H149" s="8"/>
      <c r="I149" s="9"/>
      <c r="J149" s="9"/>
      <c r="K149" s="8"/>
      <c r="L149" s="8"/>
      <c r="M149" s="8"/>
      <c r="N149" s="10"/>
      <c r="O149" s="9"/>
      <c r="P149" s="9"/>
    </row>
    <row r="150" spans="3:17">
      <c r="H150" s="453" t="s">
        <v>1</v>
      </c>
      <c r="I150" s="453"/>
    </row>
    <row r="151" spans="3:17" ht="28.5" customHeight="1">
      <c r="F151" s="11"/>
      <c r="G151" s="12"/>
      <c r="H151" s="13" t="s">
        <v>2</v>
      </c>
      <c r="I151" s="13" t="s">
        <v>3</v>
      </c>
      <c r="J151" s="13" t="s">
        <v>4</v>
      </c>
      <c r="K151" s="13" t="s">
        <v>5</v>
      </c>
      <c r="L151" s="13" t="s">
        <v>6</v>
      </c>
      <c r="M151" s="13" t="s">
        <v>7</v>
      </c>
      <c r="N151" s="14" t="s">
        <v>8</v>
      </c>
      <c r="O151" s="13" t="s">
        <v>37</v>
      </c>
      <c r="P151" s="13" t="s">
        <v>9</v>
      </c>
      <c r="Q151" s="13" t="s">
        <v>10</v>
      </c>
    </row>
    <row r="152" spans="3:17">
      <c r="F152" s="15" t="s">
        <v>11</v>
      </c>
      <c r="G152" s="16"/>
      <c r="H152" s="3"/>
      <c r="K152" s="3"/>
      <c r="L152" s="3"/>
      <c r="M152" s="3"/>
    </row>
    <row r="153" spans="3:17">
      <c r="G153" s="17" t="s">
        <v>12</v>
      </c>
      <c r="H153">
        <v>5680</v>
      </c>
      <c r="I153" s="3">
        <f>I$6</f>
        <v>2400</v>
      </c>
      <c r="J153" s="3">
        <v>1</v>
      </c>
      <c r="K153">
        <v>180</v>
      </c>
      <c r="L153" s="18">
        <f>J153*I153/K153</f>
        <v>13.333333333333334</v>
      </c>
      <c r="M153">
        <f>3600*24</f>
        <v>86400</v>
      </c>
      <c r="N153" s="4">
        <v>30</v>
      </c>
      <c r="O153" s="3">
        <v>0.35</v>
      </c>
      <c r="P153" s="19">
        <f>L153*M153*N153*O153/1000000</f>
        <v>12.096</v>
      </c>
      <c r="Q153" s="20">
        <f>P153</f>
        <v>12.096</v>
      </c>
    </row>
    <row r="154" spans="3:17">
      <c r="G154" s="17" t="s">
        <v>13</v>
      </c>
      <c r="H154">
        <v>4928</v>
      </c>
      <c r="I154" s="3">
        <f>I$7</f>
        <v>1920</v>
      </c>
      <c r="J154" s="3">
        <v>0</v>
      </c>
      <c r="K154">
        <v>180</v>
      </c>
      <c r="L154" s="18">
        <f>J154*I154/K154</f>
        <v>0</v>
      </c>
      <c r="M154">
        <f>3600*24</f>
        <v>86400</v>
      </c>
      <c r="N154" s="4">
        <v>30</v>
      </c>
      <c r="O154" s="3">
        <v>0.35</v>
      </c>
      <c r="P154" s="19">
        <f>L154*M154*N154*O154/1000000</f>
        <v>0</v>
      </c>
      <c r="Q154" s="20">
        <f>P154</f>
        <v>0</v>
      </c>
    </row>
    <row r="155" spans="3:17">
      <c r="G155" s="17" t="s">
        <v>14</v>
      </c>
      <c r="H155">
        <v>64000</v>
      </c>
      <c r="I155" s="3">
        <f>I$8</f>
        <v>20000</v>
      </c>
      <c r="J155" s="3">
        <v>1</v>
      </c>
      <c r="K155">
        <v>7200</v>
      </c>
      <c r="L155" s="18">
        <f>J155*I155/K155</f>
        <v>2.7777777777777777</v>
      </c>
      <c r="M155">
        <f>3600*24</f>
        <v>86400</v>
      </c>
      <c r="N155" s="4">
        <v>30</v>
      </c>
      <c r="O155" s="3">
        <v>0.35</v>
      </c>
      <c r="P155" s="20">
        <f>L155*M155*N155*O155/1000000</f>
        <v>2.52</v>
      </c>
      <c r="Q155" s="20">
        <f>P155</f>
        <v>2.52</v>
      </c>
    </row>
    <row r="156" spans="3:17">
      <c r="G156" s="17" t="s">
        <v>15</v>
      </c>
      <c r="H156">
        <v>512</v>
      </c>
      <c r="I156" s="3">
        <f>H156</f>
        <v>512</v>
      </c>
      <c r="J156" s="3">
        <v>1</v>
      </c>
      <c r="K156">
        <v>1800</v>
      </c>
      <c r="L156" s="18">
        <f>J156*I156/K156</f>
        <v>0.28444444444444444</v>
      </c>
      <c r="M156">
        <f>3600*24</f>
        <v>86400</v>
      </c>
      <c r="N156" s="4">
        <v>30</v>
      </c>
      <c r="O156" s="3">
        <v>0.35</v>
      </c>
      <c r="P156" s="22">
        <f>L156*M156*N156*O156/1000000</f>
        <v>0.25804799999999994</v>
      </c>
      <c r="Q156" s="22">
        <f>P156</f>
        <v>0.25804799999999994</v>
      </c>
    </row>
    <row r="157" spans="3:17">
      <c r="G157" s="17"/>
      <c r="K157" s="3" t="str">
        <f>IF(AND( (K153/K154)=INT(K153/K154), (K155/K154)=INT(K155/K154) ), " ", "error")</f>
        <v xml:space="preserve"> </v>
      </c>
      <c r="P157" s="24">
        <f>SUM(P153:P156)</f>
        <v>14.874048</v>
      </c>
      <c r="Q157" s="20">
        <f>SUM(Q153:Q156)</f>
        <v>14.874048</v>
      </c>
    </row>
    <row r="159" spans="3:17" ht="28.5" customHeight="1">
      <c r="F159" s="11"/>
      <c r="G159" s="12"/>
      <c r="H159" s="13" t="s">
        <v>2</v>
      </c>
      <c r="I159" s="13" t="s">
        <v>3</v>
      </c>
      <c r="J159" s="13" t="s">
        <v>4</v>
      </c>
      <c r="K159" s="13" t="s">
        <v>5</v>
      </c>
      <c r="L159" s="13" t="s">
        <v>6</v>
      </c>
      <c r="M159" s="13" t="s">
        <v>7</v>
      </c>
      <c r="N159" s="14" t="s">
        <v>8</v>
      </c>
      <c r="O159" s="13" t="s">
        <v>37</v>
      </c>
      <c r="P159" s="13" t="s">
        <v>9</v>
      </c>
      <c r="Q159" s="13" t="s">
        <v>10</v>
      </c>
    </row>
    <row r="160" spans="3:17">
      <c r="F160" s="15" t="s">
        <v>16</v>
      </c>
      <c r="G160" s="25"/>
    </row>
    <row r="161" spans="6:18">
      <c r="G161" s="17" t="s">
        <v>17</v>
      </c>
      <c r="H161">
        <v>8480</v>
      </c>
      <c r="I161" s="3">
        <f>I$14</f>
        <v>2900</v>
      </c>
      <c r="J161" s="3">
        <v>1</v>
      </c>
      <c r="K161">
        <f>I169*64</f>
        <v>1280</v>
      </c>
      <c r="L161" s="18">
        <f>J161*I161/K161</f>
        <v>2.265625</v>
      </c>
      <c r="M161">
        <f>3600*24</f>
        <v>86400</v>
      </c>
      <c r="N161" s="4">
        <f>I172*(I170+I171)</f>
        <v>3.4</v>
      </c>
      <c r="P161" s="20">
        <f>L161*M161*I172*((I170+I171))/1000000</f>
        <v>0.66554999999999997</v>
      </c>
      <c r="Q161" s="20">
        <f>L161*M161*I173*((I170+I171))/1000000</f>
        <v>0.66554999999999997</v>
      </c>
    </row>
    <row r="162" spans="6:18">
      <c r="G162" s="17" t="s">
        <v>18</v>
      </c>
      <c r="H162">
        <v>992</v>
      </c>
      <c r="I162" s="3">
        <f>I$15</f>
        <v>600</v>
      </c>
      <c r="J162" s="3">
        <v>1</v>
      </c>
      <c r="K162">
        <f>I169*64</f>
        <v>1280</v>
      </c>
      <c r="L162" s="18">
        <f>J162*I162/K162</f>
        <v>0.46875</v>
      </c>
      <c r="M162">
        <f>3600*24</f>
        <v>86400</v>
      </c>
      <c r="N162" s="4">
        <f>N161</f>
        <v>3.4</v>
      </c>
      <c r="P162" s="20">
        <f>L162*M162*I172*((I170+I171))/1000000</f>
        <v>0.13769999999999999</v>
      </c>
      <c r="Q162" s="20">
        <f>L162*M162*I173*((I170+I171))/1000000</f>
        <v>0.13769999999999999</v>
      </c>
    </row>
    <row r="163" spans="6:18">
      <c r="G163" s="17" t="s">
        <v>19</v>
      </c>
      <c r="H163">
        <f>H154</f>
        <v>4928</v>
      </c>
      <c r="I163" s="3">
        <f>I$16</f>
        <v>1400</v>
      </c>
      <c r="J163" s="3">
        <v>1</v>
      </c>
      <c r="K163">
        <f>I169</f>
        <v>20</v>
      </c>
      <c r="L163" s="18">
        <f>J163*I163/K163</f>
        <v>70</v>
      </c>
      <c r="M163">
        <f>3600*24</f>
        <v>86400</v>
      </c>
      <c r="N163" s="4">
        <f>I173*I171</f>
        <v>2</v>
      </c>
      <c r="P163" s="22">
        <f>L163*M163*I172*I171/1000000</f>
        <v>12.096</v>
      </c>
      <c r="Q163" s="22">
        <f>L163*M163*I173*I171/1000000</f>
        <v>12.096</v>
      </c>
    </row>
    <row r="164" spans="6:18">
      <c r="P164" s="24">
        <f>SUM(P161:P163)</f>
        <v>12.89925</v>
      </c>
      <c r="Q164" s="24">
        <f>SUM(Q161:Q163)</f>
        <v>12.89925</v>
      </c>
    </row>
    <row r="165" spans="6:18">
      <c r="P165" s="26"/>
    </row>
    <row r="166" spans="6:18">
      <c r="F166" s="15" t="s">
        <v>20</v>
      </c>
      <c r="G166" s="27"/>
      <c r="P166" s="28">
        <f>P157+P164</f>
        <v>27.773298</v>
      </c>
      <c r="Q166" s="28">
        <f>Q157+Q164</f>
        <v>27.773298</v>
      </c>
      <c r="R166" s="3" t="s">
        <v>21</v>
      </c>
    </row>
    <row r="168" spans="6:18">
      <c r="F168" s="454" t="s">
        <v>22</v>
      </c>
      <c r="G168" s="454"/>
      <c r="H168" s="454"/>
      <c r="I168" s="454"/>
    </row>
    <row r="169" spans="6:18" ht="15.75">
      <c r="F169" s="455" t="s">
        <v>23</v>
      </c>
      <c r="G169" s="455"/>
      <c r="H169" s="455"/>
      <c r="I169" s="29">
        <v>20</v>
      </c>
      <c r="O169" s="30"/>
    </row>
    <row r="170" spans="6:18">
      <c r="F170" s="456" t="s">
        <v>24</v>
      </c>
      <c r="G170" s="456"/>
      <c r="H170" s="456"/>
      <c r="I170" s="29">
        <f>0.7*I169/10</f>
        <v>1.4</v>
      </c>
    </row>
    <row r="171" spans="6:18">
      <c r="F171" s="456" t="s">
        <v>25</v>
      </c>
      <c r="G171" s="456"/>
      <c r="H171" s="456"/>
      <c r="I171" s="29">
        <v>2</v>
      </c>
    </row>
    <row r="172" spans="6:18">
      <c r="F172" s="456" t="s">
        <v>26</v>
      </c>
      <c r="G172" s="456"/>
      <c r="H172" s="456"/>
      <c r="I172" s="29">
        <v>1</v>
      </c>
    </row>
    <row r="173" spans="6:18">
      <c r="F173" s="456" t="s">
        <v>27</v>
      </c>
      <c r="G173" s="456"/>
      <c r="H173" s="456"/>
      <c r="I173" s="29">
        <v>1</v>
      </c>
    </row>
    <row r="178" spans="3:17">
      <c r="C178" s="6" t="s">
        <v>40</v>
      </c>
      <c r="D178" s="7"/>
      <c r="E178" s="6"/>
      <c r="F178" s="8"/>
      <c r="G178" s="8"/>
      <c r="H178" s="8"/>
      <c r="I178" s="9"/>
      <c r="J178" s="9"/>
      <c r="K178" s="8"/>
      <c r="L178" s="8"/>
      <c r="M178" s="8"/>
      <c r="N178" s="10"/>
      <c r="O178" s="9"/>
      <c r="P178" s="9"/>
    </row>
    <row r="179" spans="3:17">
      <c r="H179" s="453" t="s">
        <v>1</v>
      </c>
      <c r="I179" s="453"/>
    </row>
    <row r="180" spans="3:17" ht="28.5" customHeight="1">
      <c r="F180" s="11"/>
      <c r="G180" s="12"/>
      <c r="H180" s="13" t="s">
        <v>2</v>
      </c>
      <c r="I180" s="13" t="s">
        <v>3</v>
      </c>
      <c r="J180" s="13" t="s">
        <v>4</v>
      </c>
      <c r="K180" s="13" t="s">
        <v>5</v>
      </c>
      <c r="L180" s="13" t="s">
        <v>6</v>
      </c>
      <c r="M180" s="13" t="s">
        <v>7</v>
      </c>
      <c r="N180" s="14" t="s">
        <v>8</v>
      </c>
      <c r="O180" s="13" t="s">
        <v>37</v>
      </c>
      <c r="P180" s="13" t="s">
        <v>9</v>
      </c>
      <c r="Q180" s="13" t="s">
        <v>10</v>
      </c>
    </row>
    <row r="181" spans="3:17">
      <c r="F181" s="15" t="s">
        <v>11</v>
      </c>
      <c r="G181" s="16"/>
      <c r="H181" s="3"/>
      <c r="K181" s="3"/>
      <c r="L181" s="3"/>
      <c r="M181" s="3"/>
    </row>
    <row r="182" spans="3:17">
      <c r="G182" s="17" t="s">
        <v>12</v>
      </c>
      <c r="H182">
        <v>5680</v>
      </c>
      <c r="I182" s="3">
        <f>I$6</f>
        <v>2400</v>
      </c>
      <c r="J182" s="3">
        <v>1</v>
      </c>
      <c r="K182">
        <v>180</v>
      </c>
      <c r="L182" s="18">
        <f>J182*I182/K182</f>
        <v>13.333333333333334</v>
      </c>
      <c r="M182">
        <f>3600*24</f>
        <v>86400</v>
      </c>
      <c r="N182" s="4">
        <v>30</v>
      </c>
      <c r="O182" s="3">
        <v>0.4</v>
      </c>
      <c r="P182" s="19">
        <f>L182*M182*N182*O182/1000000</f>
        <v>13.824</v>
      </c>
      <c r="Q182" s="20">
        <f>P182</f>
        <v>13.824</v>
      </c>
    </row>
    <row r="183" spans="3:17">
      <c r="G183" s="17" t="s">
        <v>13</v>
      </c>
      <c r="H183">
        <v>4928</v>
      </c>
      <c r="I183" s="3">
        <f>I$7</f>
        <v>1920</v>
      </c>
      <c r="J183" s="3">
        <v>0</v>
      </c>
      <c r="K183">
        <v>180</v>
      </c>
      <c r="L183" s="18">
        <f>J183*I183/K183</f>
        <v>0</v>
      </c>
      <c r="M183">
        <f>3600*24</f>
        <v>86400</v>
      </c>
      <c r="N183" s="4">
        <v>30</v>
      </c>
      <c r="O183" s="3">
        <v>0.4</v>
      </c>
      <c r="P183" s="19">
        <f>L183*M183*N183*O183/1000000</f>
        <v>0</v>
      </c>
      <c r="Q183" s="20">
        <f>P183</f>
        <v>0</v>
      </c>
    </row>
    <row r="184" spans="3:17">
      <c r="G184" s="17" t="s">
        <v>14</v>
      </c>
      <c r="H184">
        <v>64000</v>
      </c>
      <c r="I184" s="3">
        <f>I$8</f>
        <v>20000</v>
      </c>
      <c r="J184" s="3">
        <v>1</v>
      </c>
      <c r="K184">
        <v>7200</v>
      </c>
      <c r="L184" s="18">
        <f>J184*I184/K184</f>
        <v>2.7777777777777777</v>
      </c>
      <c r="M184">
        <f>3600*24</f>
        <v>86400</v>
      </c>
      <c r="N184" s="4">
        <v>30</v>
      </c>
      <c r="O184" s="3">
        <v>0.4</v>
      </c>
      <c r="P184" s="20">
        <f>L184*M184*N184*O184/1000000</f>
        <v>2.88</v>
      </c>
      <c r="Q184" s="20">
        <f>P184</f>
        <v>2.88</v>
      </c>
    </row>
    <row r="185" spans="3:17">
      <c r="G185" s="17" t="s">
        <v>15</v>
      </c>
      <c r="H185">
        <v>512</v>
      </c>
      <c r="I185" s="3">
        <f>H185</f>
        <v>512</v>
      </c>
      <c r="J185" s="3">
        <v>1</v>
      </c>
      <c r="K185">
        <v>1800</v>
      </c>
      <c r="L185" s="18">
        <f>J185*I185/K185</f>
        <v>0.28444444444444444</v>
      </c>
      <c r="M185">
        <f>3600*24</f>
        <v>86400</v>
      </c>
      <c r="N185" s="4">
        <v>30</v>
      </c>
      <c r="O185" s="3">
        <v>0.4</v>
      </c>
      <c r="P185" s="22">
        <f>L185*M185*N185*O185/1000000</f>
        <v>0.29491200000000001</v>
      </c>
      <c r="Q185" s="22">
        <f>P185</f>
        <v>0.29491200000000001</v>
      </c>
    </row>
    <row r="186" spans="3:17">
      <c r="G186" s="17"/>
      <c r="K186" s="3" t="str">
        <f>IF(AND( (K182/K183)=INT(K182/K183), (K184/K183)=INT(K184/K183) ), " ", "error")</f>
        <v xml:space="preserve"> </v>
      </c>
      <c r="P186" s="24">
        <f>SUM(P182:P185)</f>
        <v>16.998912000000001</v>
      </c>
      <c r="Q186" s="20">
        <f>SUM(Q182:Q185)</f>
        <v>16.998912000000001</v>
      </c>
    </row>
    <row r="188" spans="3:17" ht="28.5" customHeight="1">
      <c r="F188" s="11"/>
      <c r="G188" s="12"/>
      <c r="H188" s="13" t="s">
        <v>2</v>
      </c>
      <c r="I188" s="13" t="s">
        <v>3</v>
      </c>
      <c r="J188" s="13" t="s">
        <v>4</v>
      </c>
      <c r="K188" s="13" t="s">
        <v>5</v>
      </c>
      <c r="L188" s="13" t="s">
        <v>6</v>
      </c>
      <c r="M188" s="13" t="s">
        <v>7</v>
      </c>
      <c r="N188" s="14" t="s">
        <v>8</v>
      </c>
      <c r="O188" s="13" t="s">
        <v>37</v>
      </c>
      <c r="P188" s="13" t="s">
        <v>9</v>
      </c>
      <c r="Q188" s="13" t="s">
        <v>10</v>
      </c>
    </row>
    <row r="189" spans="3:17">
      <c r="F189" s="15" t="s">
        <v>16</v>
      </c>
      <c r="G189" s="25"/>
    </row>
    <row r="190" spans="3:17">
      <c r="G190" s="17" t="s">
        <v>17</v>
      </c>
      <c r="H190">
        <v>8480</v>
      </c>
      <c r="I190" s="3">
        <f>I$14</f>
        <v>2900</v>
      </c>
      <c r="J190" s="3">
        <v>1</v>
      </c>
      <c r="K190">
        <f>I198*64</f>
        <v>1280</v>
      </c>
      <c r="L190" s="18">
        <f>J190*I190/K190</f>
        <v>2.265625</v>
      </c>
      <c r="M190">
        <f>3600*24</f>
        <v>86400</v>
      </c>
      <c r="N190" s="4">
        <f>I201*(I199+I200)</f>
        <v>3.4</v>
      </c>
      <c r="P190" s="20">
        <f>L190*M190*I201*((I199+I200))/1000000</f>
        <v>0.66554999999999997</v>
      </c>
      <c r="Q190" s="20">
        <f>L190*M190*I202*((I199+I200))/1000000</f>
        <v>0.66554999999999997</v>
      </c>
    </row>
    <row r="191" spans="3:17">
      <c r="G191" s="17" t="s">
        <v>18</v>
      </c>
      <c r="H191">
        <v>992</v>
      </c>
      <c r="I191" s="3">
        <f>I$15</f>
        <v>600</v>
      </c>
      <c r="J191" s="3">
        <v>1</v>
      </c>
      <c r="K191">
        <f>I198*64</f>
        <v>1280</v>
      </c>
      <c r="L191" s="18">
        <f>J191*I191/K191</f>
        <v>0.46875</v>
      </c>
      <c r="M191">
        <f>3600*24</f>
        <v>86400</v>
      </c>
      <c r="N191" s="4">
        <f>N190</f>
        <v>3.4</v>
      </c>
      <c r="P191" s="20">
        <f>L191*M191*I201*((I199+I200))/1000000</f>
        <v>0.13769999999999999</v>
      </c>
      <c r="Q191" s="20">
        <f>L191*M191*I202*((I199+I200))/1000000</f>
        <v>0.13769999999999999</v>
      </c>
    </row>
    <row r="192" spans="3:17">
      <c r="G192" s="17" t="s">
        <v>19</v>
      </c>
      <c r="H192">
        <f>H183</f>
        <v>4928</v>
      </c>
      <c r="I192" s="3">
        <f>I$16</f>
        <v>1400</v>
      </c>
      <c r="J192" s="3">
        <v>1</v>
      </c>
      <c r="K192">
        <f>I198</f>
        <v>20</v>
      </c>
      <c r="L192" s="18">
        <f>J192*I192/K192</f>
        <v>70</v>
      </c>
      <c r="M192">
        <f>3600*24</f>
        <v>86400</v>
      </c>
      <c r="N192" s="4">
        <f>I202*I200</f>
        <v>2</v>
      </c>
      <c r="P192" s="22">
        <f>L192*M192*I201*I200/1000000</f>
        <v>12.096</v>
      </c>
      <c r="Q192" s="22">
        <f>L192*M192*I202*I200/1000000</f>
        <v>12.096</v>
      </c>
    </row>
    <row r="193" spans="6:19">
      <c r="P193" s="24">
        <f>SUM(P190:P192)</f>
        <v>12.89925</v>
      </c>
      <c r="Q193" s="24">
        <f>SUM(Q190:Q192)</f>
        <v>12.89925</v>
      </c>
    </row>
    <row r="194" spans="6:19">
      <c r="P194" s="26"/>
    </row>
    <row r="195" spans="6:19">
      <c r="F195" s="15" t="s">
        <v>20</v>
      </c>
      <c r="G195" s="27"/>
      <c r="P195" s="28">
        <f>P186+P193</f>
        <v>29.898161999999999</v>
      </c>
      <c r="Q195" s="28">
        <f>Q186+Q193</f>
        <v>29.898161999999999</v>
      </c>
      <c r="R195" s="3" t="s">
        <v>21</v>
      </c>
    </row>
    <row r="197" spans="6:19">
      <c r="F197" s="454" t="s">
        <v>22</v>
      </c>
      <c r="G197" s="454"/>
      <c r="H197" s="454"/>
      <c r="I197" s="454"/>
    </row>
    <row r="198" spans="6:19" ht="15.75">
      <c r="F198" s="455" t="s">
        <v>23</v>
      </c>
      <c r="G198" s="455"/>
      <c r="H198" s="455"/>
      <c r="I198" s="29">
        <v>20</v>
      </c>
      <c r="O198" s="30"/>
    </row>
    <row r="199" spans="6:19">
      <c r="F199" s="456" t="s">
        <v>24</v>
      </c>
      <c r="G199" s="456"/>
      <c r="H199" s="456"/>
      <c r="I199" s="29">
        <f>0.7*I198/10</f>
        <v>1.4</v>
      </c>
    </row>
    <row r="200" spans="6:19">
      <c r="F200" s="456" t="s">
        <v>25</v>
      </c>
      <c r="G200" s="456"/>
      <c r="H200" s="456"/>
      <c r="I200" s="29">
        <v>2</v>
      </c>
    </row>
    <row r="201" spans="6:19">
      <c r="F201" s="456" t="s">
        <v>26</v>
      </c>
      <c r="G201" s="456"/>
      <c r="H201" s="456"/>
      <c r="I201" s="29">
        <v>1</v>
      </c>
    </row>
    <row r="202" spans="6:19">
      <c r="F202" s="456" t="s">
        <v>27</v>
      </c>
      <c r="G202" s="456"/>
      <c r="H202" s="456"/>
      <c r="I202" s="29">
        <v>1</v>
      </c>
    </row>
    <row r="205" spans="6:19">
      <c r="P205" s="35" t="s">
        <v>41</v>
      </c>
      <c r="Q205" s="36"/>
      <c r="R205" s="37">
        <f>P19+P49+P77+P107+P136+P166+P195</f>
        <v>184.40923720000001</v>
      </c>
      <c r="S205" s="38" t="s">
        <v>42</v>
      </c>
    </row>
    <row r="208" spans="6:19">
      <c r="Q208" s="3"/>
      <c r="R208" s="39" t="s">
        <v>43</v>
      </c>
      <c r="S208" s="3">
        <f>67*2+77</f>
        <v>211</v>
      </c>
    </row>
    <row r="211" spans="3:17">
      <c r="P211" s="3" t="s">
        <v>44</v>
      </c>
    </row>
    <row r="212" spans="3:17">
      <c r="P212" s="3" t="s">
        <v>45</v>
      </c>
    </row>
    <row r="218" spans="3:17">
      <c r="C218" s="6" t="s">
        <v>46</v>
      </c>
      <c r="D218" s="7"/>
      <c r="E218" s="6"/>
      <c r="F218" s="8"/>
      <c r="G218" s="8"/>
      <c r="H218" s="8"/>
      <c r="I218" s="9"/>
      <c r="J218" s="9"/>
      <c r="K218" s="8"/>
      <c r="L218" s="8"/>
      <c r="M218" s="8"/>
      <c r="N218" s="10"/>
      <c r="O218" s="9"/>
      <c r="P218" s="9"/>
    </row>
    <row r="219" spans="3:17">
      <c r="H219" s="453" t="s">
        <v>1</v>
      </c>
      <c r="I219" s="453"/>
    </row>
    <row r="220" spans="3:17" ht="28.5" customHeight="1">
      <c r="F220" s="11"/>
      <c r="G220" s="12"/>
      <c r="H220" s="13" t="s">
        <v>2</v>
      </c>
      <c r="I220" s="13" t="s">
        <v>3</v>
      </c>
      <c r="J220" s="13" t="s">
        <v>4</v>
      </c>
      <c r="K220" s="13" t="s">
        <v>5</v>
      </c>
      <c r="L220" s="13" t="s">
        <v>6</v>
      </c>
      <c r="M220" s="13" t="s">
        <v>7</v>
      </c>
      <c r="N220" s="14" t="s">
        <v>8</v>
      </c>
      <c r="O220" s="13" t="s">
        <v>37</v>
      </c>
      <c r="P220" s="13" t="s">
        <v>9</v>
      </c>
      <c r="Q220" s="13" t="s">
        <v>10</v>
      </c>
    </row>
    <row r="221" spans="3:17">
      <c r="F221" s="15" t="s">
        <v>11</v>
      </c>
      <c r="G221" s="16"/>
      <c r="H221" s="3"/>
      <c r="K221" s="3"/>
      <c r="L221" s="3"/>
      <c r="M221" s="3"/>
    </row>
    <row r="222" spans="3:17">
      <c r="G222" s="17" t="s">
        <v>12</v>
      </c>
      <c r="H222">
        <v>5680</v>
      </c>
      <c r="I222" s="3">
        <f>I$6</f>
        <v>2400</v>
      </c>
      <c r="J222" s="3">
        <v>1</v>
      </c>
      <c r="K222">
        <v>180</v>
      </c>
      <c r="L222" s="18">
        <f>J222*I222/K222</f>
        <v>13.333333333333334</v>
      </c>
      <c r="M222">
        <f>3600*24</f>
        <v>86400</v>
      </c>
      <c r="N222" s="4">
        <v>30</v>
      </c>
      <c r="O222" s="3">
        <v>9.06</v>
      </c>
      <c r="P222" s="19">
        <f>L222*M222*N222*O222/1000000</f>
        <v>313.11360000000002</v>
      </c>
      <c r="Q222" s="20">
        <f>P222</f>
        <v>313.11360000000002</v>
      </c>
    </row>
    <row r="223" spans="3:17">
      <c r="G223" s="17" t="s">
        <v>13</v>
      </c>
      <c r="H223">
        <v>4928</v>
      </c>
      <c r="I223" s="3">
        <f>I$7</f>
        <v>1920</v>
      </c>
      <c r="J223" s="3">
        <v>0</v>
      </c>
      <c r="K223">
        <v>180</v>
      </c>
      <c r="L223" s="18">
        <f>J223*I223/K223</f>
        <v>0</v>
      </c>
      <c r="M223">
        <f>3600*24</f>
        <v>86400</v>
      </c>
      <c r="N223" s="4">
        <v>30</v>
      </c>
      <c r="O223" s="3">
        <v>9.06</v>
      </c>
      <c r="P223" s="19">
        <f>L223*M223*N223*O223/1000000</f>
        <v>0</v>
      </c>
      <c r="Q223" s="20">
        <f>P223</f>
        <v>0</v>
      </c>
    </row>
    <row r="224" spans="3:17">
      <c r="G224" s="17" t="s">
        <v>14</v>
      </c>
      <c r="H224">
        <v>64000</v>
      </c>
      <c r="I224" s="3">
        <f>I$8</f>
        <v>20000</v>
      </c>
      <c r="J224" s="3">
        <v>1</v>
      </c>
      <c r="K224">
        <v>7200</v>
      </c>
      <c r="L224" s="18">
        <f>J224*I224/K224</f>
        <v>2.7777777777777777</v>
      </c>
      <c r="M224">
        <f>3600*24</f>
        <v>86400</v>
      </c>
      <c r="N224" s="4">
        <v>30</v>
      </c>
      <c r="O224" s="3">
        <v>9.06</v>
      </c>
      <c r="P224" s="20">
        <f>L224*M224*N224*O224/1000000</f>
        <v>65.231999999999999</v>
      </c>
      <c r="Q224" s="20">
        <f>P224</f>
        <v>65.231999999999999</v>
      </c>
    </row>
    <row r="225" spans="6:19">
      <c r="G225" s="17" t="s">
        <v>15</v>
      </c>
      <c r="H225">
        <v>512</v>
      </c>
      <c r="I225" s="3">
        <f>H225</f>
        <v>512</v>
      </c>
      <c r="J225" s="3">
        <v>1</v>
      </c>
      <c r="K225">
        <v>1800</v>
      </c>
      <c r="L225" s="18">
        <f>J225*I225/K225</f>
        <v>0.28444444444444444</v>
      </c>
      <c r="M225">
        <f>3600*24</f>
        <v>86400</v>
      </c>
      <c r="N225" s="4">
        <v>30</v>
      </c>
      <c r="O225" s="3">
        <v>9.06</v>
      </c>
      <c r="P225" s="22">
        <f>L225*M225*N225*O225/1000000</f>
        <v>6.6797568000000007</v>
      </c>
      <c r="Q225" s="22">
        <f>P225</f>
        <v>6.6797568000000007</v>
      </c>
    </row>
    <row r="226" spans="6:19">
      <c r="G226" s="17"/>
      <c r="K226" s="3" t="str">
        <f>IF(AND( (K222/K223)=INT(K222/K223), (K224/K223)=INT(K224/K223) ), " ", "error")</f>
        <v xml:space="preserve"> </v>
      </c>
      <c r="P226" s="24">
        <f>SUM(P222:P225)</f>
        <v>385.0253568</v>
      </c>
      <c r="Q226" s="20">
        <f>SUM(Q222:Q225)</f>
        <v>385.0253568</v>
      </c>
    </row>
    <row r="228" spans="6:19" ht="28.5" customHeight="1">
      <c r="F228" s="11"/>
      <c r="G228" s="12"/>
      <c r="H228" s="13" t="s">
        <v>2</v>
      </c>
      <c r="I228" s="13" t="s">
        <v>3</v>
      </c>
      <c r="J228" s="13" t="s">
        <v>4</v>
      </c>
      <c r="K228" s="13" t="s">
        <v>5</v>
      </c>
      <c r="L228" s="13" t="s">
        <v>6</v>
      </c>
      <c r="M228" s="13" t="s">
        <v>7</v>
      </c>
      <c r="N228" s="14" t="s">
        <v>8</v>
      </c>
      <c r="O228" s="13" t="s">
        <v>37</v>
      </c>
      <c r="P228" s="13" t="s">
        <v>9</v>
      </c>
      <c r="Q228" s="13" t="s">
        <v>10</v>
      </c>
    </row>
    <row r="229" spans="6:19">
      <c r="F229" s="15" t="s">
        <v>16</v>
      </c>
      <c r="G229" s="25"/>
    </row>
    <row r="230" spans="6:19">
      <c r="G230" s="17" t="s">
        <v>17</v>
      </c>
      <c r="H230">
        <v>8480</v>
      </c>
      <c r="I230" s="3">
        <f>I$14</f>
        <v>2900</v>
      </c>
      <c r="J230" s="3">
        <v>1</v>
      </c>
      <c r="K230">
        <f>I238*64</f>
        <v>1280</v>
      </c>
      <c r="L230" s="18">
        <f>J230*I230/K230</f>
        <v>2.265625</v>
      </c>
      <c r="M230">
        <f>3600*24</f>
        <v>86400</v>
      </c>
      <c r="N230" s="4">
        <f>I241*(I239+I240)</f>
        <v>68</v>
      </c>
      <c r="P230" s="20">
        <f>L230*M230*I241*((I239+I240))/1000000</f>
        <v>13.311</v>
      </c>
      <c r="Q230" s="20">
        <f>L230*M230*I242*((I239+I240))/1000000</f>
        <v>5.3243999999999998</v>
      </c>
    </row>
    <row r="231" spans="6:19">
      <c r="G231" s="17" t="s">
        <v>18</v>
      </c>
      <c r="H231">
        <v>992</v>
      </c>
      <c r="I231" s="3">
        <f>I$15</f>
        <v>600</v>
      </c>
      <c r="J231" s="3">
        <v>1</v>
      </c>
      <c r="K231">
        <f>I238*64</f>
        <v>1280</v>
      </c>
      <c r="L231" s="18">
        <f>J231*I231/K231</f>
        <v>0.46875</v>
      </c>
      <c r="M231">
        <f>3600*24</f>
        <v>86400</v>
      </c>
      <c r="N231" s="4">
        <f>I242*(I239+I240)</f>
        <v>27.2</v>
      </c>
      <c r="P231" s="20">
        <f>L231*M231*I241*((I239+I240))/1000000</f>
        <v>2.754</v>
      </c>
      <c r="Q231" s="20">
        <f>L231*M231*I242*((I239+I240))/1000000</f>
        <v>1.1015999999999999</v>
      </c>
    </row>
    <row r="232" spans="6:19">
      <c r="G232" s="17" t="s">
        <v>19</v>
      </c>
      <c r="H232">
        <f>H223</f>
        <v>4928</v>
      </c>
      <c r="I232" s="3">
        <f>I$16</f>
        <v>1400</v>
      </c>
      <c r="J232" s="3">
        <v>1</v>
      </c>
      <c r="K232">
        <f>I238</f>
        <v>20</v>
      </c>
      <c r="L232" s="18">
        <f>J232*I232/K232</f>
        <v>70</v>
      </c>
      <c r="M232">
        <f>3600*24</f>
        <v>86400</v>
      </c>
      <c r="N232" s="4">
        <f>I242*I240</f>
        <v>16</v>
      </c>
      <c r="P232" s="22">
        <f>L232*M232*I241*I240/1000000</f>
        <v>241.92</v>
      </c>
      <c r="Q232" s="22">
        <f>L232*M232*I242*I240/1000000</f>
        <v>96.768000000000001</v>
      </c>
    </row>
    <row r="233" spans="6:19">
      <c r="P233" s="24">
        <f>SUM(P230:P232)</f>
        <v>257.98500000000001</v>
      </c>
      <c r="Q233" s="24">
        <f>SUM(Q230:Q232)</f>
        <v>103.194</v>
      </c>
    </row>
    <row r="234" spans="6:19">
      <c r="P234" s="26"/>
    </row>
    <row r="235" spans="6:19">
      <c r="F235" s="15" t="s">
        <v>20</v>
      </c>
      <c r="G235" s="27"/>
      <c r="P235" s="28">
        <f>P226+P233</f>
        <v>643.01035679999995</v>
      </c>
      <c r="Q235" s="28">
        <f>Q226+Q233</f>
        <v>488.21935680000001</v>
      </c>
      <c r="R235" s="3" t="s">
        <v>21</v>
      </c>
    </row>
    <row r="237" spans="6:19">
      <c r="F237" s="454" t="s">
        <v>22</v>
      </c>
      <c r="G237" s="454"/>
      <c r="H237" s="454"/>
      <c r="I237" s="454"/>
    </row>
    <row r="238" spans="6:19" ht="15.75">
      <c r="F238" s="455" t="s">
        <v>23</v>
      </c>
      <c r="G238" s="455"/>
      <c r="H238" s="455"/>
      <c r="I238" s="29">
        <v>20</v>
      </c>
      <c r="O238" s="30"/>
      <c r="P238" s="40" t="s">
        <v>47</v>
      </c>
      <c r="Q238" s="41"/>
      <c r="R238" s="42">
        <f>P235</f>
        <v>643.01035679999995</v>
      </c>
      <c r="S238" s="43" t="s">
        <v>42</v>
      </c>
    </row>
    <row r="239" spans="6:19">
      <c r="F239" s="456" t="s">
        <v>24</v>
      </c>
      <c r="G239" s="456"/>
      <c r="H239" s="456"/>
      <c r="I239" s="29">
        <f>0.7*I238/10</f>
        <v>1.4</v>
      </c>
    </row>
    <row r="240" spans="6:19">
      <c r="F240" s="456" t="s">
        <v>25</v>
      </c>
      <c r="G240" s="456"/>
      <c r="H240" s="456"/>
      <c r="I240" s="29">
        <v>2</v>
      </c>
    </row>
    <row r="241" spans="3:19">
      <c r="F241" s="456" t="s">
        <v>26</v>
      </c>
      <c r="G241" s="456"/>
      <c r="H241" s="456"/>
      <c r="I241" s="29">
        <v>20</v>
      </c>
    </row>
    <row r="242" spans="3:19">
      <c r="F242" s="456" t="s">
        <v>27</v>
      </c>
      <c r="G242" s="456"/>
      <c r="H242" s="456"/>
      <c r="I242" s="29">
        <v>8</v>
      </c>
    </row>
    <row r="246" spans="3:19">
      <c r="C246" s="6" t="s">
        <v>48</v>
      </c>
      <c r="D246" s="7"/>
      <c r="E246" s="6"/>
      <c r="F246" s="8"/>
      <c r="G246" s="8"/>
      <c r="H246" s="8"/>
      <c r="I246" s="9"/>
      <c r="J246" s="9"/>
      <c r="K246" s="8"/>
      <c r="L246" s="8"/>
      <c r="M246" s="8"/>
      <c r="N246" s="10"/>
      <c r="O246" s="9"/>
      <c r="P246" s="9"/>
    </row>
    <row r="247" spans="3:19">
      <c r="H247" s="453" t="s">
        <v>1</v>
      </c>
      <c r="I247" s="453"/>
    </row>
    <row r="248" spans="3:19" ht="71.25">
      <c r="F248" s="11"/>
      <c r="G248" s="12"/>
      <c r="H248" s="13" t="s">
        <v>2</v>
      </c>
      <c r="I248" s="13" t="s">
        <v>3</v>
      </c>
      <c r="J248" s="13" t="s">
        <v>4</v>
      </c>
      <c r="K248" s="13" t="s">
        <v>5</v>
      </c>
      <c r="L248" s="13" t="s">
        <v>6</v>
      </c>
      <c r="M248" s="13" t="s">
        <v>7</v>
      </c>
      <c r="N248" s="14" t="s">
        <v>8</v>
      </c>
      <c r="O248" s="13"/>
      <c r="P248" s="13" t="s">
        <v>49</v>
      </c>
      <c r="Q248" s="13" t="s">
        <v>50</v>
      </c>
      <c r="R248" s="13" t="s">
        <v>51</v>
      </c>
      <c r="S248" s="13" t="s">
        <v>52</v>
      </c>
    </row>
    <row r="249" spans="3:19">
      <c r="F249" s="15" t="s">
        <v>11</v>
      </c>
      <c r="G249" s="16"/>
      <c r="H249" s="3"/>
      <c r="K249" s="3"/>
      <c r="L249" s="3"/>
    </row>
    <row r="250" spans="3:19">
      <c r="E250">
        <f>516355135</f>
        <v>516355135</v>
      </c>
      <c r="G250" s="17" t="s">
        <v>12</v>
      </c>
      <c r="H250">
        <v>5680</v>
      </c>
      <c r="I250" s="3">
        <f>I$6</f>
        <v>2400</v>
      </c>
      <c r="J250" s="3">
        <v>1</v>
      </c>
      <c r="K250">
        <v>180</v>
      </c>
      <c r="L250" s="18">
        <f>J250*I250/K250</f>
        <v>13.333333333333334</v>
      </c>
      <c r="M250">
        <f>3600*24</f>
        <v>86400</v>
      </c>
      <c r="N250" s="44">
        <v>273</v>
      </c>
      <c r="P250" s="19">
        <f>L250*M250/1000000</f>
        <v>1.1519999999999999</v>
      </c>
      <c r="Q250" s="20">
        <f>P250</f>
        <v>1.1519999999999999</v>
      </c>
      <c r="R250" s="19">
        <f>L250*M250*N250/1000000</f>
        <v>314.49599999999998</v>
      </c>
      <c r="S250" s="20">
        <f>R250</f>
        <v>314.49599999999998</v>
      </c>
    </row>
    <row r="251" spans="3:19">
      <c r="E251">
        <v>539153586</v>
      </c>
      <c r="G251" s="17" t="s">
        <v>13</v>
      </c>
      <c r="H251">
        <v>4928</v>
      </c>
      <c r="I251" s="3">
        <f>I$7</f>
        <v>1920</v>
      </c>
      <c r="J251" s="3">
        <v>0</v>
      </c>
      <c r="K251">
        <v>180</v>
      </c>
      <c r="L251" s="18">
        <f>J251*I251/K251</f>
        <v>0</v>
      </c>
      <c r="M251">
        <f>3600*24</f>
        <v>86400</v>
      </c>
      <c r="N251" s="4">
        <f>N250</f>
        <v>273</v>
      </c>
      <c r="P251" s="19">
        <f>L251*M251/1000000</f>
        <v>0</v>
      </c>
      <c r="Q251" s="20">
        <f>P251</f>
        <v>0</v>
      </c>
      <c r="R251" s="19">
        <f>L251*M251*N251/1000000</f>
        <v>0</v>
      </c>
      <c r="S251" s="20">
        <f>R251</f>
        <v>0</v>
      </c>
    </row>
    <row r="252" spans="3:19">
      <c r="E252">
        <f>E251-E250</f>
        <v>22798451</v>
      </c>
      <c r="G252" s="17" t="s">
        <v>14</v>
      </c>
      <c r="H252">
        <v>64000</v>
      </c>
      <c r="I252" s="3">
        <f>I$8</f>
        <v>20000</v>
      </c>
      <c r="J252" s="3">
        <v>1</v>
      </c>
      <c r="K252">
        <v>7200</v>
      </c>
      <c r="L252" s="18">
        <f>J252*I252/K252</f>
        <v>2.7777777777777777</v>
      </c>
      <c r="M252">
        <f>3600*24</f>
        <v>86400</v>
      </c>
      <c r="N252" s="4">
        <f>N251</f>
        <v>273</v>
      </c>
      <c r="P252" s="19">
        <f>L252*M252/1000000</f>
        <v>0.24</v>
      </c>
      <c r="Q252" s="20">
        <f>P252</f>
        <v>0.24</v>
      </c>
      <c r="R252" s="19">
        <f>L252*M252*N252/1000000</f>
        <v>65.52</v>
      </c>
      <c r="S252" s="20">
        <f>R252</f>
        <v>65.52</v>
      </c>
    </row>
    <row r="253" spans="3:19">
      <c r="E253">
        <f>E252/86400</f>
        <v>263.87096064814813</v>
      </c>
      <c r="G253" s="17" t="s">
        <v>15</v>
      </c>
      <c r="H253">
        <v>512</v>
      </c>
      <c r="I253" s="3">
        <f>H253</f>
        <v>512</v>
      </c>
      <c r="J253" s="3">
        <v>1</v>
      </c>
      <c r="K253">
        <v>1800</v>
      </c>
      <c r="L253" s="18">
        <f>J253*I253/K253</f>
        <v>0.28444444444444444</v>
      </c>
      <c r="M253">
        <f>3600*24</f>
        <v>86400</v>
      </c>
      <c r="N253" s="4">
        <f>N252</f>
        <v>273</v>
      </c>
      <c r="P253" s="19">
        <f>L253*M253/1000000</f>
        <v>2.4576000000000001E-2</v>
      </c>
      <c r="Q253" s="20">
        <f>P253</f>
        <v>2.4576000000000001E-2</v>
      </c>
      <c r="R253" s="19">
        <f>L253*M253*N253/1000000</f>
        <v>6.7092479999999997</v>
      </c>
      <c r="S253" s="20">
        <f>R253</f>
        <v>6.7092479999999997</v>
      </c>
    </row>
    <row r="254" spans="3:19">
      <c r="G254" s="17"/>
      <c r="K254" s="3" t="str">
        <f>IF(AND( (K250/K251)=INT(K250/K251), (K252/K251)=INT(K252/K251) ), " ", "error")</f>
        <v xml:space="preserve"> </v>
      </c>
      <c r="N254" s="45" t="s">
        <v>53</v>
      </c>
      <c r="O254" s="46"/>
      <c r="P254" s="47">
        <f>SUM(P250:P253)</f>
        <v>1.4165759999999998</v>
      </c>
      <c r="Q254" s="48">
        <f>SUM(Q250:Q253)</f>
        <v>1.4165759999999998</v>
      </c>
      <c r="R254" s="47">
        <f>SUM(R250:R253)</f>
        <v>386.72524799999997</v>
      </c>
      <c r="S254" s="49">
        <f>SUM(S250:S253)</f>
        <v>386.72524799999997</v>
      </c>
    </row>
    <row r="256" spans="3:19" ht="71.25">
      <c r="F256" s="11"/>
      <c r="G256" s="12"/>
      <c r="H256" s="13" t="s">
        <v>2</v>
      </c>
      <c r="I256" s="13" t="s">
        <v>3</v>
      </c>
      <c r="J256" s="13" t="s">
        <v>4</v>
      </c>
      <c r="K256" s="13" t="s">
        <v>5</v>
      </c>
      <c r="L256" s="13" t="s">
        <v>6</v>
      </c>
      <c r="M256" s="13" t="s">
        <v>7</v>
      </c>
      <c r="N256" s="14" t="s">
        <v>8</v>
      </c>
      <c r="O256" s="13" t="s">
        <v>37</v>
      </c>
      <c r="P256" s="13" t="s">
        <v>49</v>
      </c>
      <c r="Q256" s="13" t="s">
        <v>50</v>
      </c>
      <c r="R256" s="13" t="s">
        <v>54</v>
      </c>
      <c r="S256" s="13" t="s">
        <v>55</v>
      </c>
    </row>
    <row r="257" spans="6:25">
      <c r="F257" s="15" t="s">
        <v>16</v>
      </c>
      <c r="G257" s="25"/>
      <c r="N257" s="44">
        <v>273</v>
      </c>
    </row>
    <row r="258" spans="6:25">
      <c r="G258" s="17" t="s">
        <v>17</v>
      </c>
      <c r="H258">
        <v>8480</v>
      </c>
      <c r="I258" s="3">
        <f>I$14</f>
        <v>2900</v>
      </c>
      <c r="J258" s="3">
        <v>1</v>
      </c>
      <c r="K258">
        <f>I266*64</f>
        <v>1280</v>
      </c>
      <c r="L258" s="18">
        <f>J258*I258/K258</f>
        <v>2.265625</v>
      </c>
      <c r="M258">
        <f>3600*24</f>
        <v>86400</v>
      </c>
      <c r="P258" s="20">
        <f t="shared" ref="P258:Q260" si="0">R258/$N$257</f>
        <v>4.8758241758241755E-2</v>
      </c>
      <c r="Q258" s="20">
        <f t="shared" si="0"/>
        <v>4.8758241758241755E-2</v>
      </c>
      <c r="R258" s="20">
        <f>L258*M258*I269*((I267+I268))/1000000</f>
        <v>13.311</v>
      </c>
      <c r="S258" s="20">
        <f>L258*M258*I270*((I267+I268))/1000000</f>
        <v>13.311</v>
      </c>
    </row>
    <row r="259" spans="6:25">
      <c r="G259" s="17" t="s">
        <v>18</v>
      </c>
      <c r="H259">
        <v>992</v>
      </c>
      <c r="I259" s="3">
        <f>I$15</f>
        <v>600</v>
      </c>
      <c r="J259" s="3">
        <v>1</v>
      </c>
      <c r="K259">
        <f>I266*64</f>
        <v>1280</v>
      </c>
      <c r="L259" s="18">
        <f>J259*I259/K259</f>
        <v>0.46875</v>
      </c>
      <c r="M259">
        <f>3600*24</f>
        <v>86400</v>
      </c>
      <c r="P259" s="20">
        <f t="shared" si="0"/>
        <v>1.0087912087912088E-2</v>
      </c>
      <c r="Q259" s="20">
        <f t="shared" si="0"/>
        <v>1.0087912087912088E-2</v>
      </c>
      <c r="R259" s="20">
        <f>L259*M259*I269*((I267+I268))/1000000</f>
        <v>2.754</v>
      </c>
      <c r="S259" s="20">
        <f>L259*M259*I270*((I267+I268))/1000000</f>
        <v>2.754</v>
      </c>
    </row>
    <row r="260" spans="6:25">
      <c r="G260" s="17" t="s">
        <v>19</v>
      </c>
      <c r="H260">
        <f>H251</f>
        <v>4928</v>
      </c>
      <c r="I260" s="3">
        <f>I$16</f>
        <v>1400</v>
      </c>
      <c r="J260" s="3">
        <v>1</v>
      </c>
      <c r="K260">
        <f>I266</f>
        <v>20</v>
      </c>
      <c r="L260" s="18">
        <f>J260*I260/K260</f>
        <v>70</v>
      </c>
      <c r="M260">
        <f>3600*24</f>
        <v>86400</v>
      </c>
      <c r="P260" s="20">
        <f t="shared" si="0"/>
        <v>0.88615384615384607</v>
      </c>
      <c r="Q260" s="20">
        <f t="shared" si="0"/>
        <v>0.88615384615384607</v>
      </c>
      <c r="R260" s="22">
        <f>L260*M260*I269*I268/1000000</f>
        <v>241.92</v>
      </c>
      <c r="S260" s="22">
        <f>L260*M260*I270*I268/1000000</f>
        <v>241.92</v>
      </c>
    </row>
    <row r="261" spans="6:25">
      <c r="N261" s="45" t="s">
        <v>56</v>
      </c>
      <c r="O261" s="46"/>
      <c r="P261" s="47">
        <f>SUM(P258:P260)</f>
        <v>0.94499999999999995</v>
      </c>
      <c r="Q261" s="47">
        <f>SUM(Q258:Q260)</f>
        <v>0.94499999999999995</v>
      </c>
      <c r="R261" s="50">
        <f>SUM(R258:R260)</f>
        <v>257.98500000000001</v>
      </c>
      <c r="S261" s="50">
        <f>SUM(S258:S260)</f>
        <v>257.98500000000001</v>
      </c>
    </row>
    <row r="262" spans="6:25">
      <c r="R262" s="26"/>
    </row>
    <row r="263" spans="6:25">
      <c r="F263" s="15" t="s">
        <v>20</v>
      </c>
      <c r="G263" s="27"/>
      <c r="N263" s="51" t="s">
        <v>57</v>
      </c>
      <c r="O263" s="52"/>
      <c r="P263" s="28">
        <f>P254+P261</f>
        <v>2.3615759999999999</v>
      </c>
      <c r="Q263" s="28">
        <f>Q254+Q261</f>
        <v>2.3615759999999999</v>
      </c>
      <c r="R263" s="53">
        <f>R254+R261</f>
        <v>644.71024799999998</v>
      </c>
      <c r="S263" s="53">
        <f>S254+S261</f>
        <v>644.71024799999998</v>
      </c>
    </row>
    <row r="265" spans="6:25">
      <c r="F265" s="454" t="s">
        <v>22</v>
      </c>
      <c r="G265" s="454"/>
      <c r="H265" s="454"/>
      <c r="I265" s="454"/>
      <c r="K265" s="54" t="s">
        <v>58</v>
      </c>
      <c r="L265" s="55"/>
      <c r="M265" s="55"/>
      <c r="N265" s="56"/>
      <c r="O265" s="57" t="s">
        <v>59</v>
      </c>
      <c r="P265" s="57" t="s">
        <v>60</v>
      </c>
      <c r="Q265" s="58"/>
      <c r="S265" s="59" t="s">
        <v>61</v>
      </c>
      <c r="T265" s="60"/>
      <c r="U265" s="55"/>
      <c r="V265" s="56"/>
      <c r="W265" s="57" t="s">
        <v>59</v>
      </c>
      <c r="X265" s="57" t="s">
        <v>60</v>
      </c>
      <c r="Y265" s="58"/>
    </row>
    <row r="266" spans="6:25" ht="15.75">
      <c r="F266" s="455" t="s">
        <v>23</v>
      </c>
      <c r="G266" s="455"/>
      <c r="H266" s="455"/>
      <c r="I266" s="29">
        <v>20</v>
      </c>
      <c r="K266" s="61"/>
      <c r="L266" s="62"/>
      <c r="M266" s="62"/>
      <c r="N266" s="45"/>
      <c r="O266" s="63">
        <f>O268*1000000</f>
        <v>0</v>
      </c>
      <c r="P266" s="63">
        <f>O266/8</f>
        <v>0</v>
      </c>
      <c r="Q266" s="64"/>
      <c r="S266" s="61"/>
      <c r="T266" s="65"/>
      <c r="U266" s="62"/>
      <c r="V266" s="45"/>
      <c r="W266" s="63">
        <f>W268*1000000</f>
        <v>0</v>
      </c>
      <c r="X266" s="63">
        <f>W266/8</f>
        <v>0</v>
      </c>
      <c r="Y266" s="64"/>
    </row>
    <row r="267" spans="6:25">
      <c r="F267" s="456" t="s">
        <v>24</v>
      </c>
      <c r="G267" s="456"/>
      <c r="H267" s="456"/>
      <c r="I267" s="29">
        <f>0.7*I266/10</f>
        <v>1.4</v>
      </c>
      <c r="K267" s="61"/>
      <c r="L267" s="46"/>
      <c r="M267" s="46"/>
      <c r="N267" s="46"/>
      <c r="O267" s="66" t="s">
        <v>62</v>
      </c>
      <c r="P267" s="46"/>
      <c r="Q267" s="64"/>
      <c r="S267" s="61"/>
      <c r="T267" s="65"/>
      <c r="U267" s="46"/>
      <c r="V267" s="46"/>
      <c r="W267" s="66" t="s">
        <v>62</v>
      </c>
      <c r="X267" s="62"/>
      <c r="Y267" s="64"/>
    </row>
    <row r="268" spans="6:25">
      <c r="F268" s="456" t="s">
        <v>25</v>
      </c>
      <c r="G268" s="456"/>
      <c r="H268" s="456"/>
      <c r="I268" s="29">
        <v>2</v>
      </c>
      <c r="K268" s="61"/>
      <c r="L268" s="67"/>
      <c r="M268" s="46"/>
      <c r="N268" s="46"/>
      <c r="O268" s="68">
        <f>Q238/86400</f>
        <v>0</v>
      </c>
      <c r="P268" s="46"/>
      <c r="Q268" s="64"/>
      <c r="S268" s="61"/>
      <c r="T268" s="69"/>
      <c r="U268" s="46"/>
      <c r="V268" s="46"/>
      <c r="W268" s="68">
        <f>Y238/86400</f>
        <v>0</v>
      </c>
      <c r="X268" s="46"/>
      <c r="Y268" s="64"/>
    </row>
    <row r="269" spans="6:25">
      <c r="F269" s="456" t="s">
        <v>63</v>
      </c>
      <c r="G269" s="456"/>
      <c r="H269" s="456"/>
      <c r="I269" s="70">
        <v>20</v>
      </c>
      <c r="K269" s="71" t="s">
        <v>64</v>
      </c>
      <c r="L269" s="72" t="s">
        <v>65</v>
      </c>
      <c r="M269" s="73" t="s">
        <v>66</v>
      </c>
      <c r="N269" s="73" t="s">
        <v>67</v>
      </c>
      <c r="O269" s="74" t="s">
        <v>68</v>
      </c>
      <c r="P269" s="73" t="s">
        <v>69</v>
      </c>
      <c r="Q269" s="75" t="s">
        <v>70</v>
      </c>
      <c r="S269" s="71" t="s">
        <v>64</v>
      </c>
      <c r="T269" s="76" t="s">
        <v>65</v>
      </c>
      <c r="U269" s="73" t="s">
        <v>66</v>
      </c>
      <c r="V269" s="73" t="s">
        <v>67</v>
      </c>
      <c r="W269" s="74" t="s">
        <v>68</v>
      </c>
      <c r="X269" s="73" t="s">
        <v>69</v>
      </c>
      <c r="Y269" s="75" t="s">
        <v>70</v>
      </c>
    </row>
    <row r="270" spans="6:25">
      <c r="F270" s="456" t="s">
        <v>71</v>
      </c>
      <c r="G270" s="456"/>
      <c r="H270" s="456"/>
      <c r="I270" s="70">
        <v>20</v>
      </c>
      <c r="K270" s="61" t="s">
        <v>72</v>
      </c>
      <c r="L270" s="67">
        <v>513734627</v>
      </c>
      <c r="M270" s="46">
        <v>513747539</v>
      </c>
      <c r="N270" s="46">
        <f t="shared" ref="N270:N294" si="1">M270-L270</f>
        <v>12912</v>
      </c>
      <c r="O270" s="46">
        <f t="shared" ref="O270:O277" si="2">N270*$P$297</f>
        <v>26462.426666666663</v>
      </c>
      <c r="P270" s="46">
        <f>O270-N270</f>
        <v>13550.426666666663</v>
      </c>
      <c r="Q270" s="77">
        <f t="shared" ref="Q270:Q277" si="3">O270-P270</f>
        <v>12912</v>
      </c>
      <c r="S270" s="61" t="s">
        <v>73</v>
      </c>
      <c r="T270" s="69">
        <v>513507530</v>
      </c>
      <c r="U270" s="46">
        <v>513543533</v>
      </c>
      <c r="V270" s="46">
        <f t="shared" ref="V270:V285" si="4">U270-T270</f>
        <v>36003</v>
      </c>
      <c r="W270" s="46">
        <f t="shared" ref="W270:W285" si="5">V270*$P$297</f>
        <v>73786.148333333331</v>
      </c>
      <c r="X270" s="46">
        <v>49888</v>
      </c>
      <c r="Y270" s="77">
        <f t="shared" ref="Y270:Y285" si="6">W270-X270</f>
        <v>23898.148333333331</v>
      </c>
    </row>
    <row r="271" spans="6:25">
      <c r="K271" s="61" t="s">
        <v>72</v>
      </c>
      <c r="L271" s="67">
        <v>513747536</v>
      </c>
      <c r="M271" s="46">
        <v>513765830</v>
      </c>
      <c r="N271" s="46">
        <f t="shared" si="1"/>
        <v>18294</v>
      </c>
      <c r="O271" s="46">
        <f t="shared" si="2"/>
        <v>37492.53666666666</v>
      </c>
      <c r="P271" s="46">
        <v>73280</v>
      </c>
      <c r="Q271" s="77">
        <f t="shared" si="3"/>
        <v>-35787.46333333334</v>
      </c>
      <c r="S271" s="61"/>
      <c r="T271" s="69"/>
      <c r="U271" s="46"/>
      <c r="V271" s="46">
        <f t="shared" si="4"/>
        <v>0</v>
      </c>
      <c r="W271" s="46">
        <f t="shared" si="5"/>
        <v>0</v>
      </c>
      <c r="X271" s="46"/>
      <c r="Y271" s="77">
        <f t="shared" si="6"/>
        <v>0</v>
      </c>
    </row>
    <row r="272" spans="6:25">
      <c r="K272" s="61" t="s">
        <v>74</v>
      </c>
      <c r="L272" s="67">
        <v>513765827</v>
      </c>
      <c r="M272" s="46">
        <v>513824930</v>
      </c>
      <c r="N272" s="46">
        <f t="shared" si="1"/>
        <v>59103</v>
      </c>
      <c r="O272" s="46">
        <f t="shared" si="2"/>
        <v>121128.31499999999</v>
      </c>
      <c r="P272" s="46">
        <v>243968</v>
      </c>
      <c r="Q272" s="77">
        <f t="shared" si="3"/>
        <v>-122839.68500000001</v>
      </c>
      <c r="R272" s="3">
        <v>23135</v>
      </c>
      <c r="S272" s="61" t="s">
        <v>75</v>
      </c>
      <c r="T272" s="69">
        <v>522175430</v>
      </c>
      <c r="U272" s="46">
        <v>522784092</v>
      </c>
      <c r="V272" s="46">
        <f t="shared" si="4"/>
        <v>608662</v>
      </c>
      <c r="W272" s="46">
        <f t="shared" si="5"/>
        <v>1247418.9544444443</v>
      </c>
      <c r="X272" s="46"/>
      <c r="Y272" s="77">
        <f t="shared" si="6"/>
        <v>1247418.9544444443</v>
      </c>
    </row>
    <row r="273" spans="4:25">
      <c r="D273" s="78">
        <v>44712</v>
      </c>
      <c r="E273" s="79" t="s">
        <v>76</v>
      </c>
      <c r="F273" s="79">
        <v>516342358</v>
      </c>
      <c r="G273" t="s">
        <v>77</v>
      </c>
      <c r="K273" s="61" t="s">
        <v>78</v>
      </c>
      <c r="L273" s="67">
        <v>513824927</v>
      </c>
      <c r="M273" s="46">
        <v>513916430</v>
      </c>
      <c r="N273" s="46">
        <f t="shared" si="1"/>
        <v>91503</v>
      </c>
      <c r="O273" s="46">
        <f t="shared" si="2"/>
        <v>187530.31499999997</v>
      </c>
      <c r="P273" s="46">
        <v>376320</v>
      </c>
      <c r="Q273" s="77">
        <f t="shared" si="3"/>
        <v>-188789.68500000003</v>
      </c>
      <c r="S273" s="61" t="s">
        <v>79</v>
      </c>
      <c r="T273" s="69">
        <v>522784093</v>
      </c>
      <c r="U273" s="46">
        <v>524812970</v>
      </c>
      <c r="V273" s="46">
        <f t="shared" si="4"/>
        <v>2028877</v>
      </c>
      <c r="W273" s="46">
        <f t="shared" si="5"/>
        <v>4158070.6961111105</v>
      </c>
      <c r="X273" s="46">
        <v>7500000</v>
      </c>
      <c r="Y273" s="77">
        <f t="shared" si="6"/>
        <v>-3341929.3038888895</v>
      </c>
    </row>
    <row r="274" spans="4:25">
      <c r="F274" s="80">
        <f>516355135</f>
        <v>516355135</v>
      </c>
      <c r="G274" t="s">
        <v>80</v>
      </c>
      <c r="K274" s="61" t="s">
        <v>81</v>
      </c>
      <c r="L274" s="67">
        <v>513916427</v>
      </c>
      <c r="M274" s="46">
        <v>514079330</v>
      </c>
      <c r="N274" s="46">
        <f t="shared" si="1"/>
        <v>162903</v>
      </c>
      <c r="O274" s="46">
        <f t="shared" si="2"/>
        <v>333860.64833333332</v>
      </c>
      <c r="P274" s="46">
        <v>672960</v>
      </c>
      <c r="Q274" s="77">
        <f t="shared" si="3"/>
        <v>-339099.35166666668</v>
      </c>
      <c r="S274" s="61" t="s">
        <v>82</v>
      </c>
      <c r="T274" s="69">
        <v>524812971</v>
      </c>
      <c r="U274" s="46">
        <v>525489264</v>
      </c>
      <c r="V274" s="46">
        <f t="shared" si="4"/>
        <v>676293</v>
      </c>
      <c r="W274" s="46">
        <f t="shared" si="5"/>
        <v>1386024.9316666664</v>
      </c>
      <c r="X274" s="46">
        <v>2500000</v>
      </c>
      <c r="Y274" s="77">
        <f t="shared" si="6"/>
        <v>-1113975.0683333336</v>
      </c>
    </row>
    <row r="275" spans="4:25">
      <c r="K275" s="61" t="s">
        <v>83</v>
      </c>
      <c r="L275" s="67">
        <v>514079327</v>
      </c>
      <c r="M275" s="46">
        <v>514167230</v>
      </c>
      <c r="N275" s="46">
        <f t="shared" si="1"/>
        <v>87903</v>
      </c>
      <c r="O275" s="46">
        <f t="shared" si="2"/>
        <v>180152.31499999997</v>
      </c>
      <c r="P275" s="46">
        <v>363392</v>
      </c>
      <c r="Q275" s="77">
        <f t="shared" si="3"/>
        <v>-183239.68500000003</v>
      </c>
      <c r="S275" s="61" t="s">
        <v>84</v>
      </c>
      <c r="T275" s="69">
        <v>525489265</v>
      </c>
      <c r="U275" s="46">
        <v>526672777</v>
      </c>
      <c r="V275" s="46">
        <f t="shared" si="4"/>
        <v>1183512</v>
      </c>
      <c r="W275" s="46">
        <f t="shared" si="5"/>
        <v>2425542.0933333328</v>
      </c>
      <c r="X275" s="46">
        <v>4375000</v>
      </c>
      <c r="Y275" s="77">
        <f t="shared" si="6"/>
        <v>-1949457.9066666672</v>
      </c>
    </row>
    <row r="276" spans="4:25">
      <c r="E276" s="81" t="s">
        <v>85</v>
      </c>
      <c r="F276" s="81">
        <v>516344817</v>
      </c>
      <c r="G276" t="s">
        <v>86</v>
      </c>
      <c r="K276" s="61" t="s">
        <v>83</v>
      </c>
      <c r="L276" s="67">
        <v>514167227</v>
      </c>
      <c r="M276" s="46">
        <v>514196630</v>
      </c>
      <c r="N276" s="46">
        <f t="shared" si="1"/>
        <v>29403</v>
      </c>
      <c r="O276" s="46">
        <f t="shared" si="2"/>
        <v>60259.814999999995</v>
      </c>
      <c r="P276" s="46">
        <v>121344</v>
      </c>
      <c r="Q276" s="77">
        <f t="shared" si="3"/>
        <v>-61084.185000000005</v>
      </c>
      <c r="S276" s="61" t="s">
        <v>87</v>
      </c>
      <c r="T276" s="69">
        <v>526672778</v>
      </c>
      <c r="U276" s="46">
        <v>528295880</v>
      </c>
      <c r="V276" s="46">
        <f t="shared" si="4"/>
        <v>1623102</v>
      </c>
      <c r="W276" s="46">
        <f t="shared" si="5"/>
        <v>3326457.376666666</v>
      </c>
      <c r="X276" s="46">
        <v>6000000</v>
      </c>
      <c r="Y276" s="77">
        <f t="shared" si="6"/>
        <v>-2673542.623333334</v>
      </c>
    </row>
    <row r="277" spans="4:25">
      <c r="E277" s="81" t="s">
        <v>88</v>
      </c>
      <c r="F277" s="81">
        <v>516346667</v>
      </c>
      <c r="G277" s="82" t="s">
        <v>89</v>
      </c>
      <c r="K277" s="61" t="s">
        <v>83</v>
      </c>
      <c r="L277" s="67">
        <v>514196627</v>
      </c>
      <c r="M277" s="46">
        <v>514228130</v>
      </c>
      <c r="N277" s="46">
        <f t="shared" si="1"/>
        <v>31503</v>
      </c>
      <c r="O277" s="46">
        <f t="shared" si="2"/>
        <v>64563.648333333324</v>
      </c>
      <c r="P277" s="46">
        <v>129088</v>
      </c>
      <c r="Q277" s="77">
        <f t="shared" si="3"/>
        <v>-64524.351666666676</v>
      </c>
      <c r="S277" s="61" t="s">
        <v>90</v>
      </c>
      <c r="T277" s="69">
        <v>528295881</v>
      </c>
      <c r="U277" s="46">
        <v>529749910</v>
      </c>
      <c r="V277" s="46">
        <f t="shared" si="4"/>
        <v>1454029</v>
      </c>
      <c r="W277" s="46">
        <f t="shared" si="5"/>
        <v>2979951.6561111109</v>
      </c>
      <c r="X277" s="46">
        <v>5375000</v>
      </c>
      <c r="Y277" s="77">
        <f t="shared" si="6"/>
        <v>-2395048.3438888891</v>
      </c>
    </row>
    <row r="278" spans="4:25">
      <c r="K278" s="61" t="s">
        <v>83</v>
      </c>
      <c r="L278" s="67">
        <v>514228127</v>
      </c>
      <c r="M278" s="46">
        <v>514341830</v>
      </c>
      <c r="N278" s="46">
        <f t="shared" si="1"/>
        <v>113703</v>
      </c>
      <c r="O278" s="46"/>
      <c r="P278" s="46">
        <v>467872</v>
      </c>
      <c r="Q278" s="77"/>
      <c r="S278" s="61" t="s">
        <v>91</v>
      </c>
      <c r="T278" s="69">
        <v>529749911</v>
      </c>
      <c r="U278" s="46">
        <v>531947861</v>
      </c>
      <c r="V278" s="46">
        <f t="shared" si="4"/>
        <v>2197950</v>
      </c>
      <c r="W278" s="46">
        <f t="shared" si="5"/>
        <v>4504576.416666666</v>
      </c>
      <c r="X278" s="46">
        <v>8125000</v>
      </c>
      <c r="Y278" s="77">
        <f t="shared" si="6"/>
        <v>-3620423.583333334</v>
      </c>
    </row>
    <row r="279" spans="4:25">
      <c r="D279" s="78">
        <v>44976</v>
      </c>
      <c r="E279" s="83" t="s">
        <v>92</v>
      </c>
      <c r="F279" s="83">
        <v>539153516</v>
      </c>
      <c r="G279" t="s">
        <v>93</v>
      </c>
      <c r="K279" s="61" t="s">
        <v>94</v>
      </c>
      <c r="L279" s="67">
        <v>514341827</v>
      </c>
      <c r="M279" s="46">
        <v>514439030</v>
      </c>
      <c r="N279" s="46">
        <f t="shared" si="1"/>
        <v>97203</v>
      </c>
      <c r="O279" s="46"/>
      <c r="P279" s="46">
        <v>401056</v>
      </c>
      <c r="Q279" s="77"/>
      <c r="S279" s="61" t="s">
        <v>95</v>
      </c>
      <c r="T279" s="69">
        <v>531947862</v>
      </c>
      <c r="U279" s="46">
        <v>533537149</v>
      </c>
      <c r="V279" s="46">
        <f t="shared" si="4"/>
        <v>1589287</v>
      </c>
      <c r="W279" s="46">
        <f t="shared" si="5"/>
        <v>3257155.4127777773</v>
      </c>
      <c r="X279" s="46">
        <v>5875000</v>
      </c>
      <c r="Y279" s="77">
        <f t="shared" si="6"/>
        <v>-2617844.5872222227</v>
      </c>
    </row>
    <row r="280" spans="4:25">
      <c r="E280" s="81" t="s">
        <v>96</v>
      </c>
      <c r="F280" s="81">
        <v>539153622</v>
      </c>
      <c r="G280" t="s">
        <v>97</v>
      </c>
      <c r="H280" t="s">
        <v>98</v>
      </c>
      <c r="I280" s="3" t="s">
        <v>99</v>
      </c>
      <c r="K280" s="61" t="s">
        <v>100</v>
      </c>
      <c r="L280" s="67">
        <v>514439027</v>
      </c>
      <c r="M280" s="46">
        <v>514525130</v>
      </c>
      <c r="N280" s="46">
        <f t="shared" si="1"/>
        <v>86103</v>
      </c>
      <c r="O280" s="46">
        <f>N280*$P$297</f>
        <v>176463.31499999997</v>
      </c>
      <c r="P280" s="46">
        <v>352928</v>
      </c>
      <c r="Q280" s="77">
        <f>O280-P280</f>
        <v>-176464.68500000003</v>
      </c>
      <c r="S280" s="61" t="s">
        <v>101</v>
      </c>
      <c r="T280" s="69">
        <v>533537150</v>
      </c>
      <c r="U280" s="46">
        <v>535058808</v>
      </c>
      <c r="V280" s="46">
        <f t="shared" si="4"/>
        <v>1521658</v>
      </c>
      <c r="W280" s="46">
        <f t="shared" si="5"/>
        <v>3118553.5344444439</v>
      </c>
      <c r="X280" s="46">
        <v>5625000</v>
      </c>
      <c r="Y280" s="77">
        <f t="shared" si="6"/>
        <v>-2506446.4655555561</v>
      </c>
    </row>
    <row r="281" spans="4:25">
      <c r="F281" s="80">
        <v>539153586</v>
      </c>
      <c r="G281" t="s">
        <v>102</v>
      </c>
      <c r="H281" s="3">
        <f>F281-F274</f>
        <v>22798451</v>
      </c>
      <c r="I281" s="3">
        <f>H281/86400</f>
        <v>263.87096064814813</v>
      </c>
      <c r="K281" s="61" t="s">
        <v>103</v>
      </c>
      <c r="L281" s="67">
        <v>514525127</v>
      </c>
      <c r="M281" s="46">
        <v>514600490</v>
      </c>
      <c r="N281" s="46">
        <f t="shared" si="1"/>
        <v>75363</v>
      </c>
      <c r="O281" s="46"/>
      <c r="P281" s="46">
        <v>310144</v>
      </c>
      <c r="Q281" s="77"/>
      <c r="S281" s="61" t="s">
        <v>104</v>
      </c>
      <c r="T281" s="69">
        <v>535058809</v>
      </c>
      <c r="U281" s="46">
        <v>535058809</v>
      </c>
      <c r="V281" s="46">
        <f t="shared" si="4"/>
        <v>0</v>
      </c>
      <c r="W281" s="46">
        <f t="shared" si="5"/>
        <v>0</v>
      </c>
      <c r="X281" s="46">
        <v>3125000</v>
      </c>
      <c r="Y281" s="77">
        <f t="shared" si="6"/>
        <v>-3125000</v>
      </c>
    </row>
    <row r="282" spans="4:25">
      <c r="K282" s="61" t="s">
        <v>105</v>
      </c>
      <c r="L282" s="67">
        <v>514600487</v>
      </c>
      <c r="M282" s="46">
        <v>514686590</v>
      </c>
      <c r="N282" s="46">
        <f t="shared" si="1"/>
        <v>86103</v>
      </c>
      <c r="O282" s="46"/>
      <c r="P282" s="46">
        <v>352928</v>
      </c>
      <c r="Q282" s="77"/>
      <c r="S282" s="61"/>
      <c r="T282" s="69"/>
      <c r="U282" s="46"/>
      <c r="V282" s="46">
        <f t="shared" si="4"/>
        <v>0</v>
      </c>
      <c r="W282" s="46">
        <f t="shared" si="5"/>
        <v>0</v>
      </c>
      <c r="X282" s="46"/>
      <c r="Y282" s="77">
        <f t="shared" si="6"/>
        <v>0</v>
      </c>
    </row>
    <row r="283" spans="4:25">
      <c r="K283" s="61" t="s">
        <v>106</v>
      </c>
      <c r="L283" s="67">
        <v>514686587</v>
      </c>
      <c r="M283" s="46">
        <v>514718990</v>
      </c>
      <c r="N283" s="46">
        <f t="shared" si="1"/>
        <v>32403</v>
      </c>
      <c r="O283" s="46"/>
      <c r="P283" s="46">
        <v>132352</v>
      </c>
      <c r="Q283" s="77"/>
      <c r="S283" s="61"/>
      <c r="T283" s="69"/>
      <c r="U283" s="46"/>
      <c r="V283" s="46">
        <f t="shared" si="4"/>
        <v>0</v>
      </c>
      <c r="W283" s="46">
        <f t="shared" si="5"/>
        <v>0</v>
      </c>
      <c r="X283" s="46"/>
      <c r="Y283" s="77">
        <f t="shared" si="6"/>
        <v>0</v>
      </c>
    </row>
    <row r="284" spans="4:25">
      <c r="D284" s="78">
        <v>44990</v>
      </c>
      <c r="E284" s="79" t="s">
        <v>107</v>
      </c>
      <c r="F284" s="79">
        <v>540320759</v>
      </c>
      <c r="G284" t="s">
        <v>108</v>
      </c>
      <c r="K284" s="61" t="s">
        <v>109</v>
      </c>
      <c r="L284" s="67">
        <v>514718987</v>
      </c>
      <c r="M284" s="46">
        <v>514768490</v>
      </c>
      <c r="N284" s="46">
        <f t="shared" si="1"/>
        <v>49503</v>
      </c>
      <c r="O284" s="46"/>
      <c r="P284" s="46">
        <v>201728</v>
      </c>
      <c r="Q284" s="77"/>
      <c r="S284" s="61"/>
      <c r="T284" s="69"/>
      <c r="U284" s="46"/>
      <c r="V284" s="46">
        <f t="shared" si="4"/>
        <v>0</v>
      </c>
      <c r="W284" s="46">
        <f t="shared" si="5"/>
        <v>0</v>
      </c>
      <c r="X284" s="46"/>
      <c r="Y284" s="77">
        <f t="shared" si="6"/>
        <v>0</v>
      </c>
    </row>
    <row r="285" spans="4:25">
      <c r="K285" s="61" t="s">
        <v>110</v>
      </c>
      <c r="L285" s="67">
        <v>514768487</v>
      </c>
      <c r="M285" s="46">
        <v>514806590</v>
      </c>
      <c r="N285" s="46">
        <f t="shared" si="1"/>
        <v>38103</v>
      </c>
      <c r="O285" s="46"/>
      <c r="P285" s="46">
        <v>156384</v>
      </c>
      <c r="Q285" s="77"/>
      <c r="S285" s="84"/>
      <c r="T285" s="85"/>
      <c r="U285" s="86"/>
      <c r="V285" s="86">
        <f t="shared" si="4"/>
        <v>0</v>
      </c>
      <c r="W285" s="86">
        <f t="shared" si="5"/>
        <v>0</v>
      </c>
      <c r="X285" s="86"/>
      <c r="Y285" s="87">
        <f t="shared" si="6"/>
        <v>0</v>
      </c>
    </row>
    <row r="286" spans="4:25">
      <c r="K286" s="61" t="s">
        <v>111</v>
      </c>
      <c r="L286" s="67">
        <v>514806587</v>
      </c>
      <c r="M286" s="46">
        <v>514866590</v>
      </c>
      <c r="N286" s="46">
        <f t="shared" si="1"/>
        <v>60003</v>
      </c>
      <c r="O286" s="46"/>
      <c r="P286" s="46">
        <v>247232</v>
      </c>
      <c r="Q286" s="77"/>
    </row>
    <row r="287" spans="4:25">
      <c r="I287" s="3">
        <v>144</v>
      </c>
      <c r="K287" s="61" t="s">
        <v>112</v>
      </c>
      <c r="L287" s="67">
        <v>514866587</v>
      </c>
      <c r="M287" s="46">
        <v>514888190</v>
      </c>
      <c r="N287" s="46">
        <f t="shared" si="1"/>
        <v>21603</v>
      </c>
      <c r="O287" s="46"/>
      <c r="P287" s="46">
        <v>89568</v>
      </c>
      <c r="Q287" s="77"/>
    </row>
    <row r="288" spans="4:25">
      <c r="K288" s="61" t="s">
        <v>113</v>
      </c>
      <c r="L288" s="67">
        <v>514888187</v>
      </c>
      <c r="M288" s="46">
        <v>514944890</v>
      </c>
      <c r="N288" s="46">
        <f t="shared" si="1"/>
        <v>56703</v>
      </c>
      <c r="O288" s="46"/>
      <c r="P288" s="46">
        <v>231584</v>
      </c>
      <c r="Q288" s="77"/>
    </row>
    <row r="289" spans="4:19">
      <c r="I289" s="3">
        <f>75-16</f>
        <v>59</v>
      </c>
      <c r="K289" s="61" t="s">
        <v>114</v>
      </c>
      <c r="L289" s="67">
        <v>514944887</v>
      </c>
      <c r="M289" s="46">
        <v>514974890</v>
      </c>
      <c r="N289" s="46">
        <f t="shared" si="1"/>
        <v>30003</v>
      </c>
      <c r="O289" s="46"/>
      <c r="P289" s="46">
        <v>123264</v>
      </c>
      <c r="Q289" s="77"/>
    </row>
    <row r="290" spans="4:19">
      <c r="I290" s="3">
        <f>I289*3</f>
        <v>177</v>
      </c>
      <c r="K290" s="61" t="s">
        <v>115</v>
      </c>
      <c r="L290" s="67">
        <v>514974887</v>
      </c>
      <c r="M290" s="46">
        <v>515031290</v>
      </c>
      <c r="N290" s="46">
        <f t="shared" si="1"/>
        <v>56403</v>
      </c>
      <c r="O290" s="46"/>
      <c r="P290" s="46">
        <v>230304</v>
      </c>
      <c r="Q290" s="77"/>
    </row>
    <row r="291" spans="4:19">
      <c r="D291" s="3" t="s">
        <v>116</v>
      </c>
      <c r="E291" s="88">
        <v>515933442</v>
      </c>
      <c r="K291" s="61" t="s">
        <v>117</v>
      </c>
      <c r="L291" s="67">
        <v>515031287</v>
      </c>
      <c r="M291" s="46">
        <v>515120990</v>
      </c>
      <c r="N291" s="46">
        <f t="shared" si="1"/>
        <v>89703</v>
      </c>
      <c r="O291" s="46"/>
      <c r="P291" s="46">
        <v>369856</v>
      </c>
      <c r="Q291" s="77"/>
    </row>
    <row r="292" spans="4:19">
      <c r="E292" s="89">
        <v>516344815</v>
      </c>
      <c r="I292" s="3" t="s">
        <v>118</v>
      </c>
      <c r="K292" s="61" t="s">
        <v>119</v>
      </c>
      <c r="L292" s="67">
        <v>515120987</v>
      </c>
      <c r="M292" s="46">
        <v>515202890</v>
      </c>
      <c r="N292" s="46">
        <f t="shared" si="1"/>
        <v>81903</v>
      </c>
      <c r="O292" s="46"/>
      <c r="P292" s="46">
        <v>338080</v>
      </c>
      <c r="Q292" s="77"/>
    </row>
    <row r="293" spans="4:19">
      <c r="I293" s="3">
        <f>54*3</f>
        <v>162</v>
      </c>
      <c r="K293" s="61" t="s">
        <v>120</v>
      </c>
      <c r="L293" s="67">
        <v>515202887</v>
      </c>
      <c r="M293" s="46">
        <v>515311490</v>
      </c>
      <c r="N293" s="46">
        <f t="shared" si="1"/>
        <v>108603</v>
      </c>
      <c r="O293" s="46"/>
      <c r="P293" s="46">
        <v>449760</v>
      </c>
      <c r="Q293" s="77"/>
    </row>
    <row r="294" spans="4:19">
      <c r="I294" s="3" t="s">
        <v>121</v>
      </c>
      <c r="K294" s="84"/>
      <c r="L294" s="90"/>
      <c r="M294" s="86"/>
      <c r="N294" s="86">
        <f t="shared" si="1"/>
        <v>0</v>
      </c>
      <c r="O294" s="86">
        <f>N294*$P$297</f>
        <v>0</v>
      </c>
      <c r="P294" s="86"/>
      <c r="Q294" s="87">
        <f>O294-P294</f>
        <v>0</v>
      </c>
    </row>
    <row r="296" spans="4:19">
      <c r="K296" s="54" t="s">
        <v>122</v>
      </c>
      <c r="L296" s="55"/>
      <c r="M296" s="55"/>
      <c r="N296" s="56"/>
      <c r="O296" s="66" t="s">
        <v>59</v>
      </c>
      <c r="P296" s="66" t="s">
        <v>60</v>
      </c>
      <c r="Q296" s="58"/>
      <c r="R296" s="3" t="s">
        <v>60</v>
      </c>
      <c r="S296" s="3">
        <v>2.0944444400000002</v>
      </c>
    </row>
    <row r="297" spans="4:19">
      <c r="H297" s="91">
        <f>75.05-10</f>
        <v>65.05</v>
      </c>
      <c r="I297" s="3" t="s">
        <v>123</v>
      </c>
      <c r="K297" s="61"/>
      <c r="L297" s="62"/>
      <c r="M297" s="62"/>
      <c r="N297" s="45"/>
      <c r="O297" s="63">
        <f>O299*1000000</f>
        <v>16.395555555555553</v>
      </c>
      <c r="P297" s="63">
        <f>O297/8</f>
        <v>2.0494444444444442</v>
      </c>
      <c r="Q297" s="64"/>
      <c r="R297" s="3" t="s">
        <v>59</v>
      </c>
      <c r="S297" s="3">
        <v>16.395555559999998</v>
      </c>
    </row>
    <row r="298" spans="4:19">
      <c r="H298">
        <f>H297*3</f>
        <v>195.14999999999998</v>
      </c>
      <c r="K298" s="61"/>
      <c r="L298" s="46"/>
      <c r="M298" s="46"/>
      <c r="N298" s="46"/>
      <c r="O298" s="66" t="s">
        <v>62</v>
      </c>
      <c r="P298" s="46"/>
      <c r="Q298" s="64"/>
      <c r="R298" s="3" t="s">
        <v>62</v>
      </c>
      <c r="S298" s="3">
        <v>1.6395599999999999E-5</v>
      </c>
    </row>
    <row r="299" spans="4:19">
      <c r="H299" s="91">
        <v>56</v>
      </c>
      <c r="K299" s="61"/>
      <c r="L299" s="67"/>
      <c r="M299" s="46"/>
      <c r="N299" s="46"/>
      <c r="O299" s="68">
        <f>Q254/86400</f>
        <v>1.6395555555555554E-5</v>
      </c>
      <c r="P299" s="46"/>
      <c r="Q299" s="64"/>
    </row>
    <row r="300" spans="4:19">
      <c r="H300">
        <f>(68-12)*3</f>
        <v>168</v>
      </c>
      <c r="I300" s="3" t="s">
        <v>124</v>
      </c>
      <c r="K300" s="73" t="s">
        <v>64</v>
      </c>
      <c r="L300" s="72" t="s">
        <v>65</v>
      </c>
      <c r="M300" s="73" t="s">
        <v>66</v>
      </c>
      <c r="N300" s="73" t="s">
        <v>67</v>
      </c>
      <c r="O300" s="74" t="s">
        <v>68</v>
      </c>
      <c r="P300" s="73" t="s">
        <v>69</v>
      </c>
      <c r="Q300" s="73" t="s">
        <v>70</v>
      </c>
    </row>
    <row r="301" spans="4:19">
      <c r="K301" s="61" t="s">
        <v>125</v>
      </c>
      <c r="L301" s="67">
        <v>515311487</v>
      </c>
      <c r="M301" s="88">
        <v>515933442</v>
      </c>
      <c r="N301" s="46">
        <f>M301-L301</f>
        <v>621955</v>
      </c>
      <c r="O301" s="46">
        <f>N301*$P$297</f>
        <v>1274662.2194444442</v>
      </c>
      <c r="P301" s="46">
        <v>1275000</v>
      </c>
      <c r="Q301" s="77">
        <f>O301-P301</f>
        <v>-337.78055555582978</v>
      </c>
      <c r="R301" s="3" t="s">
        <v>126</v>
      </c>
    </row>
    <row r="302" spans="4:19">
      <c r="H302" t="s">
        <v>127</v>
      </c>
      <c r="K302" s="61" t="s">
        <v>128</v>
      </c>
      <c r="L302" s="67">
        <v>516344815</v>
      </c>
      <c r="M302" s="46">
        <v>516977136</v>
      </c>
      <c r="N302" s="46">
        <f>M302-L302</f>
        <v>632321</v>
      </c>
      <c r="O302" s="46">
        <f>N302*$P$297</f>
        <v>1295906.7605555553</v>
      </c>
      <c r="P302" s="46">
        <v>1296250</v>
      </c>
      <c r="Q302" s="77">
        <f>O302-P302</f>
        <v>-343.23944444465451</v>
      </c>
    </row>
    <row r="303" spans="4:19">
      <c r="E303" s="83" t="s">
        <v>129</v>
      </c>
      <c r="F303" s="83">
        <v>515656423</v>
      </c>
      <c r="G303" s="81" t="s">
        <v>130</v>
      </c>
      <c r="H303" t="s">
        <v>131</v>
      </c>
      <c r="K303" s="61" t="s">
        <v>132</v>
      </c>
      <c r="L303" s="67">
        <v>516977137</v>
      </c>
      <c r="M303" s="46">
        <v>518806869</v>
      </c>
      <c r="N303" s="46">
        <f>M303-L303</f>
        <v>1829732</v>
      </c>
      <c r="O303" s="46">
        <f>N303*$P$297</f>
        <v>3749934.0822222219</v>
      </c>
      <c r="P303" s="46">
        <v>3750000</v>
      </c>
      <c r="Q303" s="77">
        <f>O303-P303</f>
        <v>-65.917777778115124</v>
      </c>
    </row>
    <row r="304" spans="4:19">
      <c r="E304" s="83" t="s">
        <v>133</v>
      </c>
      <c r="F304" s="83">
        <v>515656918</v>
      </c>
      <c r="G304" s="81" t="s">
        <v>134</v>
      </c>
      <c r="H304" t="s">
        <v>135</v>
      </c>
      <c r="I304" s="3" t="s">
        <v>136</v>
      </c>
      <c r="K304" s="84" t="s">
        <v>137</v>
      </c>
      <c r="L304" s="90">
        <v>518806870</v>
      </c>
      <c r="M304" s="86">
        <v>520026691</v>
      </c>
      <c r="N304" s="86">
        <f>M304-L304</f>
        <v>1219821</v>
      </c>
      <c r="O304" s="86">
        <f>N304*$P$297</f>
        <v>2499955.3716666661</v>
      </c>
      <c r="P304" s="86">
        <v>2500000</v>
      </c>
      <c r="Q304" s="87">
        <f>O304-P304</f>
        <v>-44.628333333879709</v>
      </c>
    </row>
    <row r="305" spans="8:17">
      <c r="H305">
        <f>87-17</f>
        <v>70</v>
      </c>
      <c r="I305" s="3">
        <f>H305*3</f>
        <v>210</v>
      </c>
      <c r="K305" s="3"/>
    </row>
    <row r="306" spans="8:17">
      <c r="J306" s="3" t="s">
        <v>138</v>
      </c>
      <c r="K306" t="s">
        <v>139</v>
      </c>
    </row>
    <row r="307" spans="8:17">
      <c r="H307">
        <f>65+56+70</f>
        <v>191</v>
      </c>
      <c r="K307" s="54" t="s">
        <v>140</v>
      </c>
      <c r="L307" s="55"/>
      <c r="M307" s="55"/>
      <c r="N307" s="56"/>
    </row>
    <row r="308" spans="8:17">
      <c r="H308">
        <f>H307-83</f>
        <v>108</v>
      </c>
      <c r="K308" s="73" t="s">
        <v>64</v>
      </c>
      <c r="L308" s="72" t="s">
        <v>65</v>
      </c>
      <c r="M308" s="73" t="s">
        <v>66</v>
      </c>
      <c r="N308" s="73" t="s">
        <v>67</v>
      </c>
      <c r="O308" s="74" t="s">
        <v>68</v>
      </c>
      <c r="P308" s="73" t="s">
        <v>69</v>
      </c>
      <c r="Q308" s="73" t="s">
        <v>70</v>
      </c>
    </row>
    <row r="309" spans="8:17">
      <c r="K309" s="61" t="s">
        <v>141</v>
      </c>
      <c r="L309" s="67">
        <v>520026692</v>
      </c>
      <c r="M309" s="46">
        <v>522344352</v>
      </c>
      <c r="N309" s="46">
        <f>M309-L309</f>
        <v>2317660</v>
      </c>
      <c r="O309" s="46">
        <f>N309*$P$297</f>
        <v>4749915.4111111108</v>
      </c>
      <c r="P309" s="46">
        <v>4750000</v>
      </c>
      <c r="Q309" s="77">
        <f>O309-P309</f>
        <v>-84.588888889178634</v>
      </c>
    </row>
    <row r="310" spans="8:17">
      <c r="H310" t="s">
        <v>142</v>
      </c>
      <c r="K310" s="61" t="s">
        <v>143</v>
      </c>
      <c r="L310" s="67">
        <v>522344353</v>
      </c>
      <c r="M310" s="46">
        <v>523991112</v>
      </c>
      <c r="N310" s="46">
        <f>M310-L310</f>
        <v>1646759</v>
      </c>
      <c r="O310" s="46">
        <f>N310*$P$297</f>
        <v>3374941.0838888884</v>
      </c>
      <c r="P310" s="46">
        <v>3375000</v>
      </c>
      <c r="Q310" s="77">
        <f>O310-P310</f>
        <v>-58.91611111164093</v>
      </c>
    </row>
    <row r="311" spans="8:17">
      <c r="H311" t="s">
        <v>144</v>
      </c>
      <c r="I311" s="3" t="s">
        <v>145</v>
      </c>
      <c r="J311" s="3">
        <f>87-16</f>
        <v>71</v>
      </c>
      <c r="K311" s="61"/>
      <c r="L311" s="67"/>
      <c r="M311" s="46"/>
      <c r="N311" s="46">
        <f>M311-L311</f>
        <v>0</v>
      </c>
      <c r="O311" s="46">
        <f>N311*$P$297</f>
        <v>0</v>
      </c>
      <c r="P311" s="46"/>
      <c r="Q311" s="77">
        <f>O311-P311</f>
        <v>0</v>
      </c>
    </row>
    <row r="312" spans="8:17">
      <c r="J312" s="3" t="s">
        <v>146</v>
      </c>
      <c r="K312" s="84"/>
      <c r="L312" s="90"/>
      <c r="M312" s="86"/>
      <c r="N312" s="86">
        <f>M312-L312</f>
        <v>0</v>
      </c>
      <c r="O312" s="86">
        <f>N312*$P$297</f>
        <v>0</v>
      </c>
      <c r="P312" s="86"/>
      <c r="Q312" s="87">
        <f>O312-P312</f>
        <v>0</v>
      </c>
    </row>
    <row r="313" spans="8:17">
      <c r="H313" t="s">
        <v>147</v>
      </c>
      <c r="I313" s="3" t="s">
        <v>148</v>
      </c>
      <c r="J313" s="3">
        <f>92-17</f>
        <v>75</v>
      </c>
      <c r="K313" s="46" t="s">
        <v>146</v>
      </c>
    </row>
    <row r="315" spans="8:17">
      <c r="H315">
        <f>750/3</f>
        <v>250</v>
      </c>
      <c r="I315" s="3">
        <f>83+167</f>
        <v>250</v>
      </c>
      <c r="K315" s="54" t="s">
        <v>149</v>
      </c>
      <c r="L315" s="55"/>
      <c r="M315" s="55"/>
      <c r="N315" s="56"/>
    </row>
    <row r="316" spans="8:17">
      <c r="H316" t="s">
        <v>150</v>
      </c>
      <c r="K316" s="73" t="s">
        <v>64</v>
      </c>
      <c r="L316" s="72" t="s">
        <v>65</v>
      </c>
      <c r="M316" s="73" t="s">
        <v>66</v>
      </c>
      <c r="N316" s="73" t="s">
        <v>67</v>
      </c>
      <c r="O316" s="74" t="s">
        <v>68</v>
      </c>
      <c r="P316" s="73" t="s">
        <v>69</v>
      </c>
      <c r="Q316" s="73" t="s">
        <v>70</v>
      </c>
    </row>
    <row r="317" spans="8:17">
      <c r="H317" t="s">
        <v>151</v>
      </c>
      <c r="K317" s="61" t="s">
        <v>152</v>
      </c>
      <c r="L317" s="67">
        <v>523991113</v>
      </c>
      <c r="M317" s="46">
        <v>525820844</v>
      </c>
      <c r="N317" s="46">
        <f>M317-L317</f>
        <v>1829731</v>
      </c>
      <c r="O317" s="46">
        <f>N317*$P$297</f>
        <v>3749932.0327777774</v>
      </c>
      <c r="P317" s="46">
        <v>3750000</v>
      </c>
      <c r="Q317" s="77">
        <f>O317-P317</f>
        <v>-67.967222222592682</v>
      </c>
    </row>
    <row r="318" spans="8:17">
      <c r="K318" s="61"/>
      <c r="L318" s="67"/>
      <c r="M318" s="46"/>
      <c r="N318" s="46"/>
      <c r="O318" s="46"/>
      <c r="P318" s="46"/>
      <c r="Q318" s="77"/>
    </row>
    <row r="319" spans="8:17">
      <c r="K319" s="61"/>
      <c r="L319" s="67"/>
      <c r="M319" s="46"/>
      <c r="N319" s="46">
        <f>M319-L319</f>
        <v>0</v>
      </c>
      <c r="O319" s="46">
        <f>N319*$P$297</f>
        <v>0</v>
      </c>
      <c r="P319" s="46"/>
      <c r="Q319" s="77">
        <f>O319-P319</f>
        <v>0</v>
      </c>
    </row>
    <row r="320" spans="8:17">
      <c r="K320" s="84"/>
      <c r="L320" s="90"/>
      <c r="M320" s="86"/>
      <c r="N320" s="86">
        <f>M320-L320</f>
        <v>0</v>
      </c>
      <c r="O320" s="86">
        <f>N320*$P$297</f>
        <v>0</v>
      </c>
      <c r="P320" s="86"/>
      <c r="Q320" s="87">
        <f>O320-P320</f>
        <v>0</v>
      </c>
    </row>
    <row r="321" spans="1:21">
      <c r="E321" s="83" t="s">
        <v>96</v>
      </c>
      <c r="F321" s="83">
        <v>539153622</v>
      </c>
      <c r="G321" s="81" t="s">
        <v>130</v>
      </c>
    </row>
    <row r="322" spans="1:21">
      <c r="A322" t="s">
        <v>153</v>
      </c>
      <c r="K322" s="54" t="s">
        <v>154</v>
      </c>
      <c r="L322" s="55"/>
      <c r="M322" s="55"/>
      <c r="N322" s="56"/>
    </row>
    <row r="323" spans="1:21">
      <c r="A323" t="s">
        <v>155</v>
      </c>
      <c r="I323" s="3">
        <f>I324-86400</f>
        <v>527142358</v>
      </c>
      <c r="K323" s="73" t="s">
        <v>64</v>
      </c>
      <c r="L323" s="72" t="s">
        <v>65</v>
      </c>
      <c r="M323" s="73" t="s">
        <v>66</v>
      </c>
      <c r="N323" s="73" t="s">
        <v>67</v>
      </c>
      <c r="O323" s="74" t="s">
        <v>68</v>
      </c>
      <c r="P323" s="73" t="s">
        <v>69</v>
      </c>
      <c r="Q323" s="73" t="s">
        <v>70</v>
      </c>
    </row>
    <row r="324" spans="1:21">
      <c r="A324" t="s">
        <v>156</v>
      </c>
      <c r="H324" t="s">
        <v>157</v>
      </c>
      <c r="I324" s="3">
        <v>527228758</v>
      </c>
      <c r="K324" s="61" t="s">
        <v>158</v>
      </c>
      <c r="L324" s="67">
        <v>525820845</v>
      </c>
      <c r="M324" s="46">
        <v>527223639</v>
      </c>
      <c r="N324" s="46">
        <f t="shared" ref="N324:N331" si="7">M324-L324</f>
        <v>1402794</v>
      </c>
      <c r="O324" s="46">
        <f t="shared" ref="O324:O331" si="8">N324*$P$297</f>
        <v>2874948.3699999996</v>
      </c>
      <c r="P324" s="46">
        <v>2875000</v>
      </c>
      <c r="Q324" s="77">
        <f t="shared" ref="Q324:Q331" si="9">O324-P324</f>
        <v>-51.630000000353903</v>
      </c>
    </row>
    <row r="325" spans="1:21">
      <c r="H325" t="s">
        <v>159</v>
      </c>
      <c r="I325" s="3">
        <v>528783958</v>
      </c>
      <c r="K325" s="61" t="s">
        <v>160</v>
      </c>
      <c r="L325" s="67">
        <v>527223640</v>
      </c>
      <c r="M325" s="46">
        <v>529358327</v>
      </c>
      <c r="N325" s="46">
        <f t="shared" si="7"/>
        <v>2134687</v>
      </c>
      <c r="O325" s="46">
        <f t="shared" si="8"/>
        <v>4374922.4127777768</v>
      </c>
      <c r="P325" s="46">
        <v>4375000</v>
      </c>
      <c r="Q325" s="77">
        <f t="shared" si="9"/>
        <v>-77.587222223170102</v>
      </c>
    </row>
    <row r="326" spans="1:21">
      <c r="A326">
        <f>277-151</f>
        <v>126</v>
      </c>
      <c r="B326" t="s">
        <v>161</v>
      </c>
      <c r="K326" s="61" t="s">
        <v>162</v>
      </c>
      <c r="L326" s="67">
        <v>529358328</v>
      </c>
      <c r="M326" s="46">
        <v>532773827</v>
      </c>
      <c r="N326" s="46">
        <f t="shared" si="7"/>
        <v>3415499</v>
      </c>
      <c r="O326" s="46">
        <f t="shared" si="8"/>
        <v>6999875.4505555546</v>
      </c>
      <c r="P326" s="46">
        <v>7000000</v>
      </c>
      <c r="Q326" s="77">
        <f t="shared" si="9"/>
        <v>-124.54944444540888</v>
      </c>
    </row>
    <row r="327" spans="1:21">
      <c r="A327">
        <f>A326*3600*24</f>
        <v>10886400</v>
      </c>
      <c r="B327" t="s">
        <v>67</v>
      </c>
      <c r="K327" s="61" t="s">
        <v>163</v>
      </c>
      <c r="L327" s="67">
        <v>532773828</v>
      </c>
      <c r="M327" s="46">
        <v>534298605</v>
      </c>
      <c r="N327" s="46">
        <f t="shared" si="7"/>
        <v>1524777</v>
      </c>
      <c r="O327" s="46">
        <f t="shared" si="8"/>
        <v>3124945.7516666665</v>
      </c>
      <c r="P327" s="46">
        <v>3125000</v>
      </c>
      <c r="Q327" s="77">
        <f t="shared" si="9"/>
        <v>-54.248333333525807</v>
      </c>
    </row>
    <row r="328" spans="1:21">
      <c r="A328">
        <f>F273+A327</f>
        <v>527228758</v>
      </c>
      <c r="K328" s="61" t="s">
        <v>164</v>
      </c>
      <c r="L328" s="67">
        <v>534298606</v>
      </c>
      <c r="M328" s="46">
        <v>538263024</v>
      </c>
      <c r="N328" s="46">
        <f t="shared" si="7"/>
        <v>3964418</v>
      </c>
      <c r="O328" s="46">
        <f t="shared" si="8"/>
        <v>8124854.4455555547</v>
      </c>
      <c r="P328" s="46">
        <v>8125000</v>
      </c>
      <c r="Q328" s="77">
        <f t="shared" si="9"/>
        <v>-145.55444444529712</v>
      </c>
    </row>
    <row r="329" spans="1:21">
      <c r="A329">
        <f>(295-277)*3600*24</f>
        <v>1555200</v>
      </c>
      <c r="K329" s="61" t="s">
        <v>165</v>
      </c>
      <c r="L329" s="67">
        <v>538263025</v>
      </c>
      <c r="M329" s="46">
        <v>539177891</v>
      </c>
      <c r="N329" s="46">
        <f t="shared" si="7"/>
        <v>914866</v>
      </c>
      <c r="O329" s="46">
        <f t="shared" si="8"/>
        <v>1874967.0411111109</v>
      </c>
      <c r="P329" s="46">
        <v>1875000</v>
      </c>
      <c r="Q329" s="77">
        <f t="shared" si="9"/>
        <v>-32.958888889057562</v>
      </c>
      <c r="R329" s="3" t="s">
        <v>166</v>
      </c>
    </row>
    <row r="330" spans="1:21">
      <c r="A330">
        <f>A329+A328</f>
        <v>528783958</v>
      </c>
      <c r="K330" s="61" t="s">
        <v>167</v>
      </c>
      <c r="L330" s="46">
        <v>539153622</v>
      </c>
      <c r="M330" s="46">
        <v>539177891</v>
      </c>
      <c r="N330" s="46">
        <f t="shared" si="7"/>
        <v>24269</v>
      </c>
      <c r="O330" s="46">
        <f t="shared" si="8"/>
        <v>49737.967222222214</v>
      </c>
      <c r="P330" s="46"/>
      <c r="Q330" s="77">
        <f t="shared" si="9"/>
        <v>49737.967222222214</v>
      </c>
      <c r="R330" s="3" t="s">
        <v>168</v>
      </c>
    </row>
    <row r="331" spans="1:21">
      <c r="K331" s="84"/>
      <c r="L331" s="90"/>
      <c r="M331" s="86"/>
      <c r="N331" s="86">
        <f t="shared" si="7"/>
        <v>0</v>
      </c>
      <c r="O331" s="86">
        <f t="shared" si="8"/>
        <v>0</v>
      </c>
      <c r="P331" s="86"/>
      <c r="Q331" s="87">
        <f t="shared" si="9"/>
        <v>0</v>
      </c>
    </row>
    <row r="332" spans="1:21">
      <c r="G332">
        <v>23064</v>
      </c>
      <c r="H332" s="92" t="s">
        <v>169</v>
      </c>
      <c r="I332" s="92">
        <v>540332516</v>
      </c>
      <c r="K332" t="s">
        <v>170</v>
      </c>
      <c r="P332" s="3">
        <v>1.579</v>
      </c>
      <c r="Q332" s="93" t="s">
        <v>21</v>
      </c>
      <c r="S332" s="3" t="s">
        <v>171</v>
      </c>
    </row>
    <row r="333" spans="1:21">
      <c r="G333">
        <v>23064</v>
      </c>
      <c r="H333" s="94" t="s">
        <v>167</v>
      </c>
      <c r="I333" s="3">
        <v>540726186</v>
      </c>
      <c r="K333" s="54" t="s">
        <v>172</v>
      </c>
      <c r="L333" s="55"/>
      <c r="M333" s="55"/>
      <c r="N333" s="56"/>
      <c r="P333" s="95">
        <f>P332*1000000/8</f>
        <v>197375</v>
      </c>
      <c r="Q333" s="93" t="s">
        <v>173</v>
      </c>
      <c r="S333" s="3" t="s">
        <v>174</v>
      </c>
    </row>
    <row r="334" spans="1:21">
      <c r="G334">
        <v>23064</v>
      </c>
      <c r="H334" s="94" t="s">
        <v>175</v>
      </c>
      <c r="I334" s="96">
        <v>540726222</v>
      </c>
      <c r="K334" s="73" t="s">
        <v>64</v>
      </c>
      <c r="L334" s="72" t="s">
        <v>65</v>
      </c>
      <c r="M334" s="73" t="s">
        <v>66</v>
      </c>
      <c r="N334" s="73" t="s">
        <v>67</v>
      </c>
      <c r="O334" s="74" t="s">
        <v>68</v>
      </c>
      <c r="P334" s="3" t="s">
        <v>176</v>
      </c>
      <c r="Q334" s="74" t="s">
        <v>177</v>
      </c>
      <c r="R334" s="73" t="s">
        <v>69</v>
      </c>
      <c r="S334" s="73" t="s">
        <v>70</v>
      </c>
    </row>
    <row r="335" spans="1:21">
      <c r="G335">
        <v>23064</v>
      </c>
      <c r="H335" s="92" t="s">
        <v>169</v>
      </c>
      <c r="I335" s="92">
        <v>540757617</v>
      </c>
      <c r="K335" s="61" t="s">
        <v>178</v>
      </c>
      <c r="L335" s="46">
        <v>540332514</v>
      </c>
      <c r="M335" s="96">
        <v>540726231</v>
      </c>
      <c r="N335" s="46">
        <f>M335-L335</f>
        <v>393717</v>
      </c>
      <c r="O335" s="46">
        <f>N335*$P$297</f>
        <v>806901.11833333317</v>
      </c>
      <c r="P335" s="3">
        <v>1</v>
      </c>
      <c r="Q335" s="97">
        <f>O335+P335*$P$333</f>
        <v>1004276.1183333332</v>
      </c>
      <c r="R335" s="46">
        <v>837500</v>
      </c>
      <c r="S335" s="77">
        <f>Q335-R335</f>
        <v>166776.11833333317</v>
      </c>
      <c r="T335" s="5">
        <f>S335/$W$337</f>
        <v>81376.25726893486</v>
      </c>
      <c r="U335" t="s">
        <v>179</v>
      </c>
    </row>
    <row r="336" spans="1:21">
      <c r="G336">
        <v>23064</v>
      </c>
      <c r="H336" s="3" t="s">
        <v>180</v>
      </c>
      <c r="I336" s="96">
        <v>541758822</v>
      </c>
      <c r="K336" s="61" t="s">
        <v>181</v>
      </c>
      <c r="L336" s="46">
        <v>540757615</v>
      </c>
      <c r="M336" s="96">
        <v>541758824</v>
      </c>
      <c r="N336" s="46">
        <f>M336-L336</f>
        <v>1001209</v>
      </c>
      <c r="O336" s="46">
        <f>N336*$P$297</f>
        <v>2051922.2227777776</v>
      </c>
      <c r="P336" s="3">
        <v>1</v>
      </c>
      <c r="Q336" s="97">
        <f>O336+P336*$P$333</f>
        <v>2249297.2227777774</v>
      </c>
      <c r="R336" s="46">
        <v>3200000</v>
      </c>
      <c r="S336" s="77">
        <f>O336-R336</f>
        <v>-1148077.7772222224</v>
      </c>
    </row>
    <row r="337" spans="6:24">
      <c r="G337">
        <v>23064</v>
      </c>
      <c r="H337" s="92" t="s">
        <v>169</v>
      </c>
      <c r="I337" s="92">
        <v>541775937</v>
      </c>
      <c r="K337" s="61" t="s">
        <v>182</v>
      </c>
      <c r="L337" s="46">
        <v>541775935</v>
      </c>
      <c r="M337" s="96">
        <v>543887924</v>
      </c>
      <c r="N337" s="46">
        <f>M337-L337</f>
        <v>2111989</v>
      </c>
      <c r="O337" s="46">
        <f>N337*$P$297</f>
        <v>4328404.1227777768</v>
      </c>
      <c r="P337" s="3">
        <v>1</v>
      </c>
      <c r="Q337" s="97">
        <f>O337+P337*$P$333</f>
        <v>4525779.1227777768</v>
      </c>
      <c r="R337" s="46">
        <v>2112500</v>
      </c>
      <c r="S337" s="77">
        <f>O337-R337</f>
        <v>2215904.1227777768</v>
      </c>
      <c r="V337" s="98" t="s">
        <v>60</v>
      </c>
      <c r="W337" s="99">
        <v>2.0494444440000001</v>
      </c>
    </row>
    <row r="338" spans="6:24">
      <c r="H338" s="3" t="s">
        <v>183</v>
      </c>
      <c r="I338" s="3">
        <v>542253393</v>
      </c>
      <c r="K338" s="61" t="s">
        <v>184</v>
      </c>
      <c r="L338" s="46">
        <v>544176294</v>
      </c>
      <c r="M338" s="96">
        <v>543894829</v>
      </c>
      <c r="N338" s="46">
        <f>M338-L338</f>
        <v>-281465</v>
      </c>
      <c r="O338" s="46">
        <f>N338*$P$297</f>
        <v>-576846.88055555546</v>
      </c>
      <c r="P338" s="3">
        <v>1</v>
      </c>
      <c r="Q338" s="97">
        <f>O338+P338*$P$333</f>
        <v>-379471.88055555546</v>
      </c>
      <c r="R338" s="46">
        <v>1225000</v>
      </c>
      <c r="S338" s="77">
        <f>O338-R338</f>
        <v>-1801846.8805555555</v>
      </c>
      <c r="V338" s="100" t="s">
        <v>59</v>
      </c>
      <c r="W338" s="101">
        <v>16.395555559999998</v>
      </c>
    </row>
    <row r="339" spans="6:24">
      <c r="G339">
        <v>23086</v>
      </c>
      <c r="H339" s="3" t="s">
        <v>185</v>
      </c>
      <c r="I339" s="96">
        <v>543887922</v>
      </c>
      <c r="K339" s="61"/>
      <c r="L339" s="67"/>
      <c r="M339" s="46"/>
      <c r="N339" s="46"/>
      <c r="O339" s="46"/>
      <c r="Q339" s="5"/>
      <c r="R339" s="46">
        <f>SUM(R335:R338)</f>
        <v>7375000</v>
      </c>
      <c r="S339" s="77" t="s">
        <v>186</v>
      </c>
      <c r="V339" s="102" t="s">
        <v>62</v>
      </c>
      <c r="W339" s="103">
        <v>1.6395599999999999E-5</v>
      </c>
    </row>
    <row r="340" spans="6:24">
      <c r="F340" s="83">
        <v>544176296</v>
      </c>
      <c r="G340">
        <v>23107</v>
      </c>
      <c r="H340" s="92" t="s">
        <v>187</v>
      </c>
      <c r="I340" s="92">
        <v>544176296</v>
      </c>
      <c r="K340" s="61"/>
      <c r="L340" s="67" t="s">
        <v>188</v>
      </c>
      <c r="M340" s="46"/>
      <c r="N340" s="46"/>
      <c r="O340" s="46"/>
      <c r="Q340" s="5"/>
      <c r="R340" s="46"/>
      <c r="S340" s="77"/>
    </row>
    <row r="341" spans="6:24">
      <c r="K341" s="61" t="s">
        <v>178</v>
      </c>
      <c r="L341" s="92">
        <v>540332514</v>
      </c>
      <c r="M341" s="62">
        <f>M335-T335</f>
        <v>540644854.74273109</v>
      </c>
      <c r="N341" s="104">
        <f t="shared" ref="N341:N349" si="10">M341-L341</f>
        <v>312340.74273109436</v>
      </c>
      <c r="O341" s="46">
        <f t="shared" ref="O341:O349" si="11">N341*$P$297</f>
        <v>640124.99996389274</v>
      </c>
      <c r="P341" s="3">
        <v>1</v>
      </c>
      <c r="Q341" s="97">
        <f t="shared" ref="Q341:Q349" si="12">O341+P341*$P$333</f>
        <v>837499.99996389274</v>
      </c>
      <c r="R341" s="46">
        <v>837500</v>
      </c>
      <c r="S341" s="77">
        <f>Q341-R341</f>
        <v>-3.6107259802520275E-5</v>
      </c>
    </row>
    <row r="342" spans="6:24">
      <c r="K342" s="61" t="s">
        <v>181</v>
      </c>
      <c r="L342" s="46">
        <f>M341-2</f>
        <v>540644852.74273109</v>
      </c>
      <c r="M342" s="96">
        <v>540726231</v>
      </c>
      <c r="N342" s="104">
        <f t="shared" si="10"/>
        <v>81378.25726890564</v>
      </c>
      <c r="O342" s="46">
        <f t="shared" si="11"/>
        <v>166780.21725832936</v>
      </c>
      <c r="P342" s="3">
        <v>0</v>
      </c>
      <c r="Q342" s="97">
        <f t="shared" si="12"/>
        <v>166780.21725832936</v>
      </c>
      <c r="R342" s="46">
        <f>R336</f>
        <v>3200000</v>
      </c>
      <c r="S342" s="105">
        <f>Q342-R342</f>
        <v>-3033219.7827416705</v>
      </c>
    </row>
    <row r="343" spans="6:24">
      <c r="K343" s="61" t="s">
        <v>181</v>
      </c>
      <c r="L343" s="92">
        <v>540757615</v>
      </c>
      <c r="M343" s="96">
        <v>541758824</v>
      </c>
      <c r="N343" s="104">
        <f t="shared" si="10"/>
        <v>1001209</v>
      </c>
      <c r="O343" s="46">
        <f t="shared" si="11"/>
        <v>2051922.2227777776</v>
      </c>
      <c r="P343" s="3">
        <v>1</v>
      </c>
      <c r="Q343" s="97">
        <f t="shared" si="12"/>
        <v>2249297.2227777774</v>
      </c>
      <c r="R343" s="46"/>
      <c r="S343" s="105">
        <f>S342+Q343</f>
        <v>-783922.55996389315</v>
      </c>
    </row>
    <row r="344" spans="6:24">
      <c r="K344" s="106" t="s">
        <v>181</v>
      </c>
      <c r="L344" s="12">
        <v>541775935</v>
      </c>
      <c r="M344" s="107">
        <v>543887924</v>
      </c>
      <c r="N344" s="108">
        <f t="shared" si="10"/>
        <v>2111989</v>
      </c>
      <c r="O344" s="12">
        <f t="shared" si="11"/>
        <v>4328404.1227777768</v>
      </c>
      <c r="P344" s="12">
        <v>1</v>
      </c>
      <c r="Q344" s="108">
        <f t="shared" si="12"/>
        <v>4525779.1227777768</v>
      </c>
      <c r="R344" s="12"/>
      <c r="S344" s="109">
        <f>S343+Q344</f>
        <v>3741856.5628138836</v>
      </c>
      <c r="T344" s="5">
        <f>S344/$W$337</f>
        <v>1825790.6789172194</v>
      </c>
      <c r="U344" t="s">
        <v>189</v>
      </c>
    </row>
    <row r="345" spans="6:24">
      <c r="K345" s="61" t="s">
        <v>181</v>
      </c>
      <c r="L345" s="92">
        <v>541775935</v>
      </c>
      <c r="M345" s="104">
        <f>M344-T344</f>
        <v>542062133.32108283</v>
      </c>
      <c r="N345" s="104">
        <f t="shared" si="10"/>
        <v>286198.32108283043</v>
      </c>
      <c r="O345" s="46">
        <f t="shared" si="11"/>
        <v>586547.55915253412</v>
      </c>
      <c r="P345" s="3">
        <v>1</v>
      </c>
      <c r="Q345" s="97">
        <f t="shared" si="12"/>
        <v>783922.55915253412</v>
      </c>
      <c r="R345" s="104"/>
      <c r="S345" s="105">
        <f>S343+Q345</f>
        <v>-8.1135903019458055E-4</v>
      </c>
    </row>
    <row r="346" spans="6:24">
      <c r="K346" s="110" t="s">
        <v>182</v>
      </c>
      <c r="L346" s="111">
        <f>M345</f>
        <v>542062133.32108283</v>
      </c>
      <c r="M346" s="112">
        <v>543887924</v>
      </c>
      <c r="N346" s="111">
        <f t="shared" si="10"/>
        <v>1825790.6789171696</v>
      </c>
      <c r="O346" s="113">
        <f t="shared" si="11"/>
        <v>3741856.563625243</v>
      </c>
      <c r="P346" s="113">
        <v>0</v>
      </c>
      <c r="Q346" s="111">
        <f t="shared" si="12"/>
        <v>3741856.563625243</v>
      </c>
      <c r="R346" s="113">
        <v>2112500</v>
      </c>
      <c r="S346" s="114">
        <f>Q346-R346</f>
        <v>1629356.563625243</v>
      </c>
      <c r="T346" s="5">
        <f>S346/$W$337</f>
        <v>795023.53352167422</v>
      </c>
      <c r="U346" t="s">
        <v>189</v>
      </c>
    </row>
    <row r="347" spans="6:24">
      <c r="K347" s="61" t="s">
        <v>182</v>
      </c>
      <c r="L347" s="104">
        <f>M345-2</f>
        <v>542062131.32108283</v>
      </c>
      <c r="M347" s="104">
        <f>M346-T346</f>
        <v>543092900.46647835</v>
      </c>
      <c r="N347" s="104">
        <f t="shared" si="10"/>
        <v>1030769.1453955173</v>
      </c>
      <c r="O347" s="46">
        <f t="shared" si="11"/>
        <v>2112504.0985355903</v>
      </c>
      <c r="P347" s="3">
        <v>0</v>
      </c>
      <c r="Q347" s="97">
        <f t="shared" si="12"/>
        <v>2112504.0985355903</v>
      </c>
      <c r="R347" s="46">
        <v>2112500</v>
      </c>
      <c r="S347" s="105">
        <f>Q347-R347</f>
        <v>4.098535590339452</v>
      </c>
    </row>
    <row r="348" spans="6:24">
      <c r="K348" s="110" t="s">
        <v>184</v>
      </c>
      <c r="L348" s="111">
        <f>M347</f>
        <v>543092900.46647835</v>
      </c>
      <c r="M348" s="112">
        <v>543887924</v>
      </c>
      <c r="N348" s="111">
        <f t="shared" si="10"/>
        <v>795023.53352165222</v>
      </c>
      <c r="O348" s="113">
        <f t="shared" si="11"/>
        <v>1629356.5639785414</v>
      </c>
      <c r="P348" s="113"/>
      <c r="Q348" s="111">
        <f t="shared" si="12"/>
        <v>1629356.5639785414</v>
      </c>
      <c r="R348" s="113">
        <v>1225000</v>
      </c>
      <c r="S348" s="114">
        <f>Q348-R348</f>
        <v>404356.56397854141</v>
      </c>
      <c r="T348" s="5">
        <f>S348/$W$337</f>
        <v>197300.57341263621</v>
      </c>
      <c r="U348" t="s">
        <v>189</v>
      </c>
      <c r="X348" t="s">
        <v>190</v>
      </c>
    </row>
    <row r="349" spans="6:24">
      <c r="K349" s="61" t="s">
        <v>184</v>
      </c>
      <c r="L349" s="104">
        <f>L348-2</f>
        <v>543092898.46647835</v>
      </c>
      <c r="M349" s="104">
        <f>M348-T348</f>
        <v>543690623.42658734</v>
      </c>
      <c r="N349" s="104">
        <f t="shared" si="10"/>
        <v>597724.96010899544</v>
      </c>
      <c r="O349" s="46">
        <f t="shared" si="11"/>
        <v>1225004.0988011577</v>
      </c>
      <c r="P349" s="3">
        <v>0</v>
      </c>
      <c r="Q349" s="97">
        <f t="shared" si="12"/>
        <v>1225004.0988011577</v>
      </c>
      <c r="R349" s="46">
        <f>R348</f>
        <v>1225000</v>
      </c>
      <c r="S349" s="105">
        <f>Q349-R349</f>
        <v>4.0988011576700956</v>
      </c>
      <c r="X349" t="s">
        <v>191</v>
      </c>
    </row>
    <row r="350" spans="6:24">
      <c r="K350" s="61"/>
      <c r="L350" s="104"/>
      <c r="M350" s="67"/>
      <c r="N350" s="104"/>
      <c r="O350" s="46"/>
      <c r="Q350" s="97">
        <f>SUM(Q335:Q348)</f>
        <v>23446876.931403015</v>
      </c>
      <c r="R350" s="46" t="s">
        <v>192</v>
      </c>
      <c r="S350" s="105"/>
      <c r="X350" t="s">
        <v>193</v>
      </c>
    </row>
    <row r="351" spans="6:24">
      <c r="K351" s="84"/>
      <c r="L351" s="90"/>
      <c r="M351" s="86"/>
      <c r="N351" s="115"/>
      <c r="O351" s="86"/>
      <c r="Q351" s="5"/>
      <c r="R351" s="86"/>
      <c r="S351" s="87"/>
    </row>
    <row r="352" spans="6:24">
      <c r="I352" s="116">
        <v>546985916</v>
      </c>
      <c r="N352" s="3">
        <f>P352*1000000/8</f>
        <v>3.3827750000000001</v>
      </c>
      <c r="O352" s="3" t="s">
        <v>194</v>
      </c>
      <c r="P352" s="3">
        <v>2.70622E-5</v>
      </c>
      <c r="Q352" t="s">
        <v>195</v>
      </c>
      <c r="X352" t="s">
        <v>196</v>
      </c>
    </row>
    <row r="353" spans="7:24">
      <c r="G353">
        <v>23135</v>
      </c>
      <c r="H353" s="3" t="s">
        <v>197</v>
      </c>
      <c r="I353" s="117">
        <v>546986022</v>
      </c>
      <c r="K353" t="s">
        <v>170</v>
      </c>
      <c r="P353" s="3">
        <v>1.579</v>
      </c>
      <c r="Q353" s="93" t="s">
        <v>198</v>
      </c>
      <c r="S353" s="3" t="s">
        <v>171</v>
      </c>
      <c r="X353" t="s">
        <v>199</v>
      </c>
    </row>
    <row r="354" spans="7:24">
      <c r="G354">
        <v>23135</v>
      </c>
      <c r="H354" s="92" t="s">
        <v>200</v>
      </c>
      <c r="I354" s="92">
        <v>547017116</v>
      </c>
      <c r="J354" s="3" t="s">
        <v>201</v>
      </c>
      <c r="K354" s="54" t="s">
        <v>202</v>
      </c>
      <c r="L354" s="55"/>
      <c r="M354" s="55"/>
      <c r="N354" s="56"/>
      <c r="P354" s="95">
        <f>P353*1000000/8</f>
        <v>197375</v>
      </c>
      <c r="Q354" s="93" t="s">
        <v>203</v>
      </c>
      <c r="S354" s="3" t="s">
        <v>174</v>
      </c>
    </row>
    <row r="355" spans="7:24">
      <c r="I355" s="3" t="s">
        <v>204</v>
      </c>
      <c r="J355" s="3" t="s">
        <v>205</v>
      </c>
      <c r="K355" s="73" t="s">
        <v>64</v>
      </c>
      <c r="L355" s="72" t="s">
        <v>65</v>
      </c>
      <c r="M355" s="73" t="s">
        <v>66</v>
      </c>
      <c r="N355" s="73" t="s">
        <v>67</v>
      </c>
      <c r="O355" s="74" t="s">
        <v>68</v>
      </c>
      <c r="P355" s="3" t="s">
        <v>176</v>
      </c>
      <c r="Q355" s="74" t="s">
        <v>177</v>
      </c>
      <c r="R355" s="73" t="s">
        <v>69</v>
      </c>
      <c r="S355" s="73" t="s">
        <v>70</v>
      </c>
      <c r="X355" t="s">
        <v>206</v>
      </c>
    </row>
    <row r="356" spans="7:24">
      <c r="G356">
        <v>23149</v>
      </c>
      <c r="H356" t="s">
        <v>207</v>
      </c>
      <c r="I356" s="118">
        <v>547741365</v>
      </c>
      <c r="J356" s="119" t="s">
        <v>208</v>
      </c>
      <c r="K356" s="61" t="s">
        <v>209</v>
      </c>
      <c r="L356" s="104">
        <v>543690624</v>
      </c>
      <c r="M356" s="120">
        <v>543887932</v>
      </c>
      <c r="N356" s="46">
        <f t="shared" ref="N356:N363" si="13">M356-L356</f>
        <v>197308</v>
      </c>
      <c r="O356" s="46">
        <f>N356*$P$297</f>
        <v>404371.78444444441</v>
      </c>
      <c r="P356" s="3">
        <v>0</v>
      </c>
      <c r="Q356" s="97">
        <f>O356+P356*$P$333</f>
        <v>404371.78444444441</v>
      </c>
      <c r="R356" s="46">
        <v>404288</v>
      </c>
      <c r="S356" s="77">
        <f t="shared" ref="S356:S363" si="14">Q356-R356</f>
        <v>83.784444444405381</v>
      </c>
      <c r="T356" s="5">
        <f>S356/$W$337</f>
        <v>40.881539721505803</v>
      </c>
      <c r="U356" t="s">
        <v>179</v>
      </c>
      <c r="X356" t="s">
        <v>210</v>
      </c>
    </row>
    <row r="357" spans="7:24">
      <c r="J357" s="119" t="s">
        <v>208</v>
      </c>
      <c r="K357" s="61" t="s">
        <v>211</v>
      </c>
      <c r="L357" s="92">
        <v>544176294</v>
      </c>
      <c r="M357" s="104">
        <v>546436556</v>
      </c>
      <c r="N357" s="46">
        <f t="shared" si="13"/>
        <v>2260262</v>
      </c>
      <c r="O357" s="46">
        <f>N357*$P$297</f>
        <v>4632281.3988888878</v>
      </c>
      <c r="P357" s="3">
        <v>1</v>
      </c>
      <c r="Q357" s="97">
        <f>O357+P357*$P$333</f>
        <v>4829656.3988888878</v>
      </c>
      <c r="R357" s="46">
        <v>4829738</v>
      </c>
      <c r="S357" s="105">
        <f t="shared" si="14"/>
        <v>-81.601111112162471</v>
      </c>
    </row>
    <row r="358" spans="7:24">
      <c r="J358" s="119" t="s">
        <v>208</v>
      </c>
      <c r="K358" s="61" t="s">
        <v>212</v>
      </c>
      <c r="L358" s="46">
        <v>546436557</v>
      </c>
      <c r="M358" s="121">
        <v>546986031</v>
      </c>
      <c r="N358" s="46">
        <f t="shared" si="13"/>
        <v>549474</v>
      </c>
      <c r="O358" s="46">
        <f>N358*$P$297</f>
        <v>1126116.4366666665</v>
      </c>
      <c r="P358" s="3">
        <v>0</v>
      </c>
      <c r="Q358" s="97">
        <f>O358+P358*$P$333</f>
        <v>1126116.4366666665</v>
      </c>
      <c r="R358" s="46">
        <v>1126045</v>
      </c>
      <c r="S358" s="105">
        <f t="shared" si="14"/>
        <v>71.436666666530073</v>
      </c>
      <c r="U358" t="s">
        <v>213</v>
      </c>
      <c r="V358" s="98" t="s">
        <v>60</v>
      </c>
      <c r="W358" s="99">
        <v>2.0494444440000001</v>
      </c>
    </row>
    <row r="359" spans="7:24">
      <c r="J359" s="17" t="s">
        <v>214</v>
      </c>
      <c r="K359" s="61" t="s">
        <v>212</v>
      </c>
      <c r="L359" s="92">
        <v>547017116</v>
      </c>
      <c r="M359" s="46">
        <v>547721456</v>
      </c>
      <c r="N359" s="46">
        <f t="shared" si="13"/>
        <v>704340</v>
      </c>
      <c r="O359" s="46">
        <f>N359*$P$297</f>
        <v>1443505.6999999997</v>
      </c>
      <c r="P359" s="3">
        <v>1</v>
      </c>
      <c r="Q359" s="97">
        <f>O359+P359*$P$333</f>
        <v>1640880.6999999997</v>
      </c>
      <c r="R359" s="46">
        <v>1640913</v>
      </c>
      <c r="S359" s="105">
        <f t="shared" si="14"/>
        <v>-32.300000000279397</v>
      </c>
      <c r="V359" s="100" t="s">
        <v>59</v>
      </c>
      <c r="W359" s="101">
        <v>16.395555559999998</v>
      </c>
    </row>
    <row r="360" spans="7:24">
      <c r="J360" s="17" t="s">
        <v>215</v>
      </c>
      <c r="K360" s="122" t="s">
        <v>212</v>
      </c>
      <c r="L360" s="123">
        <v>547721457</v>
      </c>
      <c r="M360" s="123">
        <v>548090976</v>
      </c>
      <c r="N360" s="123">
        <f t="shared" si="13"/>
        <v>369519</v>
      </c>
      <c r="O360" s="123">
        <f>N360*$W$362</f>
        <v>1249999.6352250001</v>
      </c>
      <c r="P360" s="3">
        <v>0</v>
      </c>
      <c r="Q360" s="97">
        <f>O360+P360*$P$352</f>
        <v>1249999.6352250001</v>
      </c>
      <c r="R360" s="46">
        <v>1250000</v>
      </c>
      <c r="S360" s="105">
        <f t="shared" si="14"/>
        <v>-0.36477499990724027</v>
      </c>
      <c r="V360" s="102" t="s">
        <v>62</v>
      </c>
      <c r="W360" s="103">
        <v>1.6395599999999999E-5</v>
      </c>
    </row>
    <row r="361" spans="7:24">
      <c r="I361" s="3" t="s">
        <v>216</v>
      </c>
      <c r="J361" s="46">
        <v>549753813</v>
      </c>
      <c r="K361" s="122" t="s">
        <v>217</v>
      </c>
      <c r="L361" s="123">
        <v>548090977</v>
      </c>
      <c r="M361" s="123">
        <v>549485157</v>
      </c>
      <c r="N361" s="123">
        <f t="shared" si="13"/>
        <v>1394180</v>
      </c>
      <c r="O361" s="123">
        <f>N361*$W$362</f>
        <v>4716197.2494999999</v>
      </c>
      <c r="P361" s="3">
        <v>0</v>
      </c>
      <c r="Q361" s="97">
        <f>O361+P361*$P$352</f>
        <v>4716197.2494999999</v>
      </c>
      <c r="R361" s="46">
        <v>4716194</v>
      </c>
      <c r="S361" s="105">
        <f t="shared" si="14"/>
        <v>3.2494999999180436</v>
      </c>
    </row>
    <row r="362" spans="7:24">
      <c r="K362" s="122" t="s">
        <v>218</v>
      </c>
      <c r="L362" s="123">
        <v>549485157</v>
      </c>
      <c r="M362" s="123">
        <v>550704570</v>
      </c>
      <c r="N362" s="124">
        <f t="shared" si="13"/>
        <v>1219413</v>
      </c>
      <c r="O362" s="123">
        <f>N362*$W$362</f>
        <v>4124999.8110750001</v>
      </c>
      <c r="P362" s="3">
        <v>0</v>
      </c>
      <c r="Q362" s="97">
        <f>O362+P362*$P$352</f>
        <v>4124999.8110750001</v>
      </c>
      <c r="R362" s="46">
        <v>4125000</v>
      </c>
      <c r="S362" s="105">
        <f t="shared" si="14"/>
        <v>-0.1889249999076128</v>
      </c>
      <c r="U362" t="s">
        <v>219</v>
      </c>
      <c r="V362" s="98" t="s">
        <v>60</v>
      </c>
      <c r="W362" s="99">
        <f>W363/8</f>
        <v>3.3827750000000001</v>
      </c>
      <c r="X362">
        <f>5.5*3600*W362</f>
        <v>66978.945000000007</v>
      </c>
    </row>
    <row r="363" spans="7:24">
      <c r="K363" s="122" t="s">
        <v>220</v>
      </c>
      <c r="L363" s="123">
        <v>550704571</v>
      </c>
      <c r="M363" s="123">
        <v>551923984</v>
      </c>
      <c r="N363" s="124">
        <f t="shared" si="13"/>
        <v>1219413</v>
      </c>
      <c r="O363" s="123">
        <f>N363*$W$362</f>
        <v>4124999.8110750001</v>
      </c>
      <c r="P363" s="3">
        <v>0</v>
      </c>
      <c r="Q363" s="97">
        <f>O363+P363*$P$352</f>
        <v>4124999.8110750001</v>
      </c>
      <c r="R363" s="46">
        <v>4125000</v>
      </c>
      <c r="S363" s="105">
        <f t="shared" si="14"/>
        <v>-0.1889249999076128</v>
      </c>
      <c r="V363" s="100" t="s">
        <v>59</v>
      </c>
      <c r="W363" s="101">
        <f>W364*1000000</f>
        <v>27.062200000000001</v>
      </c>
    </row>
    <row r="364" spans="7:24">
      <c r="K364" s="61"/>
      <c r="L364" s="62"/>
      <c r="M364" s="62" t="s">
        <v>221</v>
      </c>
      <c r="N364" s="104"/>
      <c r="O364" s="46"/>
      <c r="Q364" s="97" t="s">
        <v>222</v>
      </c>
      <c r="R364" s="46" t="s">
        <v>223</v>
      </c>
      <c r="S364" s="105"/>
      <c r="V364" s="102" t="s">
        <v>62</v>
      </c>
      <c r="W364" s="103">
        <v>2.70622E-5</v>
      </c>
    </row>
    <row r="365" spans="7:24">
      <c r="J365" s="125" t="s">
        <v>224</v>
      </c>
      <c r="K365" s="61" t="s">
        <v>212</v>
      </c>
      <c r="L365" s="46">
        <v>547721457</v>
      </c>
      <c r="M365" s="46">
        <v>547741365</v>
      </c>
      <c r="N365" s="46">
        <f>M365-L365</f>
        <v>19908</v>
      </c>
      <c r="O365" s="46">
        <f>N365*$P$297</f>
        <v>40800.339999999997</v>
      </c>
      <c r="P365" s="3">
        <v>0</v>
      </c>
      <c r="Q365" s="97">
        <f>O365+P365*$P$352</f>
        <v>40800.339999999997</v>
      </c>
      <c r="R365" s="46">
        <v>1250000</v>
      </c>
      <c r="S365" s="105">
        <f>Q365-R365</f>
        <v>-1209199.6599999999</v>
      </c>
    </row>
    <row r="366" spans="7:24">
      <c r="J366" s="125" t="s">
        <v>224</v>
      </c>
      <c r="K366" s="61" t="s">
        <v>212</v>
      </c>
      <c r="L366" s="46">
        <v>547741365</v>
      </c>
      <c r="M366" s="46">
        <f>-(S365/$W$362)+L366</f>
        <v>548098822.9036442</v>
      </c>
      <c r="N366" s="104">
        <f>M366-L366</f>
        <v>357457.90364420414</v>
      </c>
      <c r="O366" s="104">
        <f>N366*$W$362</f>
        <v>1209199.6600000227</v>
      </c>
      <c r="P366" s="3">
        <v>0</v>
      </c>
      <c r="Q366" s="97">
        <f>O366+P366*$P$352</f>
        <v>1209199.6600000227</v>
      </c>
      <c r="R366" s="46"/>
      <c r="S366" s="105"/>
    </row>
    <row r="367" spans="7:24">
      <c r="J367" s="125" t="s">
        <v>224</v>
      </c>
      <c r="K367" s="61" t="s">
        <v>217</v>
      </c>
      <c r="L367" s="46">
        <f>548098823</f>
        <v>548098823</v>
      </c>
      <c r="M367" s="46">
        <f>549485157+U367</f>
        <v>549493002.03846693</v>
      </c>
      <c r="N367" s="104">
        <f>M367-L367</f>
        <v>1394179.0384669304</v>
      </c>
      <c r="O367" s="104">
        <f>N367*$W$362</f>
        <v>4716193.9968499709</v>
      </c>
      <c r="P367" s="3">
        <v>0</v>
      </c>
      <c r="Q367" s="97">
        <f>O367+P367*$P$352</f>
        <v>4716193.9968499709</v>
      </c>
      <c r="R367" s="46">
        <v>4716194</v>
      </c>
      <c r="S367" s="105">
        <f>Q367-R367</f>
        <v>-3.1500291079282761E-3</v>
      </c>
      <c r="U367">
        <f>26538/$W$362</f>
        <v>7845.0384669391251</v>
      </c>
    </row>
    <row r="368" spans="7:24">
      <c r="J368" s="125"/>
      <c r="K368" s="61"/>
      <c r="L368" s="46"/>
      <c r="M368" s="46"/>
      <c r="N368" s="104"/>
      <c r="O368" s="104"/>
      <c r="Q368" s="97"/>
      <c r="R368" s="46"/>
      <c r="S368" s="105"/>
    </row>
    <row r="369" spans="4:21">
      <c r="J369" s="125" t="s">
        <v>224</v>
      </c>
      <c r="K369" s="61" t="s">
        <v>218</v>
      </c>
      <c r="L369" s="46">
        <v>549493002</v>
      </c>
      <c r="M369" s="46">
        <f>550704570+U369</f>
        <v>550712415.03846693</v>
      </c>
      <c r="N369" s="104">
        <f>M369-L369</f>
        <v>1219413.0384669304</v>
      </c>
      <c r="O369" s="104">
        <f>N369*$W$362</f>
        <v>4124999.9411999704</v>
      </c>
      <c r="P369" s="3">
        <v>0</v>
      </c>
      <c r="Q369" s="97">
        <f>O369+P369*$P$352</f>
        <v>4124999.9411999704</v>
      </c>
      <c r="R369" s="46">
        <v>4125000</v>
      </c>
      <c r="S369" s="105">
        <f>Q369-R369</f>
        <v>-5.8800029568374157E-2</v>
      </c>
      <c r="U369">
        <f>26538/$W$362</f>
        <v>7845.0384669391251</v>
      </c>
    </row>
    <row r="370" spans="4:21">
      <c r="J370" s="125" t="s">
        <v>224</v>
      </c>
      <c r="K370" s="61" t="s">
        <v>220</v>
      </c>
      <c r="L370" s="46">
        <v>550712415</v>
      </c>
      <c r="M370" s="46">
        <f>551923984+U370</f>
        <v>551931828.1516211</v>
      </c>
      <c r="N370" s="104">
        <f>M370-L370</f>
        <v>1219413.1516211033</v>
      </c>
      <c r="O370" s="104">
        <f>N370*$W$362</f>
        <v>4125000.3239750778</v>
      </c>
      <c r="P370" s="3">
        <v>0</v>
      </c>
      <c r="Q370" s="97">
        <f>O370+P370*$P$352</f>
        <v>4125000.3239750778</v>
      </c>
      <c r="R370" s="46">
        <v>4125000</v>
      </c>
      <c r="S370" s="105">
        <f>Q370-R370</f>
        <v>0.32397507783025503</v>
      </c>
      <c r="U370">
        <f>26535/$W$362</f>
        <v>7844.1516210803256</v>
      </c>
    </row>
    <row r="371" spans="4:21">
      <c r="K371" s="61"/>
      <c r="L371" s="104"/>
      <c r="M371" s="67"/>
      <c r="N371" s="104"/>
      <c r="O371" s="46"/>
      <c r="Q371" s="97"/>
      <c r="R371" s="46"/>
      <c r="S371" s="105"/>
    </row>
    <row r="372" spans="4:21">
      <c r="K372" s="84"/>
      <c r="L372" s="90"/>
      <c r="M372" s="86"/>
      <c r="N372" s="115"/>
      <c r="O372" s="86"/>
      <c r="Q372" s="5"/>
      <c r="R372" s="86"/>
      <c r="S372" s="87"/>
    </row>
    <row r="374" spans="4:21">
      <c r="I374" s="3" t="s">
        <v>225</v>
      </c>
      <c r="J374" s="3" t="s">
        <v>226</v>
      </c>
      <c r="K374" s="122" t="s">
        <v>212</v>
      </c>
      <c r="L374" s="92">
        <v>547017116</v>
      </c>
      <c r="M374" s="123">
        <v>547721456</v>
      </c>
      <c r="N374" s="123">
        <f>M374-L374</f>
        <v>704340</v>
      </c>
      <c r="O374" s="123">
        <f>N374*$P$297</f>
        <v>1443505.6999999997</v>
      </c>
      <c r="P374" s="3">
        <v>1</v>
      </c>
      <c r="Q374" s="97">
        <f>O374+P374*$P$333</f>
        <v>1640880.6999999997</v>
      </c>
      <c r="R374" s="46">
        <v>1640913</v>
      </c>
      <c r="S374" s="105">
        <f>Q374-R374</f>
        <v>-32.300000000279397</v>
      </c>
    </row>
    <row r="375" spans="4:21">
      <c r="K375" s="122" t="s">
        <v>212</v>
      </c>
      <c r="L375" s="123">
        <v>547721457</v>
      </c>
      <c r="M375" s="123">
        <v>548090976</v>
      </c>
      <c r="N375" s="123">
        <f>M375-L375</f>
        <v>369519</v>
      </c>
      <c r="O375" s="123">
        <f>N375*$W$362</f>
        <v>1249999.6352250001</v>
      </c>
      <c r="P375" s="3">
        <v>0</v>
      </c>
      <c r="Q375" s="97">
        <f>O375+P375*$P$352</f>
        <v>1249999.6352250001</v>
      </c>
      <c r="R375" s="46">
        <v>1250000</v>
      </c>
      <c r="S375" s="105">
        <f>Q375-R375</f>
        <v>-0.36477499990724027</v>
      </c>
      <c r="T375" s="5">
        <f>Q375+Q374</f>
        <v>2890880.335225</v>
      </c>
    </row>
    <row r="376" spans="4:21">
      <c r="H376" t="s">
        <v>227</v>
      </c>
      <c r="K376" s="122" t="s">
        <v>217</v>
      </c>
      <c r="L376" s="123">
        <v>548090977</v>
      </c>
      <c r="M376" s="123">
        <v>549485157</v>
      </c>
      <c r="N376" s="123">
        <f>M376-L376</f>
        <v>1394180</v>
      </c>
      <c r="O376" s="123">
        <f>N376*$W$362</f>
        <v>4716197.2494999999</v>
      </c>
      <c r="P376" s="3">
        <v>0</v>
      </c>
      <c r="Q376" s="97">
        <f>O376+P376*$P$352</f>
        <v>4716197.2494999999</v>
      </c>
      <c r="R376" s="46">
        <v>4716194</v>
      </c>
      <c r="S376" s="105">
        <f>Q376-R376</f>
        <v>3.2494999999180436</v>
      </c>
    </row>
    <row r="377" spans="4:21">
      <c r="K377" s="122" t="s">
        <v>218</v>
      </c>
      <c r="L377" s="123">
        <v>549485157</v>
      </c>
      <c r="M377" s="123">
        <v>550704570</v>
      </c>
      <c r="N377" s="124">
        <f>M377-L377</f>
        <v>1219413</v>
      </c>
      <c r="O377" s="123">
        <f>N377*$W$362</f>
        <v>4124999.8110750001</v>
      </c>
      <c r="P377" s="3">
        <v>0</v>
      </c>
      <c r="Q377" s="97">
        <f>O377+P377*$P$352</f>
        <v>4124999.8110750001</v>
      </c>
      <c r="R377" s="46">
        <v>4125000</v>
      </c>
      <c r="S377" s="105">
        <f>Q377-R377</f>
        <v>-0.1889249999076128</v>
      </c>
    </row>
    <row r="378" spans="4:21">
      <c r="K378" s="122" t="s">
        <v>220</v>
      </c>
      <c r="L378" s="123">
        <v>550704571</v>
      </c>
      <c r="M378" s="123">
        <v>551923984</v>
      </c>
      <c r="N378" s="124">
        <f>M378-L378</f>
        <v>1219413</v>
      </c>
      <c r="O378" s="123">
        <f>N378*$W$362</f>
        <v>4124999.8110750001</v>
      </c>
      <c r="P378" s="3">
        <v>0</v>
      </c>
      <c r="Q378" s="97">
        <f>O378+P378*$P$352</f>
        <v>4124999.8110750001</v>
      </c>
      <c r="R378" s="46">
        <v>4125000</v>
      </c>
      <c r="S378" s="105">
        <f>Q378-R378</f>
        <v>-0.1889249999076128</v>
      </c>
    </row>
    <row r="379" spans="4:21">
      <c r="K379" s="61"/>
      <c r="L379" s="62"/>
      <c r="M379" s="62" t="s">
        <v>221</v>
      </c>
      <c r="N379" s="104"/>
      <c r="O379" s="46"/>
      <c r="Q379" s="97" t="s">
        <v>222</v>
      </c>
      <c r="R379" s="46" t="s">
        <v>223</v>
      </c>
      <c r="S379" s="105"/>
    </row>
    <row r="380" spans="4:21">
      <c r="F380">
        <v>23149</v>
      </c>
      <c r="G380" t="s">
        <v>207</v>
      </c>
      <c r="H380" s="118">
        <v>547741365</v>
      </c>
      <c r="I380" s="3" t="s">
        <v>226</v>
      </c>
      <c r="J380" s="119" t="s">
        <v>228</v>
      </c>
      <c r="K380" s="61" t="s">
        <v>212</v>
      </c>
      <c r="L380" s="46">
        <f>L374</f>
        <v>547017116</v>
      </c>
      <c r="M380" s="118">
        <f>M365</f>
        <v>547741365</v>
      </c>
      <c r="N380" s="46">
        <f t="shared" ref="N380:N386" si="15">M380-L380</f>
        <v>724249</v>
      </c>
      <c r="O380" s="46">
        <f>N380*$P$297</f>
        <v>1484308.0894444443</v>
      </c>
      <c r="P380" s="3">
        <v>1</v>
      </c>
      <c r="Q380" s="97">
        <f>O380+P380*$P$333</f>
        <v>1681683.0894444443</v>
      </c>
      <c r="R380" s="46">
        <v>1640913</v>
      </c>
      <c r="S380" s="105">
        <f>Q380-R380</f>
        <v>40770.089444444282</v>
      </c>
    </row>
    <row r="381" spans="4:21">
      <c r="J381" s="119" t="s">
        <v>228</v>
      </c>
      <c r="K381" s="61" t="s">
        <v>212</v>
      </c>
      <c r="L381" s="46">
        <f>M380</f>
        <v>547741365</v>
      </c>
      <c r="M381" s="46">
        <v>548098823</v>
      </c>
      <c r="N381" s="104">
        <f t="shared" si="15"/>
        <v>357458</v>
      </c>
      <c r="O381" s="104">
        <f t="shared" ref="O381:O386" si="16">N381*$W$362</f>
        <v>1209199.9859500001</v>
      </c>
      <c r="P381" s="3">
        <v>0</v>
      </c>
      <c r="Q381" s="97">
        <f t="shared" ref="Q381:Q386" si="17">O381+P381*$P$352</f>
        <v>1209199.9859500001</v>
      </c>
      <c r="R381" s="46">
        <v>1250000</v>
      </c>
      <c r="S381" s="105">
        <f>Q381-R381</f>
        <v>-40800.014049999882</v>
      </c>
      <c r="T381" s="5">
        <f>Q381+Q380</f>
        <v>2890883.0753944442</v>
      </c>
    </row>
    <row r="382" spans="4:21">
      <c r="J382" s="119" t="s">
        <v>228</v>
      </c>
      <c r="K382" s="61" t="s">
        <v>217</v>
      </c>
      <c r="L382" s="46">
        <f>548098823</f>
        <v>548098823</v>
      </c>
      <c r="M382" s="46">
        <f>549485157+U382</f>
        <v>549493002.03846693</v>
      </c>
      <c r="N382" s="104">
        <f t="shared" si="15"/>
        <v>1394179.0384669304</v>
      </c>
      <c r="O382" s="104">
        <f t="shared" si="16"/>
        <v>4716193.9968499709</v>
      </c>
      <c r="P382" s="3">
        <v>0</v>
      </c>
      <c r="Q382" s="97">
        <f t="shared" si="17"/>
        <v>4716193.9968499709</v>
      </c>
      <c r="R382" s="46">
        <v>4716194</v>
      </c>
      <c r="S382" s="105">
        <f>Q382-R382</f>
        <v>-3.1500291079282761E-3</v>
      </c>
      <c r="U382">
        <f>26538/$W$362</f>
        <v>7845.0384669391251</v>
      </c>
    </row>
    <row r="383" spans="4:21">
      <c r="D383" s="17" t="s">
        <v>229</v>
      </c>
      <c r="E383" s="3" t="s">
        <v>230</v>
      </c>
      <c r="F383" s="126">
        <v>549485397</v>
      </c>
      <c r="G383" s="3" t="s">
        <v>231</v>
      </c>
      <c r="H383" s="127">
        <v>551396399</v>
      </c>
      <c r="J383" s="119" t="s">
        <v>232</v>
      </c>
      <c r="K383" s="61" t="s">
        <v>218</v>
      </c>
      <c r="L383" s="46">
        <v>549493002</v>
      </c>
      <c r="M383" s="46">
        <f>550704570+U383</f>
        <v>550712415.03846693</v>
      </c>
      <c r="N383" s="104">
        <f t="shared" si="15"/>
        <v>1219413.0384669304</v>
      </c>
      <c r="O383" s="104">
        <f t="shared" si="16"/>
        <v>4124999.9411999704</v>
      </c>
      <c r="P383" s="3">
        <v>0</v>
      </c>
      <c r="Q383" s="97">
        <f t="shared" si="17"/>
        <v>4124999.9411999704</v>
      </c>
      <c r="R383" s="46">
        <v>4125000</v>
      </c>
      <c r="S383" s="105">
        <f>Q383-R383</f>
        <v>-5.8800029568374157E-2</v>
      </c>
      <c r="U383">
        <f>26538/$W$362</f>
        <v>7845.0384669391251</v>
      </c>
    </row>
    <row r="384" spans="4:21">
      <c r="D384" s="17" t="s">
        <v>233</v>
      </c>
      <c r="E384" s="3" t="s">
        <v>234</v>
      </c>
      <c r="F384" s="126">
        <v>551396637</v>
      </c>
      <c r="G384" s="3" t="s">
        <v>235</v>
      </c>
      <c r="H384" s="127">
        <v>553156979</v>
      </c>
      <c r="J384" s="119" t="s">
        <v>232</v>
      </c>
      <c r="K384" s="61" t="s">
        <v>220</v>
      </c>
      <c r="L384" s="46">
        <v>550712415</v>
      </c>
      <c r="M384" s="46">
        <f>551923984+U384</f>
        <v>551931828.1516211</v>
      </c>
      <c r="N384" s="104">
        <f t="shared" si="15"/>
        <v>1219413.1516211033</v>
      </c>
      <c r="O384" s="104">
        <f t="shared" si="16"/>
        <v>4125000.3239750778</v>
      </c>
      <c r="P384" s="3">
        <v>0</v>
      </c>
      <c r="Q384" s="97">
        <f t="shared" si="17"/>
        <v>4125000.3239750778</v>
      </c>
      <c r="R384" s="46">
        <v>4125000</v>
      </c>
      <c r="S384" s="105">
        <f>Q384-R384</f>
        <v>0.32397507783025503</v>
      </c>
      <c r="U384">
        <f>26535/$W$362</f>
        <v>7844.1516210803256</v>
      </c>
    </row>
    <row r="385" spans="4:25">
      <c r="D385" s="17" t="s">
        <v>236</v>
      </c>
      <c r="E385" s="128" t="s">
        <v>237</v>
      </c>
      <c r="F385" s="126">
        <v>553157217</v>
      </c>
      <c r="G385" s="126" t="s">
        <v>238</v>
      </c>
      <c r="H385" s="126">
        <v>554709959</v>
      </c>
      <c r="J385" s="3">
        <v>23212</v>
      </c>
      <c r="K385" s="61" t="s">
        <v>239</v>
      </c>
      <c r="L385" s="46">
        <v>551931829</v>
      </c>
      <c r="M385" s="46">
        <v>552781723</v>
      </c>
      <c r="N385" s="104">
        <f t="shared" si="15"/>
        <v>849894</v>
      </c>
      <c r="O385" s="104">
        <f t="shared" si="16"/>
        <v>2875000.1758500002</v>
      </c>
      <c r="P385" s="3">
        <v>0</v>
      </c>
      <c r="Q385" s="97">
        <f t="shared" si="17"/>
        <v>2875000.1758500002</v>
      </c>
      <c r="R385" s="46">
        <v>2875000</v>
      </c>
      <c r="S385" s="105"/>
    </row>
    <row r="386" spans="4:25">
      <c r="D386" s="3" t="s">
        <v>240</v>
      </c>
      <c r="E386" s="129" t="s">
        <v>241</v>
      </c>
      <c r="F386" s="129">
        <v>553448322</v>
      </c>
      <c r="G386" t="s">
        <v>242</v>
      </c>
      <c r="J386" s="3">
        <v>23212</v>
      </c>
      <c r="K386" s="61" t="s">
        <v>243</v>
      </c>
      <c r="L386" s="104">
        <v>552781724</v>
      </c>
      <c r="M386" s="88">
        <v>553021911</v>
      </c>
      <c r="N386" s="104">
        <f t="shared" si="15"/>
        <v>240187</v>
      </c>
      <c r="O386" s="104">
        <f t="shared" si="16"/>
        <v>812498.57892500004</v>
      </c>
      <c r="P386" s="3">
        <v>0</v>
      </c>
      <c r="Q386" s="97">
        <f t="shared" si="17"/>
        <v>812498.57892500004</v>
      </c>
      <c r="R386" s="46">
        <v>812500</v>
      </c>
      <c r="S386" s="105"/>
    </row>
    <row r="387" spans="4:25">
      <c r="D387" s="3" t="s">
        <v>244</v>
      </c>
      <c r="E387" s="129" t="s">
        <v>245</v>
      </c>
      <c r="F387" s="129">
        <v>553848416</v>
      </c>
      <c r="G387" t="s">
        <v>246</v>
      </c>
      <c r="M387" t="s">
        <v>247</v>
      </c>
      <c r="Q387" s="130">
        <f>SUM(Q356:Q358)+SUM(Q380:Q384)</f>
        <v>22217221.957419463</v>
      </c>
      <c r="R387" s="131" t="s">
        <v>248</v>
      </c>
      <c r="S387" s="132">
        <f>Q385+Q386</f>
        <v>3687498.7547750003</v>
      </c>
      <c r="T387" s="133" t="s">
        <v>249</v>
      </c>
    </row>
    <row r="388" spans="4:25">
      <c r="D388" s="17" t="s">
        <v>250</v>
      </c>
      <c r="E388" s="126" t="s">
        <v>251</v>
      </c>
      <c r="F388" s="126">
        <v>554710197</v>
      </c>
      <c r="G388" s="126" t="s">
        <v>252</v>
      </c>
      <c r="H388" s="126">
        <v>555916739</v>
      </c>
      <c r="O388" s="3" t="s">
        <v>253</v>
      </c>
      <c r="P388" s="3">
        <f>P389*3600*24</f>
        <v>2.3381740799999999</v>
      </c>
      <c r="Q388">
        <f>P388/8</f>
        <v>0.29227175999999999</v>
      </c>
      <c r="R388" s="3" t="s">
        <v>254</v>
      </c>
    </row>
    <row r="389" spans="4:25">
      <c r="D389" s="3" t="s">
        <v>240</v>
      </c>
      <c r="E389" s="129" t="s">
        <v>255</v>
      </c>
      <c r="F389" s="129">
        <v>554758722</v>
      </c>
      <c r="G389" t="s">
        <v>242</v>
      </c>
      <c r="M389" t="s">
        <v>256</v>
      </c>
      <c r="P389" s="3">
        <v>2.70622E-5</v>
      </c>
      <c r="Q389" t="s">
        <v>195</v>
      </c>
      <c r="R389" s="134" t="s">
        <v>60</v>
      </c>
      <c r="S389" s="135">
        <f>S390/8</f>
        <v>3.3827750000000001</v>
      </c>
      <c r="U389" s="136" t="s">
        <v>257</v>
      </c>
    </row>
    <row r="390" spans="4:25">
      <c r="D390" s="3" t="s">
        <v>244</v>
      </c>
      <c r="E390" s="129" t="s">
        <v>258</v>
      </c>
      <c r="F390" s="129">
        <v>555001616</v>
      </c>
      <c r="G390" t="s">
        <v>246</v>
      </c>
      <c r="M390" s="5" t="s">
        <v>259</v>
      </c>
      <c r="P390" s="3">
        <v>1.579</v>
      </c>
      <c r="Q390" s="93" t="s">
        <v>198</v>
      </c>
      <c r="R390" s="137" t="s">
        <v>59</v>
      </c>
      <c r="S390" s="138">
        <f>S391*1000000</f>
        <v>27.062200000000001</v>
      </c>
      <c r="U390" s="136" t="s">
        <v>260</v>
      </c>
    </row>
    <row r="391" spans="4:25">
      <c r="D391" s="17" t="s">
        <v>261</v>
      </c>
      <c r="E391" s="3"/>
      <c r="F391" s="3"/>
      <c r="K391" s="54" t="s">
        <v>262</v>
      </c>
      <c r="L391" s="55"/>
      <c r="M391" s="55"/>
      <c r="N391" s="56"/>
      <c r="P391" s="95">
        <f>P390*1000000/8</f>
        <v>197375</v>
      </c>
      <c r="Q391" s="93" t="s">
        <v>203</v>
      </c>
      <c r="R391" s="139" t="s">
        <v>62</v>
      </c>
      <c r="S391" s="140">
        <v>2.70622E-5</v>
      </c>
      <c r="T391" s="5" t="s">
        <v>21</v>
      </c>
      <c r="U391" s="136" t="s">
        <v>263</v>
      </c>
    </row>
    <row r="392" spans="4:25">
      <c r="D392" s="3" t="s">
        <v>240</v>
      </c>
      <c r="E392" s="129" t="s">
        <v>264</v>
      </c>
      <c r="F392" s="129">
        <v>556768422</v>
      </c>
      <c r="G392" t="s">
        <v>242</v>
      </c>
      <c r="K392" s="73" t="s">
        <v>64</v>
      </c>
      <c r="L392" s="72" t="s">
        <v>65</v>
      </c>
      <c r="M392" s="73" t="s">
        <v>66</v>
      </c>
      <c r="N392" s="73" t="s">
        <v>67</v>
      </c>
      <c r="O392" s="74" t="s">
        <v>68</v>
      </c>
      <c r="P392" s="3" t="s">
        <v>176</v>
      </c>
      <c r="Q392" s="74" t="s">
        <v>265</v>
      </c>
      <c r="R392" s="73" t="s">
        <v>266</v>
      </c>
      <c r="S392" s="73" t="s">
        <v>70</v>
      </c>
      <c r="U392" s="136" t="s">
        <v>267</v>
      </c>
    </row>
    <row r="393" spans="4:25">
      <c r="D393" s="3" t="s">
        <v>244</v>
      </c>
      <c r="E393" s="129" t="s">
        <v>268</v>
      </c>
      <c r="F393" s="129">
        <v>556984316</v>
      </c>
      <c r="G393" t="s">
        <v>246</v>
      </c>
      <c r="H393" s="141" t="s">
        <v>269</v>
      </c>
      <c r="I393" s="142">
        <f>L393+1</f>
        <v>553021912</v>
      </c>
      <c r="J393" s="142">
        <f>M393</f>
        <v>553082587.10911155</v>
      </c>
      <c r="K393" s="61" t="s">
        <v>270</v>
      </c>
      <c r="L393" s="143">
        <f>M386</f>
        <v>553021911</v>
      </c>
      <c r="M393" s="104">
        <f>((R393-P393*$P$391)/$S$389)+L393</f>
        <v>553082587.10911155</v>
      </c>
      <c r="N393" s="104">
        <f>M393-L393</f>
        <v>60676.10911154747</v>
      </c>
      <c r="O393" s="104">
        <f>N393*$S$389</f>
        <v>205253.62499981499</v>
      </c>
      <c r="P393" s="3">
        <v>0</v>
      </c>
      <c r="Q393" s="97">
        <f>O393+P393*$P$391</f>
        <v>205253.62499981499</v>
      </c>
      <c r="R393" s="97">
        <f>T393*1000000/8</f>
        <v>205253.625</v>
      </c>
      <c r="S393" s="105">
        <f t="shared" ref="S393:S409" si="18">R393-Q393</f>
        <v>1.8501305021345615E-7</v>
      </c>
      <c r="T393" s="144">
        <v>1.642029</v>
      </c>
      <c r="U393" s="136" t="s">
        <v>271</v>
      </c>
    </row>
    <row r="394" spans="4:25">
      <c r="D394" s="17" t="s">
        <v>272</v>
      </c>
      <c r="E394" s="3"/>
      <c r="F394" s="3"/>
      <c r="H394" s="17" t="s">
        <v>273</v>
      </c>
      <c r="I394" s="145"/>
      <c r="J394" s="146" t="s">
        <v>274</v>
      </c>
      <c r="K394" s="61" t="s">
        <v>275</v>
      </c>
      <c r="L394" s="147">
        <v>550389116</v>
      </c>
      <c r="M394" s="147">
        <v>550792316</v>
      </c>
      <c r="N394" s="104"/>
      <c r="O394" s="104"/>
      <c r="Q394" s="147">
        <f>$X$403</f>
        <v>1625000</v>
      </c>
      <c r="R394" s="97">
        <f>T394*1000000/8</f>
        <v>834800</v>
      </c>
      <c r="S394" s="148">
        <f t="shared" si="18"/>
        <v>-790200</v>
      </c>
      <c r="T394" s="144">
        <v>6.6783999999999999</v>
      </c>
      <c r="W394" t="s">
        <v>276</v>
      </c>
    </row>
    <row r="395" spans="4:25">
      <c r="D395" s="3" t="s">
        <v>240</v>
      </c>
      <c r="E395" s="129" t="s">
        <v>277</v>
      </c>
      <c r="F395" s="129">
        <v>557237322</v>
      </c>
      <c r="G395" t="s">
        <v>242</v>
      </c>
      <c r="H395" s="141" t="s">
        <v>278</v>
      </c>
      <c r="I395" s="142">
        <f>L395+1</f>
        <v>553082588.10911155</v>
      </c>
      <c r="J395" s="142">
        <f>M395</f>
        <v>553111037.08730996</v>
      </c>
      <c r="K395" s="61" t="s">
        <v>279</v>
      </c>
      <c r="L395" s="104">
        <f>M393</f>
        <v>553082587.10911155</v>
      </c>
      <c r="M395" s="104">
        <f>((R395-P395*$P$391)/$S$389)+L395</f>
        <v>553111037.08730996</v>
      </c>
      <c r="N395" s="104">
        <f t="shared" ref="N395:N401" si="19">M395-L395</f>
        <v>28449.978198409081</v>
      </c>
      <c r="O395" s="104">
        <f t="shared" ref="O395:O407" si="20">N395*$S$389</f>
        <v>96239.875000123284</v>
      </c>
      <c r="P395" s="3">
        <v>0</v>
      </c>
      <c r="Q395" s="97">
        <f t="shared" ref="Q395:Q405" si="21">O395+P395*$P$391</f>
        <v>96239.875000123284</v>
      </c>
      <c r="R395" s="149">
        <f>T395*1000000/8+S394</f>
        <v>96239.875</v>
      </c>
      <c r="S395" s="105">
        <f t="shared" si="18"/>
        <v>-1.2328382581472397E-7</v>
      </c>
      <c r="T395" s="144">
        <v>7.0915189999999999</v>
      </c>
      <c r="W395" s="17" t="s">
        <v>280</v>
      </c>
      <c r="X395" s="3" t="s">
        <v>281</v>
      </c>
    </row>
    <row r="396" spans="4:25">
      <c r="D396" s="3" t="s">
        <v>244</v>
      </c>
      <c r="E396" s="129" t="s">
        <v>282</v>
      </c>
      <c r="F396" s="129">
        <v>557333516</v>
      </c>
      <c r="G396" t="s">
        <v>246</v>
      </c>
      <c r="H396" s="141" t="s">
        <v>283</v>
      </c>
      <c r="I396" s="142">
        <f>L396+1</f>
        <v>553111038.08730996</v>
      </c>
      <c r="J396" s="145">
        <f>M396+20</f>
        <v>553448342</v>
      </c>
      <c r="K396" s="61" t="s">
        <v>284</v>
      </c>
      <c r="L396" s="104">
        <f>M395</f>
        <v>553111037.08730996</v>
      </c>
      <c r="M396" s="67">
        <f>F386</f>
        <v>553448322</v>
      </c>
      <c r="N396" s="104">
        <f t="shared" si="19"/>
        <v>337284.91269004345</v>
      </c>
      <c r="O396" s="104">
        <f t="shared" si="20"/>
        <v>1140958.9705250617</v>
      </c>
      <c r="P396" s="3">
        <v>0</v>
      </c>
      <c r="Q396" s="97">
        <f t="shared" si="21"/>
        <v>1140958.9705250617</v>
      </c>
      <c r="R396" s="97">
        <f>T396*1000000/8</f>
        <v>1362193.25</v>
      </c>
      <c r="S396" s="105">
        <f t="shared" si="18"/>
        <v>221234.27947493829</v>
      </c>
      <c r="T396" s="144">
        <v>10.897546</v>
      </c>
      <c r="W396">
        <f>1220630</f>
        <v>1220630</v>
      </c>
      <c r="X396">
        <f>W396*8</f>
        <v>9765040</v>
      </c>
    </row>
    <row r="397" spans="4:25">
      <c r="D397" s="3" t="s">
        <v>240</v>
      </c>
      <c r="E397" s="129" t="s">
        <v>285</v>
      </c>
      <c r="F397" s="129">
        <v>557490522</v>
      </c>
      <c r="G397" t="s">
        <v>242</v>
      </c>
      <c r="I397" s="142">
        <f>L397-20</f>
        <v>553848396</v>
      </c>
      <c r="J397" s="142">
        <f>M397</f>
        <v>553855469.16773212</v>
      </c>
      <c r="K397" s="61" t="s">
        <v>284</v>
      </c>
      <c r="L397" s="150">
        <f>F387</f>
        <v>553848416</v>
      </c>
      <c r="M397" s="104">
        <f>((R397-P397*$P$391)/$S$389)+L397</f>
        <v>553855469.16773212</v>
      </c>
      <c r="N397" s="104">
        <f t="shared" si="19"/>
        <v>7053.1677321195602</v>
      </c>
      <c r="O397" s="104">
        <f t="shared" si="20"/>
        <v>23859.279475020747</v>
      </c>
      <c r="P397" s="3">
        <v>1</v>
      </c>
      <c r="Q397" s="97">
        <f t="shared" si="21"/>
        <v>221234.27947502074</v>
      </c>
      <c r="R397" s="104">
        <f>S396</f>
        <v>221234.27947493829</v>
      </c>
      <c r="S397" s="105">
        <f t="shared" si="18"/>
        <v>-8.2451151683926582E-8</v>
      </c>
      <c r="W397" t="s">
        <v>286</v>
      </c>
    </row>
    <row r="398" spans="4:25">
      <c r="D398" s="3" t="s">
        <v>244</v>
      </c>
      <c r="E398" s="129" t="s">
        <v>287</v>
      </c>
      <c r="F398" s="129">
        <v>557794316</v>
      </c>
      <c r="G398" t="s">
        <v>246</v>
      </c>
      <c r="I398" s="142">
        <f>L398+1</f>
        <v>553855470.16773212</v>
      </c>
      <c r="J398" s="142">
        <f>M398</f>
        <v>554119178.65919995</v>
      </c>
      <c r="K398" s="61" t="s">
        <v>288</v>
      </c>
      <c r="L398" s="104">
        <f>M397</f>
        <v>553855469.16773212</v>
      </c>
      <c r="M398" s="104">
        <f>((R398-P398*$P$391)/$S$389)+L398</f>
        <v>554119178.65919995</v>
      </c>
      <c r="N398" s="104">
        <f t="shared" si="19"/>
        <v>263709.49146783352</v>
      </c>
      <c r="O398" s="104">
        <f t="shared" si="20"/>
        <v>892069.87500010058</v>
      </c>
      <c r="P398" s="3">
        <v>0</v>
      </c>
      <c r="Q398" s="97">
        <f t="shared" si="21"/>
        <v>892069.87500010058</v>
      </c>
      <c r="R398" s="97">
        <f>T398*1000000/8</f>
        <v>892069.875</v>
      </c>
      <c r="S398" s="105">
        <f t="shared" si="18"/>
        <v>-1.0058283805847168E-7</v>
      </c>
      <c r="T398" s="144">
        <v>7.1365590000000001</v>
      </c>
      <c r="W398" t="s">
        <v>289</v>
      </c>
    </row>
    <row r="399" spans="4:25">
      <c r="D399" s="3" t="s">
        <v>240</v>
      </c>
      <c r="E399" s="129" t="s">
        <v>290</v>
      </c>
      <c r="F399" s="129">
        <v>558072822</v>
      </c>
      <c r="G399" t="s">
        <v>242</v>
      </c>
      <c r="I399" s="142">
        <f>L399+1</f>
        <v>554119179.65919995</v>
      </c>
      <c r="J399" s="142">
        <f>M399</f>
        <v>554420297.30439508</v>
      </c>
      <c r="K399" s="61" t="s">
        <v>291</v>
      </c>
      <c r="L399" s="104">
        <f>M398</f>
        <v>554119178.65919995</v>
      </c>
      <c r="M399" s="104">
        <f>((R399-P399*$P$391)/$S$389)+L399</f>
        <v>554420297.30439508</v>
      </c>
      <c r="N399" s="104">
        <f t="shared" si="19"/>
        <v>301118.64519512653</v>
      </c>
      <c r="O399" s="104">
        <f t="shared" si="20"/>
        <v>1018616.6249999442</v>
      </c>
      <c r="P399" s="3">
        <v>0</v>
      </c>
      <c r="Q399" s="97">
        <f t="shared" si="21"/>
        <v>1018616.6249999442</v>
      </c>
      <c r="R399" s="97">
        <f>T399*1000000/8</f>
        <v>1018616.625</v>
      </c>
      <c r="S399" s="105">
        <f t="shared" si="18"/>
        <v>5.5762939155101776E-8</v>
      </c>
      <c r="T399" s="144">
        <v>8.1489329999999995</v>
      </c>
      <c r="W399" t="s">
        <v>292</v>
      </c>
      <c r="X399">
        <v>13203000</v>
      </c>
      <c r="Y399">
        <v>1651000</v>
      </c>
    </row>
    <row r="400" spans="4:25">
      <c r="D400" s="3" t="s">
        <v>244</v>
      </c>
      <c r="E400" s="129" t="s">
        <v>293</v>
      </c>
      <c r="F400" s="129">
        <v>558108416</v>
      </c>
      <c r="G400" t="s">
        <v>246</v>
      </c>
      <c r="I400" s="142">
        <f>L400+1</f>
        <v>554420298.30439508</v>
      </c>
      <c r="J400" s="142">
        <f>M400+20</f>
        <v>554758742</v>
      </c>
      <c r="K400" s="61" t="s">
        <v>294</v>
      </c>
      <c r="L400" s="104">
        <f>M399</f>
        <v>554420297.30439508</v>
      </c>
      <c r="M400" s="151">
        <f>F389</f>
        <v>554758722</v>
      </c>
      <c r="N400" s="104">
        <f t="shared" si="19"/>
        <v>338424.69560492039</v>
      </c>
      <c r="O400" s="104">
        <f t="shared" si="20"/>
        <v>1144814.5996749345</v>
      </c>
      <c r="P400" s="3">
        <v>0</v>
      </c>
      <c r="Q400" s="97">
        <f t="shared" si="21"/>
        <v>1144814.5996749345</v>
      </c>
      <c r="R400" s="97">
        <f>T400*1000000/8</f>
        <v>1515169.875</v>
      </c>
      <c r="S400" s="105">
        <f t="shared" si="18"/>
        <v>370355.27532506548</v>
      </c>
      <c r="T400" s="144">
        <v>12.121359</v>
      </c>
    </row>
    <row r="401" spans="2:27">
      <c r="D401" s="17" t="s">
        <v>295</v>
      </c>
      <c r="E401" s="126" t="s">
        <v>296</v>
      </c>
      <c r="F401" s="126">
        <v>558556917</v>
      </c>
      <c r="I401" s="142">
        <f>L401-20</f>
        <v>555001596</v>
      </c>
      <c r="J401" s="142">
        <f>M401</f>
        <v>555052751.61360872</v>
      </c>
      <c r="K401" s="61" t="s">
        <v>294</v>
      </c>
      <c r="L401" s="150">
        <f>F390</f>
        <v>555001616</v>
      </c>
      <c r="M401" s="104">
        <f>((R401-P401*$P$391)/$S$389)+L401</f>
        <v>555052751.61360872</v>
      </c>
      <c r="N401" s="104">
        <f t="shared" si="19"/>
        <v>51135.613608717918</v>
      </c>
      <c r="O401" s="104">
        <f t="shared" si="20"/>
        <v>172980.27532523076</v>
      </c>
      <c r="P401" s="3">
        <v>1</v>
      </c>
      <c r="Q401" s="97">
        <f t="shared" si="21"/>
        <v>370355.27532523079</v>
      </c>
      <c r="R401" s="104">
        <f>S400</f>
        <v>370355.27532506548</v>
      </c>
      <c r="S401" s="105">
        <f t="shared" si="18"/>
        <v>-1.6530975699424744E-7</v>
      </c>
      <c r="T401" s="144"/>
    </row>
    <row r="402" spans="2:27">
      <c r="D402" s="17" t="s">
        <v>297</v>
      </c>
      <c r="E402" s="126" t="s">
        <v>298</v>
      </c>
      <c r="F402" s="126">
        <v>560310717</v>
      </c>
      <c r="I402" s="142">
        <f>L402+1</f>
        <v>555052752.61360872</v>
      </c>
      <c r="J402" s="142">
        <f>M402</f>
        <v>555621165.66706324</v>
      </c>
      <c r="K402" s="61" t="s">
        <v>299</v>
      </c>
      <c r="L402" s="104">
        <f>M401</f>
        <v>555052751.61360872</v>
      </c>
      <c r="M402" s="104">
        <f>((R402-P402*$P$391)/$S$389)+L401</f>
        <v>555621165.66706324</v>
      </c>
      <c r="N402" s="104">
        <f>M402-L401</f>
        <v>619549.66706323624</v>
      </c>
      <c r="O402" s="104">
        <f t="shared" si="20"/>
        <v>2095797.1249998391</v>
      </c>
      <c r="P402" s="3">
        <v>0</v>
      </c>
      <c r="Q402" s="97">
        <f t="shared" si="21"/>
        <v>2095797.1249998391</v>
      </c>
      <c r="R402" s="97">
        <f>T402*1000000/8</f>
        <v>2095797.1249999998</v>
      </c>
      <c r="S402" s="105">
        <f t="shared" si="18"/>
        <v>1.6065314412117004E-7</v>
      </c>
      <c r="T402" s="144">
        <v>16.766376999999999</v>
      </c>
      <c r="W402" s="3" t="s">
        <v>281</v>
      </c>
      <c r="X402" t="s">
        <v>173</v>
      </c>
    </row>
    <row r="403" spans="2:27">
      <c r="D403" s="17" t="s">
        <v>300</v>
      </c>
      <c r="E403" s="152" t="s">
        <v>301</v>
      </c>
      <c r="F403" s="152">
        <v>562120077</v>
      </c>
      <c r="I403" s="142">
        <f>L403+1</f>
        <v>555621166.66706324</v>
      </c>
      <c r="J403" s="142">
        <f>M403</f>
        <v>555792845.31616795</v>
      </c>
      <c r="K403" s="61" t="s">
        <v>302</v>
      </c>
      <c r="L403" s="104">
        <f>M402</f>
        <v>555621165.66706324</v>
      </c>
      <c r="M403" s="104">
        <f>((R403-P403*$P$391)/$S$389)+L403</f>
        <v>555792845.31616795</v>
      </c>
      <c r="N403" s="104">
        <f>M403-L403</f>
        <v>171679.64910471439</v>
      </c>
      <c r="O403" s="104">
        <f t="shared" si="20"/>
        <v>580753.62500020023</v>
      </c>
      <c r="P403" s="3">
        <v>0</v>
      </c>
      <c r="Q403" s="97">
        <f t="shared" si="21"/>
        <v>580753.62500020023</v>
      </c>
      <c r="R403" s="97">
        <f>T403*1000000/8</f>
        <v>580753.625</v>
      </c>
      <c r="S403" s="105">
        <f t="shared" si="18"/>
        <v>-2.0023435354232788E-7</v>
      </c>
      <c r="T403" s="144">
        <v>4.6460290000000004</v>
      </c>
      <c r="V403" s="17" t="s">
        <v>303</v>
      </c>
      <c r="W403" s="3">
        <v>13000000</v>
      </c>
      <c r="X403" s="3">
        <f>W403/8</f>
        <v>1625000</v>
      </c>
      <c r="Y403" s="3"/>
    </row>
    <row r="404" spans="2:27">
      <c r="D404" s="17" t="s">
        <v>304</v>
      </c>
      <c r="E404" s="126" t="s">
        <v>305</v>
      </c>
      <c r="F404" s="126">
        <v>563987397</v>
      </c>
      <c r="I404" s="142">
        <f>L404+1</f>
        <v>555792846.31616795</v>
      </c>
      <c r="J404" s="142">
        <f>M404+20</f>
        <v>556768442</v>
      </c>
      <c r="K404" s="61" t="s">
        <v>306</v>
      </c>
      <c r="L404" s="104">
        <f>M403</f>
        <v>555792845.31616795</v>
      </c>
      <c r="M404" s="151">
        <f>F392</f>
        <v>556768422</v>
      </c>
      <c r="N404" s="104">
        <f>M404-L404</f>
        <v>975576.68383204937</v>
      </c>
      <c r="O404" s="104">
        <f t="shared" si="20"/>
        <v>3300156.4166499609</v>
      </c>
      <c r="P404" s="3">
        <v>0</v>
      </c>
      <c r="Q404" s="97">
        <f t="shared" si="21"/>
        <v>3300156.4166499609</v>
      </c>
      <c r="R404" s="97">
        <f>T404*1000000/8</f>
        <v>5478538.75</v>
      </c>
      <c r="S404" s="105">
        <f t="shared" si="18"/>
        <v>2178382.3333500391</v>
      </c>
      <c r="T404" s="144">
        <v>43.828310000000002</v>
      </c>
      <c r="V404" s="17" t="s">
        <v>307</v>
      </c>
      <c r="W404" s="3">
        <v>19500000</v>
      </c>
      <c r="X404" s="3">
        <f>W404/8</f>
        <v>2437500</v>
      </c>
      <c r="Y404" s="3"/>
    </row>
    <row r="405" spans="2:27">
      <c r="D405" s="17" t="s">
        <v>308</v>
      </c>
      <c r="E405" s="153" t="s">
        <v>309</v>
      </c>
      <c r="F405" s="153">
        <v>564828987</v>
      </c>
      <c r="I405" s="142">
        <f>L405-20</f>
        <v>556984296</v>
      </c>
      <c r="J405" s="142">
        <f>M405+20</f>
        <v>557237342</v>
      </c>
      <c r="K405" s="61" t="s">
        <v>306</v>
      </c>
      <c r="L405" s="150">
        <f>F393</f>
        <v>556984316</v>
      </c>
      <c r="M405" s="151">
        <f>F395</f>
        <v>557237322</v>
      </c>
      <c r="N405" s="104">
        <f>M405-L405</f>
        <v>253006</v>
      </c>
      <c r="O405" s="104">
        <f t="shared" si="20"/>
        <v>855862.37164999999</v>
      </c>
      <c r="P405" s="3">
        <v>1</v>
      </c>
      <c r="Q405" s="97">
        <f t="shared" si="21"/>
        <v>1053237.3716500001</v>
      </c>
      <c r="R405" s="104">
        <f>S404</f>
        <v>2178382.3333500391</v>
      </c>
      <c r="S405" s="105">
        <f t="shared" si="18"/>
        <v>1125144.961700039</v>
      </c>
      <c r="T405" s="144"/>
    </row>
    <row r="406" spans="2:27">
      <c r="D406" s="17" t="s">
        <v>310</v>
      </c>
      <c r="E406" s="154" t="s">
        <v>311</v>
      </c>
      <c r="F406" s="154">
        <v>565001214</v>
      </c>
      <c r="I406" s="142">
        <f>L406-20</f>
        <v>557333496</v>
      </c>
      <c r="J406" s="142">
        <f>M406+20</f>
        <v>557490542</v>
      </c>
      <c r="K406" s="61" t="s">
        <v>306</v>
      </c>
      <c r="L406" s="150">
        <f>F396</f>
        <v>557333516</v>
      </c>
      <c r="M406" s="151">
        <f>F397</f>
        <v>557490522</v>
      </c>
      <c r="N406" s="104">
        <f>M406-L406</f>
        <v>157006</v>
      </c>
      <c r="O406" s="104">
        <f t="shared" si="20"/>
        <v>531115.97164999996</v>
      </c>
      <c r="P406" s="3">
        <v>1</v>
      </c>
      <c r="Q406" s="97">
        <f>O406+P406*$P$354</f>
        <v>728490.97164999996</v>
      </c>
      <c r="R406" s="104">
        <f>S405</f>
        <v>1125144.961700039</v>
      </c>
      <c r="S406" s="105">
        <f t="shared" si="18"/>
        <v>396653.99005003902</v>
      </c>
      <c r="T406" s="144"/>
    </row>
    <row r="407" spans="2:27">
      <c r="D407" s="17" t="s">
        <v>312</v>
      </c>
      <c r="E407" s="155" t="s">
        <v>313</v>
      </c>
      <c r="F407" s="155">
        <v>565096721</v>
      </c>
      <c r="I407" s="142">
        <f>L407-20</f>
        <v>557794296</v>
      </c>
      <c r="J407" s="142">
        <f>M407</f>
        <v>557853225.91569054</v>
      </c>
      <c r="K407" s="61" t="s">
        <v>306</v>
      </c>
      <c r="L407" s="150">
        <f>F398</f>
        <v>557794316</v>
      </c>
      <c r="M407" s="104">
        <f>((R407-P407*$P$391)/$S$389)+L407</f>
        <v>557853225.91569054</v>
      </c>
      <c r="N407" s="104">
        <f>M407-L407</f>
        <v>58909.915690541267</v>
      </c>
      <c r="O407" s="104">
        <f t="shared" si="20"/>
        <v>199278.99005007074</v>
      </c>
      <c r="P407" s="3">
        <v>1</v>
      </c>
      <c r="Q407" s="97">
        <f>O407+P407*$P$354</f>
        <v>396653.99005007074</v>
      </c>
      <c r="R407" s="104">
        <f>S406</f>
        <v>396653.99005003902</v>
      </c>
      <c r="S407" s="105">
        <f t="shared" si="18"/>
        <v>-3.1723175197839737E-8</v>
      </c>
      <c r="T407" s="144"/>
    </row>
    <row r="408" spans="2:27">
      <c r="B408" t="s">
        <v>314</v>
      </c>
      <c r="D408" s="17" t="s">
        <v>315</v>
      </c>
      <c r="E408" s="155" t="s">
        <v>316</v>
      </c>
      <c r="F408" s="156">
        <v>550300701</v>
      </c>
      <c r="G408" s="126" t="s">
        <v>317</v>
      </c>
      <c r="H408" s="127">
        <v>550828556</v>
      </c>
      <c r="J408" s="17" t="s">
        <v>318</v>
      </c>
      <c r="K408" s="61" t="s">
        <v>319</v>
      </c>
      <c r="L408" s="147">
        <v>551397116</v>
      </c>
      <c r="M408" s="147">
        <v>551717516</v>
      </c>
      <c r="N408" s="104"/>
      <c r="O408" s="104"/>
      <c r="P408" s="3">
        <v>0</v>
      </c>
      <c r="Q408" s="147">
        <f>$X$403</f>
        <v>1625000</v>
      </c>
      <c r="R408" s="97">
        <f>T408*1000000/8</f>
        <v>3959687.625</v>
      </c>
      <c r="S408" s="105">
        <f t="shared" si="18"/>
        <v>2334687.625</v>
      </c>
      <c r="T408" s="144">
        <v>31.677500999999999</v>
      </c>
      <c r="V408" s="3"/>
      <c r="W408" s="3"/>
    </row>
    <row r="409" spans="2:27">
      <c r="B409" t="s">
        <v>320</v>
      </c>
      <c r="D409" s="17" t="s">
        <v>321</v>
      </c>
      <c r="E409" s="155" t="s">
        <v>322</v>
      </c>
      <c r="F409" s="156">
        <v>548139328</v>
      </c>
      <c r="G409" s="155" t="s">
        <v>323</v>
      </c>
      <c r="H409" s="156">
        <v>548570428</v>
      </c>
      <c r="I409" s="142">
        <f>L409+1</f>
        <v>557853226.91569054</v>
      </c>
      <c r="J409" s="142">
        <f>M409</f>
        <v>558543395.2662977</v>
      </c>
      <c r="K409" s="61" t="s">
        <v>319</v>
      </c>
      <c r="L409" s="104">
        <f>M407</f>
        <v>557853225.91569054</v>
      </c>
      <c r="M409" s="104">
        <f>((R409-P409*$P$391)/$S$389)+L409</f>
        <v>558543395.2662977</v>
      </c>
      <c r="N409" s="104">
        <f>M409-L409</f>
        <v>690169.35060715675</v>
      </c>
      <c r="O409" s="104">
        <f>N409*$S$389</f>
        <v>2334687.6250001248</v>
      </c>
      <c r="P409" s="3">
        <v>0</v>
      </c>
      <c r="Q409" s="97">
        <f>O409+P409*$P$391</f>
        <v>2334687.6250001248</v>
      </c>
      <c r="R409" s="104">
        <f>S408</f>
        <v>2334687.625</v>
      </c>
      <c r="S409" s="105">
        <f t="shared" si="18"/>
        <v>-1.2479722499847412E-7</v>
      </c>
      <c r="T409" s="157">
        <f>SUM(T393:T408)</f>
        <v>150.63456199999999</v>
      </c>
      <c r="V409" s="3" t="s">
        <v>324</v>
      </c>
      <c r="W409" s="3"/>
    </row>
    <row r="410" spans="2:27">
      <c r="B410" t="s">
        <v>314</v>
      </c>
      <c r="D410" s="17" t="s">
        <v>325</v>
      </c>
      <c r="E410" s="155" t="s">
        <v>326</v>
      </c>
      <c r="F410" s="155">
        <v>551259330</v>
      </c>
      <c r="G410" s="155" t="s">
        <v>327</v>
      </c>
      <c r="H410" s="155">
        <v>551862409</v>
      </c>
      <c r="K410" s="61"/>
      <c r="N410" s="158">
        <f>SUM(N393:N409)</f>
        <v>4313749.8799064159</v>
      </c>
      <c r="O410" s="159">
        <f>N410*$S$389</f>
        <v>14592445.250000427</v>
      </c>
      <c r="P410" s="160">
        <f>O410*8/1000000</f>
        <v>116.73956200000342</v>
      </c>
      <c r="Q410" s="161">
        <f>SUM(Q393:Q409)</f>
        <v>18829320.250000425</v>
      </c>
      <c r="R410" s="157">
        <f>Q410*8/1000000</f>
        <v>150.6345620000034</v>
      </c>
      <c r="S410" s="105"/>
      <c r="T410" s="162" t="s">
        <v>328</v>
      </c>
      <c r="U410" s="160">
        <f>5*P390</f>
        <v>7.8949999999999996</v>
      </c>
      <c r="V410" s="160">
        <f>P410</f>
        <v>116.73956200000342</v>
      </c>
      <c r="W410" s="160">
        <v>26</v>
      </c>
      <c r="X410" s="160">
        <f>W410+V410+U410</f>
        <v>150.63456200000343</v>
      </c>
      <c r="AA410">
        <f>W410+U410</f>
        <v>33.894999999999996</v>
      </c>
    </row>
    <row r="411" spans="2:27">
      <c r="B411" t="s">
        <v>320</v>
      </c>
      <c r="D411" s="17" t="s">
        <v>329</v>
      </c>
      <c r="E411" s="163" t="s">
        <v>330</v>
      </c>
      <c r="F411">
        <v>547624316</v>
      </c>
      <c r="G411" s="3" t="s">
        <v>331</v>
      </c>
      <c r="H411" s="3">
        <v>548142716</v>
      </c>
      <c r="K411" s="84"/>
      <c r="L411" s="115"/>
      <c r="M411" s="164"/>
      <c r="N411" s="165" t="s">
        <v>332</v>
      </c>
      <c r="O411" s="166" t="s">
        <v>333</v>
      </c>
      <c r="P411" s="167" t="s">
        <v>334</v>
      </c>
      <c r="Q411" s="168" t="s">
        <v>335</v>
      </c>
      <c r="R411" s="165" t="s">
        <v>336</v>
      </c>
      <c r="S411" s="165"/>
      <c r="T411" s="144" t="s">
        <v>337</v>
      </c>
      <c r="U411" s="167" t="s">
        <v>338</v>
      </c>
      <c r="V411" s="167" t="s">
        <v>339</v>
      </c>
      <c r="W411" s="167" t="s">
        <v>340</v>
      </c>
      <c r="X411" s="167" t="s">
        <v>186</v>
      </c>
    </row>
    <row r="412" spans="2:27">
      <c r="D412" s="17" t="s">
        <v>341</v>
      </c>
      <c r="E412" s="155" t="s">
        <v>342</v>
      </c>
      <c r="F412" s="155">
        <v>565183587</v>
      </c>
      <c r="K412" t="s">
        <v>343</v>
      </c>
      <c r="L412" s="3">
        <f>275-212</f>
        <v>63</v>
      </c>
      <c r="M412" s="4">
        <f>L412-N412</f>
        <v>13.072339352935003</v>
      </c>
      <c r="N412" s="169">
        <f>N410/(3600*24)</f>
        <v>49.927660647064997</v>
      </c>
      <c r="O412" s="170" t="s">
        <v>161</v>
      </c>
      <c r="P412" s="171" t="s">
        <v>344</v>
      </c>
      <c r="T412" s="144"/>
      <c r="U412" s="171" t="s">
        <v>21</v>
      </c>
      <c r="V412" s="171" t="s">
        <v>21</v>
      </c>
      <c r="W412" s="171" t="s">
        <v>21</v>
      </c>
      <c r="X412" s="171" t="s">
        <v>21</v>
      </c>
    </row>
    <row r="413" spans="2:27">
      <c r="D413" s="17" t="s">
        <v>345</v>
      </c>
      <c r="E413" s="155" t="s">
        <v>346</v>
      </c>
      <c r="F413" s="155">
        <v>565408554</v>
      </c>
      <c r="M413" s="3" t="s">
        <v>347</v>
      </c>
      <c r="Q413" s="5">
        <f>Q409+Q422</f>
        <v>2411656.1316501247</v>
      </c>
      <c r="T413" s="144"/>
    </row>
    <row r="414" spans="2:27">
      <c r="D414" s="17" t="s">
        <v>348</v>
      </c>
      <c r="E414" s="155" t="s">
        <v>349</v>
      </c>
      <c r="F414" s="155">
        <v>565810227</v>
      </c>
      <c r="J414" s="17"/>
    </row>
    <row r="415" spans="2:27">
      <c r="D415" s="17" t="s">
        <v>350</v>
      </c>
      <c r="E415" s="156" t="s">
        <v>351</v>
      </c>
      <c r="F415" s="156">
        <v>566065227</v>
      </c>
      <c r="T415" s="144"/>
    </row>
    <row r="416" spans="2:27">
      <c r="O416" s="3" t="s">
        <v>253</v>
      </c>
      <c r="P416" s="3">
        <f>P417*3600*24</f>
        <v>2.3381740799999999</v>
      </c>
      <c r="Q416">
        <f>P416/8</f>
        <v>0.29227175999999999</v>
      </c>
      <c r="R416" s="3" t="s">
        <v>254</v>
      </c>
    </row>
    <row r="417" spans="1:23">
      <c r="J417" s="17"/>
      <c r="M417" t="s">
        <v>256</v>
      </c>
      <c r="P417" s="3">
        <v>2.70622E-5</v>
      </c>
      <c r="Q417" t="s">
        <v>195</v>
      </c>
      <c r="R417" s="134" t="s">
        <v>60</v>
      </c>
      <c r="S417" s="135">
        <f>S418/8</f>
        <v>3.3827750000000001</v>
      </c>
    </row>
    <row r="418" spans="1:23">
      <c r="D418" s="17" t="s">
        <v>352</v>
      </c>
      <c r="E418" s="154" t="s">
        <v>353</v>
      </c>
      <c r="F418" s="154">
        <v>567576534</v>
      </c>
      <c r="G418" s="97">
        <f>F418-L424</f>
        <v>9033137.733702302</v>
      </c>
      <c r="H418" s="3">
        <f>G418*S417</f>
        <v>30557072.497124806</v>
      </c>
      <c r="I418" s="3">
        <f>G418*S419</f>
        <v>244.45657997699843</v>
      </c>
      <c r="M418" s="5" t="s">
        <v>259</v>
      </c>
      <c r="P418" s="3">
        <v>1.579</v>
      </c>
      <c r="Q418" s="93" t="s">
        <v>198</v>
      </c>
      <c r="R418" s="137" t="s">
        <v>59</v>
      </c>
      <c r="S418" s="138">
        <f>S419*1000000</f>
        <v>27.062200000000001</v>
      </c>
    </row>
    <row r="419" spans="1:23">
      <c r="J419" s="17"/>
      <c r="K419" s="54" t="s">
        <v>354</v>
      </c>
      <c r="L419" s="55"/>
      <c r="M419" s="55"/>
      <c r="N419" s="56"/>
      <c r="P419" s="95">
        <f>P418*1000000/8</f>
        <v>197375</v>
      </c>
      <c r="Q419" s="93" t="s">
        <v>203</v>
      </c>
      <c r="R419" s="139" t="s">
        <v>62</v>
      </c>
      <c r="S419" s="140">
        <v>2.70622E-5</v>
      </c>
      <c r="T419" s="5" t="s">
        <v>21</v>
      </c>
      <c r="V419" s="3" t="s">
        <v>173</v>
      </c>
      <c r="W419" s="3" t="s">
        <v>21</v>
      </c>
    </row>
    <row r="420" spans="1:23">
      <c r="K420" s="73" t="s">
        <v>64</v>
      </c>
      <c r="L420" s="72" t="s">
        <v>65</v>
      </c>
      <c r="M420" s="73" t="s">
        <v>66</v>
      </c>
      <c r="N420" s="73" t="s">
        <v>67</v>
      </c>
      <c r="O420" s="74" t="s">
        <v>68</v>
      </c>
      <c r="P420" s="3" t="s">
        <v>176</v>
      </c>
      <c r="Q420" s="74" t="s">
        <v>265</v>
      </c>
      <c r="R420" s="73" t="s">
        <v>266</v>
      </c>
      <c r="S420" s="73" t="s">
        <v>70</v>
      </c>
      <c r="V420" s="3">
        <v>1000000</v>
      </c>
      <c r="W420" s="3">
        <f>V420*8/1000000</f>
        <v>8</v>
      </c>
    </row>
    <row r="421" spans="1:23">
      <c r="K421" s="172"/>
      <c r="L421" s="173"/>
      <c r="M421" s="173"/>
      <c r="N421" s="173"/>
      <c r="O421" s="173" t="s">
        <v>355</v>
      </c>
      <c r="P421" s="174"/>
      <c r="Q421" s="175">
        <f>Q422*8/1000000</f>
        <v>0.61574805319999992</v>
      </c>
      <c r="R421" s="176" t="s">
        <v>356</v>
      </c>
      <c r="S421" s="161"/>
    </row>
    <row r="422" spans="1:23" ht="15.75">
      <c r="J422" s="17" t="s">
        <v>357</v>
      </c>
      <c r="K422" s="61"/>
      <c r="L422" s="151">
        <f>F399</f>
        <v>558072822</v>
      </c>
      <c r="M422" s="150">
        <f>F400</f>
        <v>558108416</v>
      </c>
      <c r="N422" s="104">
        <f>L422-M422</f>
        <v>-35594</v>
      </c>
      <c r="O422" s="104">
        <f>N422*$S$417</f>
        <v>-120406.49335</v>
      </c>
      <c r="P422" s="3">
        <v>1</v>
      </c>
      <c r="Q422" s="97">
        <f>O422+P422*$P$419</f>
        <v>76968.506649999996</v>
      </c>
      <c r="R422" s="97">
        <f>T422*1000000/8</f>
        <v>1488827.25</v>
      </c>
      <c r="S422" s="105">
        <f t="shared" ref="S422:S434" si="22">R422-Q422</f>
        <v>1411858.7433500001</v>
      </c>
      <c r="T422" s="177">
        <v>11.910617999999999</v>
      </c>
      <c r="U422" s="178" t="s">
        <v>358</v>
      </c>
      <c r="V422" t="s">
        <v>359</v>
      </c>
    </row>
    <row r="423" spans="1:23">
      <c r="C423" t="s">
        <v>360</v>
      </c>
      <c r="D423" s="3" t="s">
        <v>361</v>
      </c>
      <c r="E423" s="3" t="s">
        <v>362</v>
      </c>
      <c r="F423" s="3">
        <v>561656963</v>
      </c>
      <c r="G423" s="3">
        <f>F423+48*3600</f>
        <v>561829763</v>
      </c>
      <c r="H423" s="3" t="s">
        <v>363</v>
      </c>
      <c r="K423" s="179" t="s">
        <v>364</v>
      </c>
      <c r="L423" s="147">
        <f>F423-3600</f>
        <v>561653363</v>
      </c>
      <c r="M423" s="180">
        <f>C429+600</f>
        <v>561856473</v>
      </c>
      <c r="O423" s="104"/>
      <c r="P423" s="3">
        <v>0</v>
      </c>
      <c r="Q423" s="180">
        <f>$X$403</f>
        <v>1625000</v>
      </c>
      <c r="R423" s="104">
        <f>S422</f>
        <v>1411858.7433500001</v>
      </c>
      <c r="S423" s="105">
        <f t="shared" si="22"/>
        <v>-213141.25664999988</v>
      </c>
    </row>
    <row r="424" spans="1:23" ht="15.75">
      <c r="I424" s="145" t="s">
        <v>365</v>
      </c>
      <c r="K424" s="179" t="s">
        <v>366</v>
      </c>
      <c r="L424" s="143">
        <f>M409+1</f>
        <v>558543396.2662977</v>
      </c>
      <c r="M424" s="143">
        <f t="shared" ref="M424:M434" si="23">((R424-P424*$P$391)/$S$389)+L424</f>
        <v>558664233.44682252</v>
      </c>
      <c r="N424" s="104">
        <f t="shared" ref="N424:N434" si="24">M424-L424</f>
        <v>120837.18052482605</v>
      </c>
      <c r="O424" s="143">
        <f t="shared" ref="O424:O434" si="25">N424*$S$417</f>
        <v>408764.99334986845</v>
      </c>
      <c r="P424" s="3">
        <v>0</v>
      </c>
      <c r="Q424" s="142">
        <f>O424+P424*$P$419</f>
        <v>408764.99334986845</v>
      </c>
      <c r="R424" s="104">
        <f>T424*1000000/8+S423</f>
        <v>408764.99335000012</v>
      </c>
      <c r="S424" s="105">
        <f t="shared" si="22"/>
        <v>1.3166572898626328E-7</v>
      </c>
      <c r="T424" s="177">
        <v>4.97525</v>
      </c>
      <c r="U424" s="178" t="s">
        <v>367</v>
      </c>
    </row>
    <row r="425" spans="1:23" ht="15.75">
      <c r="I425" s="145" t="s">
        <v>368</v>
      </c>
      <c r="K425" s="179" t="s">
        <v>369</v>
      </c>
      <c r="L425" s="143">
        <f t="shared" ref="L425:L434" si="26">M424+1</f>
        <v>558664234.44682252</v>
      </c>
      <c r="M425" s="143">
        <f t="shared" si="23"/>
        <v>559478294.05764496</v>
      </c>
      <c r="N425" s="104">
        <f t="shared" si="24"/>
        <v>814059.61082243919</v>
      </c>
      <c r="O425" s="143">
        <f t="shared" si="25"/>
        <v>2753780.4999998766</v>
      </c>
      <c r="P425" s="3">
        <v>0</v>
      </c>
      <c r="Q425" s="142">
        <f t="shared" ref="Q425:Q434" si="27">O425+P425*$P$391</f>
        <v>2753780.4999998766</v>
      </c>
      <c r="R425" s="97">
        <f t="shared" ref="R425:R434" si="28">T425*1000000/8</f>
        <v>2753780.5</v>
      </c>
      <c r="S425" s="105">
        <f t="shared" si="22"/>
        <v>1.234002411365509E-7</v>
      </c>
      <c r="T425" s="177">
        <v>22.030244</v>
      </c>
      <c r="U425" s="178" t="s">
        <v>370</v>
      </c>
    </row>
    <row r="426" spans="1:23" ht="15.75">
      <c r="A426" s="153" t="s">
        <v>371</v>
      </c>
      <c r="B426" s="153" t="s">
        <v>372</v>
      </c>
      <c r="C426" s="155">
        <v>561855847</v>
      </c>
      <c r="D426" s="153" t="s">
        <v>373</v>
      </c>
      <c r="E426" s="153" t="s">
        <v>374</v>
      </c>
      <c r="F426" s="153" t="s">
        <v>375</v>
      </c>
      <c r="G426" s="153"/>
      <c r="H426" s="153" t="s">
        <v>376</v>
      </c>
      <c r="I426" s="145" t="s">
        <v>377</v>
      </c>
      <c r="K426" s="179" t="s">
        <v>378</v>
      </c>
      <c r="L426" s="143">
        <f t="shared" si="26"/>
        <v>559478295.05764496</v>
      </c>
      <c r="M426" s="143">
        <f t="shared" si="23"/>
        <v>559766467.74870479</v>
      </c>
      <c r="N426" s="104">
        <f t="shared" si="24"/>
        <v>288172.6910598278</v>
      </c>
      <c r="O426" s="143">
        <f t="shared" si="25"/>
        <v>974823.37499990908</v>
      </c>
      <c r="P426" s="3">
        <v>0</v>
      </c>
      <c r="Q426" s="97">
        <f t="shared" si="27"/>
        <v>974823.37499990908</v>
      </c>
      <c r="R426" s="97">
        <f t="shared" si="28"/>
        <v>974823.375</v>
      </c>
      <c r="S426" s="105">
        <f t="shared" si="22"/>
        <v>9.092036634683609E-8</v>
      </c>
      <c r="T426" s="177">
        <v>7.7985870000000004</v>
      </c>
      <c r="U426" s="178" t="s">
        <v>379</v>
      </c>
    </row>
    <row r="427" spans="1:23" ht="15.75">
      <c r="A427" s="153" t="s">
        <v>380</v>
      </c>
      <c r="B427" s="153" t="s">
        <v>381</v>
      </c>
      <c r="C427" s="155">
        <v>561855850</v>
      </c>
      <c r="D427" s="153" t="s">
        <v>373</v>
      </c>
      <c r="E427" s="153" t="s">
        <v>374</v>
      </c>
      <c r="F427" s="153" t="s">
        <v>382</v>
      </c>
      <c r="G427" s="153"/>
      <c r="H427" s="153" t="s">
        <v>376</v>
      </c>
      <c r="I427" s="145" t="s">
        <v>383</v>
      </c>
      <c r="K427" s="179" t="s">
        <v>384</v>
      </c>
      <c r="L427" s="143">
        <f t="shared" si="26"/>
        <v>559766468.74870479</v>
      </c>
      <c r="M427" s="143">
        <f t="shared" si="23"/>
        <v>560513050.29048634</v>
      </c>
      <c r="N427" s="104">
        <f t="shared" si="24"/>
        <v>746581.54178154469</v>
      </c>
      <c r="O427" s="143">
        <f t="shared" si="25"/>
        <v>2525517.3750000647</v>
      </c>
      <c r="P427" s="3">
        <v>0</v>
      </c>
      <c r="Q427" s="97">
        <f t="shared" si="27"/>
        <v>2525517.3750000647</v>
      </c>
      <c r="R427" s="97">
        <f t="shared" si="28"/>
        <v>2525517.375</v>
      </c>
      <c r="S427" s="105">
        <f t="shared" si="22"/>
        <v>-6.4726918935775757E-8</v>
      </c>
      <c r="T427" s="177">
        <v>20.204139000000001</v>
      </c>
      <c r="U427" s="178" t="s">
        <v>385</v>
      </c>
    </row>
    <row r="428" spans="1:23" ht="15.75">
      <c r="A428" s="79" t="s">
        <v>386</v>
      </c>
      <c r="B428" s="79" t="s">
        <v>387</v>
      </c>
      <c r="C428" s="126">
        <v>561855870</v>
      </c>
      <c r="D428" s="79" t="s">
        <v>373</v>
      </c>
      <c r="E428" s="79" t="s">
        <v>388</v>
      </c>
      <c r="F428" s="79" t="s">
        <v>389</v>
      </c>
      <c r="G428" s="79"/>
      <c r="H428" s="79"/>
      <c r="I428" s="145" t="s">
        <v>390</v>
      </c>
      <c r="K428" s="179" t="s">
        <v>391</v>
      </c>
      <c r="L428" s="143">
        <f t="shared" si="26"/>
        <v>560513051.29048634</v>
      </c>
      <c r="M428" s="143">
        <f t="shared" si="23"/>
        <v>562427711.4437629</v>
      </c>
      <c r="N428" s="104">
        <f t="shared" si="24"/>
        <v>1914660.1532765627</v>
      </c>
      <c r="O428" s="143">
        <f t="shared" si="25"/>
        <v>6476864.5000001248</v>
      </c>
      <c r="P428" s="3">
        <v>0</v>
      </c>
      <c r="Q428" s="97">
        <f t="shared" si="27"/>
        <v>6476864.5000001248</v>
      </c>
      <c r="R428" s="97">
        <f t="shared" si="28"/>
        <v>6476864.5</v>
      </c>
      <c r="S428" s="105">
        <f t="shared" si="22"/>
        <v>-1.2479722499847412E-7</v>
      </c>
      <c r="T428" s="177">
        <v>51.814915999999997</v>
      </c>
      <c r="U428" s="178" t="s">
        <v>392</v>
      </c>
    </row>
    <row r="429" spans="1:23" ht="15.75">
      <c r="A429" s="79" t="s">
        <v>393</v>
      </c>
      <c r="B429" s="79" t="s">
        <v>394</v>
      </c>
      <c r="C429" s="127">
        <v>561855873</v>
      </c>
      <c r="D429" s="79" t="s">
        <v>373</v>
      </c>
      <c r="E429" s="79" t="s">
        <v>388</v>
      </c>
      <c r="F429" s="79" t="s">
        <v>395</v>
      </c>
      <c r="G429" s="79"/>
      <c r="H429" s="79"/>
      <c r="I429" s="145" t="s">
        <v>396</v>
      </c>
      <c r="K429" s="179" t="s">
        <v>397</v>
      </c>
      <c r="L429" s="143">
        <f t="shared" si="26"/>
        <v>562427712.4437629</v>
      </c>
      <c r="M429" s="143">
        <f t="shared" si="23"/>
        <v>563035957.33885646</v>
      </c>
      <c r="N429" s="104">
        <f t="shared" si="24"/>
        <v>608244.89509356022</v>
      </c>
      <c r="O429" s="143">
        <f t="shared" si="25"/>
        <v>2057555.6250001183</v>
      </c>
      <c r="P429" s="3">
        <v>0</v>
      </c>
      <c r="Q429" s="97">
        <f t="shared" si="27"/>
        <v>2057555.6250001183</v>
      </c>
      <c r="R429" s="97">
        <f t="shared" si="28"/>
        <v>2057555.625</v>
      </c>
      <c r="S429" s="105">
        <f t="shared" si="22"/>
        <v>-1.1827796697616577E-7</v>
      </c>
      <c r="T429" s="177">
        <v>16.460445</v>
      </c>
      <c r="U429" s="178" t="s">
        <v>398</v>
      </c>
    </row>
    <row r="430" spans="1:23" ht="15.75">
      <c r="C430">
        <f>C429+600</f>
        <v>561856473</v>
      </c>
      <c r="D430" s="3" t="s">
        <v>399</v>
      </c>
      <c r="I430" s="145" t="s">
        <v>400</v>
      </c>
      <c r="K430" s="179" t="s">
        <v>401</v>
      </c>
      <c r="L430" s="143">
        <f t="shared" si="26"/>
        <v>563035958.33885646</v>
      </c>
      <c r="M430" s="143">
        <f t="shared" si="23"/>
        <v>563575672.9592495</v>
      </c>
      <c r="N430" s="104">
        <f t="shared" si="24"/>
        <v>539714.6203930378</v>
      </c>
      <c r="O430" s="143">
        <f t="shared" si="25"/>
        <v>1825733.1250000584</v>
      </c>
      <c r="P430" s="3">
        <v>0</v>
      </c>
      <c r="Q430" s="97">
        <f t="shared" si="27"/>
        <v>1825733.1250000584</v>
      </c>
      <c r="R430" s="97">
        <f t="shared" si="28"/>
        <v>1825733.125</v>
      </c>
      <c r="S430" s="105">
        <f t="shared" si="22"/>
        <v>-5.8440491557121277E-8</v>
      </c>
      <c r="T430" s="181">
        <v>14.605865</v>
      </c>
      <c r="U430" s="178" t="s">
        <v>402</v>
      </c>
    </row>
    <row r="431" spans="1:23" ht="15.75">
      <c r="I431" s="145" t="s">
        <v>403</v>
      </c>
      <c r="J431" s="145"/>
      <c r="K431" s="179" t="s">
        <v>404</v>
      </c>
      <c r="L431" s="143">
        <f t="shared" si="26"/>
        <v>563575673.9592495</v>
      </c>
      <c r="M431" s="143">
        <f t="shared" si="23"/>
        <v>564780526.55807734</v>
      </c>
      <c r="N431" s="104">
        <f t="shared" si="24"/>
        <v>1204852.5988278389</v>
      </c>
      <c r="O431" s="143">
        <f t="shared" si="25"/>
        <v>4075745.2499998426</v>
      </c>
      <c r="P431" s="3">
        <v>0</v>
      </c>
      <c r="Q431" s="97">
        <f t="shared" si="27"/>
        <v>4075745.2499998426</v>
      </c>
      <c r="R431" s="97">
        <f t="shared" si="28"/>
        <v>4075745.2499999995</v>
      </c>
      <c r="S431" s="105">
        <f t="shared" si="22"/>
        <v>1.5692785382270813E-7</v>
      </c>
      <c r="T431" s="181">
        <v>32.605961999999998</v>
      </c>
      <c r="U431" s="178" t="s">
        <v>405</v>
      </c>
    </row>
    <row r="432" spans="1:23" ht="15.75">
      <c r="I432" s="145" t="s">
        <v>406</v>
      </c>
      <c r="J432" s="145"/>
      <c r="K432" s="179" t="s">
        <v>407</v>
      </c>
      <c r="L432" s="143">
        <f t="shared" si="26"/>
        <v>564780527.55807734</v>
      </c>
      <c r="M432" s="143">
        <f t="shared" si="23"/>
        <v>564855828.05101585</v>
      </c>
      <c r="N432" s="104">
        <f t="shared" si="24"/>
        <v>75300.492938518524</v>
      </c>
      <c r="O432" s="143">
        <f t="shared" si="25"/>
        <v>254724.625000097</v>
      </c>
      <c r="P432" s="3">
        <v>0</v>
      </c>
      <c r="Q432" s="97">
        <f t="shared" si="27"/>
        <v>254724.625000097</v>
      </c>
      <c r="R432" s="97">
        <f t="shared" si="28"/>
        <v>254724.62499999997</v>
      </c>
      <c r="S432" s="105">
        <f t="shared" si="22"/>
        <v>-9.7032170742750168E-8</v>
      </c>
      <c r="T432" s="181">
        <v>2.0377969999999999</v>
      </c>
      <c r="U432" s="178" t="s">
        <v>408</v>
      </c>
    </row>
    <row r="433" spans="3:23" ht="15.75">
      <c r="I433" s="145" t="s">
        <v>409</v>
      </c>
      <c r="J433" s="145"/>
      <c r="K433" s="179" t="s">
        <v>410</v>
      </c>
      <c r="L433" s="143">
        <f t="shared" si="26"/>
        <v>564855829.05101585</v>
      </c>
      <c r="M433" s="143">
        <f t="shared" si="23"/>
        <v>565064058.01983583</v>
      </c>
      <c r="N433" s="104">
        <f t="shared" si="24"/>
        <v>208228.96881997585</v>
      </c>
      <c r="O433" s="143">
        <f t="shared" si="25"/>
        <v>704391.74999999383</v>
      </c>
      <c r="P433" s="3">
        <v>0</v>
      </c>
      <c r="Q433" s="97">
        <f t="shared" si="27"/>
        <v>704391.74999999383</v>
      </c>
      <c r="R433" s="97">
        <f t="shared" si="28"/>
        <v>704391.75</v>
      </c>
      <c r="S433" s="105">
        <f t="shared" si="22"/>
        <v>6.1700120568275452E-9</v>
      </c>
      <c r="T433" s="181">
        <v>5.6351339999999999</v>
      </c>
      <c r="U433" s="178" t="s">
        <v>411</v>
      </c>
    </row>
    <row r="434" spans="3:23" ht="15.75">
      <c r="C434" t="s">
        <v>412</v>
      </c>
      <c r="D434" s="3" t="s">
        <v>413</v>
      </c>
      <c r="E434" t="s">
        <v>414</v>
      </c>
      <c r="F434" t="s">
        <v>415</v>
      </c>
      <c r="G434" t="s">
        <v>416</v>
      </c>
      <c r="H434" t="s">
        <v>417</v>
      </c>
      <c r="I434" s="145" t="s">
        <v>418</v>
      </c>
      <c r="J434" s="145" t="s">
        <v>419</v>
      </c>
      <c r="K434" s="179" t="s">
        <v>420</v>
      </c>
      <c r="L434" s="143">
        <f t="shared" si="26"/>
        <v>565064059.01983583</v>
      </c>
      <c r="M434" s="143">
        <f t="shared" si="23"/>
        <v>565352277.12479401</v>
      </c>
      <c r="N434" s="104">
        <f t="shared" si="24"/>
        <v>288218.10495817661</v>
      </c>
      <c r="O434" s="143">
        <f t="shared" si="25"/>
        <v>974976.99999989592</v>
      </c>
      <c r="P434" s="3">
        <v>0</v>
      </c>
      <c r="Q434" s="97">
        <f t="shared" si="27"/>
        <v>974976.99999989592</v>
      </c>
      <c r="R434" s="97">
        <f t="shared" si="28"/>
        <v>974977</v>
      </c>
      <c r="S434" s="105">
        <f t="shared" si="22"/>
        <v>1.0407529771327972E-7</v>
      </c>
      <c r="T434" s="181">
        <v>7.7998159999999999</v>
      </c>
      <c r="U434" s="178" t="s">
        <v>421</v>
      </c>
    </row>
    <row r="435" spans="3:23">
      <c r="C435">
        <f>E435-3600*2.5*24</f>
        <v>561437363</v>
      </c>
      <c r="D435" s="3">
        <f>F435-2.5*3600*24</f>
        <v>561538918</v>
      </c>
      <c r="E435" s="5">
        <f>L423</f>
        <v>561653363</v>
      </c>
      <c r="F435">
        <f>(G435-E435)/2+E435</f>
        <v>561754918</v>
      </c>
      <c r="G435" s="5">
        <f>M423</f>
        <v>561856473</v>
      </c>
      <c r="H435">
        <f>F435+2.5*3600*24</f>
        <v>561970918</v>
      </c>
      <c r="K435" s="61"/>
      <c r="L435" s="104"/>
      <c r="M435" s="104"/>
      <c r="N435" s="104"/>
      <c r="O435" s="104"/>
      <c r="Q435" s="130">
        <f>SUM(Q421:Q434)</f>
        <v>24734847.240747903</v>
      </c>
      <c r="R435" s="182" t="s">
        <v>422</v>
      </c>
      <c r="S435" s="105"/>
      <c r="T435" s="183">
        <f>SUM(T422:T434)</f>
        <v>197.878773</v>
      </c>
    </row>
    <row r="436" spans="3:23">
      <c r="E436">
        <f>E435+2.5*3600*24</f>
        <v>561869363</v>
      </c>
      <c r="F436" s="104"/>
      <c r="K436" s="61"/>
      <c r="L436" s="104"/>
      <c r="M436" s="104"/>
      <c r="N436" s="104">
        <f>M434-L424</f>
        <v>6808880.8584963083</v>
      </c>
      <c r="O436" s="104">
        <f>N436*$S$417</f>
        <v>23032911.946099851</v>
      </c>
      <c r="Q436" s="97">
        <f>O436+Q423+Q422</f>
        <v>24734880.452749852</v>
      </c>
      <c r="R436" s="97">
        <f>T435*1000000/8</f>
        <v>24734846.625</v>
      </c>
      <c r="S436" s="105">
        <f>R436-Q436</f>
        <v>-33.827749852091074</v>
      </c>
      <c r="T436" s="183">
        <f>S436*8/1000000</f>
        <v>-2.7062199881672857E-4</v>
      </c>
    </row>
    <row r="437" spans="3:23">
      <c r="K437" s="61"/>
      <c r="L437" s="104"/>
      <c r="M437" s="104"/>
      <c r="N437" s="104"/>
      <c r="O437" s="104"/>
      <c r="Q437" s="97"/>
      <c r="R437" s="104"/>
      <c r="S437" s="105"/>
    </row>
    <row r="438" spans="3:23">
      <c r="K438" s="84"/>
      <c r="L438" s="90"/>
      <c r="M438" s="86"/>
      <c r="N438" s="115"/>
      <c r="O438" s="86"/>
      <c r="P438" s="184"/>
      <c r="Q438" s="185"/>
      <c r="R438" s="86"/>
      <c r="S438" s="87"/>
    </row>
    <row r="441" spans="3:23">
      <c r="U441" s="180"/>
    </row>
    <row r="442" spans="3:23">
      <c r="D442" s="186" t="s">
        <v>423</v>
      </c>
      <c r="E442" s="186">
        <v>502464343</v>
      </c>
      <c r="N442" s="187" t="s">
        <v>424</v>
      </c>
      <c r="O442" s="3" t="s">
        <v>253</v>
      </c>
      <c r="P442" s="3">
        <f>P443*3600*24</f>
        <v>2.3381740799999999</v>
      </c>
      <c r="Q442">
        <f>P442/8</f>
        <v>0.29227175999999999</v>
      </c>
      <c r="R442" s="3" t="s">
        <v>254</v>
      </c>
      <c r="V442">
        <f>13/2.3</f>
        <v>5.6521739130434785</v>
      </c>
    </row>
    <row r="443" spans="3:23">
      <c r="D443" s="186" t="s">
        <v>425</v>
      </c>
      <c r="E443" s="186">
        <v>539990228</v>
      </c>
      <c r="J443" s="17"/>
      <c r="M443" t="s">
        <v>256</v>
      </c>
      <c r="P443" s="3">
        <v>2.70622E-5</v>
      </c>
      <c r="Q443" t="s">
        <v>195</v>
      </c>
      <c r="R443" s="134" t="s">
        <v>60</v>
      </c>
      <c r="S443" s="135">
        <f>S444/8</f>
        <v>3.3827750000000001</v>
      </c>
    </row>
    <row r="444" spans="3:23">
      <c r="D444" s="186" t="s">
        <v>426</v>
      </c>
      <c r="E444" s="188">
        <v>534923175</v>
      </c>
      <c r="I444" s="3">
        <f>G444*S445</f>
        <v>0</v>
      </c>
      <c r="M444" s="5" t="s">
        <v>259</v>
      </c>
      <c r="P444" s="3">
        <v>1.579</v>
      </c>
      <c r="Q444" s="93" t="s">
        <v>198</v>
      </c>
      <c r="R444" s="137" t="s">
        <v>59</v>
      </c>
      <c r="S444" s="138">
        <f>S445*1000000</f>
        <v>27.062200000000001</v>
      </c>
    </row>
    <row r="445" spans="3:23">
      <c r="D445" s="186" t="s">
        <v>427</v>
      </c>
      <c r="E445" s="188">
        <v>553565765</v>
      </c>
      <c r="J445" s="17"/>
      <c r="K445" s="54" t="s">
        <v>428</v>
      </c>
      <c r="L445" s="55"/>
      <c r="M445" s="55"/>
      <c r="N445" s="56"/>
      <c r="P445" s="95">
        <f>P444*1000000/8</f>
        <v>197375</v>
      </c>
      <c r="Q445" s="93" t="s">
        <v>203</v>
      </c>
      <c r="R445" s="139" t="s">
        <v>62</v>
      </c>
      <c r="S445" s="140">
        <v>2.70622E-5</v>
      </c>
      <c r="T445" s="5" t="s">
        <v>21</v>
      </c>
      <c r="V445" s="3" t="s">
        <v>173</v>
      </c>
      <c r="W445" s="3" t="s">
        <v>21</v>
      </c>
    </row>
    <row r="446" spans="3:23">
      <c r="K446" s="73" t="s">
        <v>64</v>
      </c>
      <c r="L446" s="72" t="s">
        <v>65</v>
      </c>
      <c r="M446" s="73" t="s">
        <v>66</v>
      </c>
      <c r="N446" s="73" t="s">
        <v>67</v>
      </c>
      <c r="O446" s="74" t="s">
        <v>68</v>
      </c>
      <c r="P446" s="3" t="s">
        <v>176</v>
      </c>
      <c r="Q446" s="74" t="s">
        <v>265</v>
      </c>
      <c r="R446" s="73" t="s">
        <v>266</v>
      </c>
      <c r="S446" s="73" t="s">
        <v>70</v>
      </c>
      <c r="V446" s="3">
        <v>1000000</v>
      </c>
      <c r="W446" s="3">
        <f>V446*8/1000000</f>
        <v>8</v>
      </c>
    </row>
    <row r="447" spans="3:23">
      <c r="K447" s="172"/>
      <c r="L447" s="173"/>
      <c r="M447" s="173"/>
      <c r="N447" s="173"/>
      <c r="O447" s="173"/>
      <c r="P447" s="174"/>
      <c r="Q447" s="175"/>
      <c r="R447" s="176"/>
      <c r="S447" s="161"/>
    </row>
    <row r="448" spans="3:23" ht="15.75">
      <c r="I448" s="145" t="s">
        <v>429</v>
      </c>
      <c r="J448" s="17"/>
      <c r="K448" s="179" t="s">
        <v>430</v>
      </c>
      <c r="L448" s="143">
        <f>M434+1</f>
        <v>565352278.12479401</v>
      </c>
      <c r="M448" s="143">
        <f t="shared" ref="M448:M456" si="29">((R448-P448*$P$391)/$S$389)+L448</f>
        <v>565591611.80793881</v>
      </c>
      <c r="N448" s="104">
        <f t="shared" ref="N448:N456" si="30">M448-L448</f>
        <v>239333.68314480782</v>
      </c>
      <c r="O448" s="104">
        <f t="shared" ref="O448:O456" si="31">N448*$S$417</f>
        <v>809612.0000001773</v>
      </c>
      <c r="P448" s="3">
        <v>0</v>
      </c>
      <c r="Q448" s="142">
        <f t="shared" ref="Q448:Q456" si="32">O448+P448*$P$419</f>
        <v>809612.0000001773</v>
      </c>
      <c r="R448" s="97">
        <f t="shared" ref="R448:R456" si="33">T448*1000000/8</f>
        <v>809612</v>
      </c>
      <c r="S448" s="105">
        <f t="shared" ref="S448:S456" si="34">R448-Q448</f>
        <v>-1.7730053514242172E-7</v>
      </c>
      <c r="T448" s="189">
        <v>6.476896</v>
      </c>
      <c r="U448" s="178" t="s">
        <v>431</v>
      </c>
    </row>
    <row r="449" spans="4:21" ht="15.75">
      <c r="I449" s="145" t="s">
        <v>432</v>
      </c>
      <c r="K449" s="179" t="s">
        <v>433</v>
      </c>
      <c r="L449" s="143">
        <f t="shared" ref="L449:L456" si="35">M448+1</f>
        <v>565591612.80793881</v>
      </c>
      <c r="M449" s="143">
        <f t="shared" si="29"/>
        <v>566004306.60223496</v>
      </c>
      <c r="N449" s="104">
        <f t="shared" si="30"/>
        <v>412693.79429614544</v>
      </c>
      <c r="O449" s="104">
        <f t="shared" si="31"/>
        <v>1396050.2500001434</v>
      </c>
      <c r="P449" s="3">
        <v>0</v>
      </c>
      <c r="Q449" s="142">
        <f t="shared" si="32"/>
        <v>1396050.2500001434</v>
      </c>
      <c r="R449" s="97">
        <f t="shared" si="33"/>
        <v>1396050.25</v>
      </c>
      <c r="S449" s="105">
        <f t="shared" si="34"/>
        <v>-1.4342367649078369E-7</v>
      </c>
      <c r="T449" s="189">
        <v>11.168402</v>
      </c>
      <c r="U449" s="178" t="s">
        <v>434</v>
      </c>
    </row>
    <row r="450" spans="4:21" ht="15.75">
      <c r="I450" s="145" t="s">
        <v>435</v>
      </c>
      <c r="K450" s="179" t="s">
        <v>436</v>
      </c>
      <c r="L450" s="143">
        <f t="shared" si="35"/>
        <v>566004307.60223496</v>
      </c>
      <c r="M450" s="143">
        <f t="shared" si="29"/>
        <v>566338857.1584425</v>
      </c>
      <c r="N450" s="104">
        <f t="shared" si="30"/>
        <v>334549.55620753765</v>
      </c>
      <c r="O450" s="104">
        <f t="shared" si="31"/>
        <v>1131705.8749999532</v>
      </c>
      <c r="P450" s="3">
        <v>0</v>
      </c>
      <c r="Q450" s="142">
        <f t="shared" si="32"/>
        <v>1131705.8749999532</v>
      </c>
      <c r="R450" s="97">
        <f t="shared" si="33"/>
        <v>1131705.875</v>
      </c>
      <c r="S450" s="105">
        <f t="shared" si="34"/>
        <v>4.6798959374427795E-8</v>
      </c>
      <c r="T450" s="189">
        <v>9.0536469999999998</v>
      </c>
      <c r="U450" s="178" t="s">
        <v>437</v>
      </c>
    </row>
    <row r="451" spans="4:21" ht="15.75">
      <c r="I451" s="145" t="s">
        <v>438</v>
      </c>
      <c r="K451" s="179" t="s">
        <v>439</v>
      </c>
      <c r="L451" s="143">
        <f t="shared" si="35"/>
        <v>566338858.1584425</v>
      </c>
      <c r="M451" s="143">
        <f t="shared" si="29"/>
        <v>566420441.84343481</v>
      </c>
      <c r="N451" s="104">
        <f t="shared" si="30"/>
        <v>81583.684992313385</v>
      </c>
      <c r="O451" s="104">
        <f t="shared" si="31"/>
        <v>275979.24999987293</v>
      </c>
      <c r="P451" s="3">
        <v>0</v>
      </c>
      <c r="Q451" s="142">
        <f t="shared" si="32"/>
        <v>275979.24999987293</v>
      </c>
      <c r="R451" s="97">
        <f t="shared" si="33"/>
        <v>275979.25</v>
      </c>
      <c r="S451" s="105">
        <f t="shared" si="34"/>
        <v>1.2706732377409935E-7</v>
      </c>
      <c r="T451" s="189">
        <v>2.2078340000000001</v>
      </c>
      <c r="U451" s="178" t="s">
        <v>440</v>
      </c>
    </row>
    <row r="452" spans="4:21" ht="15.75">
      <c r="I452" s="145" t="s">
        <v>441</v>
      </c>
      <c r="K452" s="179" t="s">
        <v>442</v>
      </c>
      <c r="L452" s="143">
        <f t="shared" si="35"/>
        <v>566420442.84343481</v>
      </c>
      <c r="M452" s="143">
        <f t="shared" si="29"/>
        <v>567150074.35898054</v>
      </c>
      <c r="N452" s="104">
        <f t="shared" si="30"/>
        <v>729631.51554572582</v>
      </c>
      <c r="O452" s="104">
        <f t="shared" si="31"/>
        <v>2468179.2500001928</v>
      </c>
      <c r="P452" s="3">
        <v>0</v>
      </c>
      <c r="Q452" s="142">
        <f t="shared" si="32"/>
        <v>2468179.2500001928</v>
      </c>
      <c r="R452" s="97">
        <f t="shared" si="33"/>
        <v>2468179.25</v>
      </c>
      <c r="S452" s="105">
        <f t="shared" si="34"/>
        <v>-1.9278377294540405E-7</v>
      </c>
      <c r="T452" s="189">
        <v>19.745433999999999</v>
      </c>
      <c r="U452" s="178" t="s">
        <v>443</v>
      </c>
    </row>
    <row r="453" spans="4:21" ht="15.75">
      <c r="I453" s="145" t="s">
        <v>444</v>
      </c>
      <c r="K453" s="179" t="s">
        <v>445</v>
      </c>
      <c r="L453" s="143">
        <f t="shared" si="35"/>
        <v>567150075.35898054</v>
      </c>
      <c r="M453" s="143">
        <f t="shared" si="29"/>
        <v>567517766.7883544</v>
      </c>
      <c r="N453" s="104">
        <f t="shared" si="30"/>
        <v>367691.42937386036</v>
      </c>
      <c r="O453" s="104">
        <f t="shared" si="31"/>
        <v>1243817.3750001604</v>
      </c>
      <c r="P453" s="3">
        <v>0</v>
      </c>
      <c r="Q453" s="142">
        <f t="shared" si="32"/>
        <v>1243817.3750001604</v>
      </c>
      <c r="R453" s="97">
        <f t="shared" si="33"/>
        <v>1243817.375</v>
      </c>
      <c r="S453" s="105">
        <f t="shared" si="34"/>
        <v>-1.6042031347751617E-7</v>
      </c>
      <c r="T453" s="189">
        <v>9.9505389999999991</v>
      </c>
      <c r="U453" s="178" t="s">
        <v>446</v>
      </c>
    </row>
    <row r="454" spans="4:21" ht="15.75">
      <c r="I454" s="145" t="s">
        <v>447</v>
      </c>
      <c r="K454" s="179" t="s">
        <v>448</v>
      </c>
      <c r="L454" s="143">
        <f t="shared" si="35"/>
        <v>567517767.7883544</v>
      </c>
      <c r="M454" s="143">
        <f t="shared" si="29"/>
        <v>567787320.89194536</v>
      </c>
      <c r="N454" s="104">
        <f t="shared" si="30"/>
        <v>269553.10359096527</v>
      </c>
      <c r="O454" s="104">
        <f t="shared" si="31"/>
        <v>911837.49999992759</v>
      </c>
      <c r="P454" s="3">
        <v>0</v>
      </c>
      <c r="Q454" s="142">
        <f t="shared" si="32"/>
        <v>911837.49999992759</v>
      </c>
      <c r="R454" s="97">
        <f t="shared" si="33"/>
        <v>911837.5</v>
      </c>
      <c r="S454" s="105">
        <f t="shared" si="34"/>
        <v>7.2410330176353455E-8</v>
      </c>
      <c r="T454" s="189">
        <v>7.2946999999999997</v>
      </c>
      <c r="U454" s="178" t="s">
        <v>449</v>
      </c>
    </row>
    <row r="455" spans="4:21" ht="15.75">
      <c r="I455" s="3" t="s">
        <v>450</v>
      </c>
      <c r="K455" s="179" t="s">
        <v>451</v>
      </c>
      <c r="L455" s="104">
        <f t="shared" si="35"/>
        <v>567787321.89194536</v>
      </c>
      <c r="M455" s="104">
        <f t="shared" si="29"/>
        <v>567964671.3683368</v>
      </c>
      <c r="N455" s="104">
        <f t="shared" si="30"/>
        <v>177349.47639143467</v>
      </c>
      <c r="O455" s="104">
        <f t="shared" si="31"/>
        <v>599933.37500003539</v>
      </c>
      <c r="P455" s="3">
        <v>0</v>
      </c>
      <c r="Q455" s="97">
        <f t="shared" si="32"/>
        <v>599933.37500003539</v>
      </c>
      <c r="R455" s="97">
        <f t="shared" si="33"/>
        <v>599933.375</v>
      </c>
      <c r="S455" s="105">
        <f t="shared" si="34"/>
        <v>-3.5390257835388184E-8</v>
      </c>
      <c r="T455" s="189">
        <v>4.7994669999999999</v>
      </c>
      <c r="U455" s="178" t="s">
        <v>452</v>
      </c>
    </row>
    <row r="456" spans="4:21" ht="15.75">
      <c r="I456" s="3" t="s">
        <v>453</v>
      </c>
      <c r="J456" s="3" t="s">
        <v>454</v>
      </c>
      <c r="K456" s="179" t="s">
        <v>455</v>
      </c>
      <c r="L456" s="104">
        <f t="shared" si="35"/>
        <v>567964672.3683368</v>
      </c>
      <c r="M456" s="104">
        <f t="shared" si="29"/>
        <v>568278440.02211213</v>
      </c>
      <c r="N456" s="104">
        <f t="shared" si="30"/>
        <v>313767.65377533436</v>
      </c>
      <c r="O456" s="104">
        <f t="shared" si="31"/>
        <v>1061405.3749998568</v>
      </c>
      <c r="P456" s="3">
        <v>0</v>
      </c>
      <c r="Q456" s="97">
        <f t="shared" si="32"/>
        <v>1061405.3749998568</v>
      </c>
      <c r="R456" s="97">
        <f t="shared" si="33"/>
        <v>1061405.375</v>
      </c>
      <c r="S456" s="105">
        <f t="shared" si="34"/>
        <v>1.4319084584712982E-7</v>
      </c>
      <c r="T456" s="189">
        <v>8.4912430000000008</v>
      </c>
      <c r="U456" s="178" t="s">
        <v>456</v>
      </c>
    </row>
    <row r="460" spans="4:21">
      <c r="U460" s="180"/>
    </row>
    <row r="461" spans="4:21">
      <c r="N461" s="187" t="s">
        <v>424</v>
      </c>
      <c r="O461" s="3" t="s">
        <v>253</v>
      </c>
      <c r="P461" s="3">
        <f>P462*3600*24</f>
        <v>2.3381740799999999</v>
      </c>
      <c r="Q461">
        <f>P461/8</f>
        <v>0.29227175999999999</v>
      </c>
      <c r="R461" s="3" t="s">
        <v>254</v>
      </c>
    </row>
    <row r="462" spans="4:21">
      <c r="D462" s="126" t="s">
        <v>457</v>
      </c>
      <c r="E462" s="126">
        <v>565852617</v>
      </c>
      <c r="F462" t="s">
        <v>458</v>
      </c>
      <c r="J462" s="17"/>
      <c r="M462" t="s">
        <v>256</v>
      </c>
      <c r="P462" s="3">
        <v>2.70622E-5</v>
      </c>
      <c r="Q462" t="s">
        <v>195</v>
      </c>
      <c r="R462" s="134" t="s">
        <v>60</v>
      </c>
      <c r="S462" s="135">
        <f>S463/8</f>
        <v>3.3827750000000001</v>
      </c>
    </row>
    <row r="463" spans="4:21">
      <c r="D463" s="126" t="s">
        <v>459</v>
      </c>
      <c r="E463" s="126">
        <v>567592559</v>
      </c>
      <c r="F463" t="s">
        <v>460</v>
      </c>
      <c r="I463" s="3">
        <f>G463*S464</f>
        <v>0</v>
      </c>
      <c r="M463" s="5" t="s">
        <v>259</v>
      </c>
      <c r="P463" s="3">
        <v>1.579</v>
      </c>
      <c r="Q463" s="93" t="s">
        <v>198</v>
      </c>
      <c r="R463" s="137" t="s">
        <v>59</v>
      </c>
      <c r="S463" s="138">
        <f>S464*1000000</f>
        <v>27.062200000000001</v>
      </c>
    </row>
    <row r="464" spans="4:21">
      <c r="E464" s="3"/>
      <c r="J464" s="17"/>
      <c r="K464" s="54" t="s">
        <v>461</v>
      </c>
      <c r="L464" s="55"/>
      <c r="M464" s="55"/>
      <c r="N464" s="56"/>
      <c r="P464" s="95">
        <f>P463*1000000/8</f>
        <v>197375</v>
      </c>
      <c r="Q464" s="93" t="s">
        <v>203</v>
      </c>
      <c r="R464" s="139" t="s">
        <v>62</v>
      </c>
      <c r="S464" s="140">
        <v>2.70622E-5</v>
      </c>
      <c r="T464" s="5" t="s">
        <v>21</v>
      </c>
    </row>
    <row r="465" spans="4:22">
      <c r="E465" s="3"/>
      <c r="K465" s="73" t="s">
        <v>64</v>
      </c>
      <c r="L465" s="72" t="s">
        <v>65</v>
      </c>
      <c r="M465" s="73" t="s">
        <v>66</v>
      </c>
      <c r="N465" s="73" t="s">
        <v>67</v>
      </c>
      <c r="O465" s="74" t="s">
        <v>68</v>
      </c>
      <c r="P465" s="3" t="s">
        <v>176</v>
      </c>
      <c r="Q465" s="74" t="s">
        <v>265</v>
      </c>
      <c r="R465" s="73" t="s">
        <v>266</v>
      </c>
      <c r="S465" s="73" t="s">
        <v>70</v>
      </c>
    </row>
    <row r="466" spans="4:22">
      <c r="E466" s="3"/>
      <c r="K466" s="172"/>
      <c r="L466" s="173"/>
      <c r="M466" s="173"/>
      <c r="N466" s="173"/>
      <c r="O466" s="173"/>
      <c r="P466" s="174"/>
      <c r="Q466" s="175"/>
      <c r="R466" s="176"/>
      <c r="S466" s="161"/>
    </row>
    <row r="467" spans="4:22" ht="15.75">
      <c r="D467" s="2" t="s">
        <v>462</v>
      </c>
      <c r="E467" s="190">
        <v>567592797</v>
      </c>
      <c r="F467" t="s">
        <v>463</v>
      </c>
      <c r="I467" s="145" t="s">
        <v>454</v>
      </c>
      <c r="K467" s="179" t="s">
        <v>464</v>
      </c>
      <c r="L467" s="143">
        <f>M456+1</f>
        <v>568278441.02211213</v>
      </c>
      <c r="M467" s="143">
        <f>((R467-P467*$P$391)/$S$389)+L467</f>
        <v>568321305.23862076</v>
      </c>
      <c r="N467" s="104">
        <f t="shared" ref="N467:N474" si="36">M467-L467</f>
        <v>42864.216508626938</v>
      </c>
      <c r="O467" s="104">
        <f t="shared" ref="O467:O474" si="37">N467*$S$417</f>
        <v>144999.99999997049</v>
      </c>
      <c r="P467" s="3">
        <v>0</v>
      </c>
      <c r="Q467" s="142">
        <f t="shared" ref="Q467:Q474" si="38">O467+P467*$P$419</f>
        <v>144999.99999997049</v>
      </c>
      <c r="R467" s="97">
        <f t="shared" ref="R467:R472" si="39">T467*1000000/8</f>
        <v>145000</v>
      </c>
      <c r="S467" s="105">
        <f t="shared" ref="S467:S474" si="40">R467-Q467</f>
        <v>2.9511284083127975E-8</v>
      </c>
      <c r="T467" s="189">
        <v>1.1599999999999999</v>
      </c>
      <c r="U467" s="178" t="s">
        <v>465</v>
      </c>
      <c r="V467" t="s">
        <v>466</v>
      </c>
    </row>
    <row r="468" spans="4:22" ht="15.75">
      <c r="D468" s="2" t="s">
        <v>467</v>
      </c>
      <c r="E468" s="190">
        <v>569419136</v>
      </c>
      <c r="F468" t="s">
        <v>468</v>
      </c>
      <c r="I468" s="145" t="s">
        <v>469</v>
      </c>
      <c r="K468" s="179" t="s">
        <v>470</v>
      </c>
      <c r="L468" s="143">
        <f>M467+1</f>
        <v>568321306.23862076</v>
      </c>
      <c r="M468" s="143">
        <f>((R468-P468*$P$391)/$S$389)+L468</f>
        <v>568619877.67774987</v>
      </c>
      <c r="N468" s="104">
        <f t="shared" si="36"/>
        <v>298571.43912911415</v>
      </c>
      <c r="O468" s="104">
        <f t="shared" si="37"/>
        <v>1009999.9999999892</v>
      </c>
      <c r="P468" s="3">
        <v>0</v>
      </c>
      <c r="Q468" s="142">
        <f t="shared" si="38"/>
        <v>1009999.9999999892</v>
      </c>
      <c r="R468" s="97">
        <f t="shared" si="39"/>
        <v>1010000</v>
      </c>
      <c r="S468" s="105">
        <f t="shared" si="40"/>
        <v>1.0826624929904938E-8</v>
      </c>
      <c r="T468" s="189">
        <v>8.08</v>
      </c>
      <c r="U468" s="178" t="s">
        <v>471</v>
      </c>
      <c r="V468" t="s">
        <v>472</v>
      </c>
    </row>
    <row r="469" spans="4:22" ht="15.75">
      <c r="E469" s="3"/>
      <c r="I469" s="145" t="s">
        <v>473</v>
      </c>
      <c r="K469" s="179" t="s">
        <v>474</v>
      </c>
      <c r="L469" s="143">
        <f>M468+1</f>
        <v>568619878.67774987</v>
      </c>
      <c r="M469" s="143">
        <f>((R469-P469*$P$391)/$S$389)+L469</f>
        <v>568794291.69664705</v>
      </c>
      <c r="N469" s="104">
        <f t="shared" si="36"/>
        <v>174413.01889717579</v>
      </c>
      <c r="O469" s="104">
        <f t="shared" si="37"/>
        <v>589999.99999989383</v>
      </c>
      <c r="P469" s="3">
        <v>0</v>
      </c>
      <c r="Q469" s="142">
        <f t="shared" si="38"/>
        <v>589999.99999989383</v>
      </c>
      <c r="R469" s="97">
        <f t="shared" si="39"/>
        <v>590000</v>
      </c>
      <c r="S469" s="105">
        <f t="shared" si="40"/>
        <v>1.0617077350616455E-7</v>
      </c>
      <c r="T469" s="189">
        <v>4.72</v>
      </c>
      <c r="U469" s="178" t="s">
        <v>475</v>
      </c>
    </row>
    <row r="470" spans="4:22" ht="15.75">
      <c r="E470" s="3"/>
      <c r="I470" s="145" t="s">
        <v>476</v>
      </c>
      <c r="K470" s="179" t="s">
        <v>477</v>
      </c>
      <c r="L470" s="143">
        <f>M469+1</f>
        <v>568794292.69664705</v>
      </c>
      <c r="M470" s="143">
        <f>((R470-P470*$P$391)/$S$389)+L470</f>
        <v>569286861.66738856</v>
      </c>
      <c r="N470" s="104">
        <f t="shared" si="36"/>
        <v>492568.97074151039</v>
      </c>
      <c r="O470" s="104">
        <f t="shared" si="37"/>
        <v>1666250.0000001129</v>
      </c>
      <c r="P470" s="3">
        <v>0</v>
      </c>
      <c r="Q470" s="142">
        <f t="shared" si="38"/>
        <v>1666250.0000001129</v>
      </c>
      <c r="R470" s="97">
        <f t="shared" si="39"/>
        <v>1666250</v>
      </c>
      <c r="S470" s="105">
        <f t="shared" si="40"/>
        <v>-1.1292286217212677E-7</v>
      </c>
      <c r="T470" s="189">
        <v>13.33</v>
      </c>
      <c r="U470" s="178" t="s">
        <v>478</v>
      </c>
    </row>
    <row r="471" spans="4:22" ht="15.75">
      <c r="E471" s="3"/>
      <c r="I471" s="145" t="s">
        <v>479</v>
      </c>
      <c r="K471" s="179" t="s">
        <v>480</v>
      </c>
      <c r="L471" s="143">
        <f>M470+1</f>
        <v>569286862.66738856</v>
      </c>
      <c r="M471" s="143">
        <f>((R471-P471*$P$391)/$S$389)+L471</f>
        <v>569780909.71456134</v>
      </c>
      <c r="N471" s="104">
        <f t="shared" si="36"/>
        <v>494047.04717278481</v>
      </c>
      <c r="O471" s="104">
        <f t="shared" si="37"/>
        <v>1671249.9999999171</v>
      </c>
      <c r="P471" s="3">
        <v>0</v>
      </c>
      <c r="Q471" s="142">
        <f t="shared" si="38"/>
        <v>1671249.9999999171</v>
      </c>
      <c r="R471" s="97">
        <f t="shared" si="39"/>
        <v>1671250</v>
      </c>
      <c r="S471" s="105">
        <f t="shared" si="40"/>
        <v>8.2887709140777588E-8</v>
      </c>
      <c r="T471" s="189">
        <v>13.37</v>
      </c>
      <c r="U471" s="178" t="s">
        <v>481</v>
      </c>
    </row>
    <row r="472" spans="4:22" ht="15.75">
      <c r="D472" s="129" t="s">
        <v>482</v>
      </c>
      <c r="E472" s="129">
        <v>569871822</v>
      </c>
      <c r="F472" t="s">
        <v>240</v>
      </c>
      <c r="I472" s="145" t="s">
        <v>483</v>
      </c>
      <c r="J472" s="3" t="s">
        <v>484</v>
      </c>
      <c r="K472" s="179" t="s">
        <v>485</v>
      </c>
      <c r="L472" s="143">
        <f>M471+1</f>
        <v>569780910.71456134</v>
      </c>
      <c r="M472" s="151">
        <f>E472+20</f>
        <v>569871842</v>
      </c>
      <c r="N472" s="104">
        <f t="shared" si="36"/>
        <v>90931.285438656807</v>
      </c>
      <c r="O472" s="104">
        <f t="shared" si="37"/>
        <v>307600.0790997523</v>
      </c>
      <c r="P472" s="3">
        <v>0</v>
      </c>
      <c r="Q472" s="142">
        <f t="shared" si="38"/>
        <v>307600.0790997523</v>
      </c>
      <c r="R472" s="97">
        <f t="shared" si="39"/>
        <v>3845000</v>
      </c>
      <c r="S472" s="105">
        <f t="shared" si="40"/>
        <v>3537399.9209002475</v>
      </c>
      <c r="T472" s="189">
        <v>30.76</v>
      </c>
      <c r="U472" s="178" t="s">
        <v>486</v>
      </c>
    </row>
    <row r="473" spans="4:22" ht="15.75">
      <c r="D473" s="129" t="s">
        <v>487</v>
      </c>
      <c r="E473" s="129">
        <v>569881616</v>
      </c>
      <c r="F473" t="s">
        <v>244</v>
      </c>
      <c r="I473" s="145" t="s">
        <v>488</v>
      </c>
      <c r="J473" s="3" t="s">
        <v>489</v>
      </c>
      <c r="K473" s="179" t="s">
        <v>485</v>
      </c>
      <c r="L473" s="150">
        <f>E473-20</f>
        <v>569881596</v>
      </c>
      <c r="M473" s="151">
        <f>E475+20</f>
        <v>570458102</v>
      </c>
      <c r="N473" s="104">
        <f t="shared" si="36"/>
        <v>576506</v>
      </c>
      <c r="O473" s="104">
        <f t="shared" si="37"/>
        <v>1950190.08415</v>
      </c>
      <c r="P473" s="3">
        <v>0</v>
      </c>
      <c r="Q473" s="142">
        <f t="shared" si="38"/>
        <v>1950190.08415</v>
      </c>
      <c r="R473" s="97">
        <f>S472</f>
        <v>3537399.9209002475</v>
      </c>
      <c r="S473" s="105">
        <f t="shared" si="40"/>
        <v>1587209.8367502475</v>
      </c>
      <c r="T473" s="189"/>
      <c r="U473" s="178"/>
    </row>
    <row r="474" spans="4:22" ht="15.75">
      <c r="E474" s="3"/>
      <c r="I474" s="3" t="s">
        <v>490</v>
      </c>
      <c r="J474" s="3" t="s">
        <v>491</v>
      </c>
      <c r="K474" s="179" t="s">
        <v>492</v>
      </c>
      <c r="L474" s="150">
        <f>E476-20</f>
        <v>570471156</v>
      </c>
      <c r="M474" s="143">
        <f>((R474-P474*$P$391)/$S$389)+L474</f>
        <v>570940359.49025583</v>
      </c>
      <c r="N474" s="104">
        <f t="shared" si="36"/>
        <v>469203.49025583267</v>
      </c>
      <c r="O474" s="104">
        <f t="shared" si="37"/>
        <v>1587209.8367501744</v>
      </c>
      <c r="P474" s="3">
        <v>0</v>
      </c>
      <c r="Q474" s="142">
        <f t="shared" si="38"/>
        <v>1587209.8367501744</v>
      </c>
      <c r="R474" s="97">
        <f>S473</f>
        <v>1587209.8367502475</v>
      </c>
      <c r="S474" s="105">
        <f t="shared" si="40"/>
        <v>7.3108822107315063E-8</v>
      </c>
      <c r="T474" s="189"/>
      <c r="U474" s="178"/>
    </row>
    <row r="475" spans="4:22" ht="15.75">
      <c r="D475" s="129" t="s">
        <v>493</v>
      </c>
      <c r="E475" s="129">
        <v>570458082</v>
      </c>
      <c r="F475" t="s">
        <v>240</v>
      </c>
      <c r="K475" s="179"/>
      <c r="L475" s="104"/>
      <c r="M475" s="104"/>
      <c r="N475" s="104"/>
      <c r="O475" s="104"/>
      <c r="P475" s="3" t="s">
        <v>494</v>
      </c>
      <c r="Q475" s="97"/>
      <c r="R475" s="97"/>
      <c r="S475" s="105"/>
      <c r="T475" s="189"/>
      <c r="U475" s="178"/>
    </row>
    <row r="476" spans="4:22">
      <c r="D476" s="129" t="s">
        <v>495</v>
      </c>
      <c r="E476" s="129">
        <v>570471176</v>
      </c>
      <c r="F476" t="s">
        <v>244</v>
      </c>
    </row>
    <row r="479" spans="4:22">
      <c r="N479" s="187" t="s">
        <v>424</v>
      </c>
      <c r="O479" s="3" t="s">
        <v>253</v>
      </c>
      <c r="P479" s="3">
        <f>P480*3600*24</f>
        <v>2.3381740799999999</v>
      </c>
      <c r="Q479">
        <f>P479/8</f>
        <v>0.29227175999999999</v>
      </c>
      <c r="R479" s="3" t="s">
        <v>254</v>
      </c>
    </row>
    <row r="480" spans="4:22">
      <c r="M480" t="s">
        <v>256</v>
      </c>
      <c r="P480" s="3">
        <v>2.70622E-5</v>
      </c>
      <c r="Q480" t="s">
        <v>195</v>
      </c>
      <c r="R480" s="134" t="s">
        <v>60</v>
      </c>
      <c r="S480" s="135">
        <f>S481/8</f>
        <v>3.3827750000000001</v>
      </c>
    </row>
    <row r="481" spans="7:24">
      <c r="M481" s="5" t="s">
        <v>259</v>
      </c>
      <c r="P481" s="3">
        <v>1.579</v>
      </c>
      <c r="Q481" s="93" t="s">
        <v>198</v>
      </c>
      <c r="R481" s="137" t="s">
        <v>59</v>
      </c>
      <c r="S481" s="138">
        <f>S482*1000000</f>
        <v>27.062200000000001</v>
      </c>
    </row>
    <row r="482" spans="7:24">
      <c r="K482" s="54" t="s">
        <v>496</v>
      </c>
      <c r="L482" s="55"/>
      <c r="M482" s="55"/>
      <c r="N482" s="56"/>
      <c r="P482" s="95">
        <f>P481*1000000/8</f>
        <v>197375</v>
      </c>
      <c r="Q482" s="93" t="s">
        <v>203</v>
      </c>
      <c r="R482" s="139" t="s">
        <v>62</v>
      </c>
      <c r="S482" s="140">
        <v>2.70622E-5</v>
      </c>
      <c r="T482" s="5" t="s">
        <v>21</v>
      </c>
    </row>
    <row r="483" spans="7:24">
      <c r="K483" s="73" t="s">
        <v>64</v>
      </c>
      <c r="L483" s="72" t="s">
        <v>65</v>
      </c>
      <c r="M483" s="73" t="s">
        <v>66</v>
      </c>
      <c r="N483" s="73" t="s">
        <v>67</v>
      </c>
      <c r="O483" s="74" t="s">
        <v>68</v>
      </c>
      <c r="P483" s="3" t="s">
        <v>176</v>
      </c>
      <c r="Q483" s="74" t="s">
        <v>265</v>
      </c>
      <c r="R483" s="73" t="s">
        <v>266</v>
      </c>
      <c r="S483" s="73" t="s">
        <v>70</v>
      </c>
      <c r="U483" t="s">
        <v>497</v>
      </c>
    </row>
    <row r="484" spans="7:24">
      <c r="I484" s="3" t="s">
        <v>498</v>
      </c>
      <c r="J484" s="3">
        <v>548444516</v>
      </c>
      <c r="K484" s="172"/>
      <c r="L484" s="173">
        <v>548271544</v>
      </c>
      <c r="M484" s="176" t="s">
        <v>499</v>
      </c>
      <c r="N484" s="173"/>
      <c r="O484" s="173"/>
      <c r="P484" s="174"/>
      <c r="Q484" s="175"/>
      <c r="R484" s="176"/>
      <c r="S484" s="161"/>
    </row>
    <row r="485" spans="7:24" ht="31.5">
      <c r="G485" s="178" t="s">
        <v>500</v>
      </c>
      <c r="H485" s="191" t="s">
        <v>501</v>
      </c>
      <c r="I485" s="93" t="s">
        <v>502</v>
      </c>
      <c r="K485" s="179" t="s">
        <v>503</v>
      </c>
      <c r="L485" s="180">
        <f>L484-Q495</f>
        <v>548098744</v>
      </c>
      <c r="M485" s="180">
        <f>J486+20</f>
        <v>548464853</v>
      </c>
      <c r="O485" s="104"/>
      <c r="P485" s="3">
        <v>0</v>
      </c>
      <c r="Q485" s="180">
        <f>1625000*2</f>
        <v>3250000</v>
      </c>
      <c r="R485" s="97">
        <f>T485*1000000/8</f>
        <v>749375.00000000012</v>
      </c>
      <c r="S485" s="105">
        <f>R485-Q485</f>
        <v>-2500625</v>
      </c>
      <c r="T485" s="189">
        <f t="shared" ref="T485:T491" si="41">U485*1.1</f>
        <v>5.995000000000001</v>
      </c>
      <c r="U485" s="189">
        <v>5.45</v>
      </c>
      <c r="V485" s="178" t="s">
        <v>500</v>
      </c>
      <c r="W485" s="178"/>
      <c r="X485" s="191" t="s">
        <v>501</v>
      </c>
    </row>
    <row r="486" spans="7:24" ht="31.5">
      <c r="G486" s="178" t="s">
        <v>504</v>
      </c>
      <c r="H486" s="192" t="s">
        <v>505</v>
      </c>
      <c r="I486" s="127" t="s">
        <v>506</v>
      </c>
      <c r="J486" s="127">
        <v>548464833</v>
      </c>
      <c r="K486" s="179" t="s">
        <v>507</v>
      </c>
      <c r="L486" s="143"/>
      <c r="M486" s="143"/>
      <c r="N486" s="104">
        <f>M486-L486</f>
        <v>0</v>
      </c>
      <c r="O486" s="104">
        <f>N486*$S$417</f>
        <v>0</v>
      </c>
      <c r="P486" s="3">
        <v>0</v>
      </c>
      <c r="Q486" s="142">
        <f>O486+P486*$P$419</f>
        <v>0</v>
      </c>
      <c r="R486" s="97">
        <f>T486*1000000/8</f>
        <v>1056000</v>
      </c>
      <c r="S486" s="105">
        <f>S485+R486</f>
        <v>-1444625</v>
      </c>
      <c r="T486" s="189">
        <f t="shared" si="41"/>
        <v>8.4480000000000004</v>
      </c>
      <c r="U486" s="189">
        <v>7.68</v>
      </c>
      <c r="V486" s="178" t="s">
        <v>504</v>
      </c>
      <c r="W486" s="178"/>
      <c r="X486" s="192" t="s">
        <v>505</v>
      </c>
    </row>
    <row r="487" spans="7:24" ht="15.75">
      <c r="I487" t="s">
        <v>508</v>
      </c>
      <c r="Q487" s="142">
        <f>O487+P487*$P$419</f>
        <v>0</v>
      </c>
      <c r="R487" s="97">
        <f>T487*1000000/8</f>
        <v>1375000</v>
      </c>
      <c r="S487" s="105">
        <f>S486+R487</f>
        <v>-69625</v>
      </c>
      <c r="T487" s="189">
        <f t="shared" si="41"/>
        <v>11</v>
      </c>
      <c r="U487" s="189">
        <v>10</v>
      </c>
      <c r="V487" s="178" t="s">
        <v>509</v>
      </c>
      <c r="W487" s="178"/>
      <c r="X487" s="192"/>
    </row>
    <row r="488" spans="7:24" ht="31.5">
      <c r="G488" s="178" t="s">
        <v>510</v>
      </c>
      <c r="H488" s="192" t="s">
        <v>511</v>
      </c>
      <c r="I488" s="3" t="s">
        <v>512</v>
      </c>
      <c r="K488" s="179" t="s">
        <v>513</v>
      </c>
      <c r="L488" s="143">
        <f>M474+1</f>
        <v>570940360.49025583</v>
      </c>
      <c r="M488" s="143">
        <f>((R488-P488*$P$482)/$S$480)+L488</f>
        <v>571054504.94266546</v>
      </c>
      <c r="N488" s="104">
        <f>M488-L488</f>
        <v>114144.45240962505</v>
      </c>
      <c r="O488" s="104">
        <f>N488*$S$417</f>
        <v>386124.99999996938</v>
      </c>
      <c r="P488" s="3">
        <v>1</v>
      </c>
      <c r="Q488" s="142">
        <f>O488+P488*$P$482</f>
        <v>583499.99999996938</v>
      </c>
      <c r="R488" s="97">
        <f>T488*1000000/8+S487</f>
        <v>583500.00000000012</v>
      </c>
      <c r="S488" s="105">
        <f>R488-Q488</f>
        <v>3.0733644962310791E-8</v>
      </c>
      <c r="T488" s="189">
        <f t="shared" si="41"/>
        <v>5.2250000000000005</v>
      </c>
      <c r="U488" s="189">
        <v>4.75</v>
      </c>
      <c r="V488" s="178" t="s">
        <v>510</v>
      </c>
      <c r="W488" s="178"/>
      <c r="X488" s="192" t="s">
        <v>511</v>
      </c>
    </row>
    <row r="489" spans="7:24" ht="31.5">
      <c r="G489" s="178" t="s">
        <v>514</v>
      </c>
      <c r="H489" s="192" t="s">
        <v>515</v>
      </c>
      <c r="I489" s="3" t="s">
        <v>516</v>
      </c>
      <c r="K489" s="179" t="s">
        <v>517</v>
      </c>
      <c r="L489" s="143">
        <f>M488+1</f>
        <v>571054505.94266546</v>
      </c>
      <c r="M489" s="143">
        <f>((R489-P489*$P$482)/$S$480)+L489</f>
        <v>571177038.47882295</v>
      </c>
      <c r="N489" s="104">
        <f>M489-L489</f>
        <v>122532.53615748882</v>
      </c>
      <c r="O489" s="104">
        <f>N489*$S$417</f>
        <v>414500.00000014924</v>
      </c>
      <c r="P489" s="3">
        <v>1</v>
      </c>
      <c r="Q489" s="142">
        <f>O489+P489*$P$419</f>
        <v>611875.00000014924</v>
      </c>
      <c r="R489" s="97">
        <f>T489*1000000/8</f>
        <v>611875</v>
      </c>
      <c r="S489" s="105">
        <f>R489-Q489</f>
        <v>-1.4924444258213043E-7</v>
      </c>
      <c r="T489" s="189">
        <f t="shared" si="41"/>
        <v>4.8950000000000005</v>
      </c>
      <c r="U489" s="189">
        <v>4.45</v>
      </c>
      <c r="V489" s="178" t="s">
        <v>514</v>
      </c>
      <c r="W489" s="178"/>
      <c r="X489" s="192" t="s">
        <v>515</v>
      </c>
    </row>
    <row r="490" spans="7:24" ht="31.5">
      <c r="G490" s="178" t="s">
        <v>518</v>
      </c>
      <c r="H490" s="192" t="s">
        <v>519</v>
      </c>
      <c r="I490" s="3" t="s">
        <v>520</v>
      </c>
      <c r="K490" s="179" t="s">
        <v>521</v>
      </c>
      <c r="L490" s="143">
        <f>M489+1</f>
        <v>571177039.47882295</v>
      </c>
      <c r="M490" s="143">
        <f>((R490-P490*$P$482)/$S$480)+L490</f>
        <v>572282640.64945948</v>
      </c>
      <c r="N490" s="104">
        <f>M490-L490</f>
        <v>1105601.1706365347</v>
      </c>
      <c r="O490" s="104">
        <f>N490*$S$417</f>
        <v>3740000.0000000037</v>
      </c>
      <c r="P490" s="3">
        <v>0</v>
      </c>
      <c r="Q490" s="142">
        <f>O490+P490*$P$419</f>
        <v>3740000.0000000037</v>
      </c>
      <c r="R490" s="97">
        <f>T490*1000000/8</f>
        <v>3740000</v>
      </c>
      <c r="S490" s="105">
        <f>R490-Q490</f>
        <v>-3.7252902984619141E-9</v>
      </c>
      <c r="T490" s="189">
        <f t="shared" si="41"/>
        <v>29.92</v>
      </c>
      <c r="U490" s="189">
        <v>27.2</v>
      </c>
      <c r="V490" s="178" t="s">
        <v>518</v>
      </c>
      <c r="W490" s="178"/>
      <c r="X490" s="192" t="s">
        <v>519</v>
      </c>
    </row>
    <row r="491" spans="7:24" ht="31.5">
      <c r="G491" s="178" t="s">
        <v>522</v>
      </c>
      <c r="H491" s="192" t="s">
        <v>523</v>
      </c>
      <c r="I491" s="3" t="s">
        <v>524</v>
      </c>
      <c r="J491" s="3" t="s">
        <v>525</v>
      </c>
      <c r="K491" s="179" t="s">
        <v>526</v>
      </c>
      <c r="L491" s="143">
        <f>M490+1</f>
        <v>572282641.64945948</v>
      </c>
      <c r="M491" s="143">
        <f>((R491-P491*$P$482)/$S$480)+L491</f>
        <v>572947628.2359159</v>
      </c>
      <c r="N491" s="104">
        <f>M491-L491</f>
        <v>664986.58645641804</v>
      </c>
      <c r="O491" s="104">
        <f>N491*$S$417</f>
        <v>2249500.0000001094</v>
      </c>
      <c r="P491" s="3">
        <v>0</v>
      </c>
      <c r="Q491" s="142">
        <f>O491+P491*$P$419</f>
        <v>2249500.0000001094</v>
      </c>
      <c r="R491" s="97">
        <f>T491*1000000/8</f>
        <v>2249500.0000000005</v>
      </c>
      <c r="S491" s="105">
        <f>R491-Q491</f>
        <v>-1.0896474123001099E-7</v>
      </c>
      <c r="T491" s="189">
        <f t="shared" si="41"/>
        <v>17.996000000000002</v>
      </c>
      <c r="U491" s="189">
        <v>16.36</v>
      </c>
      <c r="V491" s="178" t="s">
        <v>522</v>
      </c>
      <c r="W491" s="178"/>
      <c r="X491" s="192" t="s">
        <v>523</v>
      </c>
    </row>
    <row r="492" spans="7:24" ht="15.75">
      <c r="K492" s="179"/>
      <c r="L492" s="143"/>
      <c r="M492" s="143"/>
      <c r="N492" s="104"/>
      <c r="O492" s="104"/>
      <c r="Q492" s="142"/>
      <c r="R492" s="97"/>
      <c r="S492" s="105"/>
      <c r="T492" s="189"/>
      <c r="U492" s="189"/>
      <c r="V492" s="178"/>
      <c r="W492" s="178"/>
      <c r="X492" s="193"/>
    </row>
    <row r="493" spans="7:24" ht="15.75">
      <c r="K493" s="179"/>
      <c r="L493" s="104"/>
      <c r="M493" s="104">
        <v>573021533</v>
      </c>
      <c r="N493" s="104" t="s">
        <v>527</v>
      </c>
      <c r="O493" s="104"/>
      <c r="Q493" s="97"/>
      <c r="R493" s="97"/>
      <c r="S493" s="105"/>
      <c r="T493" s="189"/>
      <c r="U493" s="189"/>
      <c r="V493" s="178"/>
      <c r="W493" s="178"/>
    </row>
    <row r="494" spans="7:24" ht="15.75">
      <c r="K494" s="179"/>
      <c r="L494" s="104"/>
      <c r="M494" s="104"/>
      <c r="N494" s="104"/>
      <c r="O494" s="104"/>
      <c r="Q494" s="194">
        <f>1625000/(48*3600)</f>
        <v>9.4039351851851851</v>
      </c>
      <c r="R494" t="s">
        <v>528</v>
      </c>
      <c r="S494" s="105"/>
      <c r="T494" s="189"/>
      <c r="U494" s="189"/>
      <c r="V494" s="178"/>
      <c r="W494" s="178"/>
    </row>
    <row r="495" spans="7:24">
      <c r="L495">
        <f>P479*1000000/8</f>
        <v>292271.76</v>
      </c>
      <c r="M495" t="s">
        <v>529</v>
      </c>
      <c r="Q495" s="3">
        <f>48*3600</f>
        <v>172800</v>
      </c>
      <c r="R495" t="s">
        <v>530</v>
      </c>
      <c r="T495" s="5" t="s">
        <v>531</v>
      </c>
      <c r="U495">
        <f>(9/48)*13</f>
        <v>2.4375</v>
      </c>
    </row>
    <row r="496" spans="7:24">
      <c r="Q496" s="3">
        <f>Q495/3600</f>
        <v>48</v>
      </c>
      <c r="R496" t="s">
        <v>532</v>
      </c>
    </row>
    <row r="497" spans="8:24">
      <c r="Q497" s="97"/>
      <c r="R497"/>
      <c r="S497" s="3">
        <f>10*1000000/8</f>
        <v>1250000</v>
      </c>
      <c r="T497" s="5">
        <f>S497/Q494</f>
        <v>132923.07692307694</v>
      </c>
      <c r="U497">
        <f>T497/3600</f>
        <v>36.923076923076927</v>
      </c>
    </row>
    <row r="498" spans="8:24">
      <c r="K498" s="93" t="s">
        <v>533</v>
      </c>
      <c r="W498">
        <v>47</v>
      </c>
    </row>
    <row r="499" spans="8:24">
      <c r="K499" s="93" t="s">
        <v>534</v>
      </c>
      <c r="R499" s="97"/>
    </row>
    <row r="500" spans="8:24">
      <c r="K500" s="93" t="s">
        <v>535</v>
      </c>
    </row>
    <row r="501" spans="8:24">
      <c r="K501" s="93" t="s">
        <v>536</v>
      </c>
    </row>
    <row r="502" spans="8:24">
      <c r="K502" s="93" t="s">
        <v>537</v>
      </c>
    </row>
    <row r="507" spans="8:24">
      <c r="N507" s="187" t="s">
        <v>424</v>
      </c>
      <c r="O507" s="3" t="s">
        <v>253</v>
      </c>
      <c r="P507" s="3">
        <f>P508*3600*24</f>
        <v>2.3381740799999999</v>
      </c>
      <c r="Q507">
        <f>P507/8</f>
        <v>0.29227175999999999</v>
      </c>
      <c r="R507" s="3" t="s">
        <v>254</v>
      </c>
    </row>
    <row r="508" spans="8:24">
      <c r="M508" t="s">
        <v>256</v>
      </c>
      <c r="P508" s="3">
        <v>2.70622E-5</v>
      </c>
      <c r="Q508" t="s">
        <v>195</v>
      </c>
      <c r="R508" s="134" t="s">
        <v>60</v>
      </c>
      <c r="S508" s="135">
        <f>S509/8</f>
        <v>3.3827750000000001</v>
      </c>
    </row>
    <row r="509" spans="8:24">
      <c r="M509" s="5" t="s">
        <v>259</v>
      </c>
      <c r="P509" s="3">
        <v>1.579</v>
      </c>
      <c r="Q509" s="93" t="s">
        <v>198</v>
      </c>
      <c r="R509" s="137" t="s">
        <v>59</v>
      </c>
      <c r="S509" s="138">
        <f>S510*1000000</f>
        <v>27.062200000000001</v>
      </c>
    </row>
    <row r="510" spans="8:24">
      <c r="H510">
        <f>2.3381741*14</f>
        <v>32.734437399999997</v>
      </c>
      <c r="K510" s="54" t="s">
        <v>538</v>
      </c>
      <c r="L510" s="55"/>
      <c r="M510" s="55"/>
      <c r="N510" s="56"/>
      <c r="P510" s="95">
        <f>P509*1000000/8</f>
        <v>197375</v>
      </c>
      <c r="Q510" s="93" t="s">
        <v>203</v>
      </c>
      <c r="R510" s="139" t="s">
        <v>62</v>
      </c>
      <c r="S510" s="140">
        <v>2.70622E-5</v>
      </c>
      <c r="T510" s="5" t="s">
        <v>21</v>
      </c>
    </row>
    <row r="511" spans="8:24">
      <c r="K511" s="73" t="s">
        <v>64</v>
      </c>
      <c r="L511" s="72" t="s">
        <v>65</v>
      </c>
      <c r="M511" s="73" t="s">
        <v>66</v>
      </c>
      <c r="N511" s="73" t="s">
        <v>67</v>
      </c>
      <c r="O511" s="74" t="s">
        <v>68</v>
      </c>
      <c r="P511" s="3" t="s">
        <v>176</v>
      </c>
      <c r="Q511" s="74" t="s">
        <v>265</v>
      </c>
      <c r="R511" s="73" t="s">
        <v>266</v>
      </c>
      <c r="S511" s="73" t="s">
        <v>70</v>
      </c>
      <c r="U511" t="s">
        <v>497</v>
      </c>
    </row>
    <row r="512" spans="8:24" ht="31.5">
      <c r="I512" s="195" t="s">
        <v>539</v>
      </c>
      <c r="J512" s="195" t="s">
        <v>540</v>
      </c>
      <c r="K512" s="196" t="s">
        <v>541</v>
      </c>
      <c r="L512" s="197">
        <f>M512-Q495</f>
        <v>547925944</v>
      </c>
      <c r="M512" s="197">
        <v>548098744</v>
      </c>
      <c r="N512" s="198"/>
      <c r="O512" s="199"/>
      <c r="P512" s="195">
        <v>0</v>
      </c>
      <c r="Q512" s="197">
        <v>1625000</v>
      </c>
      <c r="R512" s="200">
        <f>T512*1000000/8</f>
        <v>2307250.0000000005</v>
      </c>
      <c r="S512" s="201">
        <f>R512-Q512</f>
        <v>682250.00000000047</v>
      </c>
      <c r="T512" s="202">
        <f>U512*1.1</f>
        <v>18.458000000000002</v>
      </c>
      <c r="U512" s="202">
        <v>16.78</v>
      </c>
      <c r="V512" s="203" t="s">
        <v>542</v>
      </c>
      <c r="W512" s="203"/>
      <c r="X512" s="204" t="s">
        <v>543</v>
      </c>
    </row>
    <row r="513" spans="8:24" ht="31.5">
      <c r="H513">
        <f>20.561/2.3381741</f>
        <v>8.793613786073502</v>
      </c>
      <c r="I513" s="3" t="s">
        <v>525</v>
      </c>
      <c r="J513" s="3" t="s">
        <v>544</v>
      </c>
      <c r="K513" s="179" t="s">
        <v>545</v>
      </c>
      <c r="L513" s="143">
        <f>1+M491</f>
        <v>572947629.2359159</v>
      </c>
      <c r="M513" s="143">
        <f>((R513-P513*$P$510)/$S$508)+L513</f>
        <v>573629687.60515416</v>
      </c>
      <c r="N513" s="104">
        <f>M513-L513</f>
        <v>682058.36923825741</v>
      </c>
      <c r="O513" s="104">
        <f>N513*$S$508</f>
        <v>2307249.9999999464</v>
      </c>
      <c r="P513" s="3">
        <v>0</v>
      </c>
      <c r="Q513" s="142">
        <f>O513+P513*$P$482</f>
        <v>2307249.9999999464</v>
      </c>
      <c r="R513" s="97">
        <f>T513*1000000/8</f>
        <v>2307250.0000000005</v>
      </c>
      <c r="S513" s="105">
        <f>R513-Q513</f>
        <v>5.4016709327697754E-8</v>
      </c>
      <c r="T513" s="189">
        <f>U513*1.1</f>
        <v>18.458000000000002</v>
      </c>
      <c r="U513" s="189">
        <v>16.78</v>
      </c>
      <c r="V513" s="178" t="s">
        <v>546</v>
      </c>
      <c r="W513" s="178"/>
      <c r="X513" s="191" t="s">
        <v>547</v>
      </c>
    </row>
    <row r="514" spans="8:24" ht="31.5">
      <c r="I514" s="3" t="s">
        <v>544</v>
      </c>
      <c r="J514" s="3" t="s">
        <v>548</v>
      </c>
      <c r="K514" s="179" t="s">
        <v>549</v>
      </c>
      <c r="L514" s="143">
        <f>M513+1</f>
        <v>573629688.60515416</v>
      </c>
      <c r="M514" s="143">
        <f>((R514-P514*$P$510)/$S$508)+L514</f>
        <v>574158100.92935538</v>
      </c>
      <c r="N514" s="104">
        <f>M514-L514</f>
        <v>528412.32420122623</v>
      </c>
      <c r="O514" s="104">
        <f>N514*$S$417</f>
        <v>1787499.999999803</v>
      </c>
      <c r="P514" s="3">
        <v>0</v>
      </c>
      <c r="Q514" s="142">
        <f>O514+P514*$P$419</f>
        <v>1787499.999999803</v>
      </c>
      <c r="R514" s="97">
        <f>T514*1000000/8</f>
        <v>1787500</v>
      </c>
      <c r="S514" s="105">
        <f>R514-Q514</f>
        <v>1.9697472453117371E-7</v>
      </c>
      <c r="T514" s="189">
        <f>U514*1.1</f>
        <v>14.3</v>
      </c>
      <c r="U514" s="189">
        <v>13</v>
      </c>
      <c r="V514" s="178" t="s">
        <v>550</v>
      </c>
      <c r="W514" s="178"/>
      <c r="X514" s="192" t="s">
        <v>551</v>
      </c>
    </row>
    <row r="515" spans="8:24" ht="31.5">
      <c r="I515" s="3" t="s">
        <v>548</v>
      </c>
      <c r="J515" s="3" t="s">
        <v>552</v>
      </c>
      <c r="K515" s="179" t="s">
        <v>553</v>
      </c>
      <c r="L515" s="143">
        <f>M514+1</f>
        <v>574158101.92935538</v>
      </c>
      <c r="M515" s="143">
        <f>((R515-P515*$P$510)/$S$508)+L515</f>
        <v>574415398.08413959</v>
      </c>
      <c r="N515" s="104">
        <f>M515-L515</f>
        <v>257296.15478420258</v>
      </c>
      <c r="O515" s="104">
        <f>N515*$S$417</f>
        <v>870375.00000013085</v>
      </c>
      <c r="P515" s="3">
        <v>0</v>
      </c>
      <c r="Q515" s="142">
        <f>O515+P515*$P$419</f>
        <v>870375.00000013085</v>
      </c>
      <c r="R515" s="97">
        <f>T515*1000000/8</f>
        <v>870375.00000000012</v>
      </c>
      <c r="S515" s="105">
        <f>R515-Q515</f>
        <v>-1.307344064116478E-7</v>
      </c>
      <c r="T515" s="189">
        <f>U515*1.1</f>
        <v>6.963000000000001</v>
      </c>
      <c r="U515" s="189">
        <v>6.33</v>
      </c>
      <c r="V515" s="178" t="s">
        <v>554</v>
      </c>
      <c r="W515" s="178"/>
      <c r="X515" s="192" t="s">
        <v>555</v>
      </c>
    </row>
    <row r="516" spans="8:24" ht="15.75">
      <c r="K516" s="179"/>
      <c r="L516" s="143"/>
      <c r="M516" s="143"/>
      <c r="N516" s="104"/>
      <c r="O516" s="104"/>
      <c r="Q516" s="142"/>
      <c r="R516" s="97"/>
      <c r="S516" s="105"/>
      <c r="T516" s="189"/>
      <c r="U516" s="189"/>
      <c r="V516" s="178"/>
      <c r="W516" s="178"/>
      <c r="X516" s="192"/>
    </row>
    <row r="517" spans="8:24" ht="15.75">
      <c r="K517" s="179"/>
      <c r="L517" s="143"/>
      <c r="M517" s="143"/>
      <c r="N517" s="104"/>
      <c r="O517" s="104"/>
      <c r="Q517" s="142"/>
      <c r="R517" s="97"/>
      <c r="S517" s="105"/>
      <c r="T517" s="189"/>
      <c r="U517" s="189"/>
      <c r="V517" s="178"/>
      <c r="W517" s="178"/>
      <c r="X517" s="192"/>
    </row>
    <row r="518" spans="8:24">
      <c r="Q518" s="3"/>
      <c r="R518"/>
    </row>
    <row r="519" spans="8:24">
      <c r="Q519" s="3"/>
      <c r="R519"/>
    </row>
    <row r="520" spans="8:24">
      <c r="Q520" s="3"/>
      <c r="R520"/>
    </row>
    <row r="521" spans="8:24">
      <c r="N521" s="187" t="s">
        <v>424</v>
      </c>
      <c r="O521" s="3" t="s">
        <v>253</v>
      </c>
      <c r="P521" s="3">
        <f>P522*3600*24</f>
        <v>2.3381740799999999</v>
      </c>
      <c r="Q521">
        <f>P521/8</f>
        <v>0.29227175999999999</v>
      </c>
      <c r="R521" s="3" t="s">
        <v>254</v>
      </c>
    </row>
    <row r="522" spans="8:24">
      <c r="M522" t="s">
        <v>256</v>
      </c>
      <c r="P522" s="3">
        <v>2.70622E-5</v>
      </c>
      <c r="Q522" t="s">
        <v>195</v>
      </c>
      <c r="R522" s="134" t="s">
        <v>60</v>
      </c>
      <c r="S522" s="135">
        <f>S523/8</f>
        <v>3.3827750000000001</v>
      </c>
    </row>
    <row r="523" spans="8:24">
      <c r="M523" s="5" t="s">
        <v>259</v>
      </c>
      <c r="P523" s="3">
        <v>1.579</v>
      </c>
      <c r="Q523" s="93" t="s">
        <v>198</v>
      </c>
      <c r="R523" s="137" t="s">
        <v>59</v>
      </c>
      <c r="S523" s="138">
        <f>S524*1000000</f>
        <v>27.062200000000001</v>
      </c>
    </row>
    <row r="524" spans="8:24">
      <c r="K524" s="54" t="s">
        <v>556</v>
      </c>
      <c r="L524" s="55"/>
      <c r="M524" s="55"/>
      <c r="N524" s="56"/>
      <c r="P524" s="95">
        <f>P523*1000000/8</f>
        <v>197375</v>
      </c>
      <c r="Q524" s="93" t="s">
        <v>203</v>
      </c>
      <c r="R524" s="139" t="s">
        <v>62</v>
      </c>
      <c r="S524" s="140">
        <v>2.70622E-5</v>
      </c>
      <c r="T524" s="5" t="s">
        <v>21</v>
      </c>
    </row>
    <row r="525" spans="8:24">
      <c r="K525" s="73" t="s">
        <v>64</v>
      </c>
      <c r="L525" s="72" t="s">
        <v>65</v>
      </c>
      <c r="M525" s="73" t="s">
        <v>66</v>
      </c>
      <c r="N525" s="73" t="s">
        <v>67</v>
      </c>
      <c r="O525" s="74" t="s">
        <v>68</v>
      </c>
      <c r="P525" s="3" t="s">
        <v>176</v>
      </c>
      <c r="Q525" s="74" t="s">
        <v>265</v>
      </c>
      <c r="R525" s="73" t="s">
        <v>266</v>
      </c>
      <c r="S525" s="73" t="s">
        <v>70</v>
      </c>
      <c r="U525" t="s">
        <v>497</v>
      </c>
    </row>
    <row r="526" spans="8:24" ht="15.75">
      <c r="I526" s="195"/>
      <c r="J526" s="195"/>
      <c r="K526" s="196"/>
      <c r="L526" s="197"/>
      <c r="M526" s="197"/>
      <c r="N526" s="198"/>
      <c r="O526" s="199"/>
      <c r="P526" s="195"/>
      <c r="Q526" s="197" t="s">
        <v>557</v>
      </c>
      <c r="R526" s="200"/>
      <c r="S526" s="201"/>
      <c r="T526" s="202"/>
      <c r="U526" s="202"/>
      <c r="V526" s="203"/>
      <c r="W526" s="203"/>
      <c r="X526" s="204"/>
    </row>
    <row r="527" spans="8:24" ht="31.5">
      <c r="I527" s="3" t="s">
        <v>552</v>
      </c>
      <c r="J527" s="3" t="s">
        <v>558</v>
      </c>
      <c r="K527" s="179" t="s">
        <v>559</v>
      </c>
      <c r="L527" s="143">
        <f>M515+1</f>
        <v>574415399.08413959</v>
      </c>
      <c r="M527" s="143">
        <f>((R527-P527*$P$510)/$S$508)+L527</f>
        <v>574898286.65425587</v>
      </c>
      <c r="N527" s="104">
        <f>M527-L527</f>
        <v>482887.57011628151</v>
      </c>
      <c r="O527" s="104">
        <f>N527*$S$508</f>
        <v>1633500.0000001043</v>
      </c>
      <c r="P527" s="3">
        <v>0</v>
      </c>
      <c r="Q527" s="142">
        <f>O527+P527*$P$482</f>
        <v>1633500.0000001043</v>
      </c>
      <c r="R527" s="97">
        <f>T527*1000000/8</f>
        <v>1633500.0000000002</v>
      </c>
      <c r="S527" s="105">
        <f>R527-Q527</f>
        <v>-1.0407529771327972E-7</v>
      </c>
      <c r="T527" s="189">
        <f>U527*1.1</f>
        <v>13.068000000000001</v>
      </c>
      <c r="U527" s="189">
        <v>11.88</v>
      </c>
      <c r="V527" s="178" t="s">
        <v>560</v>
      </c>
      <c r="W527" s="178"/>
      <c r="X527" s="191" t="s">
        <v>561</v>
      </c>
    </row>
    <row r="528" spans="8:24" ht="31.5">
      <c r="I528" s="3" t="s">
        <v>558</v>
      </c>
      <c r="J528" s="3" t="s">
        <v>562</v>
      </c>
      <c r="K528" s="179" t="s">
        <v>563</v>
      </c>
      <c r="L528" s="143">
        <f>M527+1</f>
        <v>574898287.65425587</v>
      </c>
      <c r="M528" s="143">
        <f>((R528-P528*$P$510)/$S$508)+L528</f>
        <v>575689280.25648332</v>
      </c>
      <c r="N528" s="104">
        <f>M528-L528</f>
        <v>790992.60222744942</v>
      </c>
      <c r="O528" s="104">
        <f>N528*$S$417</f>
        <v>2675749.9999999604</v>
      </c>
      <c r="P528" s="3">
        <v>0</v>
      </c>
      <c r="Q528" s="142">
        <f>O528+P528*$P$419</f>
        <v>2675749.9999999604</v>
      </c>
      <c r="R528" s="97">
        <f>T528*1000000/8</f>
        <v>2675750.0000000005</v>
      </c>
      <c r="S528" s="105">
        <f>R528-Q528</f>
        <v>4.0046870708465576E-8</v>
      </c>
      <c r="T528" s="189">
        <f>U528*1.1</f>
        <v>21.406000000000002</v>
      </c>
      <c r="U528" s="189">
        <v>19.46</v>
      </c>
      <c r="V528" s="178" t="s">
        <v>564</v>
      </c>
      <c r="W528" s="178"/>
      <c r="X528" s="192" t="s">
        <v>565</v>
      </c>
    </row>
    <row r="529" spans="8:24" ht="31.5">
      <c r="H529" s="17"/>
      <c r="I529" s="3" t="s">
        <v>562</v>
      </c>
      <c r="J529" s="205" t="s">
        <v>566</v>
      </c>
      <c r="K529" s="179" t="s">
        <v>567</v>
      </c>
      <c r="L529" s="143">
        <f>M528+1</f>
        <v>575689281.25648332</v>
      </c>
      <c r="M529" s="206">
        <v>576103939</v>
      </c>
      <c r="N529" s="104">
        <f>M529-L529</f>
        <v>414657.74351668358</v>
      </c>
      <c r="O529" s="104">
        <f>N529*$S$417</f>
        <v>1402693.8483246493</v>
      </c>
      <c r="P529" s="3">
        <v>0</v>
      </c>
      <c r="Q529" s="142">
        <f>O529+P529*$P$419</f>
        <v>1402693.8483246493</v>
      </c>
      <c r="R529" s="97">
        <f>T529*1000000/8</f>
        <v>2989250</v>
      </c>
      <c r="S529" s="105">
        <f>R529-Q529</f>
        <v>1586556.1516753507</v>
      </c>
      <c r="T529" s="189">
        <f>U529*1.1</f>
        <v>23.914000000000001</v>
      </c>
      <c r="U529" s="189">
        <v>21.74</v>
      </c>
      <c r="V529" s="178" t="s">
        <v>568</v>
      </c>
      <c r="W529" s="178"/>
      <c r="X529" s="192" t="s">
        <v>569</v>
      </c>
    </row>
    <row r="530" spans="8:24" ht="31.5">
      <c r="I530" s="205" t="s">
        <v>566</v>
      </c>
      <c r="J530" s="205" t="s">
        <v>570</v>
      </c>
      <c r="K530" s="179" t="s">
        <v>571</v>
      </c>
      <c r="L530" s="143">
        <f>M529+1</f>
        <v>576103940</v>
      </c>
      <c r="M530" s="206">
        <v>576157939</v>
      </c>
      <c r="N530" s="104">
        <f>M530-L530</f>
        <v>53999</v>
      </c>
      <c r="O530" s="104">
        <f>N530*$S$417</f>
        <v>182666.467225</v>
      </c>
      <c r="P530" s="3">
        <v>0</v>
      </c>
      <c r="Q530" s="142">
        <f>O530+P530*$P$419</f>
        <v>182666.467225</v>
      </c>
      <c r="R530" s="97">
        <f>T530*1000000/8</f>
        <v>1212750.0000000002</v>
      </c>
      <c r="S530" s="105">
        <f>R530-Q530</f>
        <v>1030083.5327750002</v>
      </c>
      <c r="T530" s="189">
        <f>U530*1.1</f>
        <v>9.7020000000000017</v>
      </c>
      <c r="U530" s="189">
        <v>8.82</v>
      </c>
      <c r="V530" s="178" t="s">
        <v>572</v>
      </c>
      <c r="W530" s="178"/>
      <c r="X530" s="192" t="s">
        <v>573</v>
      </c>
    </row>
    <row r="531" spans="8:24" ht="31.5">
      <c r="I531" s="205" t="s">
        <v>570</v>
      </c>
      <c r="J531" s="205" t="s">
        <v>574</v>
      </c>
      <c r="K531" s="179" t="s">
        <v>575</v>
      </c>
      <c r="L531" s="143">
        <f>M530+1</f>
        <v>576157940</v>
      </c>
      <c r="M531" s="206">
        <v>576353416</v>
      </c>
      <c r="N531" s="104">
        <f>M531-L531</f>
        <v>195476</v>
      </c>
      <c r="O531" s="104">
        <f>N531*$S$417</f>
        <v>661251.32590000005</v>
      </c>
      <c r="P531" s="3">
        <v>0</v>
      </c>
      <c r="Q531" s="142">
        <f>O531+P531*$P$419</f>
        <v>661251.32590000005</v>
      </c>
      <c r="R531" s="97">
        <f>T531*1000000/8</f>
        <v>768625</v>
      </c>
      <c r="S531" s="105">
        <f>R531-Q531</f>
        <v>107373.67409999995</v>
      </c>
      <c r="T531" s="189">
        <f>U531*1.1</f>
        <v>6.149</v>
      </c>
      <c r="U531" s="189">
        <v>5.59</v>
      </c>
      <c r="V531" s="178" t="s">
        <v>572</v>
      </c>
      <c r="W531" s="178"/>
      <c r="X531" s="192" t="s">
        <v>573</v>
      </c>
    </row>
    <row r="535" spans="8:24">
      <c r="Q535" s="3"/>
      <c r="R535"/>
    </row>
    <row r="536" spans="8:24">
      <c r="N536" s="187" t="s">
        <v>424</v>
      </c>
      <c r="O536" s="3" t="s">
        <v>253</v>
      </c>
      <c r="P536" s="3">
        <f>P537*3600*24</f>
        <v>2.3381740799999999</v>
      </c>
      <c r="Q536">
        <f>P536/8</f>
        <v>0.29227175999999999</v>
      </c>
      <c r="R536" s="3" t="s">
        <v>254</v>
      </c>
    </row>
    <row r="537" spans="8:24">
      <c r="M537" t="s">
        <v>256</v>
      </c>
      <c r="P537" s="3">
        <v>2.70622E-5</v>
      </c>
      <c r="Q537" t="s">
        <v>195</v>
      </c>
      <c r="R537" s="134" t="s">
        <v>60</v>
      </c>
      <c r="S537" s="135">
        <f>S538/8</f>
        <v>3.3827750000000001</v>
      </c>
    </row>
    <row r="538" spans="8:24">
      <c r="M538" s="5" t="s">
        <v>259</v>
      </c>
      <c r="P538" s="3">
        <v>1.579</v>
      </c>
      <c r="Q538" s="93" t="s">
        <v>198</v>
      </c>
      <c r="R538" s="137" t="s">
        <v>59</v>
      </c>
      <c r="S538" s="138">
        <f>S539*1000000</f>
        <v>27.062200000000001</v>
      </c>
    </row>
    <row r="539" spans="8:24">
      <c r="K539" s="59">
        <v>24120</v>
      </c>
      <c r="L539" s="55"/>
      <c r="M539" s="55"/>
      <c r="N539" s="56"/>
      <c r="P539" s="95">
        <f>P538*1000000/8</f>
        <v>197375</v>
      </c>
      <c r="Q539" s="93" t="s">
        <v>203</v>
      </c>
      <c r="R539" s="139" t="s">
        <v>62</v>
      </c>
      <c r="S539" s="140">
        <v>2.70622E-5</v>
      </c>
      <c r="T539" s="5" t="s">
        <v>21</v>
      </c>
    </row>
    <row r="540" spans="8:24">
      <c r="K540" s="73" t="s">
        <v>64</v>
      </c>
      <c r="L540" s="72" t="s">
        <v>65</v>
      </c>
      <c r="M540" s="73" t="s">
        <v>66</v>
      </c>
      <c r="N540" s="73" t="s">
        <v>67</v>
      </c>
      <c r="O540" s="74" t="s">
        <v>68</v>
      </c>
      <c r="P540" s="3" t="s">
        <v>176</v>
      </c>
      <c r="Q540" s="74" t="s">
        <v>265</v>
      </c>
      <c r="R540" s="73" t="s">
        <v>266</v>
      </c>
      <c r="S540" s="73" t="s">
        <v>70</v>
      </c>
      <c r="U540" t="s">
        <v>497</v>
      </c>
    </row>
    <row r="541" spans="8:24" ht="15.75">
      <c r="I541" s="195"/>
      <c r="J541" s="195"/>
      <c r="K541" s="196"/>
      <c r="L541" s="197"/>
      <c r="M541" s="197"/>
      <c r="N541" s="198"/>
      <c r="O541" s="199"/>
      <c r="P541" s="195"/>
      <c r="Q541" s="197"/>
      <c r="R541" s="200"/>
      <c r="S541" s="201"/>
      <c r="T541" s="202"/>
      <c r="U541" s="202"/>
      <c r="V541" s="203"/>
      <c r="W541" s="203"/>
      <c r="X541" s="204"/>
    </row>
    <row r="542" spans="8:24" ht="31.5">
      <c r="I542" s="3" t="s">
        <v>574</v>
      </c>
      <c r="J542" s="3" t="s">
        <v>576</v>
      </c>
      <c r="K542" s="179" t="s">
        <v>83</v>
      </c>
      <c r="L542" s="143">
        <f>M531+1</f>
        <v>576353417</v>
      </c>
      <c r="M542" s="143">
        <f>((R542-P542*$P$510)/$S$508)+L542</f>
        <v>577204567.31298268</v>
      </c>
      <c r="N542" s="104">
        <f>M542-L542</f>
        <v>851150.31298267841</v>
      </c>
      <c r="O542" s="104">
        <f>N542*$S$508</f>
        <v>2879249.99999998</v>
      </c>
      <c r="P542" s="3">
        <v>0</v>
      </c>
      <c r="Q542" s="142">
        <f>O542+P542*$P$482</f>
        <v>2879249.99999998</v>
      </c>
      <c r="R542" s="97">
        <f>T542*1000000/8</f>
        <v>2879250.0000000005</v>
      </c>
      <c r="S542" s="105">
        <f>R542-Q542</f>
        <v>2.0489096641540527E-8</v>
      </c>
      <c r="T542" s="189">
        <f>U542*1.1</f>
        <v>23.034000000000002</v>
      </c>
      <c r="U542" s="189">
        <v>20.94</v>
      </c>
      <c r="V542" s="178" t="s">
        <v>577</v>
      </c>
      <c r="W542" s="178"/>
      <c r="X542" s="191" t="s">
        <v>578</v>
      </c>
    </row>
    <row r="543" spans="8:24" ht="31.5">
      <c r="I543" s="3" t="s">
        <v>576</v>
      </c>
      <c r="J543" s="3" t="s">
        <v>579</v>
      </c>
      <c r="K543" s="179" t="s">
        <v>111</v>
      </c>
      <c r="L543" s="143">
        <f>M542+1</f>
        <v>577204568.31298268</v>
      </c>
      <c r="M543" s="143">
        <f>((R543-P543*$P$510)/$S$508)+L543</f>
        <v>577632988.7666043</v>
      </c>
      <c r="N543" s="104">
        <f>M543-L543</f>
        <v>428420.4536216259</v>
      </c>
      <c r="O543" s="104">
        <f>N543*$S$417</f>
        <v>1449249.9999998957</v>
      </c>
      <c r="P543" s="3">
        <v>0</v>
      </c>
      <c r="Q543" s="142">
        <f>O543+P543*$P$419</f>
        <v>1449249.9999998957</v>
      </c>
      <c r="R543" s="97">
        <f>T543*1000000/8</f>
        <v>1449250</v>
      </c>
      <c r="S543" s="105">
        <f>R543-Q543</f>
        <v>1.0430812835693359E-7</v>
      </c>
      <c r="T543" s="189">
        <f>U543*1.1</f>
        <v>11.593999999999999</v>
      </c>
      <c r="U543" s="189">
        <v>10.54</v>
      </c>
      <c r="V543" s="178" t="s">
        <v>580</v>
      </c>
      <c r="W543" s="178"/>
      <c r="X543" s="192" t="s">
        <v>581</v>
      </c>
    </row>
    <row r="544" spans="8:24" ht="31.5">
      <c r="I544" s="3" t="s">
        <v>579</v>
      </c>
      <c r="J544" s="205" t="s">
        <v>582</v>
      </c>
      <c r="K544" s="179" t="s">
        <v>113</v>
      </c>
      <c r="L544" s="143">
        <f>M543+1</f>
        <v>577632989.7666043</v>
      </c>
      <c r="M544" s="206">
        <v>578005716</v>
      </c>
      <c r="N544" s="104">
        <f>M544-L544</f>
        <v>372726.23339569569</v>
      </c>
      <c r="O544" s="104">
        <f>N544*$S$417</f>
        <v>1260848.9841751244</v>
      </c>
      <c r="P544" s="3">
        <v>0</v>
      </c>
      <c r="Q544" s="142">
        <f>O544+P544*$P$419</f>
        <v>1260848.9841751244</v>
      </c>
      <c r="R544" s="97">
        <f>T544*1000000/8</f>
        <v>3547500.0000000005</v>
      </c>
      <c r="S544" s="105">
        <f>R544-Q544</f>
        <v>2286651.0158248758</v>
      </c>
      <c r="T544" s="189">
        <f>U544*1.1</f>
        <v>28.380000000000003</v>
      </c>
      <c r="U544" s="189">
        <v>25.8</v>
      </c>
      <c r="V544" s="178" t="s">
        <v>583</v>
      </c>
      <c r="W544" s="178"/>
      <c r="X544" s="192" t="s">
        <v>584</v>
      </c>
    </row>
    <row r="545" spans="9:24" ht="31.5">
      <c r="I545" s="205" t="s">
        <v>582</v>
      </c>
      <c r="J545" s="205" t="s">
        <v>585</v>
      </c>
      <c r="K545" s="179" t="s">
        <v>586</v>
      </c>
      <c r="L545" s="143">
        <f>M544+1</f>
        <v>578005717</v>
      </c>
      <c r="M545" s="206">
        <v>578440316</v>
      </c>
      <c r="N545" s="104">
        <f>M545-L545</f>
        <v>434599</v>
      </c>
      <c r="O545" s="104">
        <f>N545*$S$417</f>
        <v>1470150.6322250001</v>
      </c>
      <c r="P545" s="3">
        <v>0</v>
      </c>
      <c r="Q545" s="142">
        <f>O545+P545*$P$419</f>
        <v>1470150.6322250001</v>
      </c>
      <c r="R545" s="97">
        <f>T545*1000000/8</f>
        <v>3980625.0000000005</v>
      </c>
      <c r="S545" s="105">
        <f>R545-Q545</f>
        <v>2510474.3677750006</v>
      </c>
      <c r="T545" s="189">
        <f>U545*1.1</f>
        <v>31.845000000000002</v>
      </c>
      <c r="U545" s="189">
        <v>28.95</v>
      </c>
      <c r="V545" s="178" t="s">
        <v>587</v>
      </c>
      <c r="W545" s="178"/>
      <c r="X545" s="192" t="s">
        <v>588</v>
      </c>
    </row>
    <row r="549" spans="9:24">
      <c r="Q549" s="3"/>
      <c r="R549"/>
    </row>
    <row r="550" spans="9:24">
      <c r="N550" s="187" t="s">
        <v>424</v>
      </c>
      <c r="O550" s="3" t="s">
        <v>253</v>
      </c>
      <c r="P550" s="3">
        <f>P551*3600*24</f>
        <v>2.3381740799999999</v>
      </c>
      <c r="Q550">
        <f>P550/8</f>
        <v>0.29227175999999999</v>
      </c>
      <c r="R550" s="3" t="s">
        <v>254</v>
      </c>
    </row>
    <row r="551" spans="9:24">
      <c r="M551" t="s">
        <v>256</v>
      </c>
      <c r="P551" s="3">
        <v>2.70622E-5</v>
      </c>
      <c r="Q551" t="s">
        <v>195</v>
      </c>
      <c r="R551" s="134" t="s">
        <v>60</v>
      </c>
      <c r="S551" s="135">
        <f>S552/8</f>
        <v>3.3827750000000001</v>
      </c>
    </row>
    <row r="552" spans="9:24">
      <c r="M552" s="5" t="s">
        <v>259</v>
      </c>
      <c r="P552" s="3">
        <v>1.579</v>
      </c>
      <c r="Q552" s="93" t="s">
        <v>198</v>
      </c>
      <c r="R552" s="137" t="s">
        <v>59</v>
      </c>
      <c r="S552" s="138">
        <f>S553*1000000</f>
        <v>27.062200000000001</v>
      </c>
    </row>
    <row r="553" spans="9:24">
      <c r="K553" s="59">
        <v>24141</v>
      </c>
      <c r="L553" s="55"/>
      <c r="M553" s="55"/>
      <c r="N553" s="56"/>
      <c r="P553" s="95">
        <f>P552*1000000/8</f>
        <v>197375</v>
      </c>
      <c r="Q553" s="93" t="s">
        <v>203</v>
      </c>
      <c r="R553" s="139" t="s">
        <v>62</v>
      </c>
      <c r="S553" s="140">
        <v>2.70622E-5</v>
      </c>
      <c r="T553" s="5" t="s">
        <v>21</v>
      </c>
    </row>
    <row r="554" spans="9:24">
      <c r="K554" s="73" t="s">
        <v>64</v>
      </c>
      <c r="L554" s="72" t="s">
        <v>65</v>
      </c>
      <c r="M554" s="73" t="s">
        <v>66</v>
      </c>
      <c r="N554" s="73" t="s">
        <v>67</v>
      </c>
      <c r="O554" s="74" t="s">
        <v>68</v>
      </c>
      <c r="P554" s="3" t="s">
        <v>176</v>
      </c>
      <c r="Q554" s="74" t="s">
        <v>265</v>
      </c>
      <c r="R554" s="73" t="s">
        <v>266</v>
      </c>
      <c r="S554" s="73" t="s">
        <v>70</v>
      </c>
      <c r="U554" t="s">
        <v>497</v>
      </c>
    </row>
    <row r="555" spans="9:24" ht="15.75">
      <c r="I555" s="195"/>
      <c r="J555" s="195"/>
      <c r="K555" s="196"/>
      <c r="L555" s="197"/>
      <c r="M555" s="197"/>
      <c r="N555" s="198"/>
      <c r="O555" s="199"/>
      <c r="P555" s="195"/>
      <c r="Q555" s="197"/>
      <c r="R555" s="200"/>
      <c r="S555" s="201"/>
      <c r="T555" s="202"/>
      <c r="U555" s="202"/>
      <c r="V555" s="203"/>
      <c r="W555" s="203"/>
      <c r="X555" s="204"/>
    </row>
    <row r="556" spans="9:24" ht="31.5">
      <c r="I556" s="3" t="s">
        <v>585</v>
      </c>
      <c r="J556" s="3" t="s">
        <v>589</v>
      </c>
      <c r="K556" s="179" t="s">
        <v>590</v>
      </c>
      <c r="L556" s="143">
        <f>M545+1</f>
        <v>578440317</v>
      </c>
      <c r="M556" s="143">
        <f>((R556-P556*$P$510)/$S$508)+L556</f>
        <v>578864266.27241683</v>
      </c>
      <c r="N556" s="104">
        <f>M556-L556</f>
        <v>423949.27241683006</v>
      </c>
      <c r="O556" s="104">
        <f>N556*$S$508</f>
        <v>1434124.9999998424</v>
      </c>
      <c r="P556" s="3">
        <v>0</v>
      </c>
      <c r="Q556" s="142">
        <f>O556+P556*$P$482</f>
        <v>1434124.9999998424</v>
      </c>
      <c r="R556" s="97">
        <f>T556*1000000/8</f>
        <v>1434125</v>
      </c>
      <c r="S556" s="105">
        <f>R556-Q556</f>
        <v>1.5762634575366974E-7</v>
      </c>
      <c r="T556" s="189">
        <f>U556*1.1</f>
        <v>11.473000000000001</v>
      </c>
      <c r="U556" s="189">
        <v>10.43</v>
      </c>
      <c r="V556" s="178" t="s">
        <v>591</v>
      </c>
      <c r="W556" s="178"/>
      <c r="X556" s="191" t="s">
        <v>592</v>
      </c>
    </row>
    <row r="557" spans="9:24" ht="31.5">
      <c r="I557" s="3" t="s">
        <v>589</v>
      </c>
      <c r="J557" s="3" t="s">
        <v>593</v>
      </c>
      <c r="K557" s="179" t="s">
        <v>594</v>
      </c>
      <c r="L557" s="143">
        <f>M556+1</f>
        <v>578864267.27241683</v>
      </c>
      <c r="M557" s="143">
        <f>((R557-P557*$P$510)/$S$508)+L557</f>
        <v>579170746.42045355</v>
      </c>
      <c r="N557" s="104">
        <f>M557-L557</f>
        <v>306479.14803671837</v>
      </c>
      <c r="O557" s="104">
        <f>N557*$S$417</f>
        <v>1036749.99999991</v>
      </c>
      <c r="P557" s="3">
        <v>0</v>
      </c>
      <c r="Q557" s="142">
        <f>O557+P557*$P$419</f>
        <v>1036749.99999991</v>
      </c>
      <c r="R557" s="97">
        <f>T557*1000000/8</f>
        <v>1036750.0000000001</v>
      </c>
      <c r="S557" s="105">
        <f>R557-Q557</f>
        <v>9.0105459094047546E-8</v>
      </c>
      <c r="T557" s="189">
        <f>U557*1.1</f>
        <v>8.2940000000000005</v>
      </c>
      <c r="U557" s="189">
        <v>7.54</v>
      </c>
      <c r="V557" s="178" t="s">
        <v>595</v>
      </c>
      <c r="W557" s="178"/>
      <c r="X557" s="192" t="s">
        <v>596</v>
      </c>
    </row>
    <row r="558" spans="9:24" ht="31.5">
      <c r="I558" s="3" t="s">
        <v>593</v>
      </c>
      <c r="J558" s="205" t="s">
        <v>597</v>
      </c>
      <c r="K558" s="179" t="s">
        <v>598</v>
      </c>
      <c r="L558" s="143">
        <f>M557+1</f>
        <v>579170747.42045355</v>
      </c>
      <c r="M558" s="206">
        <v>579815516</v>
      </c>
      <c r="N558" s="104">
        <f>M558-L558</f>
        <v>644768.57954645157</v>
      </c>
      <c r="O558" s="104">
        <f>N558*$S$417</f>
        <v>2181107.0316752479</v>
      </c>
      <c r="P558" s="3">
        <v>0</v>
      </c>
      <c r="Q558" s="142">
        <f>O558+P558*$P$419</f>
        <v>2181107.0316752479</v>
      </c>
      <c r="R558" s="97">
        <f>T558*1000000/8</f>
        <v>2382875</v>
      </c>
      <c r="S558" s="105">
        <f>R558-Q558</f>
        <v>201767.96832475206</v>
      </c>
      <c r="T558" s="189">
        <f>U558*1.1</f>
        <v>19.062999999999999</v>
      </c>
      <c r="U558" s="189">
        <v>17.329999999999998</v>
      </c>
      <c r="V558" s="178" t="s">
        <v>599</v>
      </c>
      <c r="W558" s="178"/>
      <c r="X558" s="192" t="s">
        <v>600</v>
      </c>
    </row>
    <row r="559" spans="9:24" ht="31.5">
      <c r="I559" s="3" t="s">
        <v>597</v>
      </c>
      <c r="J559" s="3" t="s">
        <v>601</v>
      </c>
      <c r="K559" s="179" t="s">
        <v>602</v>
      </c>
      <c r="L559" s="143">
        <f>M558+1</f>
        <v>579815517</v>
      </c>
      <c r="M559" s="143">
        <f>((R559-P559*$P$510)/$S$508)+L559</f>
        <v>580238653.33037961</v>
      </c>
      <c r="N559" s="104">
        <f>M559-L559</f>
        <v>423136.33037960529</v>
      </c>
      <c r="O559" s="104">
        <f>N559*$S$417</f>
        <v>1431374.9999998694</v>
      </c>
      <c r="P559" s="3">
        <v>0</v>
      </c>
      <c r="Q559" s="142">
        <f>O559+P559*$P$419</f>
        <v>1431374.9999998694</v>
      </c>
      <c r="R559" s="97">
        <f>T559*1000000/8</f>
        <v>1431375</v>
      </c>
      <c r="S559" s="105">
        <f>R559-Q559</f>
        <v>1.3061799108982086E-7</v>
      </c>
      <c r="T559" s="189">
        <f>U559*1.1</f>
        <v>11.451000000000001</v>
      </c>
      <c r="U559" s="189">
        <v>10.41</v>
      </c>
      <c r="V559" s="178" t="s">
        <v>603</v>
      </c>
      <c r="W559" s="178"/>
      <c r="X559" s="192" t="s">
        <v>604</v>
      </c>
    </row>
    <row r="562" spans="8:23">
      <c r="H562" s="3"/>
      <c r="M562" s="187" t="s">
        <v>424</v>
      </c>
      <c r="N562" s="3" t="s">
        <v>253</v>
      </c>
      <c r="O562" s="3">
        <f>O563*3600*24</f>
        <v>2.3381740799999999</v>
      </c>
      <c r="P562">
        <f>O562/8</f>
        <v>0.29227175999999999</v>
      </c>
      <c r="Q562" s="3" t="s">
        <v>254</v>
      </c>
      <c r="S562" s="5"/>
    </row>
    <row r="563" spans="8:23">
      <c r="H563" s="3"/>
      <c r="L563" t="s">
        <v>256</v>
      </c>
      <c r="N563" s="3"/>
      <c r="O563" s="3">
        <v>2.70622E-5</v>
      </c>
      <c r="P563" t="s">
        <v>195</v>
      </c>
      <c r="Q563" s="134" t="s">
        <v>60</v>
      </c>
      <c r="R563" s="135">
        <f>R564/8</f>
        <v>3.3827750000000001</v>
      </c>
      <c r="S563" s="5"/>
    </row>
    <row r="564" spans="8:23">
      <c r="H564" s="3"/>
      <c r="L564" s="5" t="s">
        <v>259</v>
      </c>
      <c r="N564" s="3"/>
      <c r="O564" s="3">
        <v>1.579</v>
      </c>
      <c r="P564" s="93" t="s">
        <v>198</v>
      </c>
      <c r="Q564" s="137" t="s">
        <v>59</v>
      </c>
      <c r="R564" s="138">
        <f>R565*1000000</f>
        <v>27.062200000000001</v>
      </c>
      <c r="S564" s="5"/>
    </row>
    <row r="565" spans="8:23">
      <c r="H565" s="3"/>
      <c r="J565" s="207" t="s">
        <v>605</v>
      </c>
      <c r="K565" s="55"/>
      <c r="L565" s="55"/>
      <c r="M565" s="56"/>
      <c r="N565" s="3"/>
      <c r="O565" s="95">
        <f>O564*1000000/8</f>
        <v>197375</v>
      </c>
      <c r="P565" s="93" t="s">
        <v>203</v>
      </c>
      <c r="Q565" s="139" t="s">
        <v>62</v>
      </c>
      <c r="R565" s="140">
        <v>2.70622E-5</v>
      </c>
      <c r="S565" s="5" t="s">
        <v>21</v>
      </c>
    </row>
    <row r="566" spans="8:23">
      <c r="H566" s="3"/>
      <c r="J566" s="73" t="s">
        <v>64</v>
      </c>
      <c r="K566" s="72" t="s">
        <v>65</v>
      </c>
      <c r="L566" s="73" t="s">
        <v>66</v>
      </c>
      <c r="M566" s="73" t="s">
        <v>67</v>
      </c>
      <c r="N566" s="74" t="s">
        <v>68</v>
      </c>
      <c r="O566" s="3" t="s">
        <v>176</v>
      </c>
      <c r="P566" s="74" t="s">
        <v>21</v>
      </c>
      <c r="Q566" s="73" t="s">
        <v>266</v>
      </c>
      <c r="R566" s="73" t="s">
        <v>70</v>
      </c>
      <c r="S566" s="5"/>
      <c r="T566" s="5" t="s">
        <v>497</v>
      </c>
    </row>
    <row r="567" spans="8:23" ht="15.75">
      <c r="H567" s="195"/>
      <c r="I567" s="195"/>
      <c r="J567" s="196"/>
      <c r="K567" s="197"/>
      <c r="L567" s="197"/>
      <c r="M567" s="198"/>
      <c r="N567" s="199"/>
      <c r="O567" s="195"/>
      <c r="P567" s="197"/>
      <c r="Q567" s="200"/>
      <c r="R567" s="201"/>
      <c r="S567" s="202"/>
      <c r="T567" s="202"/>
      <c r="U567" s="203"/>
      <c r="V567" s="203"/>
      <c r="W567" s="204"/>
    </row>
    <row r="568" spans="8:23" ht="15.75">
      <c r="H568" s="3" t="s">
        <v>574</v>
      </c>
      <c r="I568" s="3" t="s">
        <v>576</v>
      </c>
      <c r="J568" s="179" t="s">
        <v>83</v>
      </c>
      <c r="K568" s="143">
        <v>576667554</v>
      </c>
      <c r="L568" s="143">
        <v>576718249</v>
      </c>
      <c r="M568" s="104">
        <f>L568-K568</f>
        <v>50695</v>
      </c>
      <c r="N568" s="104">
        <f>M568*$S$508</f>
        <v>171489.77862500001</v>
      </c>
      <c r="O568" s="3">
        <v>0</v>
      </c>
      <c r="P568" s="208">
        <f>N568*8/1000000</f>
        <v>1.371918229</v>
      </c>
      <c r="Q568" s="97">
        <f>S568*1000000/8</f>
        <v>2879250.0000000005</v>
      </c>
      <c r="R568" s="105">
        <f>Q568-P568</f>
        <v>2879248.6280817715</v>
      </c>
      <c r="S568" s="189">
        <f>T568*1.1</f>
        <v>23.034000000000002</v>
      </c>
      <c r="T568" s="189">
        <v>20.94</v>
      </c>
      <c r="U568" s="178" t="s">
        <v>577</v>
      </c>
      <c r="V568" s="178"/>
      <c r="W568" s="191" t="s">
        <v>578</v>
      </c>
    </row>
    <row r="569" spans="8:23" ht="15.75">
      <c r="H569" s="3" t="s">
        <v>576</v>
      </c>
      <c r="I569" s="3" t="s">
        <v>579</v>
      </c>
      <c r="J569" s="179" t="s">
        <v>111</v>
      </c>
      <c r="K569" s="143">
        <f>L568+1</f>
        <v>576718250</v>
      </c>
      <c r="L569" s="143">
        <f>((Q569-O569*$P$510)/$S$508)+K569</f>
        <v>577146670.45362163</v>
      </c>
      <c r="M569" s="104">
        <f>L569-K569</f>
        <v>428420.4536216259</v>
      </c>
      <c r="N569" s="104">
        <f>M569*$S$417</f>
        <v>1449249.9999998957</v>
      </c>
      <c r="O569" s="3">
        <v>0</v>
      </c>
      <c r="P569" s="142">
        <f>N569+O569*$P$419</f>
        <v>1449249.9999998957</v>
      </c>
      <c r="Q569" s="97">
        <f>S569*1000000/8</f>
        <v>1449250</v>
      </c>
      <c r="R569" s="105">
        <f>Q569-P569</f>
        <v>1.0430812835693359E-7</v>
      </c>
      <c r="S569" s="189">
        <f>T569*1.1</f>
        <v>11.593999999999999</v>
      </c>
      <c r="T569" s="189">
        <v>10.54</v>
      </c>
      <c r="U569" s="178" t="s">
        <v>580</v>
      </c>
      <c r="V569" s="178"/>
      <c r="W569" s="192" t="s">
        <v>581</v>
      </c>
    </row>
    <row r="570" spans="8:23" ht="15.75">
      <c r="H570" s="3" t="s">
        <v>579</v>
      </c>
      <c r="I570" s="205" t="s">
        <v>582</v>
      </c>
      <c r="J570" s="179" t="s">
        <v>113</v>
      </c>
      <c r="K570" s="143">
        <f>L569+1</f>
        <v>577146671.45362163</v>
      </c>
      <c r="L570" s="206">
        <v>578005716</v>
      </c>
      <c r="M570" s="104">
        <f>L570-K570</f>
        <v>859044.5463783741</v>
      </c>
      <c r="N570" s="104">
        <f>M570*$S$417</f>
        <v>2905954.4153751046</v>
      </c>
      <c r="O570" s="3">
        <v>0</v>
      </c>
      <c r="P570" s="142">
        <f>N570+O570*$P$419</f>
        <v>2905954.4153751046</v>
      </c>
      <c r="Q570" s="97">
        <f>S570*1000000/8</f>
        <v>3547500.0000000005</v>
      </c>
      <c r="R570" s="105">
        <f>Q570-P570</f>
        <v>641545.58462489583</v>
      </c>
      <c r="S570" s="189">
        <f>T570*1.1</f>
        <v>28.380000000000003</v>
      </c>
      <c r="T570" s="189">
        <v>25.8</v>
      </c>
      <c r="U570" s="178" t="s">
        <v>583</v>
      </c>
      <c r="V570" s="178"/>
      <c r="W570" s="192" t="s">
        <v>584</v>
      </c>
    </row>
    <row r="571" spans="8:23" ht="15.75">
      <c r="H571" s="205" t="s">
        <v>582</v>
      </c>
      <c r="I571" s="205" t="s">
        <v>585</v>
      </c>
      <c r="J571" s="179" t="s">
        <v>586</v>
      </c>
      <c r="K571" s="143">
        <f>L570+1</f>
        <v>578005717</v>
      </c>
      <c r="L571" s="206">
        <v>578440316</v>
      </c>
      <c r="M571" s="104">
        <f>L571-K571</f>
        <v>434599</v>
      </c>
      <c r="N571" s="104">
        <f>M571*$S$417</f>
        <v>1470150.6322250001</v>
      </c>
      <c r="O571" s="3">
        <v>0</v>
      </c>
      <c r="P571" s="142">
        <f>N571+O571*$P$419</f>
        <v>1470150.6322250001</v>
      </c>
      <c r="Q571" s="97">
        <f>S571*1000000/8</f>
        <v>3980625.0000000005</v>
      </c>
      <c r="R571" s="105">
        <f>Q571-P571</f>
        <v>2510474.3677750006</v>
      </c>
      <c r="S571" s="189">
        <f>T571*1.1</f>
        <v>31.845000000000002</v>
      </c>
      <c r="T571" s="189">
        <v>28.95</v>
      </c>
      <c r="U571" s="178" t="s">
        <v>587</v>
      </c>
      <c r="V571" s="178"/>
      <c r="W571" s="192" t="s">
        <v>588</v>
      </c>
    </row>
    <row r="572" spans="8:23">
      <c r="H572" s="3"/>
      <c r="M572" s="4"/>
      <c r="N572" s="3"/>
      <c r="P572"/>
      <c r="Q572" s="3"/>
      <c r="S572" s="5"/>
    </row>
    <row r="575" spans="8:23">
      <c r="H575" s="3"/>
      <c r="M575" s="4"/>
      <c r="N575" s="3"/>
      <c r="P575"/>
      <c r="Q575" s="3"/>
      <c r="S575" s="5"/>
    </row>
    <row r="576" spans="8:23">
      <c r="H576" s="3"/>
      <c r="M576" s="4"/>
      <c r="N576" s="3"/>
      <c r="S576" s="5"/>
    </row>
    <row r="577" spans="8:24">
      <c r="H577" s="3"/>
      <c r="M577" s="187" t="s">
        <v>424</v>
      </c>
      <c r="N577" s="3" t="s">
        <v>253</v>
      </c>
      <c r="O577" s="3">
        <f>O578*3600*24</f>
        <v>2.3381740799999999</v>
      </c>
      <c r="P577">
        <f>O577/8</f>
        <v>0.29227175999999999</v>
      </c>
      <c r="Q577" s="3" t="s">
        <v>254</v>
      </c>
      <c r="S577" s="5"/>
    </row>
    <row r="578" spans="8:24">
      <c r="H578" s="3"/>
      <c r="L578" t="s">
        <v>256</v>
      </c>
      <c r="N578" s="3"/>
      <c r="O578" s="3">
        <v>2.70622E-5</v>
      </c>
      <c r="P578" t="s">
        <v>195</v>
      </c>
      <c r="Q578" s="134" t="s">
        <v>60</v>
      </c>
      <c r="R578" s="135">
        <f>R579/8</f>
        <v>3.3827750000000001</v>
      </c>
      <c r="S578" s="5"/>
    </row>
    <row r="579" spans="8:24">
      <c r="H579" s="3"/>
      <c r="L579" s="5" t="s">
        <v>259</v>
      </c>
      <c r="N579" s="3"/>
      <c r="O579" s="3">
        <v>1.579</v>
      </c>
      <c r="P579" s="93" t="s">
        <v>198</v>
      </c>
      <c r="Q579" s="137" t="s">
        <v>59</v>
      </c>
      <c r="R579" s="138">
        <f>R580*1000000</f>
        <v>27.062200000000001</v>
      </c>
      <c r="S579" s="5"/>
    </row>
    <row r="580" spans="8:24">
      <c r="H580" s="3"/>
      <c r="J580" s="59">
        <v>24162</v>
      </c>
      <c r="K580" s="55"/>
      <c r="L580" s="55"/>
      <c r="M580" s="56"/>
      <c r="N580" s="3"/>
      <c r="O580" s="95">
        <f>O579*1000000/8</f>
        <v>197375</v>
      </c>
      <c r="P580" s="93" t="s">
        <v>203</v>
      </c>
      <c r="Q580" s="139" t="s">
        <v>62</v>
      </c>
      <c r="R580" s="140">
        <v>2.70622E-5</v>
      </c>
      <c r="S580" s="5" t="s">
        <v>21</v>
      </c>
    </row>
    <row r="581" spans="8:24">
      <c r="H581" s="3"/>
      <c r="J581" s="73" t="s">
        <v>64</v>
      </c>
      <c r="K581" s="72" t="s">
        <v>65</v>
      </c>
      <c r="L581" s="73" t="s">
        <v>66</v>
      </c>
      <c r="M581" s="73" t="s">
        <v>67</v>
      </c>
      <c r="N581" s="74" t="s">
        <v>68</v>
      </c>
      <c r="O581" s="3" t="s">
        <v>176</v>
      </c>
      <c r="P581" s="74" t="s">
        <v>265</v>
      </c>
      <c r="Q581" s="73" t="s">
        <v>266</v>
      </c>
      <c r="R581" s="73" t="s">
        <v>70</v>
      </c>
      <c r="S581" s="5"/>
      <c r="T581" s="5" t="s">
        <v>497</v>
      </c>
    </row>
    <row r="582" spans="8:24" ht="15.75">
      <c r="H582" s="195"/>
      <c r="I582" s="195"/>
      <c r="J582" s="196"/>
      <c r="K582" s="197"/>
      <c r="L582" s="197"/>
      <c r="M582" s="198"/>
      <c r="N582" s="199"/>
      <c r="O582" s="195"/>
      <c r="P582" s="197"/>
      <c r="Q582" s="200"/>
      <c r="R582" s="201"/>
      <c r="S582" s="202"/>
      <c r="T582" s="202"/>
      <c r="U582" s="203"/>
      <c r="V582" s="203"/>
      <c r="W582" s="204"/>
    </row>
    <row r="583" spans="8:24" ht="15.75">
      <c r="H583" s="3" t="s">
        <v>601</v>
      </c>
      <c r="I583" s="205" t="s">
        <v>606</v>
      </c>
      <c r="J583" s="179" t="s">
        <v>104</v>
      </c>
      <c r="K583" s="143">
        <f>1+M559</f>
        <v>580238654.33037961</v>
      </c>
      <c r="L583" s="206">
        <v>580889116</v>
      </c>
      <c r="M583" s="104">
        <f>L583-K583</f>
        <v>650461.66962039471</v>
      </c>
      <c r="N583" s="104">
        <f>M583*$S$508</f>
        <v>2200365.4744501309</v>
      </c>
      <c r="O583" s="3">
        <v>0</v>
      </c>
      <c r="P583" s="142">
        <f>N583+O583*$P$482</f>
        <v>2200365.4744501309</v>
      </c>
      <c r="Q583" s="97">
        <f>S583*1000000/8</f>
        <v>4886750</v>
      </c>
      <c r="R583" s="105">
        <f>Q583-P583</f>
        <v>2686384.5255498691</v>
      </c>
      <c r="S583" s="189">
        <f>T583*1.1</f>
        <v>39.094000000000001</v>
      </c>
      <c r="T583" s="189">
        <f>37.94-2.4</f>
        <v>35.54</v>
      </c>
      <c r="U583" s="178" t="s">
        <v>607</v>
      </c>
      <c r="V583" s="178"/>
      <c r="W583" s="191" t="s">
        <v>608</v>
      </c>
      <c r="X583">
        <f>R583*8/1000000</f>
        <v>21.491076204398951</v>
      </c>
    </row>
    <row r="584" spans="8:24" ht="15.75">
      <c r="H584" s="3" t="s">
        <v>606</v>
      </c>
      <c r="I584" s="3" t="s">
        <v>609</v>
      </c>
      <c r="J584" s="179" t="s">
        <v>610</v>
      </c>
      <c r="K584" s="143">
        <f>L583+1</f>
        <v>580889117</v>
      </c>
      <c r="L584" s="143">
        <f>((Q584-O584*$P$510)/$S$508)+K584</f>
        <v>581309814.50426793</v>
      </c>
      <c r="M584" s="104">
        <f>L584-K584</f>
        <v>420697.50426793098</v>
      </c>
      <c r="N584" s="104">
        <f>M584*$S$417</f>
        <v>1423124.9999999502</v>
      </c>
      <c r="O584" s="3">
        <v>0</v>
      </c>
      <c r="P584" s="142">
        <f>N584+O584*$P$419</f>
        <v>1423124.9999999502</v>
      </c>
      <c r="Q584" s="97">
        <f>S584*1000000/8</f>
        <v>1423125</v>
      </c>
      <c r="R584" s="105">
        <f>Q584-P584</f>
        <v>4.9825757741928101E-8</v>
      </c>
      <c r="S584" s="189">
        <f>T584*1.1</f>
        <v>11.385</v>
      </c>
      <c r="T584" s="189">
        <v>10.35</v>
      </c>
      <c r="U584" s="178" t="s">
        <v>611</v>
      </c>
      <c r="V584" s="178"/>
      <c r="W584" s="192" t="s">
        <v>612</v>
      </c>
    </row>
    <row r="585" spans="8:24" ht="15.75">
      <c r="H585" s="3" t="s">
        <v>609</v>
      </c>
      <c r="I585" s="3" t="s">
        <v>613</v>
      </c>
      <c r="J585" s="179" t="s">
        <v>614</v>
      </c>
      <c r="K585" s="143">
        <f>L584+1</f>
        <v>581309815.50426793</v>
      </c>
      <c r="L585" s="143">
        <f>((Q585-O585*$P$510)/$S$508)+K585</f>
        <v>582000816.23591578</v>
      </c>
      <c r="M585" s="104">
        <f>L585-K585</f>
        <v>691000.73164784908</v>
      </c>
      <c r="N585" s="104">
        <f>M585*$S$417</f>
        <v>2337500.0000000526</v>
      </c>
      <c r="O585" s="3">
        <v>0</v>
      </c>
      <c r="P585" s="142">
        <f>N585+O585*$P$419</f>
        <v>2337500.0000000526</v>
      </c>
      <c r="Q585" s="97">
        <f>S585*1000000/8</f>
        <v>2337500.0000000005</v>
      </c>
      <c r="R585" s="105">
        <f>Q585-P585</f>
        <v>-5.2154064178466797E-8</v>
      </c>
      <c r="S585" s="189">
        <f>T585*1.1</f>
        <v>18.700000000000003</v>
      </c>
      <c r="T585" s="189">
        <v>17</v>
      </c>
      <c r="U585" s="178" t="s">
        <v>615</v>
      </c>
      <c r="V585" s="178"/>
      <c r="W585" s="192" t="s">
        <v>616</v>
      </c>
    </row>
    <row r="586" spans="8:24" ht="15.75">
      <c r="H586" s="3" t="s">
        <v>613</v>
      </c>
      <c r="I586" s="3" t="s">
        <v>617</v>
      </c>
      <c r="J586" s="179" t="s">
        <v>618</v>
      </c>
      <c r="K586" s="143">
        <f>L585+1</f>
        <v>582000817.23591578</v>
      </c>
      <c r="L586" s="206">
        <v>582094316</v>
      </c>
      <c r="M586" s="104">
        <f>L586-K586</f>
        <v>93498.764084219933</v>
      </c>
      <c r="N586" s="104">
        <f>M586*$S$417</f>
        <v>316285.28167499707</v>
      </c>
      <c r="O586" s="3">
        <v>0</v>
      </c>
      <c r="P586" s="142">
        <f>N586+O586*$P$419</f>
        <v>316285.28167499707</v>
      </c>
      <c r="Q586" s="97">
        <f>S586*1000000/8</f>
        <v>840125.00000000012</v>
      </c>
      <c r="R586" s="105">
        <f>Q586-P586</f>
        <v>523839.71832500305</v>
      </c>
      <c r="S586" s="189">
        <f>T586*1.1</f>
        <v>6.721000000000001</v>
      </c>
      <c r="T586" s="189">
        <v>6.11</v>
      </c>
      <c r="U586" s="178" t="s">
        <v>619</v>
      </c>
      <c r="V586" s="178"/>
      <c r="W586" s="192" t="s">
        <v>620</v>
      </c>
      <c r="X586">
        <f>R586*8/1000000</f>
        <v>4.1907177466000247</v>
      </c>
    </row>
    <row r="587" spans="8:24">
      <c r="H587" s="3"/>
      <c r="M587" s="4"/>
      <c r="N587" s="3"/>
      <c r="P587"/>
      <c r="Q587" s="3"/>
      <c r="S587" s="5"/>
    </row>
    <row r="589" spans="8:24">
      <c r="H589" s="3"/>
      <c r="M589" s="4"/>
      <c r="N589" s="3"/>
      <c r="S589" s="5"/>
    </row>
    <row r="590" spans="8:24">
      <c r="H590" s="3"/>
      <c r="M590" s="187" t="s">
        <v>424</v>
      </c>
      <c r="N590" s="3" t="s">
        <v>253</v>
      </c>
      <c r="O590" s="3">
        <f>O591*3600*24</f>
        <v>2.3381740799999999</v>
      </c>
      <c r="P590">
        <f>O590/8</f>
        <v>0.29227175999999999</v>
      </c>
      <c r="Q590" s="3" t="s">
        <v>254</v>
      </c>
      <c r="S590" s="5"/>
    </row>
    <row r="591" spans="8:24">
      <c r="H591" s="3"/>
      <c r="L591" t="s">
        <v>256</v>
      </c>
      <c r="N591" s="3"/>
      <c r="O591" s="3">
        <v>2.70622E-5</v>
      </c>
      <c r="P591" t="s">
        <v>195</v>
      </c>
      <c r="Q591" s="134" t="s">
        <v>60</v>
      </c>
      <c r="R591" s="135">
        <f>R592/8</f>
        <v>3.3827750000000001</v>
      </c>
      <c r="S591" s="5"/>
    </row>
    <row r="592" spans="8:24">
      <c r="H592" s="3"/>
      <c r="L592" s="5" t="s">
        <v>259</v>
      </c>
      <c r="N592" s="3"/>
      <c r="O592" s="3">
        <v>1.579</v>
      </c>
      <c r="P592" s="93" t="s">
        <v>198</v>
      </c>
      <c r="Q592" s="137" t="s">
        <v>59</v>
      </c>
      <c r="R592" s="138">
        <f>R593*1000000</f>
        <v>27.062200000000001</v>
      </c>
      <c r="S592" s="5"/>
    </row>
    <row r="593" spans="4:25">
      <c r="H593" s="3"/>
      <c r="J593" s="59">
        <v>24183</v>
      </c>
      <c r="K593" s="55"/>
      <c r="L593" s="55"/>
      <c r="M593" s="56"/>
      <c r="N593" s="3"/>
      <c r="O593" s="95">
        <f>O592*1000000/8</f>
        <v>197375</v>
      </c>
      <c r="P593" s="93" t="s">
        <v>203</v>
      </c>
      <c r="Q593" s="139" t="s">
        <v>62</v>
      </c>
      <c r="R593" s="140">
        <v>2.70622E-5</v>
      </c>
      <c r="S593" s="5" t="s">
        <v>21</v>
      </c>
    </row>
    <row r="594" spans="4:25">
      <c r="H594" s="3"/>
      <c r="J594" s="73" t="s">
        <v>64</v>
      </c>
      <c r="K594" s="72" t="s">
        <v>65</v>
      </c>
      <c r="L594" s="73" t="s">
        <v>66</v>
      </c>
      <c r="M594" s="73" t="s">
        <v>67</v>
      </c>
      <c r="N594" s="74" t="s">
        <v>68</v>
      </c>
      <c r="O594" s="3" t="s">
        <v>176</v>
      </c>
      <c r="P594" s="74" t="s">
        <v>265</v>
      </c>
      <c r="Q594" s="73" t="s">
        <v>266</v>
      </c>
      <c r="R594" s="73" t="s">
        <v>70</v>
      </c>
      <c r="S594" s="5"/>
      <c r="T594" s="5" t="s">
        <v>497</v>
      </c>
      <c r="X594" t="s">
        <v>621</v>
      </c>
      <c r="Y594" t="s">
        <v>622</v>
      </c>
    </row>
    <row r="595" spans="4:25" ht="15.75">
      <c r="H595" s="195"/>
      <c r="I595" s="195"/>
      <c r="J595" s="196"/>
      <c r="K595" s="197"/>
      <c r="L595" s="197"/>
      <c r="M595" s="199"/>
      <c r="N595" s="199"/>
      <c r="O595" s="195"/>
      <c r="P595" s="197"/>
      <c r="Q595" s="200"/>
      <c r="R595" s="201"/>
      <c r="S595" s="202"/>
      <c r="T595" s="202"/>
      <c r="U595" s="203"/>
      <c r="V595" s="203"/>
      <c r="W595" s="204"/>
    </row>
    <row r="596" spans="4:25" ht="15.75">
      <c r="H596" s="3" t="s">
        <v>617</v>
      </c>
      <c r="I596" s="209" t="s">
        <v>623</v>
      </c>
      <c r="J596" s="179" t="s">
        <v>184</v>
      </c>
      <c r="K596" s="143">
        <f>1+L586</f>
        <v>582094317</v>
      </c>
      <c r="L596" s="206">
        <v>582832316</v>
      </c>
      <c r="M596" s="104">
        <f>L596-K596</f>
        <v>737999</v>
      </c>
      <c r="N596" s="104">
        <f>M596*$S$508</f>
        <v>2496484.5672249999</v>
      </c>
      <c r="O596" s="3">
        <v>0</v>
      </c>
      <c r="P596" s="142">
        <f>N596+O596*$P$482</f>
        <v>2496484.5672249999</v>
      </c>
      <c r="Q596" s="97">
        <f>S596*1000000/8</f>
        <v>2949375.0000000005</v>
      </c>
      <c r="R596" s="105">
        <f>Q596-P596</f>
        <v>452890.43277500058</v>
      </c>
      <c r="S596" s="189">
        <f>T596*1.1</f>
        <v>23.595000000000002</v>
      </c>
      <c r="T596" s="189">
        <v>21.45</v>
      </c>
      <c r="U596" s="178" t="s">
        <v>624</v>
      </c>
      <c r="V596" s="178"/>
      <c r="W596" s="191" t="s">
        <v>625</v>
      </c>
      <c r="X596">
        <f>R596*8/1000000</f>
        <v>3.6231234622000046</v>
      </c>
      <c r="Y596">
        <f>T596-X596</f>
        <v>17.826876537799993</v>
      </c>
    </row>
    <row r="597" spans="4:25" ht="15.75">
      <c r="H597" s="209" t="s">
        <v>623</v>
      </c>
      <c r="I597" s="209" t="s">
        <v>626</v>
      </c>
      <c r="J597" s="179" t="s">
        <v>627</v>
      </c>
      <c r="K597" s="143">
        <f>L596+1</f>
        <v>582832317</v>
      </c>
      <c r="L597" s="206">
        <v>583354315</v>
      </c>
      <c r="M597" s="104">
        <f>L597-K597</f>
        <v>521998</v>
      </c>
      <c r="N597" s="104">
        <f>M597*$S$417</f>
        <v>1765801.7844500002</v>
      </c>
      <c r="O597" s="3">
        <v>0</v>
      </c>
      <c r="P597" s="142">
        <f>N597+O597*$P$419</f>
        <v>1765801.7844500002</v>
      </c>
      <c r="Q597" s="97">
        <f>S597*1000000/8</f>
        <v>3070375</v>
      </c>
      <c r="R597" s="105">
        <f>Q597-P597</f>
        <v>1304573.2155499998</v>
      </c>
      <c r="S597" s="189">
        <f>T597*1.1</f>
        <v>24.562999999999999</v>
      </c>
      <c r="T597" s="189">
        <v>22.33</v>
      </c>
      <c r="U597" s="178" t="s">
        <v>628</v>
      </c>
      <c r="V597" s="178"/>
      <c r="W597" s="192" t="s">
        <v>629</v>
      </c>
      <c r="X597">
        <f>R597*8/1000000</f>
        <v>10.436585724399999</v>
      </c>
      <c r="Y597">
        <f>T597-X597</f>
        <v>11.8934142756</v>
      </c>
    </row>
    <row r="598" spans="4:25" ht="15.75">
      <c r="H598" s="209" t="s">
        <v>626</v>
      </c>
      <c r="I598" s="209" t="s">
        <v>630</v>
      </c>
      <c r="J598" s="179" t="s">
        <v>631</v>
      </c>
      <c r="K598" s="143">
        <f>L597+1</f>
        <v>583354316</v>
      </c>
      <c r="L598" s="206">
        <v>583887114</v>
      </c>
      <c r="M598" s="104">
        <f>L598-K598</f>
        <v>532798</v>
      </c>
      <c r="N598" s="104">
        <f>M598*$S$417</f>
        <v>1802335.7544500001</v>
      </c>
      <c r="O598" s="3">
        <v>0</v>
      </c>
      <c r="P598" s="142">
        <f>N598+O598*$P$419</f>
        <v>1802335.7544500001</v>
      </c>
      <c r="Q598" s="97">
        <f>S598*1000000/8</f>
        <v>3793625.0000000005</v>
      </c>
      <c r="R598" s="105">
        <f>Q598-P598</f>
        <v>1991289.2455500003</v>
      </c>
      <c r="S598" s="189">
        <f>T598*1.1</f>
        <v>30.349000000000004</v>
      </c>
      <c r="T598" s="189">
        <v>27.59</v>
      </c>
      <c r="U598" s="178" t="s">
        <v>632</v>
      </c>
      <c r="V598" s="178"/>
      <c r="W598" s="192" t="s">
        <v>633</v>
      </c>
      <c r="X598">
        <f>R598*8/1000000</f>
        <v>15.930313964400003</v>
      </c>
      <c r="Y598">
        <f>T598-X598</f>
        <v>11.659686035599997</v>
      </c>
    </row>
    <row r="601" spans="4:25">
      <c r="H601" s="3"/>
      <c r="M601" s="4"/>
      <c r="N601" s="3"/>
      <c r="S601" s="5"/>
    </row>
    <row r="602" spans="4:25">
      <c r="H602" s="3"/>
      <c r="M602" s="187" t="s">
        <v>424</v>
      </c>
      <c r="N602" s="3" t="s">
        <v>253</v>
      </c>
      <c r="O602" s="3">
        <f>O603*3600*24</f>
        <v>2.3381740799999999</v>
      </c>
      <c r="P602">
        <f>O602/8</f>
        <v>0.29227175999999999</v>
      </c>
      <c r="Q602" s="3" t="s">
        <v>254</v>
      </c>
      <c r="S602" s="5"/>
    </row>
    <row r="603" spans="4:25">
      <c r="H603" s="3"/>
      <c r="L603" t="s">
        <v>256</v>
      </c>
      <c r="N603" s="3"/>
      <c r="O603" s="3">
        <v>2.70622E-5</v>
      </c>
      <c r="P603" t="s">
        <v>195</v>
      </c>
      <c r="Q603" s="134" t="s">
        <v>60</v>
      </c>
      <c r="R603" s="135">
        <f>R604/8</f>
        <v>3.3827750000000001</v>
      </c>
      <c r="S603" s="5"/>
    </row>
    <row r="604" spans="4:25">
      <c r="H604" s="3"/>
      <c r="L604" s="5" t="s">
        <v>259</v>
      </c>
      <c r="N604" s="3"/>
      <c r="O604" s="3">
        <v>1.579</v>
      </c>
      <c r="P604" s="93" t="s">
        <v>198</v>
      </c>
      <c r="Q604" s="137" t="s">
        <v>59</v>
      </c>
      <c r="R604" s="138">
        <f>R605*1000000</f>
        <v>27.062200000000001</v>
      </c>
      <c r="S604" s="5"/>
    </row>
    <row r="605" spans="4:25">
      <c r="D605"/>
      <c r="H605" s="3"/>
      <c r="J605" s="59">
        <v>24204</v>
      </c>
      <c r="K605" s="55"/>
      <c r="L605" s="55"/>
      <c r="M605" s="56"/>
      <c r="N605" s="3"/>
      <c r="O605" s="95">
        <f>O604*1000000/8</f>
        <v>197375</v>
      </c>
      <c r="P605" s="93" t="s">
        <v>203</v>
      </c>
      <c r="Q605" s="139" t="s">
        <v>62</v>
      </c>
      <c r="R605" s="140">
        <v>2.70622E-5</v>
      </c>
      <c r="S605" s="5" t="s">
        <v>21</v>
      </c>
      <c r="X605" t="s">
        <v>634</v>
      </c>
    </row>
    <row r="606" spans="4:25">
      <c r="D606"/>
      <c r="H606" s="3"/>
      <c r="J606" s="73" t="s">
        <v>64</v>
      </c>
      <c r="K606" s="72" t="s">
        <v>65</v>
      </c>
      <c r="L606" s="73" t="s">
        <v>66</v>
      </c>
      <c r="M606" s="73" t="s">
        <v>67</v>
      </c>
      <c r="N606" s="74" t="s">
        <v>68</v>
      </c>
      <c r="O606" s="3" t="s">
        <v>176</v>
      </c>
      <c r="P606" s="74" t="s">
        <v>265</v>
      </c>
      <c r="Q606" s="73" t="s">
        <v>266</v>
      </c>
      <c r="R606" s="73" t="s">
        <v>70</v>
      </c>
      <c r="S606" s="5"/>
      <c r="T606" s="5" t="s">
        <v>635</v>
      </c>
      <c r="X606" t="s">
        <v>636</v>
      </c>
      <c r="Y606" t="s">
        <v>622</v>
      </c>
    </row>
    <row r="607" spans="4:25" ht="15.75">
      <c r="D607"/>
      <c r="H607" s="195"/>
      <c r="I607" s="195"/>
      <c r="J607" s="196"/>
      <c r="K607" s="197"/>
      <c r="L607" s="197"/>
      <c r="M607" s="199"/>
      <c r="N607" s="199"/>
      <c r="O607" s="195"/>
      <c r="P607" s="197"/>
      <c r="Q607" s="200"/>
      <c r="R607" s="201"/>
      <c r="S607" s="202"/>
      <c r="T607" s="202"/>
      <c r="U607" s="203"/>
      <c r="V607" s="203"/>
      <c r="W607" s="204"/>
      <c r="X607" t="s">
        <v>637</v>
      </c>
    </row>
    <row r="608" spans="4:25" ht="15.75">
      <c r="D608"/>
      <c r="G608" t="s">
        <v>201</v>
      </c>
      <c r="H608" s="3" t="str">
        <f>I598</f>
        <v>203/17:00</v>
      </c>
      <c r="I608" s="209" t="s">
        <v>638</v>
      </c>
      <c r="J608" s="179" t="s">
        <v>639</v>
      </c>
      <c r="K608" s="143">
        <f>L598+1</f>
        <v>583887115</v>
      </c>
      <c r="L608" s="206">
        <v>584067116</v>
      </c>
      <c r="M608" s="104">
        <f t="shared" ref="M608:M617" si="42">L608-K608</f>
        <v>180001</v>
      </c>
      <c r="N608" s="104">
        <f>M608*$S$508</f>
        <v>608902.88277500006</v>
      </c>
      <c r="O608" s="3">
        <v>0</v>
      </c>
      <c r="P608" s="142">
        <f>N608+O608*$P$482</f>
        <v>608902.88277500006</v>
      </c>
      <c r="Q608" s="97">
        <f>S608*1000000/8</f>
        <v>1270500</v>
      </c>
      <c r="R608" s="105">
        <f t="shared" ref="R608:R617" si="43">Q608-P608</f>
        <v>661597.11722499994</v>
      </c>
      <c r="S608" s="189">
        <v>10.164</v>
      </c>
      <c r="T608" s="189"/>
      <c r="U608" s="178" t="s">
        <v>640</v>
      </c>
      <c r="V608" s="178"/>
      <c r="W608" s="191" t="s">
        <v>641</v>
      </c>
      <c r="X608">
        <f t="shared" ref="X608:X617" si="44">R608*8/1000000</f>
        <v>5.2927769377999994</v>
      </c>
      <c r="Y608">
        <f t="shared" ref="Y608:Y617" si="45">P608*8/1000000</f>
        <v>4.8712230622000003</v>
      </c>
    </row>
    <row r="609" spans="1:25" ht="15.75">
      <c r="C609" s="129" t="s">
        <v>642</v>
      </c>
      <c r="D609" s="129">
        <v>584593422</v>
      </c>
      <c r="E609" t="s">
        <v>643</v>
      </c>
      <c r="H609" s="209" t="s">
        <v>638</v>
      </c>
      <c r="I609" s="209" t="s">
        <v>644</v>
      </c>
      <c r="J609" s="179" t="s">
        <v>645</v>
      </c>
      <c r="K609" s="143">
        <f>L608+1</f>
        <v>584067117</v>
      </c>
      <c r="L609" s="206">
        <v>584437915</v>
      </c>
      <c r="M609" s="104">
        <f t="shared" si="42"/>
        <v>370798</v>
      </c>
      <c r="N609" s="104">
        <f t="shared" ref="N609:N617" si="46">M609*$S$417</f>
        <v>1254326.2044500001</v>
      </c>
      <c r="O609" s="3">
        <v>0</v>
      </c>
      <c r="P609" s="142">
        <f t="shared" ref="P609:P617" si="47">N609+O609*$P$419</f>
        <v>1254326.2044500001</v>
      </c>
      <c r="Q609" s="97">
        <f>S609*1000000/8</f>
        <v>1564750</v>
      </c>
      <c r="R609" s="105">
        <f t="shared" si="43"/>
        <v>310423.79554999992</v>
      </c>
      <c r="S609" s="189">
        <v>12.518000000000001</v>
      </c>
      <c r="T609" s="189"/>
      <c r="U609" s="178" t="s">
        <v>646</v>
      </c>
      <c r="V609" s="178"/>
      <c r="W609" s="192" t="s">
        <v>647</v>
      </c>
      <c r="X609">
        <f t="shared" si="44"/>
        <v>2.4833903643999995</v>
      </c>
      <c r="Y609">
        <f t="shared" si="45"/>
        <v>10.034609635600001</v>
      </c>
    </row>
    <row r="610" spans="1:25" ht="15.75">
      <c r="C610" s="129" t="s">
        <v>648</v>
      </c>
      <c r="D610" s="129">
        <v>584631716</v>
      </c>
      <c r="E610" t="s">
        <v>244</v>
      </c>
      <c r="H610" s="209" t="s">
        <v>644</v>
      </c>
      <c r="I610" s="209" t="s">
        <v>649</v>
      </c>
      <c r="J610" s="179" t="s">
        <v>650</v>
      </c>
      <c r="K610" s="143">
        <f>L609+1</f>
        <v>584437916</v>
      </c>
      <c r="L610" s="206">
        <v>584524315</v>
      </c>
      <c r="M610" s="104">
        <f t="shared" si="42"/>
        <v>86399</v>
      </c>
      <c r="N610" s="104">
        <f t="shared" si="46"/>
        <v>292268.377225</v>
      </c>
      <c r="O610" s="3">
        <v>0</v>
      </c>
      <c r="P610" s="142">
        <f t="shared" si="47"/>
        <v>292268.377225</v>
      </c>
      <c r="Q610" s="97">
        <f>S610*1000000/8</f>
        <v>1979850</v>
      </c>
      <c r="R610" s="105">
        <f t="shared" si="43"/>
        <v>1687581.6227750001</v>
      </c>
      <c r="S610" s="189">
        <v>15.838800000000001</v>
      </c>
      <c r="T610" s="189"/>
      <c r="U610" s="178" t="s">
        <v>651</v>
      </c>
      <c r="V610" s="178"/>
      <c r="W610" s="192" t="s">
        <v>652</v>
      </c>
      <c r="X610">
        <f t="shared" si="44"/>
        <v>13.5006529822</v>
      </c>
      <c r="Y610">
        <f t="shared" si="45"/>
        <v>2.3381470177999999</v>
      </c>
    </row>
    <row r="611" spans="1:25" ht="15.75">
      <c r="A611" t="s">
        <v>653</v>
      </c>
      <c r="C611" s="129" t="s">
        <v>654</v>
      </c>
      <c r="D611" s="129">
        <v>584689422</v>
      </c>
      <c r="E611" t="s">
        <v>643</v>
      </c>
      <c r="H611" s="209" t="s">
        <v>649</v>
      </c>
      <c r="I611" s="209" t="s">
        <v>655</v>
      </c>
      <c r="J611" s="179" t="s">
        <v>656</v>
      </c>
      <c r="K611" s="143">
        <f>L610+1</f>
        <v>584524316</v>
      </c>
      <c r="L611" s="210">
        <f>D609+20</f>
        <v>584593442</v>
      </c>
      <c r="M611" s="104">
        <f t="shared" si="42"/>
        <v>69126</v>
      </c>
      <c r="N611" s="104">
        <f t="shared" si="46"/>
        <v>233837.70465</v>
      </c>
      <c r="O611" s="3">
        <v>0</v>
      </c>
      <c r="P611" s="142">
        <f t="shared" si="47"/>
        <v>233837.70465</v>
      </c>
      <c r="Q611" s="97">
        <f>S611*1000000/8</f>
        <v>348375</v>
      </c>
      <c r="R611" s="105">
        <f t="shared" si="43"/>
        <v>114537.29535</v>
      </c>
      <c r="S611" s="189">
        <v>2.7869999999999999</v>
      </c>
      <c r="T611" s="189"/>
      <c r="U611" s="178" t="s">
        <v>657</v>
      </c>
      <c r="V611" s="178"/>
      <c r="W611" s="192" t="s">
        <v>658</v>
      </c>
      <c r="X611">
        <f t="shared" si="44"/>
        <v>0.91629836279999999</v>
      </c>
      <c r="Y611">
        <f t="shared" si="45"/>
        <v>1.8707016372</v>
      </c>
    </row>
    <row r="612" spans="1:25" ht="15.75">
      <c r="C612" s="129" t="s">
        <v>659</v>
      </c>
      <c r="D612" s="129">
        <v>584758316</v>
      </c>
      <c r="E612" t="s">
        <v>660</v>
      </c>
      <c r="H612" s="129" t="s">
        <v>661</v>
      </c>
      <c r="I612" s="3" t="s">
        <v>662</v>
      </c>
      <c r="J612" s="179" t="s">
        <v>656</v>
      </c>
      <c r="K612" s="211">
        <f>D610-20</f>
        <v>584631696</v>
      </c>
      <c r="L612" s="143">
        <f>((Q612-O612*$P$510)/$S$508)+K612</f>
        <v>584665554.97535312</v>
      </c>
      <c r="M612" s="104">
        <f t="shared" si="42"/>
        <v>33858.975353121758</v>
      </c>
      <c r="N612" s="104">
        <f t="shared" si="46"/>
        <v>114537.29535015646</v>
      </c>
      <c r="O612" s="3">
        <v>0</v>
      </c>
      <c r="P612" s="142">
        <f t="shared" si="47"/>
        <v>114537.29535015646</v>
      </c>
      <c r="Q612" s="97">
        <f>R611</f>
        <v>114537.29535</v>
      </c>
      <c r="R612" s="105">
        <f t="shared" si="43"/>
        <v>-1.5646219253540039E-7</v>
      </c>
      <c r="S612" s="189">
        <f>X611</f>
        <v>0.91629836279999999</v>
      </c>
      <c r="T612" s="189"/>
      <c r="U612" s="178" t="s">
        <v>657</v>
      </c>
      <c r="V612" s="178"/>
      <c r="W612" s="192" t="s">
        <v>658</v>
      </c>
      <c r="X612">
        <f t="shared" si="44"/>
        <v>-1.2516975402832031E-12</v>
      </c>
      <c r="Y612">
        <f t="shared" si="45"/>
        <v>0.91629836280125165</v>
      </c>
    </row>
    <row r="613" spans="1:25" ht="15.75">
      <c r="H613" s="3" t="s">
        <v>662</v>
      </c>
      <c r="I613" s="209" t="s">
        <v>663</v>
      </c>
      <c r="J613" s="179" t="s">
        <v>239</v>
      </c>
      <c r="K613" s="143">
        <f>L612+1</f>
        <v>584665555.97535312</v>
      </c>
      <c r="L613" s="210">
        <f>D611+20</f>
        <v>584689442</v>
      </c>
      <c r="M613" s="104">
        <f t="shared" si="42"/>
        <v>23886.024646878242</v>
      </c>
      <c r="N613" s="104">
        <f t="shared" si="46"/>
        <v>80801.047024843545</v>
      </c>
      <c r="O613" s="3">
        <v>0</v>
      </c>
      <c r="P613" s="142">
        <f t="shared" si="47"/>
        <v>80801.047024843545</v>
      </c>
      <c r="Q613" s="97">
        <f>S613*1000000/8</f>
        <v>1734125</v>
      </c>
      <c r="R613" s="105">
        <f t="shared" si="43"/>
        <v>1653323.9529751565</v>
      </c>
      <c r="S613" s="189">
        <v>13.872999999999999</v>
      </c>
      <c r="T613" s="189"/>
      <c r="U613" s="178" t="s">
        <v>664</v>
      </c>
      <c r="V613" s="178"/>
      <c r="W613" s="192" t="s">
        <v>665</v>
      </c>
      <c r="X613">
        <f t="shared" si="44"/>
        <v>13.226591623801252</v>
      </c>
      <c r="Y613">
        <f t="shared" si="45"/>
        <v>0.64640837619874836</v>
      </c>
    </row>
    <row r="614" spans="1:25" ht="15.75">
      <c r="H614" s="129" t="s">
        <v>666</v>
      </c>
      <c r="I614" s="209" t="s">
        <v>667</v>
      </c>
      <c r="J614" s="179" t="s">
        <v>668</v>
      </c>
      <c r="K614" s="211">
        <f>D612-20</f>
        <v>584758296</v>
      </c>
      <c r="L614" s="212">
        <v>584787115</v>
      </c>
      <c r="M614" s="104">
        <f t="shared" si="42"/>
        <v>28819</v>
      </c>
      <c r="N614" s="104">
        <f t="shared" si="46"/>
        <v>97488.192725000001</v>
      </c>
      <c r="O614" s="3">
        <v>0</v>
      </c>
      <c r="P614" s="142">
        <f t="shared" si="47"/>
        <v>97488.192725000001</v>
      </c>
      <c r="Q614" s="97">
        <f>S614*1000000/8</f>
        <v>1132500</v>
      </c>
      <c r="R614" s="105">
        <f t="shared" si="43"/>
        <v>1035011.807275</v>
      </c>
      <c r="S614" s="189">
        <v>9.06</v>
      </c>
      <c r="T614" s="189"/>
      <c r="U614" s="178" t="s">
        <v>669</v>
      </c>
      <c r="V614" s="178"/>
      <c r="W614" s="192" t="s">
        <v>670</v>
      </c>
      <c r="X614">
        <f t="shared" si="44"/>
        <v>8.2800944582000007</v>
      </c>
      <c r="Y614">
        <f t="shared" si="45"/>
        <v>0.77990554180000005</v>
      </c>
    </row>
    <row r="615" spans="1:25" ht="15.75">
      <c r="H615" s="3" t="s">
        <v>667</v>
      </c>
      <c r="I615" s="209" t="s">
        <v>671</v>
      </c>
      <c r="J615" s="179" t="s">
        <v>672</v>
      </c>
      <c r="K615" s="143">
        <f>L614+1</f>
        <v>584787116</v>
      </c>
      <c r="L615" s="212">
        <v>585247135</v>
      </c>
      <c r="M615" s="104">
        <f t="shared" si="42"/>
        <v>460019</v>
      </c>
      <c r="N615" s="104">
        <f t="shared" si="46"/>
        <v>1556140.772725</v>
      </c>
      <c r="O615" s="3">
        <v>0</v>
      </c>
      <c r="P615" s="142">
        <f t="shared" si="47"/>
        <v>1556140.772725</v>
      </c>
      <c r="Q615" s="97">
        <f>S615*1000000/8</f>
        <v>2367500</v>
      </c>
      <c r="R615" s="105">
        <f t="shared" si="43"/>
        <v>811359.22727499995</v>
      </c>
      <c r="S615" s="189">
        <v>18.940000000000001</v>
      </c>
      <c r="T615" s="189"/>
      <c r="U615" s="178" t="s">
        <v>673</v>
      </c>
      <c r="V615" s="178"/>
      <c r="W615" s="192" t="s">
        <v>674</v>
      </c>
      <c r="X615">
        <f t="shared" si="44"/>
        <v>6.4908738181999999</v>
      </c>
      <c r="Y615">
        <f t="shared" si="45"/>
        <v>12.449126181800001</v>
      </c>
    </row>
    <row r="616" spans="1:25" ht="15.75">
      <c r="H616" s="3" t="s">
        <v>671</v>
      </c>
      <c r="I616" s="209" t="s">
        <v>675</v>
      </c>
      <c r="J616" s="179" t="s">
        <v>676</v>
      </c>
      <c r="K616" s="143">
        <f>L615+1</f>
        <v>585247136</v>
      </c>
      <c r="L616" s="212">
        <v>585635515</v>
      </c>
      <c r="M616" s="104">
        <f t="shared" si="42"/>
        <v>388379</v>
      </c>
      <c r="N616" s="104">
        <f t="shared" si="46"/>
        <v>1313798.7717250001</v>
      </c>
      <c r="O616" s="3">
        <v>0</v>
      </c>
      <c r="P616" s="142">
        <f t="shared" si="47"/>
        <v>1313798.7717250001</v>
      </c>
      <c r="Q616" s="97">
        <f>S616*1000000/8</f>
        <v>2134625</v>
      </c>
      <c r="R616" s="105">
        <f t="shared" si="43"/>
        <v>820826.22827499988</v>
      </c>
      <c r="S616" s="189">
        <v>17.077000000000002</v>
      </c>
      <c r="T616" s="189"/>
      <c r="U616" s="178" t="s">
        <v>677</v>
      </c>
      <c r="V616" s="178"/>
      <c r="W616" s="192" t="s">
        <v>678</v>
      </c>
      <c r="X616">
        <f t="shared" si="44"/>
        <v>6.5666098261999988</v>
      </c>
      <c r="Y616">
        <f t="shared" si="45"/>
        <v>10.510390173800001</v>
      </c>
    </row>
    <row r="617" spans="1:25" ht="15.75">
      <c r="H617" s="209" t="s">
        <v>675</v>
      </c>
      <c r="I617" s="209" t="s">
        <v>679</v>
      </c>
      <c r="J617" s="179" t="s">
        <v>680</v>
      </c>
      <c r="K617" s="143">
        <f>L616+1</f>
        <v>585635516</v>
      </c>
      <c r="L617" s="212">
        <v>585704575</v>
      </c>
      <c r="M617" s="104">
        <f t="shared" si="42"/>
        <v>69059</v>
      </c>
      <c r="N617" s="104">
        <f t="shared" si="46"/>
        <v>233611.05872500001</v>
      </c>
      <c r="O617" s="3">
        <v>0</v>
      </c>
      <c r="P617" s="142">
        <f t="shared" si="47"/>
        <v>233611.05872500001</v>
      </c>
      <c r="Q617" s="97">
        <f>S617*1000000/8</f>
        <v>3725000</v>
      </c>
      <c r="R617" s="105">
        <f t="shared" si="43"/>
        <v>3491388.9412750001</v>
      </c>
      <c r="S617" s="189">
        <v>29.8</v>
      </c>
      <c r="T617" s="189"/>
      <c r="U617" s="178" t="s">
        <v>681</v>
      </c>
      <c r="V617" s="178"/>
      <c r="W617" s="192" t="s">
        <v>682</v>
      </c>
      <c r="X617">
        <f t="shared" si="44"/>
        <v>27.931111530200003</v>
      </c>
      <c r="Y617">
        <f t="shared" si="45"/>
        <v>1.8688884698000001</v>
      </c>
    </row>
    <row r="619" spans="1:25">
      <c r="L619">
        <f>L617/(3600*24*365)</f>
        <v>18.572570237189243</v>
      </c>
    </row>
    <row r="623" spans="1:25">
      <c r="H623" s="3"/>
      <c r="M623" s="4"/>
      <c r="N623" s="3"/>
      <c r="S623" s="5"/>
    </row>
    <row r="624" spans="1:25">
      <c r="H624" s="3"/>
      <c r="M624" s="187" t="s">
        <v>424</v>
      </c>
      <c r="N624" s="3" t="s">
        <v>253</v>
      </c>
      <c r="O624" s="3">
        <f>O625*3600*24</f>
        <v>2.3381740799999999</v>
      </c>
      <c r="P624">
        <f>O624/8</f>
        <v>0.29227175999999999</v>
      </c>
      <c r="Q624" s="3" t="s">
        <v>254</v>
      </c>
      <c r="S624" s="5"/>
    </row>
    <row r="625" spans="8:25">
      <c r="H625" s="3"/>
      <c r="L625" t="s">
        <v>256</v>
      </c>
      <c r="N625" s="3"/>
      <c r="O625" s="3">
        <v>2.70622E-5</v>
      </c>
      <c r="P625" t="s">
        <v>195</v>
      </c>
      <c r="Q625" s="134" t="s">
        <v>60</v>
      </c>
      <c r="R625" s="135">
        <f>R626/8</f>
        <v>3.3827750000000001</v>
      </c>
      <c r="S625" s="5"/>
    </row>
    <row r="626" spans="8:25">
      <c r="H626" s="3"/>
      <c r="L626" s="5" t="s">
        <v>259</v>
      </c>
      <c r="N626" s="3"/>
      <c r="O626" s="3">
        <v>1.579</v>
      </c>
      <c r="P626" s="93" t="s">
        <v>198</v>
      </c>
      <c r="Q626" s="137" t="s">
        <v>59</v>
      </c>
      <c r="R626" s="138">
        <f>R627*1000000</f>
        <v>27.062200000000001</v>
      </c>
      <c r="S626" s="5"/>
    </row>
    <row r="627" spans="8:25">
      <c r="H627" s="3"/>
      <c r="J627" s="59">
        <v>24225</v>
      </c>
      <c r="K627" s="55"/>
      <c r="L627" s="55"/>
      <c r="M627" s="56"/>
      <c r="N627" s="3"/>
      <c r="O627" s="95">
        <f>O626*1000000/8</f>
        <v>197375</v>
      </c>
      <c r="P627" s="93" t="s">
        <v>203</v>
      </c>
      <c r="Q627" s="139" t="s">
        <v>62</v>
      </c>
      <c r="R627" s="140">
        <v>2.70622E-5</v>
      </c>
      <c r="S627" s="5" t="s">
        <v>21</v>
      </c>
      <c r="X627" t="s">
        <v>634</v>
      </c>
    </row>
    <row r="628" spans="8:25">
      <c r="H628" s="3"/>
      <c r="J628" s="73" t="s">
        <v>64</v>
      </c>
      <c r="K628" s="72" t="s">
        <v>65</v>
      </c>
      <c r="L628" s="73" t="s">
        <v>66</v>
      </c>
      <c r="M628" s="73" t="s">
        <v>67</v>
      </c>
      <c r="N628" s="74" t="s">
        <v>68</v>
      </c>
      <c r="O628" s="3" t="s">
        <v>176</v>
      </c>
      <c r="P628" s="74" t="s">
        <v>265</v>
      </c>
      <c r="Q628" s="73" t="s">
        <v>266</v>
      </c>
      <c r="R628" s="73" t="s">
        <v>70</v>
      </c>
      <c r="S628" s="5"/>
      <c r="T628" s="5" t="s">
        <v>635</v>
      </c>
      <c r="X628" t="s">
        <v>636</v>
      </c>
      <c r="Y628" t="s">
        <v>622</v>
      </c>
    </row>
    <row r="629" spans="8:25" ht="15.75">
      <c r="H629" s="195"/>
      <c r="I629" s="195"/>
      <c r="J629" s="196"/>
      <c r="K629" s="197"/>
      <c r="L629" s="197"/>
      <c r="M629" s="199"/>
      <c r="N629" s="199"/>
      <c r="O629" s="195"/>
      <c r="P629" s="197"/>
      <c r="Q629" s="200"/>
      <c r="R629" s="201"/>
      <c r="S629" s="189"/>
      <c r="T629" s="202"/>
      <c r="U629" s="203"/>
      <c r="V629" s="203"/>
      <c r="W629" s="204"/>
      <c r="X629" t="s">
        <v>637</v>
      </c>
    </row>
    <row r="630" spans="8:25" ht="15.75">
      <c r="H630" s="3" t="s">
        <v>679</v>
      </c>
      <c r="I630" s="209" t="s">
        <v>683</v>
      </c>
      <c r="J630" s="179" t="s">
        <v>684</v>
      </c>
      <c r="K630" s="143">
        <f>1+L617</f>
        <v>585704576</v>
      </c>
      <c r="L630" s="206">
        <v>585895915</v>
      </c>
      <c r="M630" s="104">
        <f>L630-K630</f>
        <v>191339</v>
      </c>
      <c r="N630" s="104">
        <f>M630*$S$508</f>
        <v>647256.78572499997</v>
      </c>
      <c r="O630" s="3">
        <v>0</v>
      </c>
      <c r="P630" s="142">
        <f>N630+O630*$P$482</f>
        <v>647256.78572499997</v>
      </c>
      <c r="Q630" s="97">
        <f>S630*1000000/8</f>
        <v>1203750</v>
      </c>
      <c r="R630" s="105">
        <f>Q630-P630</f>
        <v>556493.21427500003</v>
      </c>
      <c r="S630" s="189">
        <v>9.6300000000000008</v>
      </c>
      <c r="T630" s="189"/>
      <c r="U630" s="178" t="s">
        <v>685</v>
      </c>
      <c r="V630" s="178"/>
      <c r="W630" s="191" t="s">
        <v>686</v>
      </c>
      <c r="X630">
        <f>R630*8/1000000</f>
        <v>4.4519457141999998</v>
      </c>
      <c r="Y630">
        <f>P630*8/1000000</f>
        <v>5.1780542858</v>
      </c>
    </row>
    <row r="631" spans="8:25" ht="15.75">
      <c r="H631" s="209" t="s">
        <v>683</v>
      </c>
      <c r="I631" s="3" t="s">
        <v>687</v>
      </c>
      <c r="J631" s="179" t="s">
        <v>688</v>
      </c>
      <c r="K631" s="143">
        <f>L630+1</f>
        <v>585895916</v>
      </c>
      <c r="L631" s="143">
        <f>((Q631-O631*$P$510)/$S$508)+K631</f>
        <v>586870707.40646362</v>
      </c>
      <c r="M631" s="104">
        <f>L631-K631</f>
        <v>974791.40646362305</v>
      </c>
      <c r="N631" s="104">
        <f>M631*$S$417</f>
        <v>3297499.9999999823</v>
      </c>
      <c r="O631" s="3">
        <v>0</v>
      </c>
      <c r="P631" s="142">
        <f>N631+O631*$P$419</f>
        <v>3297499.9999999823</v>
      </c>
      <c r="Q631" s="97">
        <f>S631*1000000/8</f>
        <v>3297500</v>
      </c>
      <c r="R631" s="105">
        <f>Q631-P631</f>
        <v>1.7695128917694092E-8</v>
      </c>
      <c r="S631" s="189">
        <v>26.38</v>
      </c>
      <c r="T631" s="189"/>
      <c r="U631" s="178" t="s">
        <v>689</v>
      </c>
      <c r="V631" s="178"/>
      <c r="W631" s="192" t="s">
        <v>690</v>
      </c>
      <c r="X631">
        <f>R631*8/1000000</f>
        <v>1.4156103134155274E-13</v>
      </c>
      <c r="Y631">
        <f>P631*8/1000000</f>
        <v>26.379999999999857</v>
      </c>
    </row>
    <row r="632" spans="8:25" ht="15.75">
      <c r="H632" s="3" t="s">
        <v>687</v>
      </c>
      <c r="I632" s="209" t="s">
        <v>691</v>
      </c>
      <c r="J632" s="179" t="s">
        <v>692</v>
      </c>
      <c r="K632" s="143">
        <f>L631+1</f>
        <v>586870708.40646362</v>
      </c>
      <c r="L632" s="206">
        <v>587519516</v>
      </c>
      <c r="M632" s="104">
        <f>L632-K632</f>
        <v>648807.59353637695</v>
      </c>
      <c r="N632" s="104">
        <f>M632*$S$417</f>
        <v>2194770.1072250176</v>
      </c>
      <c r="O632" s="3">
        <v>0</v>
      </c>
      <c r="P632" s="142">
        <f>N632+O632*$P$419</f>
        <v>2194770.1072250176</v>
      </c>
      <c r="Q632" s="97">
        <f>S632*1000000/8</f>
        <v>3916250</v>
      </c>
      <c r="R632" s="105">
        <f>Q632-P632</f>
        <v>1721479.8927749824</v>
      </c>
      <c r="S632" s="189">
        <v>31.33</v>
      </c>
      <c r="T632" s="189"/>
      <c r="U632" s="178" t="s">
        <v>693</v>
      </c>
      <c r="V632" s="178"/>
      <c r="W632" s="192" t="s">
        <v>694</v>
      </c>
      <c r="X632">
        <f>R632*8/1000000</f>
        <v>13.771839142199859</v>
      </c>
      <c r="Y632">
        <f>P632*8/1000000</f>
        <v>17.558160857800139</v>
      </c>
    </row>
    <row r="636" spans="8:25">
      <c r="H636" s="3"/>
      <c r="M636" s="4"/>
      <c r="N636" s="3"/>
      <c r="S636" s="5"/>
    </row>
    <row r="637" spans="8:25">
      <c r="H637" s="3"/>
      <c r="M637" s="187" t="s">
        <v>424</v>
      </c>
      <c r="N637" s="3" t="s">
        <v>253</v>
      </c>
      <c r="O637" s="3">
        <f>O638*3600*24</f>
        <v>2.3381740799999999</v>
      </c>
      <c r="P637">
        <f>O637/8</f>
        <v>0.29227175999999999</v>
      </c>
      <c r="Q637" s="3" t="s">
        <v>254</v>
      </c>
      <c r="S637" s="5"/>
    </row>
    <row r="638" spans="8:25">
      <c r="H638" s="3"/>
      <c r="L638" t="s">
        <v>256</v>
      </c>
      <c r="N638" s="3"/>
      <c r="O638" s="3">
        <v>2.70622E-5</v>
      </c>
      <c r="P638" t="s">
        <v>195</v>
      </c>
      <c r="Q638" s="134" t="s">
        <v>60</v>
      </c>
      <c r="R638" s="135">
        <f>R639/8</f>
        <v>3.3827750000000001</v>
      </c>
      <c r="S638" s="5"/>
    </row>
    <row r="639" spans="8:25">
      <c r="H639" s="3"/>
      <c r="L639" s="5" t="s">
        <v>259</v>
      </c>
      <c r="N639" s="3"/>
      <c r="O639" s="3">
        <v>1.579</v>
      </c>
      <c r="P639" s="93" t="s">
        <v>198</v>
      </c>
      <c r="Q639" s="137" t="s">
        <v>59</v>
      </c>
      <c r="R639" s="138">
        <f>R640*1000000</f>
        <v>27.062200000000001</v>
      </c>
      <c r="S639" s="5"/>
    </row>
    <row r="640" spans="8:25">
      <c r="H640" s="3"/>
      <c r="J640" s="59">
        <v>24246</v>
      </c>
      <c r="K640" s="55"/>
      <c r="L640" s="55"/>
      <c r="M640" s="56"/>
      <c r="N640" s="3"/>
      <c r="O640" s="95">
        <f>O639*1000000/8</f>
        <v>197375</v>
      </c>
      <c r="P640" s="93" t="s">
        <v>203</v>
      </c>
      <c r="Q640" s="139" t="s">
        <v>62</v>
      </c>
      <c r="R640" s="140">
        <v>2.70622E-5</v>
      </c>
      <c r="S640" s="5" t="s">
        <v>21</v>
      </c>
      <c r="X640" t="s">
        <v>634</v>
      </c>
    </row>
    <row r="641" spans="6:25">
      <c r="H641" s="3"/>
      <c r="J641" s="73" t="s">
        <v>64</v>
      </c>
      <c r="K641" s="72" t="s">
        <v>65</v>
      </c>
      <c r="L641" s="73" t="s">
        <v>66</v>
      </c>
      <c r="M641" s="73" t="s">
        <v>67</v>
      </c>
      <c r="N641" s="74" t="s">
        <v>68</v>
      </c>
      <c r="O641" s="3" t="s">
        <v>176</v>
      </c>
      <c r="P641" s="74" t="s">
        <v>265</v>
      </c>
      <c r="Q641" s="73" t="s">
        <v>266</v>
      </c>
      <c r="R641" s="73" t="s">
        <v>70</v>
      </c>
      <c r="S641" s="5"/>
      <c r="T641" s="5" t="s">
        <v>635</v>
      </c>
      <c r="X641" t="s">
        <v>636</v>
      </c>
      <c r="Y641" t="s">
        <v>622</v>
      </c>
    </row>
    <row r="642" spans="6:25" ht="15.75">
      <c r="H642" s="195"/>
      <c r="I642" s="195"/>
      <c r="J642" s="196"/>
      <c r="K642" s="197"/>
      <c r="L642" s="197"/>
      <c r="M642" s="199"/>
      <c r="N642" s="199"/>
      <c r="O642" s="195"/>
      <c r="P642" s="197"/>
      <c r="Q642" s="200"/>
      <c r="R642" s="201"/>
      <c r="S642" s="189"/>
      <c r="T642" s="202"/>
      <c r="U642" s="203"/>
      <c r="V642" s="203"/>
      <c r="W642" s="204"/>
      <c r="X642" t="s">
        <v>637</v>
      </c>
    </row>
    <row r="643" spans="6:25" ht="15.75">
      <c r="F643" t="s">
        <v>695</v>
      </c>
      <c r="H643" s="3" t="s">
        <v>691</v>
      </c>
      <c r="I643" s="209" t="s">
        <v>696</v>
      </c>
      <c r="J643" s="179" t="s">
        <v>697</v>
      </c>
      <c r="K643" s="143">
        <f>L632+1</f>
        <v>587519517</v>
      </c>
      <c r="L643" s="206">
        <v>587847115</v>
      </c>
      <c r="M643" s="104">
        <f t="shared" ref="M643:M648" si="48">L643-K643</f>
        <v>327598</v>
      </c>
      <c r="N643" s="104">
        <f t="shared" ref="N643:N648" si="49">M643*$R$638</f>
        <v>1108190.32445</v>
      </c>
      <c r="O643" s="3">
        <v>0</v>
      </c>
      <c r="P643" s="142">
        <f>N643+O643*$P$482</f>
        <v>1108190.32445</v>
      </c>
      <c r="Q643" s="97">
        <f t="shared" ref="Q643:Q648" si="50">S643*1000000/8</f>
        <v>1578500.0000000002</v>
      </c>
      <c r="R643" s="105">
        <f t="shared" ref="R643:R648" si="51">Q643-P643</f>
        <v>470309.67555000028</v>
      </c>
      <c r="S643" s="189">
        <f t="shared" ref="S643:S648" si="52">T643*1.1</f>
        <v>12.628000000000002</v>
      </c>
      <c r="T643" s="189">
        <v>11.48</v>
      </c>
      <c r="U643" s="178" t="s">
        <v>698</v>
      </c>
      <c r="V643" s="178"/>
      <c r="W643" s="191" t="s">
        <v>699</v>
      </c>
      <c r="X643">
        <f t="shared" ref="X643:X648" si="53">R643*8/1000000</f>
        <v>3.762477404400002</v>
      </c>
      <c r="Y643">
        <f t="shared" ref="Y643:Y648" si="54">P643*8/1000000</f>
        <v>8.8655225955999999</v>
      </c>
    </row>
    <row r="644" spans="6:25" ht="15.75">
      <c r="F644" t="s">
        <v>700</v>
      </c>
      <c r="H644" s="209" t="s">
        <v>696</v>
      </c>
      <c r="I644" s="3" t="s">
        <v>701</v>
      </c>
      <c r="J644" s="179" t="s">
        <v>702</v>
      </c>
      <c r="K644" s="143">
        <f>1+L643</f>
        <v>587847116</v>
      </c>
      <c r="L644" s="143">
        <f>((Q644-O644*$P$510)/$S$508)+K644</f>
        <v>588127174.53182673</v>
      </c>
      <c r="M644" s="104">
        <f t="shared" si="48"/>
        <v>280058.53182673454</v>
      </c>
      <c r="N644" s="104">
        <f t="shared" si="49"/>
        <v>947375.00000018196</v>
      </c>
      <c r="O644" s="3">
        <v>0</v>
      </c>
      <c r="P644" s="142">
        <f>N644+O644*$P$419</f>
        <v>947375.00000018196</v>
      </c>
      <c r="Q644" s="97">
        <f t="shared" si="50"/>
        <v>947375.00000000012</v>
      </c>
      <c r="R644" s="105">
        <f t="shared" si="51"/>
        <v>-1.8184073269367218E-7</v>
      </c>
      <c r="S644" s="189">
        <f t="shared" si="52"/>
        <v>7.5790000000000006</v>
      </c>
      <c r="T644" s="189">
        <v>6.89</v>
      </c>
      <c r="U644" s="178" t="s">
        <v>703</v>
      </c>
      <c r="V644" s="178"/>
      <c r="W644" s="192" t="s">
        <v>704</v>
      </c>
      <c r="X644">
        <f t="shared" si="53"/>
        <v>-1.4547258615493775E-12</v>
      </c>
      <c r="Y644">
        <f t="shared" si="54"/>
        <v>7.5790000000014555</v>
      </c>
    </row>
    <row r="645" spans="6:25" ht="15.75">
      <c r="F645" t="s">
        <v>705</v>
      </c>
      <c r="H645" s="3" t="s">
        <v>701</v>
      </c>
      <c r="I645" s="209" t="s">
        <v>706</v>
      </c>
      <c r="J645" s="179" t="s">
        <v>707</v>
      </c>
      <c r="K645" s="143">
        <f>L644+1</f>
        <v>588127175.53182673</v>
      </c>
      <c r="L645" s="206">
        <v>588567115</v>
      </c>
      <c r="M645" s="104">
        <f t="shared" si="48"/>
        <v>439939.46817326546</v>
      </c>
      <c r="N645" s="104">
        <f t="shared" si="49"/>
        <v>1488216.234449818</v>
      </c>
      <c r="O645" s="3">
        <v>0</v>
      </c>
      <c r="P645" s="142">
        <f>N645+O645*$P$419</f>
        <v>1488216.234449818</v>
      </c>
      <c r="Q645" s="97">
        <f t="shared" si="50"/>
        <v>1992375.0000000002</v>
      </c>
      <c r="R645" s="105">
        <f t="shared" si="51"/>
        <v>504158.7655501822</v>
      </c>
      <c r="S645" s="189">
        <f t="shared" si="52"/>
        <v>15.939000000000002</v>
      </c>
      <c r="T645" s="189">
        <v>14.49</v>
      </c>
      <c r="U645" s="178" t="s">
        <v>708</v>
      </c>
      <c r="V645" s="178"/>
      <c r="W645" s="192" t="s">
        <v>709</v>
      </c>
      <c r="X645">
        <f t="shared" si="53"/>
        <v>4.0332701244014579</v>
      </c>
      <c r="Y645">
        <f t="shared" si="54"/>
        <v>11.905729875598544</v>
      </c>
    </row>
    <row r="646" spans="6:25" ht="15.75">
      <c r="G646" s="3" t="s">
        <v>710</v>
      </c>
      <c r="H646" s="209" t="s">
        <v>706</v>
      </c>
      <c r="I646" s="3" t="s">
        <v>711</v>
      </c>
      <c r="J646" s="179" t="s">
        <v>712</v>
      </c>
      <c r="K646" s="143">
        <f>1+L645</f>
        <v>588567116</v>
      </c>
      <c r="L646" s="143">
        <f>((Q646-O646*$P$510)/$S$508)+K646</f>
        <v>588979277.61287701</v>
      </c>
      <c r="M646" s="104">
        <f t="shared" si="48"/>
        <v>412161.6128770113</v>
      </c>
      <c r="N646" s="104">
        <f t="shared" si="49"/>
        <v>1394250.0000000319</v>
      </c>
      <c r="O646" s="3">
        <v>0</v>
      </c>
      <c r="P646" s="142">
        <f>N646+O646*$P$419</f>
        <v>1394250.0000000319</v>
      </c>
      <c r="Q646" s="97">
        <f t="shared" si="50"/>
        <v>1394250.0000000002</v>
      </c>
      <c r="R646" s="105">
        <f t="shared" si="51"/>
        <v>-3.166496753692627E-8</v>
      </c>
      <c r="S646" s="189">
        <f t="shared" si="52"/>
        <v>11.154000000000002</v>
      </c>
      <c r="T646" s="189">
        <v>10.14</v>
      </c>
      <c r="U646" s="178" t="s">
        <v>713</v>
      </c>
      <c r="V646" s="178"/>
      <c r="W646" s="192" t="s">
        <v>714</v>
      </c>
      <c r="X646">
        <f t="shared" si="53"/>
        <v>-2.5331974029541015E-13</v>
      </c>
      <c r="Y646">
        <f t="shared" si="54"/>
        <v>11.154000000000256</v>
      </c>
    </row>
    <row r="647" spans="6:25" ht="15.75">
      <c r="F647" s="3" t="s">
        <v>710</v>
      </c>
      <c r="H647" s="3" t="s">
        <v>711</v>
      </c>
      <c r="I647" s="209" t="s">
        <v>715</v>
      </c>
      <c r="J647" s="179" t="s">
        <v>716</v>
      </c>
      <c r="K647" s="143">
        <f>1+L646</f>
        <v>588979278.61287701</v>
      </c>
      <c r="L647" s="206">
        <v>589225915</v>
      </c>
      <c r="M647" s="104">
        <f t="shared" si="48"/>
        <v>246636.3871229887</v>
      </c>
      <c r="N647" s="104">
        <f t="shared" si="49"/>
        <v>834315.40444996813</v>
      </c>
      <c r="O647" s="3">
        <v>0</v>
      </c>
      <c r="P647" s="142">
        <f>N647+O647*$P$419</f>
        <v>834315.40444996813</v>
      </c>
      <c r="Q647" s="97">
        <f t="shared" si="50"/>
        <v>5025625</v>
      </c>
      <c r="R647" s="105">
        <f t="shared" si="51"/>
        <v>4191309.5955500319</v>
      </c>
      <c r="S647" s="189">
        <f t="shared" si="52"/>
        <v>40.204999999999998</v>
      </c>
      <c r="T647" s="189">
        <v>36.549999999999997</v>
      </c>
      <c r="U647" s="178" t="s">
        <v>717</v>
      </c>
      <c r="V647" s="178"/>
      <c r="W647" s="192" t="s">
        <v>718</v>
      </c>
      <c r="X647">
        <f t="shared" si="53"/>
        <v>33.530476764400255</v>
      </c>
      <c r="Y647">
        <f t="shared" si="54"/>
        <v>6.6745232355997448</v>
      </c>
    </row>
    <row r="648" spans="6:25" ht="15.75">
      <c r="H648" s="3" t="s">
        <v>715</v>
      </c>
      <c r="I648" s="209" t="s">
        <v>719</v>
      </c>
      <c r="J648" s="179" t="s">
        <v>720</v>
      </c>
      <c r="K648" s="143">
        <f>1+L647</f>
        <v>589225916</v>
      </c>
      <c r="L648" s="206">
        <v>589438315</v>
      </c>
      <c r="M648" s="104">
        <f t="shared" si="48"/>
        <v>212399</v>
      </c>
      <c r="N648" s="104">
        <f t="shared" si="49"/>
        <v>718498.02722499997</v>
      </c>
      <c r="O648" s="3">
        <v>0</v>
      </c>
      <c r="P648" s="142">
        <f>N648+O648*$P$419</f>
        <v>718498.02722499997</v>
      </c>
      <c r="Q648" s="97">
        <f t="shared" si="50"/>
        <v>1167375</v>
      </c>
      <c r="R648" s="105">
        <f t="shared" si="51"/>
        <v>448876.97277500003</v>
      </c>
      <c r="S648" s="189">
        <f t="shared" si="52"/>
        <v>9.3390000000000004</v>
      </c>
      <c r="T648" s="189">
        <v>8.49</v>
      </c>
      <c r="U648" s="178" t="s">
        <v>721</v>
      </c>
      <c r="V648" s="178"/>
      <c r="W648" s="192" t="s">
        <v>722</v>
      </c>
      <c r="X648">
        <f t="shared" si="53"/>
        <v>3.5910157822000004</v>
      </c>
      <c r="Y648">
        <f t="shared" si="54"/>
        <v>5.7479842178</v>
      </c>
    </row>
    <row r="649" spans="6:25">
      <c r="I649" t="s">
        <v>723</v>
      </c>
    </row>
    <row r="650" spans="6:25">
      <c r="I650" t="s">
        <v>724</v>
      </c>
    </row>
    <row r="652" spans="6:25">
      <c r="H652" s="3"/>
      <c r="M652" s="4"/>
      <c r="N652" s="3"/>
      <c r="S652" s="5"/>
    </row>
    <row r="653" spans="6:25">
      <c r="G653" t="s">
        <v>161</v>
      </c>
      <c r="H653" s="3"/>
      <c r="M653" s="187" t="s">
        <v>424</v>
      </c>
      <c r="N653" s="3" t="s">
        <v>253</v>
      </c>
      <c r="O653" s="3">
        <f>O654*3600*24</f>
        <v>2.3381740799999999</v>
      </c>
      <c r="P653">
        <f>O653/8</f>
        <v>0.29227175999999999</v>
      </c>
      <c r="Q653" s="3" t="s">
        <v>254</v>
      </c>
      <c r="S653" s="5"/>
    </row>
    <row r="654" spans="6:25">
      <c r="H654" s="3"/>
      <c r="L654" t="s">
        <v>256</v>
      </c>
      <c r="N654" s="3"/>
      <c r="O654" s="3">
        <v>2.70622E-5</v>
      </c>
      <c r="P654" t="s">
        <v>195</v>
      </c>
      <c r="Q654" s="134" t="s">
        <v>60</v>
      </c>
      <c r="R654" s="135">
        <f>R655/8</f>
        <v>3.3827750000000001</v>
      </c>
      <c r="S654" s="5"/>
    </row>
    <row r="655" spans="6:25">
      <c r="H655" s="3"/>
      <c r="L655" s="5" t="s">
        <v>259</v>
      </c>
      <c r="N655" s="3"/>
      <c r="O655" s="3">
        <v>1.579</v>
      </c>
      <c r="P655" s="93" t="s">
        <v>198</v>
      </c>
      <c r="Q655" s="137" t="s">
        <v>59</v>
      </c>
      <c r="R655" s="138">
        <f>R656*1000000</f>
        <v>27.062200000000001</v>
      </c>
      <c r="S655" s="5"/>
    </row>
    <row r="656" spans="6:25">
      <c r="H656" s="3"/>
      <c r="J656" s="59">
        <v>24267</v>
      </c>
      <c r="K656" s="55"/>
      <c r="L656" s="55"/>
      <c r="M656" s="56"/>
      <c r="N656" s="3"/>
      <c r="O656" s="95">
        <f>O655*1000000/8</f>
        <v>197375</v>
      </c>
      <c r="P656" s="93" t="s">
        <v>203</v>
      </c>
      <c r="Q656" s="139" t="s">
        <v>62</v>
      </c>
      <c r="R656" s="140">
        <v>2.70622E-5</v>
      </c>
      <c r="S656" s="5" t="s">
        <v>21</v>
      </c>
      <c r="X656" t="s">
        <v>634</v>
      </c>
    </row>
    <row r="657" spans="7:25">
      <c r="H657" s="3"/>
      <c r="J657" s="73" t="s">
        <v>64</v>
      </c>
      <c r="K657" s="72" t="s">
        <v>65</v>
      </c>
      <c r="L657" s="73" t="s">
        <v>66</v>
      </c>
      <c r="M657" s="73" t="s">
        <v>67</v>
      </c>
      <c r="N657" s="74" t="s">
        <v>68</v>
      </c>
      <c r="O657" s="3" t="s">
        <v>176</v>
      </c>
      <c r="P657" s="74" t="s">
        <v>265</v>
      </c>
      <c r="Q657" s="73" t="s">
        <v>266</v>
      </c>
      <c r="R657" s="73" t="s">
        <v>70</v>
      </c>
      <c r="S657" s="5"/>
      <c r="T657" s="5" t="s">
        <v>635</v>
      </c>
      <c r="X657" t="s">
        <v>636</v>
      </c>
      <c r="Y657" t="s">
        <v>622</v>
      </c>
    </row>
    <row r="658" spans="7:25" ht="15.75">
      <c r="H658" s="195"/>
      <c r="I658" s="195"/>
      <c r="J658" s="196"/>
      <c r="K658" s="197"/>
      <c r="L658" s="197"/>
      <c r="M658" s="199"/>
      <c r="N658" s="199"/>
      <c r="O658" s="195"/>
      <c r="P658" s="197"/>
      <c r="Q658" s="200"/>
      <c r="R658" s="201"/>
      <c r="S658" s="189"/>
      <c r="T658" s="202"/>
      <c r="U658" s="203"/>
      <c r="V658" s="203"/>
      <c r="W658" s="204"/>
      <c r="X658" t="s">
        <v>637</v>
      </c>
    </row>
    <row r="659" spans="7:25" ht="15.75">
      <c r="H659" s="3" t="s">
        <v>719</v>
      </c>
      <c r="I659" s="213" t="s">
        <v>725</v>
      </c>
      <c r="J659" s="179" t="s">
        <v>726</v>
      </c>
      <c r="K659" s="143">
        <v>589351915</v>
      </c>
      <c r="L659" s="206">
        <v>589576915</v>
      </c>
      <c r="M659" s="104">
        <f>L659-K659</f>
        <v>225000</v>
      </c>
      <c r="N659" s="104">
        <f>M659*$R$638</f>
        <v>761124.375</v>
      </c>
      <c r="O659" s="3">
        <v>0</v>
      </c>
      <c r="P659" s="142">
        <f>N659+O659*$P$482</f>
        <v>761124.375</v>
      </c>
      <c r="Q659" s="97">
        <f>S659*1000000/8</f>
        <v>2363625.0000000005</v>
      </c>
      <c r="R659" s="105">
        <f>Q659-P659</f>
        <v>1602500.6250000005</v>
      </c>
      <c r="S659" s="189">
        <f>T659*1.1</f>
        <v>18.909000000000002</v>
      </c>
      <c r="T659" s="189">
        <v>17.190000000000001</v>
      </c>
      <c r="U659" s="178" t="s">
        <v>727</v>
      </c>
      <c r="V659" s="178"/>
      <c r="W659" s="192" t="s">
        <v>728</v>
      </c>
      <c r="X659">
        <f>R659*8/1000000</f>
        <v>12.820005000000004</v>
      </c>
      <c r="Y659">
        <f>P659*8/1000000</f>
        <v>6.0889949999999997</v>
      </c>
    </row>
    <row r="660" spans="7:25" ht="15.75">
      <c r="H660" s="213" t="s">
        <v>725</v>
      </c>
      <c r="I660" s="213" t="s">
        <v>729</v>
      </c>
      <c r="J660" s="179" t="s">
        <v>730</v>
      </c>
      <c r="K660" s="143">
        <f>1+L659</f>
        <v>589576916</v>
      </c>
      <c r="L660" s="206">
        <v>589873916</v>
      </c>
      <c r="M660" s="104">
        <f>L660-K660</f>
        <v>297000</v>
      </c>
      <c r="N660" s="104">
        <f>M660*$R$638</f>
        <v>1004684.175</v>
      </c>
      <c r="O660" s="3">
        <v>0</v>
      </c>
      <c r="P660" s="142">
        <f>N660+O660*$P$419</f>
        <v>1004684.175</v>
      </c>
      <c r="Q660" s="97">
        <f>S660*1000000/8</f>
        <v>1058750</v>
      </c>
      <c r="R660" s="105">
        <f>Q660-P660</f>
        <v>54065.824999999953</v>
      </c>
      <c r="S660" s="189">
        <f>T660*1.1</f>
        <v>8.4700000000000006</v>
      </c>
      <c r="T660" s="189">
        <v>7.7</v>
      </c>
      <c r="U660" s="178" t="s">
        <v>731</v>
      </c>
      <c r="V660" s="178"/>
      <c r="W660" s="192" t="s">
        <v>732</v>
      </c>
      <c r="X660">
        <f>R660*8/1000000</f>
        <v>0.43252659999999965</v>
      </c>
      <c r="Y660">
        <f>P660*8/1000000</f>
        <v>8.0374733999999997</v>
      </c>
    </row>
    <row r="661" spans="7:25" ht="15.75">
      <c r="H661" s="213" t="s">
        <v>729</v>
      </c>
      <c r="I661" s="213" t="s">
        <v>733</v>
      </c>
      <c r="J661" s="179" t="s">
        <v>734</v>
      </c>
      <c r="K661" s="143">
        <f>L660+1</f>
        <v>589873917</v>
      </c>
      <c r="L661" s="206">
        <v>590043115</v>
      </c>
      <c r="M661" s="104">
        <f>L661-K661</f>
        <v>169198</v>
      </c>
      <c r="N661" s="104">
        <f>M661*$R$638</f>
        <v>572358.76445000002</v>
      </c>
      <c r="O661" s="3">
        <v>0</v>
      </c>
      <c r="P661" s="142">
        <f>N661+O661*$P$419</f>
        <v>572358.76445000002</v>
      </c>
      <c r="Q661" s="97">
        <f>S661*1000000/8</f>
        <v>1298000</v>
      </c>
      <c r="R661" s="105">
        <f>Q661-P661</f>
        <v>725641.23554999998</v>
      </c>
      <c r="S661" s="189">
        <f>T661*1.1</f>
        <v>10.384</v>
      </c>
      <c r="T661" s="189">
        <v>9.44</v>
      </c>
      <c r="U661" s="178" t="s">
        <v>735</v>
      </c>
      <c r="V661" s="178"/>
      <c r="W661" s="192" t="s">
        <v>736</v>
      </c>
      <c r="X661">
        <f>R661*8/1000000</f>
        <v>5.8051298843999994</v>
      </c>
      <c r="Y661">
        <f>P661*8/1000000</f>
        <v>4.5788701156</v>
      </c>
    </row>
    <row r="662" spans="7:25" ht="15.75">
      <c r="H662" s="213" t="s">
        <v>733</v>
      </c>
      <c r="I662" s="213" t="s">
        <v>737</v>
      </c>
      <c r="J662" s="179" t="s">
        <v>738</v>
      </c>
      <c r="K662" s="143">
        <f>1+L661</f>
        <v>590043116</v>
      </c>
      <c r="L662" s="206">
        <v>590129515</v>
      </c>
      <c r="M662" s="104">
        <f>L662-K662</f>
        <v>86399</v>
      </c>
      <c r="N662" s="104">
        <f>M662*$R$638</f>
        <v>292268.377225</v>
      </c>
      <c r="O662" s="3">
        <v>0</v>
      </c>
      <c r="P662" s="142">
        <f>N662+O662*$P$419</f>
        <v>292268.377225</v>
      </c>
      <c r="Q662" s="97">
        <f>S662*1000000/8</f>
        <v>1447875</v>
      </c>
      <c r="R662" s="105">
        <f>Q662-P662</f>
        <v>1155606.6227750001</v>
      </c>
      <c r="S662" s="189">
        <f>T662*1.1</f>
        <v>11.583</v>
      </c>
      <c r="T662" s="189">
        <v>10.53</v>
      </c>
      <c r="U662" s="178" t="s">
        <v>739</v>
      </c>
      <c r="V662" s="178"/>
      <c r="W662" s="192" t="s">
        <v>740</v>
      </c>
      <c r="X662">
        <f>R662*8/1000000</f>
        <v>9.2448529822000012</v>
      </c>
      <c r="Y662">
        <f>P662*8/1000000</f>
        <v>2.3381470177999999</v>
      </c>
    </row>
    <row r="664" spans="7:25">
      <c r="G664" s="3" t="s">
        <v>741</v>
      </c>
      <c r="J664" s="3" t="s">
        <v>742</v>
      </c>
      <c r="L664" s="3" t="s">
        <v>743</v>
      </c>
      <c r="M664" s="3" t="s">
        <v>744</v>
      </c>
      <c r="N664" s="4" t="s">
        <v>745</v>
      </c>
    </row>
    <row r="665" spans="7:25">
      <c r="G665" s="3">
        <v>21</v>
      </c>
      <c r="H665">
        <f>9+18/24</f>
        <v>9.75</v>
      </c>
      <c r="I665" t="s">
        <v>746</v>
      </c>
      <c r="L665" s="3"/>
      <c r="M665" s="3"/>
      <c r="N665" s="4">
        <v>21</v>
      </c>
    </row>
    <row r="666" spans="7:25">
      <c r="G666" s="3"/>
      <c r="H666">
        <v>2.33</v>
      </c>
      <c r="I666" s="3" t="s">
        <v>747</v>
      </c>
      <c r="L666" s="3"/>
      <c r="M666" s="3"/>
    </row>
    <row r="667" spans="7:25">
      <c r="G667" s="3"/>
      <c r="H667">
        <f>H666*H665</f>
        <v>22.717500000000001</v>
      </c>
      <c r="I667"/>
      <c r="L667" s="3"/>
      <c r="M667" s="3"/>
    </row>
    <row r="668" spans="7:25">
      <c r="G668" s="3"/>
      <c r="H668">
        <f>(88.7+83)</f>
        <v>171.7</v>
      </c>
      <c r="I668" s="3" t="s">
        <v>748</v>
      </c>
      <c r="L668" s="3"/>
      <c r="M668" s="3"/>
    </row>
    <row r="669" spans="7:25">
      <c r="G669" s="3">
        <f>$G$665*H669</f>
        <v>12.6</v>
      </c>
      <c r="H669">
        <f>0.6</f>
        <v>0.6</v>
      </c>
      <c r="I669" s="3" t="s">
        <v>749</v>
      </c>
      <c r="J669" s="3">
        <v>6.5</v>
      </c>
      <c r="L669" s="3">
        <v>5.9</v>
      </c>
      <c r="M669" s="3">
        <f>L669*86400/1000000</f>
        <v>0.5097600000000001</v>
      </c>
      <c r="N669" s="4">
        <f>$N$665*M669</f>
        <v>10.704960000000002</v>
      </c>
      <c r="P669" s="3" t="s">
        <v>750</v>
      </c>
    </row>
    <row r="670" spans="7:25">
      <c r="G670" s="3">
        <f>$G$665*H670</f>
        <v>33.6</v>
      </c>
      <c r="H670">
        <v>1.6</v>
      </c>
      <c r="I670" s="3" t="s">
        <v>751</v>
      </c>
      <c r="J670" s="3">
        <v>18.2</v>
      </c>
      <c r="L670" s="3">
        <v>13.6</v>
      </c>
      <c r="M670" s="3">
        <f>L670*86400/1000000</f>
        <v>1.1750400000000001</v>
      </c>
      <c r="N670" s="4">
        <f>$N$665*M670</f>
        <v>24.675840000000001</v>
      </c>
      <c r="O670" s="3">
        <f>N670+N669</f>
        <v>35.380800000000001</v>
      </c>
      <c r="P670" s="3" t="s">
        <v>752</v>
      </c>
    </row>
    <row r="671" spans="7:25">
      <c r="G671" s="3"/>
      <c r="H671">
        <f>H668*(H669+H670)</f>
        <v>377.74</v>
      </c>
      <c r="L671" s="3"/>
      <c r="M671" s="3"/>
    </row>
    <row r="672" spans="7:25">
      <c r="G672" s="3">
        <v>1.6</v>
      </c>
      <c r="H672">
        <v>1.6</v>
      </c>
      <c r="I672" s="3" t="s">
        <v>753</v>
      </c>
      <c r="L672" s="3"/>
      <c r="M672" s="3"/>
      <c r="N672" s="4">
        <v>1.6</v>
      </c>
      <c r="P672" s="3" t="s">
        <v>176</v>
      </c>
    </row>
    <row r="673" spans="7:20">
      <c r="G673" s="3"/>
      <c r="H673">
        <f>H672+H671</f>
        <v>379.34000000000003</v>
      </c>
      <c r="L673" s="3"/>
      <c r="M673" s="3"/>
    </row>
    <row r="674" spans="7:20">
      <c r="G674" s="3">
        <f>$G$665*H674</f>
        <v>29.4</v>
      </c>
      <c r="H674">
        <f>1.4</f>
        <v>1.4</v>
      </c>
      <c r="I674" s="3" t="s">
        <v>754</v>
      </c>
      <c r="J674" s="3">
        <v>16.399999999999999</v>
      </c>
      <c r="L674" s="3">
        <v>19.399999999999999</v>
      </c>
      <c r="M674" s="3">
        <f>L674*86400/1000000</f>
        <v>1.6761599999999999</v>
      </c>
      <c r="N674" s="4">
        <f>$N$665*M674</f>
        <v>35.199359999999999</v>
      </c>
      <c r="P674" s="3" t="s">
        <v>334</v>
      </c>
    </row>
    <row r="675" spans="7:20">
      <c r="H675">
        <f>1.4*H668</f>
        <v>240.37999999999997</v>
      </c>
      <c r="K675" s="3"/>
      <c r="L675" s="3"/>
      <c r="M675" s="3"/>
      <c r="N675" s="214">
        <f>SUM(N669:N674)</f>
        <v>72.180160000000001</v>
      </c>
      <c r="P675" s="145" t="s">
        <v>755</v>
      </c>
    </row>
    <row r="676" spans="7:20">
      <c r="L676" s="3" t="s">
        <v>6</v>
      </c>
      <c r="M676" s="3" t="s">
        <v>756</v>
      </c>
      <c r="N676" s="4" t="s">
        <v>757</v>
      </c>
    </row>
    <row r="677" spans="7:20">
      <c r="H677">
        <f>H675+H671+H672</f>
        <v>619.72</v>
      </c>
    </row>
    <row r="679" spans="7:20">
      <c r="H679">
        <f>620+23+78</f>
        <v>721</v>
      </c>
    </row>
    <row r="682" spans="7:20">
      <c r="I682"/>
      <c r="J682"/>
      <c r="N682"/>
      <c r="O682"/>
      <c r="P682"/>
      <c r="R682"/>
      <c r="S682"/>
      <c r="T682"/>
    </row>
    <row r="683" spans="7:20">
      <c r="I683"/>
      <c r="J683"/>
      <c r="N683"/>
      <c r="O683"/>
      <c r="P683"/>
      <c r="R683"/>
      <c r="S683"/>
      <c r="T683"/>
    </row>
    <row r="684" spans="7:20">
      <c r="I684"/>
      <c r="J684"/>
      <c r="N684"/>
      <c r="O684"/>
      <c r="P684"/>
      <c r="R684"/>
      <c r="S684"/>
      <c r="T684"/>
    </row>
    <row r="685" spans="7:20">
      <c r="I685"/>
      <c r="J685"/>
      <c r="N685"/>
      <c r="O685"/>
      <c r="P685"/>
      <c r="R685"/>
      <c r="S685"/>
      <c r="T685"/>
    </row>
    <row r="686" spans="7:20">
      <c r="I686"/>
      <c r="J686"/>
      <c r="N686"/>
      <c r="O686"/>
      <c r="P686"/>
      <c r="R686"/>
      <c r="S686"/>
      <c r="T686"/>
    </row>
    <row r="687" spans="7:20">
      <c r="I687"/>
      <c r="J687"/>
      <c r="N687"/>
      <c r="O687"/>
      <c r="P687"/>
      <c r="R687"/>
      <c r="S687"/>
      <c r="T687"/>
    </row>
    <row r="688" spans="7:20">
      <c r="I688"/>
      <c r="J688"/>
      <c r="N688"/>
      <c r="O688"/>
      <c r="P688"/>
      <c r="R688"/>
      <c r="S688"/>
      <c r="T688"/>
    </row>
    <row r="689" spans="9:20">
      <c r="I689"/>
      <c r="J689"/>
      <c r="N689"/>
      <c r="O689"/>
      <c r="P689"/>
      <c r="R689"/>
      <c r="S689"/>
      <c r="T689"/>
    </row>
    <row r="690" spans="9:20">
      <c r="I690"/>
      <c r="J690"/>
      <c r="N690"/>
      <c r="O690"/>
      <c r="P690"/>
      <c r="R690"/>
      <c r="S690"/>
      <c r="T690"/>
    </row>
    <row r="691" spans="9:20">
      <c r="I691"/>
      <c r="J691"/>
      <c r="N691"/>
      <c r="O691"/>
      <c r="P691"/>
      <c r="R691"/>
      <c r="S691"/>
      <c r="T691"/>
    </row>
    <row r="692" spans="9:20">
      <c r="I692"/>
      <c r="J692"/>
      <c r="N692"/>
      <c r="O692"/>
      <c r="P692"/>
      <c r="R692"/>
      <c r="S692"/>
      <c r="T692"/>
    </row>
    <row r="693" spans="9:20">
      <c r="I693"/>
      <c r="J693"/>
      <c r="N693"/>
      <c r="O693"/>
      <c r="P693"/>
      <c r="R693"/>
      <c r="S693"/>
      <c r="T693"/>
    </row>
    <row r="694" spans="9:20">
      <c r="I694"/>
      <c r="J694"/>
      <c r="N694"/>
      <c r="O694"/>
      <c r="P694"/>
      <c r="R694"/>
      <c r="S694"/>
      <c r="T694"/>
    </row>
    <row r="695" spans="9:20">
      <c r="I695"/>
      <c r="J695"/>
      <c r="N695"/>
      <c r="O695"/>
      <c r="P695"/>
      <c r="R695"/>
      <c r="S695"/>
      <c r="T695"/>
    </row>
    <row r="696" spans="9:20">
      <c r="I696"/>
      <c r="J696"/>
      <c r="N696"/>
      <c r="O696"/>
      <c r="P696"/>
      <c r="R696"/>
      <c r="S696"/>
      <c r="T696"/>
    </row>
    <row r="697" spans="9:20">
      <c r="I697"/>
      <c r="J697"/>
      <c r="N697"/>
      <c r="O697"/>
      <c r="P697"/>
      <c r="R697"/>
      <c r="S697"/>
      <c r="T697"/>
    </row>
    <row r="698" spans="9:20">
      <c r="I698"/>
      <c r="J698"/>
      <c r="N698"/>
      <c r="O698"/>
      <c r="P698"/>
      <c r="R698"/>
      <c r="S698"/>
      <c r="T698"/>
    </row>
    <row r="699" spans="9:20">
      <c r="I699"/>
      <c r="J699"/>
      <c r="N699"/>
      <c r="O699"/>
      <c r="P699"/>
      <c r="R699"/>
      <c r="S699"/>
      <c r="T699"/>
    </row>
    <row r="700" spans="9:20">
      <c r="I700"/>
      <c r="J700"/>
      <c r="N700"/>
      <c r="O700"/>
      <c r="P700"/>
      <c r="R700"/>
      <c r="S700"/>
      <c r="T700"/>
    </row>
    <row r="701" spans="9:20">
      <c r="I701"/>
      <c r="J701"/>
      <c r="N701"/>
      <c r="O701"/>
      <c r="P701"/>
      <c r="R701"/>
      <c r="S701"/>
      <c r="T701"/>
    </row>
    <row r="702" spans="9:20">
      <c r="I702"/>
      <c r="J702"/>
      <c r="N702"/>
      <c r="O702"/>
      <c r="P702"/>
      <c r="R702"/>
      <c r="S702"/>
      <c r="T702"/>
    </row>
    <row r="703" spans="9:20">
      <c r="I703"/>
      <c r="J703"/>
      <c r="N703"/>
      <c r="O703"/>
      <c r="P703"/>
      <c r="R703"/>
      <c r="S703"/>
      <c r="T703"/>
    </row>
    <row r="704" spans="9:20">
      <c r="I704"/>
      <c r="J704"/>
      <c r="N704"/>
      <c r="O704"/>
      <c r="P704"/>
      <c r="R704"/>
      <c r="S704"/>
      <c r="T704"/>
    </row>
    <row r="705" spans="9:20">
      <c r="I705"/>
      <c r="J705"/>
      <c r="N705"/>
      <c r="O705"/>
      <c r="P705"/>
      <c r="R705"/>
      <c r="S705"/>
      <c r="T705"/>
    </row>
    <row r="706" spans="9:20">
      <c r="I706"/>
      <c r="J706"/>
      <c r="N706"/>
      <c r="O706"/>
      <c r="P706"/>
      <c r="R706"/>
      <c r="S706"/>
      <c r="T706"/>
    </row>
    <row r="707" spans="9:20">
      <c r="I707"/>
      <c r="J707"/>
      <c r="N707"/>
      <c r="O707"/>
      <c r="P707"/>
      <c r="R707"/>
      <c r="S707"/>
      <c r="T707"/>
    </row>
    <row r="708" spans="9:20">
      <c r="I708"/>
      <c r="J708"/>
      <c r="N708"/>
      <c r="O708"/>
      <c r="P708"/>
      <c r="R708"/>
      <c r="S708"/>
      <c r="T708"/>
    </row>
    <row r="709" spans="9:20">
      <c r="I709"/>
      <c r="J709"/>
      <c r="N709"/>
      <c r="O709"/>
      <c r="P709"/>
      <c r="R709"/>
      <c r="S709"/>
      <c r="T709"/>
    </row>
    <row r="710" spans="9:20">
      <c r="I710"/>
      <c r="J710"/>
      <c r="N710"/>
      <c r="O710"/>
      <c r="P710"/>
      <c r="R710"/>
      <c r="S710"/>
      <c r="T710"/>
    </row>
    <row r="711" spans="9:20">
      <c r="I711"/>
      <c r="J711"/>
      <c r="N711"/>
      <c r="O711"/>
      <c r="P711"/>
      <c r="R711"/>
      <c r="S711"/>
      <c r="T711"/>
    </row>
    <row r="712" spans="9:20">
      <c r="I712"/>
      <c r="J712"/>
      <c r="N712"/>
      <c r="O712"/>
      <c r="P712"/>
      <c r="R712"/>
      <c r="S712"/>
      <c r="T712"/>
    </row>
    <row r="713" spans="9:20">
      <c r="I713"/>
      <c r="J713"/>
      <c r="N713"/>
      <c r="O713"/>
      <c r="P713"/>
      <c r="R713"/>
      <c r="S713"/>
      <c r="T713"/>
    </row>
    <row r="714" spans="9:20">
      <c r="I714"/>
      <c r="J714"/>
      <c r="N714"/>
      <c r="O714"/>
      <c r="P714"/>
      <c r="R714"/>
      <c r="S714"/>
      <c r="T714"/>
    </row>
    <row r="715" spans="9:20">
      <c r="I715"/>
      <c r="J715"/>
      <c r="N715"/>
      <c r="O715"/>
      <c r="P715"/>
      <c r="R715"/>
      <c r="S715"/>
      <c r="T715"/>
    </row>
    <row r="716" spans="9:20">
      <c r="I716"/>
      <c r="J716"/>
      <c r="N716"/>
      <c r="O716"/>
      <c r="P716"/>
      <c r="R716"/>
      <c r="S716"/>
      <c r="T716"/>
    </row>
    <row r="717" spans="9:20">
      <c r="I717"/>
      <c r="J717"/>
      <c r="N717"/>
      <c r="O717"/>
      <c r="P717"/>
      <c r="R717"/>
      <c r="S717"/>
      <c r="T717"/>
    </row>
    <row r="718" spans="9:20">
      <c r="I718"/>
      <c r="J718"/>
      <c r="N718"/>
      <c r="O718"/>
      <c r="P718"/>
      <c r="R718"/>
      <c r="S718"/>
      <c r="T718"/>
    </row>
    <row r="719" spans="9:20">
      <c r="I719"/>
      <c r="J719"/>
      <c r="N719"/>
      <c r="O719"/>
      <c r="P719"/>
      <c r="R719"/>
      <c r="S719"/>
      <c r="T719"/>
    </row>
    <row r="720" spans="9:20">
      <c r="I720"/>
      <c r="J720"/>
      <c r="N720"/>
      <c r="O720"/>
      <c r="P720"/>
      <c r="R720"/>
      <c r="S720"/>
      <c r="T720"/>
    </row>
    <row r="721" spans="9:20">
      <c r="I721"/>
      <c r="J721"/>
      <c r="N721"/>
      <c r="O721"/>
      <c r="P721"/>
      <c r="R721"/>
      <c r="S721"/>
      <c r="T721"/>
    </row>
    <row r="722" spans="9:20">
      <c r="I722"/>
      <c r="J722"/>
      <c r="N722"/>
      <c r="O722"/>
      <c r="P722"/>
      <c r="R722"/>
      <c r="S722"/>
      <c r="T722"/>
    </row>
    <row r="723" spans="9:20">
      <c r="I723"/>
      <c r="J723"/>
      <c r="N723"/>
      <c r="O723"/>
      <c r="P723"/>
      <c r="R723"/>
      <c r="S723"/>
      <c r="T723"/>
    </row>
    <row r="724" spans="9:20">
      <c r="I724"/>
      <c r="J724"/>
      <c r="N724"/>
      <c r="O724"/>
      <c r="P724"/>
      <c r="R724"/>
      <c r="S724"/>
      <c r="T724"/>
    </row>
    <row r="725" spans="9:20">
      <c r="I725"/>
      <c r="J725"/>
      <c r="N725"/>
      <c r="O725"/>
      <c r="P725"/>
      <c r="R725"/>
      <c r="S725"/>
      <c r="T725"/>
    </row>
    <row r="726" spans="9:20">
      <c r="I726"/>
      <c r="J726"/>
      <c r="N726"/>
      <c r="O726"/>
      <c r="P726"/>
      <c r="R726"/>
      <c r="S726"/>
      <c r="T726"/>
    </row>
    <row r="727" spans="9:20">
      <c r="I727"/>
      <c r="J727"/>
      <c r="N727"/>
      <c r="O727"/>
      <c r="P727"/>
      <c r="R727"/>
      <c r="S727"/>
      <c r="T727"/>
    </row>
    <row r="728" spans="9:20">
      <c r="I728"/>
      <c r="J728"/>
      <c r="N728"/>
      <c r="O728"/>
      <c r="P728"/>
      <c r="R728"/>
      <c r="S728"/>
      <c r="T728"/>
    </row>
    <row r="729" spans="9:20">
      <c r="I729"/>
      <c r="J729"/>
      <c r="N729"/>
      <c r="O729"/>
      <c r="P729"/>
      <c r="R729"/>
      <c r="S729"/>
      <c r="T729"/>
    </row>
    <row r="730" spans="9:20">
      <c r="I730"/>
      <c r="J730"/>
      <c r="N730"/>
      <c r="O730"/>
      <c r="P730"/>
      <c r="R730"/>
      <c r="S730"/>
      <c r="T730"/>
    </row>
    <row r="731" spans="9:20">
      <c r="I731"/>
      <c r="J731"/>
      <c r="N731"/>
      <c r="O731"/>
      <c r="P731"/>
      <c r="R731"/>
      <c r="S731"/>
      <c r="T731"/>
    </row>
    <row r="732" spans="9:20">
      <c r="I732"/>
      <c r="J732"/>
      <c r="N732"/>
      <c r="O732"/>
      <c r="P732"/>
      <c r="R732"/>
      <c r="S732"/>
      <c r="T732"/>
    </row>
    <row r="733" spans="9:20">
      <c r="I733"/>
      <c r="J733"/>
      <c r="N733"/>
      <c r="O733"/>
      <c r="P733"/>
      <c r="R733"/>
      <c r="S733"/>
      <c r="T733"/>
    </row>
    <row r="734" spans="9:20">
      <c r="I734"/>
      <c r="J734"/>
      <c r="N734"/>
      <c r="O734"/>
      <c r="P734"/>
      <c r="R734"/>
      <c r="S734"/>
      <c r="T734"/>
    </row>
    <row r="735" spans="9:20">
      <c r="I735"/>
      <c r="J735"/>
      <c r="N735"/>
      <c r="O735"/>
      <c r="P735"/>
      <c r="R735"/>
      <c r="S735"/>
      <c r="T735"/>
    </row>
    <row r="736" spans="9:20">
      <c r="I736"/>
      <c r="J736"/>
      <c r="N736"/>
      <c r="O736"/>
      <c r="P736"/>
      <c r="R736"/>
      <c r="S736"/>
      <c r="T736"/>
    </row>
    <row r="737" spans="9:20">
      <c r="I737"/>
      <c r="J737"/>
      <c r="N737"/>
      <c r="O737"/>
      <c r="P737"/>
      <c r="R737"/>
      <c r="S737"/>
      <c r="T737"/>
    </row>
    <row r="738" spans="9:20">
      <c r="I738"/>
      <c r="J738"/>
      <c r="N738"/>
      <c r="O738"/>
      <c r="P738"/>
      <c r="R738"/>
      <c r="S738"/>
      <c r="T738"/>
    </row>
    <row r="739" spans="9:20">
      <c r="I739"/>
      <c r="J739"/>
      <c r="N739"/>
      <c r="O739"/>
      <c r="P739"/>
      <c r="R739"/>
      <c r="S739"/>
      <c r="T739"/>
    </row>
    <row r="740" spans="9:20">
      <c r="I740"/>
      <c r="J740"/>
      <c r="N740"/>
      <c r="O740"/>
      <c r="P740"/>
      <c r="R740"/>
      <c r="S740"/>
      <c r="T740"/>
    </row>
    <row r="741" spans="9:20">
      <c r="I741"/>
      <c r="J741"/>
      <c r="N741"/>
      <c r="O741"/>
      <c r="P741"/>
      <c r="R741"/>
      <c r="S741"/>
      <c r="T741"/>
    </row>
    <row r="742" spans="9:20">
      <c r="I742"/>
      <c r="J742"/>
      <c r="N742"/>
      <c r="O742"/>
      <c r="P742"/>
      <c r="R742"/>
      <c r="S742"/>
      <c r="T742"/>
    </row>
    <row r="743" spans="9:20">
      <c r="I743"/>
      <c r="J743"/>
      <c r="N743"/>
      <c r="O743"/>
      <c r="P743"/>
      <c r="R743"/>
      <c r="S743"/>
      <c r="T743"/>
    </row>
    <row r="744" spans="9:20">
      <c r="I744"/>
      <c r="J744"/>
      <c r="N744"/>
      <c r="O744"/>
      <c r="P744"/>
      <c r="R744"/>
      <c r="S744"/>
      <c r="T744"/>
    </row>
    <row r="745" spans="9:20">
      <c r="I745"/>
      <c r="J745"/>
      <c r="N745"/>
      <c r="O745"/>
      <c r="P745"/>
      <c r="R745"/>
      <c r="S745"/>
      <c r="T745"/>
    </row>
    <row r="746" spans="9:20">
      <c r="I746"/>
      <c r="J746"/>
      <c r="N746"/>
      <c r="O746"/>
      <c r="P746"/>
      <c r="R746"/>
      <c r="S746"/>
      <c r="T746"/>
    </row>
    <row r="747" spans="9:20">
      <c r="I747"/>
      <c r="J747"/>
      <c r="N747"/>
      <c r="O747"/>
      <c r="P747"/>
      <c r="R747"/>
      <c r="S747"/>
      <c r="T747"/>
    </row>
    <row r="748" spans="9:20">
      <c r="I748"/>
      <c r="J748"/>
      <c r="N748"/>
      <c r="O748"/>
      <c r="P748"/>
      <c r="R748"/>
      <c r="S748"/>
      <c r="T748"/>
    </row>
    <row r="749" spans="9:20">
      <c r="I749"/>
      <c r="J749"/>
      <c r="N749"/>
      <c r="O749"/>
      <c r="P749"/>
      <c r="R749"/>
      <c r="S749"/>
      <c r="T749"/>
    </row>
    <row r="750" spans="9:20">
      <c r="I750"/>
      <c r="J750"/>
      <c r="N750"/>
      <c r="O750"/>
      <c r="P750"/>
      <c r="R750"/>
      <c r="S750"/>
      <c r="T750"/>
    </row>
    <row r="751" spans="9:20">
      <c r="I751"/>
      <c r="J751"/>
      <c r="N751"/>
      <c r="O751"/>
      <c r="P751"/>
      <c r="R751"/>
      <c r="S751"/>
      <c r="T751"/>
    </row>
    <row r="752" spans="9:20">
      <c r="I752"/>
      <c r="J752"/>
      <c r="N752"/>
      <c r="O752"/>
      <c r="P752"/>
      <c r="R752"/>
      <c r="S752"/>
      <c r="T752"/>
    </row>
    <row r="753" spans="9:20">
      <c r="I753"/>
      <c r="J753"/>
      <c r="N753"/>
      <c r="O753"/>
      <c r="P753"/>
      <c r="R753"/>
      <c r="S753"/>
      <c r="T753"/>
    </row>
    <row r="754" spans="9:20">
      <c r="I754"/>
      <c r="J754"/>
      <c r="N754"/>
      <c r="O754"/>
      <c r="P754"/>
      <c r="R754"/>
      <c r="S754"/>
      <c r="T754"/>
    </row>
    <row r="755" spans="9:20">
      <c r="I755"/>
      <c r="J755"/>
      <c r="N755"/>
      <c r="O755"/>
      <c r="P755"/>
      <c r="R755"/>
      <c r="S755"/>
      <c r="T755"/>
    </row>
    <row r="756" spans="9:20">
      <c r="I756"/>
      <c r="J756"/>
      <c r="N756"/>
      <c r="O756"/>
      <c r="P756"/>
      <c r="R756"/>
      <c r="S756"/>
      <c r="T756"/>
    </row>
    <row r="757" spans="9:20">
      <c r="I757"/>
      <c r="J757"/>
      <c r="N757"/>
      <c r="O757"/>
      <c r="P757"/>
      <c r="R757"/>
      <c r="S757"/>
      <c r="T757"/>
    </row>
    <row r="758" spans="9:20">
      <c r="I758"/>
      <c r="J758"/>
      <c r="N758"/>
      <c r="O758"/>
      <c r="P758"/>
      <c r="R758"/>
      <c r="S758"/>
      <c r="T758"/>
    </row>
    <row r="759" spans="9:20">
      <c r="I759"/>
      <c r="J759"/>
      <c r="N759"/>
      <c r="O759"/>
      <c r="P759"/>
      <c r="R759"/>
      <c r="S759"/>
      <c r="T759"/>
    </row>
    <row r="760" spans="9:20">
      <c r="I760"/>
      <c r="J760"/>
      <c r="N760"/>
      <c r="O760"/>
      <c r="P760"/>
      <c r="R760"/>
      <c r="S760"/>
      <c r="T760"/>
    </row>
    <row r="1048576" spans="4:4">
      <c r="D1048576" s="17" t="s">
        <v>297</v>
      </c>
    </row>
  </sheetData>
  <mergeCells count="63">
    <mergeCell ref="F268:H268"/>
    <mergeCell ref="F269:H269"/>
    <mergeCell ref="F270:H270"/>
    <mergeCell ref="F242:H242"/>
    <mergeCell ref="H247:I247"/>
    <mergeCell ref="F265:I265"/>
    <mergeCell ref="F266:H266"/>
    <mergeCell ref="F267:H267"/>
    <mergeCell ref="F237:I237"/>
    <mergeCell ref="F238:H238"/>
    <mergeCell ref="F239:H239"/>
    <mergeCell ref="F240:H240"/>
    <mergeCell ref="F241:H241"/>
    <mergeCell ref="F199:H199"/>
    <mergeCell ref="F200:H200"/>
    <mergeCell ref="F201:H201"/>
    <mergeCell ref="F202:H202"/>
    <mergeCell ref="H219:I219"/>
    <mergeCell ref="F172:H172"/>
    <mergeCell ref="F173:H173"/>
    <mergeCell ref="H179:I179"/>
    <mergeCell ref="F197:I197"/>
    <mergeCell ref="F198:H198"/>
    <mergeCell ref="H150:I150"/>
    <mergeCell ref="F168:I168"/>
    <mergeCell ref="F169:H169"/>
    <mergeCell ref="F170:H170"/>
    <mergeCell ref="F171:H171"/>
    <mergeCell ref="F139:H139"/>
    <mergeCell ref="F140:H140"/>
    <mergeCell ref="F141:H141"/>
    <mergeCell ref="F142:H142"/>
    <mergeCell ref="F143:H143"/>
    <mergeCell ref="F112:H112"/>
    <mergeCell ref="F113:H113"/>
    <mergeCell ref="F114:H114"/>
    <mergeCell ref="H120:I120"/>
    <mergeCell ref="F138:I138"/>
    <mergeCell ref="F84:H84"/>
    <mergeCell ref="H91:I91"/>
    <mergeCell ref="F109:I109"/>
    <mergeCell ref="F110:H110"/>
    <mergeCell ref="F111:H111"/>
    <mergeCell ref="F79:I79"/>
    <mergeCell ref="F80:H80"/>
    <mergeCell ref="F81:H81"/>
    <mergeCell ref="F82:H82"/>
    <mergeCell ref="F83:H83"/>
    <mergeCell ref="F53:H53"/>
    <mergeCell ref="F54:H54"/>
    <mergeCell ref="F55:H55"/>
    <mergeCell ref="F56:H56"/>
    <mergeCell ref="H61:I61"/>
    <mergeCell ref="F25:H25"/>
    <mergeCell ref="F26:H26"/>
    <mergeCell ref="H33:I33"/>
    <mergeCell ref="F51:I51"/>
    <mergeCell ref="F52:H52"/>
    <mergeCell ref="H3:I3"/>
    <mergeCell ref="F21:I21"/>
    <mergeCell ref="F22:H22"/>
    <mergeCell ref="F23:H23"/>
    <mergeCell ref="F24:H24"/>
  </mergeCells>
  <conditionalFormatting sqref="K10">
    <cfRule type="containsText" dxfId="30" priority="4" operator="containsText" text="error">
      <formula>NOT(ISERROR(SEARCH("error",K10)))</formula>
    </cfRule>
    <cfRule type="colorScale" priority="5">
      <colorScale>
        <cfvo type="min"/>
        <cfvo type="percentile" val="50"/>
        <cfvo type="max"/>
        <color rgb="FFF8696B"/>
        <color rgb="FFFFEB84"/>
        <color rgb="FF63BE7B"/>
      </colorScale>
    </cfRule>
  </conditionalFormatting>
  <conditionalFormatting sqref="K40">
    <cfRule type="containsText" dxfId="29" priority="18" operator="containsText" text="error">
      <formula>NOT(ISERROR(SEARCH("error",K40)))</formula>
    </cfRule>
    <cfRule type="colorScale" priority="19">
      <colorScale>
        <cfvo type="min"/>
        <cfvo type="percentile" val="50"/>
        <cfvo type="max"/>
        <color rgb="FFF8696B"/>
        <color rgb="FFFFEB84"/>
        <color rgb="FF63BE7B"/>
      </colorScale>
    </cfRule>
  </conditionalFormatting>
  <conditionalFormatting sqref="K68">
    <cfRule type="containsText" dxfId="28" priority="16" operator="containsText" text="error">
      <formula>NOT(ISERROR(SEARCH("error",K68)))</formula>
    </cfRule>
    <cfRule type="colorScale" priority="17">
      <colorScale>
        <cfvo type="min"/>
        <cfvo type="percentile" val="50"/>
        <cfvo type="max"/>
        <color rgb="FFF8696B"/>
        <color rgb="FFFFEB84"/>
        <color rgb="FF63BE7B"/>
      </colorScale>
    </cfRule>
  </conditionalFormatting>
  <conditionalFormatting sqref="K98">
    <cfRule type="containsText" dxfId="27" priority="14" operator="containsText" text="error">
      <formula>NOT(ISERROR(SEARCH("error",K98)))</formula>
    </cfRule>
    <cfRule type="colorScale" priority="15">
      <colorScale>
        <cfvo type="min"/>
        <cfvo type="percentile" val="50"/>
        <cfvo type="max"/>
        <color rgb="FFF8696B"/>
        <color rgb="FFFFEB84"/>
        <color rgb="FF63BE7B"/>
      </colorScale>
    </cfRule>
  </conditionalFormatting>
  <conditionalFormatting sqref="K127">
    <cfRule type="containsText" dxfId="26" priority="12" operator="containsText" text="error">
      <formula>NOT(ISERROR(SEARCH("error",K127)))</formula>
    </cfRule>
    <cfRule type="colorScale" priority="13">
      <colorScale>
        <cfvo type="min"/>
        <cfvo type="percentile" val="50"/>
        <cfvo type="max"/>
        <color rgb="FFF8696B"/>
        <color rgb="FFFFEB84"/>
        <color rgb="FF63BE7B"/>
      </colorScale>
    </cfRule>
  </conditionalFormatting>
  <conditionalFormatting sqref="K157">
    <cfRule type="containsText" dxfId="25" priority="10" operator="containsText" text="error">
      <formula>NOT(ISERROR(SEARCH("error",K157)))</formula>
    </cfRule>
    <cfRule type="colorScale" priority="11">
      <colorScale>
        <cfvo type="min"/>
        <cfvo type="percentile" val="50"/>
        <cfvo type="max"/>
        <color rgb="FFF8696B"/>
        <color rgb="FFFFEB84"/>
        <color rgb="FF63BE7B"/>
      </colorScale>
    </cfRule>
  </conditionalFormatting>
  <conditionalFormatting sqref="K186">
    <cfRule type="containsText" dxfId="24" priority="6" operator="containsText" text="error">
      <formula>NOT(ISERROR(SEARCH("error",K186)))</formula>
    </cfRule>
    <cfRule type="colorScale" priority="7">
      <colorScale>
        <cfvo type="min"/>
        <cfvo type="percentile" val="50"/>
        <cfvo type="max"/>
        <color rgb="FFF8696B"/>
        <color rgb="FFFFEB84"/>
        <color rgb="FF63BE7B"/>
      </colorScale>
    </cfRule>
  </conditionalFormatting>
  <conditionalFormatting sqref="K226">
    <cfRule type="containsText" dxfId="23" priority="8" operator="containsText" text="error">
      <formula>NOT(ISERROR(SEARCH("error",K226)))</formula>
    </cfRule>
    <cfRule type="colorScale" priority="9">
      <colorScale>
        <cfvo type="min"/>
        <cfvo type="percentile" val="50"/>
        <cfvo type="max"/>
        <color rgb="FFF8696B"/>
        <color rgb="FFFFEB84"/>
        <color rgb="FF63BE7B"/>
      </colorScale>
    </cfRule>
  </conditionalFormatting>
  <conditionalFormatting sqref="K254">
    <cfRule type="containsText" dxfId="22" priority="2" operator="containsText" text="error">
      <formula>NOT(ISERROR(SEARCH("error",K254)))</formula>
    </cfRule>
    <cfRule type="colorScale" priority="3">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E225"/>
  <sheetViews>
    <sheetView topLeftCell="J6" zoomScale="90" zoomScaleNormal="90" workbookViewId="0">
      <pane ySplit="765" topLeftCell="A191" activePane="bottomLeft"/>
      <selection activeCell="M6" sqref="M6"/>
      <selection pane="bottomLeft" activeCell="X219" sqref="X219"/>
    </sheetView>
  </sheetViews>
  <sheetFormatPr defaultColWidth="11.59765625" defaultRowHeight="13.5" customHeight="1"/>
  <cols>
    <col min="1" max="1" width="32.59765625" customWidth="1"/>
    <col min="2" max="2" width="5" customWidth="1"/>
    <col min="3" max="3" width="4.86328125" customWidth="1"/>
    <col min="4" max="4" width="4.59765625" customWidth="1"/>
    <col min="5" max="5" width="5.265625" customWidth="1"/>
    <col min="6" max="6" width="4.1328125" customWidth="1"/>
    <col min="7" max="8" width="4.3984375" customWidth="1"/>
    <col min="9" max="9" width="4" customWidth="1"/>
    <col min="10" max="10" width="4.59765625" customWidth="1"/>
    <col min="11" max="11" width="5.86328125" customWidth="1"/>
    <col min="13" max="13" width="14.73046875" customWidth="1"/>
    <col min="15" max="15" width="11.73046875" customWidth="1"/>
    <col min="16" max="16" width="15.1328125" customWidth="1"/>
    <col min="20" max="20" width="14.3984375" customWidth="1"/>
    <col min="22" max="22" width="12.86328125" customWidth="1"/>
    <col min="28" max="28" width="15.3984375" customWidth="1"/>
    <col min="31" max="31" width="13.73046875" customWidth="1"/>
    <col min="32" max="32" width="12.59765625" customWidth="1"/>
    <col min="33" max="33" width="19" customWidth="1"/>
    <col min="34" max="34" width="18.73046875" customWidth="1"/>
    <col min="35" max="35" width="17.73046875" customWidth="1"/>
    <col min="36" max="36" width="17.59765625" customWidth="1"/>
    <col min="37" max="37" width="19.59765625" customWidth="1"/>
    <col min="38" max="38" width="20.3984375" customWidth="1"/>
    <col min="39" max="39" width="20.73046875" customWidth="1"/>
    <col min="42" max="42" width="10.86328125" customWidth="1"/>
    <col min="43" max="43" width="14.1328125" customWidth="1"/>
  </cols>
  <sheetData>
    <row r="2" spans="13:33" ht="14.25">
      <c r="M2" t="s">
        <v>758</v>
      </c>
      <c r="N2">
        <v>126</v>
      </c>
      <c r="O2">
        <v>159</v>
      </c>
      <c r="P2">
        <f>O2-N2</f>
        <v>33</v>
      </c>
      <c r="Q2">
        <f>P2*S6</f>
        <v>31.728378000000003</v>
      </c>
    </row>
    <row r="3" spans="13:33" ht="14.25">
      <c r="N3">
        <v>159</v>
      </c>
      <c r="O3">
        <v>181</v>
      </c>
      <c r="P3">
        <f>O3-N3</f>
        <v>22</v>
      </c>
      <c r="Q3">
        <f>P3*X6</f>
        <v>56.201820631579039</v>
      </c>
      <c r="V3">
        <f>4.513307/V10</f>
        <v>0.92947580888228509</v>
      </c>
      <c r="X3">
        <f>25/X6</f>
        <v>9.7861598400063663</v>
      </c>
    </row>
    <row r="4" spans="13:33" ht="14.25">
      <c r="N4">
        <v>181</v>
      </c>
      <c r="O4">
        <v>218</v>
      </c>
      <c r="P4">
        <f>O4-N4</f>
        <v>37</v>
      </c>
      <c r="Q4">
        <f>P4*S6</f>
        <v>35.574241999999998</v>
      </c>
    </row>
    <row r="5" spans="13:33" ht="14.25">
      <c r="Q5">
        <f>Q4+Q3+Q2</f>
        <v>123.50444063157904</v>
      </c>
    </row>
    <row r="6" spans="13:33" ht="14.25">
      <c r="R6" t="s">
        <v>759</v>
      </c>
      <c r="S6" s="3">
        <v>0.96146600000000004</v>
      </c>
      <c r="U6" t="s">
        <v>759</v>
      </c>
      <c r="V6" s="3">
        <f>V9*8*86400/1000000</f>
        <v>2.6403840000000001</v>
      </c>
      <c r="W6" s="3">
        <v>2.546459</v>
      </c>
      <c r="X6">
        <v>2.5546282105263201</v>
      </c>
    </row>
    <row r="7" spans="13:33" ht="14.25">
      <c r="R7" t="s">
        <v>760</v>
      </c>
      <c r="S7" t="s">
        <v>761</v>
      </c>
      <c r="U7" t="s">
        <v>762</v>
      </c>
      <c r="V7" t="s">
        <v>763</v>
      </c>
      <c r="Z7" s="3" t="s">
        <v>764</v>
      </c>
      <c r="AA7" s="3" t="s">
        <v>765</v>
      </c>
      <c r="AB7" s="3" t="s">
        <v>766</v>
      </c>
      <c r="AC7" s="3" t="s">
        <v>767</v>
      </c>
      <c r="AD7" s="3" t="s">
        <v>768</v>
      </c>
      <c r="AE7" s="3" t="s">
        <v>769</v>
      </c>
      <c r="AF7" s="3"/>
    </row>
    <row r="8" spans="13:33" ht="14.25">
      <c r="R8" s="215" t="s">
        <v>770</v>
      </c>
      <c r="S8" s="135">
        <v>14.778454999999999</v>
      </c>
      <c r="T8" s="3">
        <f>T9*1.1</f>
        <v>0.40055257114116738</v>
      </c>
      <c r="U8" s="215" t="s">
        <v>770</v>
      </c>
      <c r="V8" s="135">
        <v>14.778454999999999</v>
      </c>
      <c r="W8" s="145" t="s">
        <v>771</v>
      </c>
      <c r="X8" t="s">
        <v>772</v>
      </c>
      <c r="Z8" s="3" t="s">
        <v>12</v>
      </c>
      <c r="AA8" s="3" t="s">
        <v>773</v>
      </c>
      <c r="AB8" s="4" t="s">
        <v>774</v>
      </c>
      <c r="AC8" s="3" t="s">
        <v>775</v>
      </c>
      <c r="AD8" s="3" t="s">
        <v>776</v>
      </c>
      <c r="AE8" s="3" t="s">
        <v>777</v>
      </c>
      <c r="AF8" s="3" t="s">
        <v>778</v>
      </c>
      <c r="AG8" s="3"/>
    </row>
    <row r="9" spans="13:33" ht="14.25">
      <c r="N9" t="s">
        <v>779</v>
      </c>
      <c r="O9">
        <f>125/X6</f>
        <v>48.930799200031828</v>
      </c>
      <c r="Q9">
        <v>0.96146600000000004</v>
      </c>
      <c r="R9" s="134" t="s">
        <v>780</v>
      </c>
      <c r="S9" s="135">
        <f>S6*1000000/(8*86400)</f>
        <v>1.391009837962963</v>
      </c>
      <c r="T9">
        <f>S9/V9</f>
        <v>0.36413870103742485</v>
      </c>
      <c r="U9" s="134" t="s">
        <v>780</v>
      </c>
      <c r="V9" s="135">
        <v>3.82</v>
      </c>
      <c r="W9" s="145">
        <f>W6*1000000/(8*86400)</f>
        <v>3.6841131365740742</v>
      </c>
      <c r="X9" s="216">
        <f>X6*1000000/(8*86400)</f>
        <v>3.6959320175438659</v>
      </c>
      <c r="Y9" s="217" t="s">
        <v>781</v>
      </c>
      <c r="Z9" s="3" t="s">
        <v>6</v>
      </c>
      <c r="AA9" s="3" t="s">
        <v>6</v>
      </c>
      <c r="AB9" s="3" t="s">
        <v>6</v>
      </c>
      <c r="AC9" s="3" t="s">
        <v>6</v>
      </c>
      <c r="AD9" s="3" t="s">
        <v>6</v>
      </c>
      <c r="AE9" s="3" t="s">
        <v>6</v>
      </c>
      <c r="AF9" s="3"/>
      <c r="AG9" s="3"/>
    </row>
    <row r="10" spans="13:33" ht="14.25">
      <c r="N10" t="s">
        <v>782</v>
      </c>
      <c r="O10">
        <f>347+49-365</f>
        <v>31</v>
      </c>
      <c r="S10" s="17" t="s">
        <v>783</v>
      </c>
      <c r="T10" s="3" t="s">
        <v>784</v>
      </c>
      <c r="U10" s="134" t="s">
        <v>785</v>
      </c>
      <c r="V10" s="218">
        <f t="shared" ref="V10:V21" si="0">Y10/8</f>
        <v>4.8557552083333402</v>
      </c>
      <c r="W10" t="s">
        <v>786</v>
      </c>
      <c r="X10" s="3" t="s">
        <v>787</v>
      </c>
      <c r="Y10" s="217">
        <f t="shared" ref="Y10:Y21" si="1">SUM(Z10:AE10)</f>
        <v>38.846041666666721</v>
      </c>
      <c r="Z10">
        <v>16.566666666666698</v>
      </c>
      <c r="AA10">
        <v>2.5244444444444398</v>
      </c>
      <c r="AB10">
        <v>0.284444444444444</v>
      </c>
      <c r="AC10">
        <v>10.8697916666667</v>
      </c>
      <c r="AD10">
        <v>5.8611111111111098</v>
      </c>
      <c r="AE10">
        <v>2.7395833333333299</v>
      </c>
      <c r="AF10" s="3"/>
      <c r="AG10" s="3"/>
    </row>
    <row r="11" spans="13:33" ht="14.25">
      <c r="M11" t="s">
        <v>788</v>
      </c>
      <c r="N11" t="s">
        <v>789</v>
      </c>
      <c r="O11">
        <f>(40-6)/X6</f>
        <v>13.309177382408658</v>
      </c>
      <c r="S11" s="17" t="s">
        <v>790</v>
      </c>
      <c r="T11" s="3" t="s">
        <v>784</v>
      </c>
      <c r="U11" s="134" t="s">
        <v>785</v>
      </c>
      <c r="V11" s="218">
        <f t="shared" si="0"/>
        <v>4.5133072916666741</v>
      </c>
      <c r="W11" t="s">
        <v>791</v>
      </c>
      <c r="X11" s="3" t="s">
        <v>787</v>
      </c>
      <c r="Y11" s="217">
        <f t="shared" si="1"/>
        <v>36.106458333333393</v>
      </c>
      <c r="Z11">
        <v>16.566666666666698</v>
      </c>
      <c r="AA11">
        <v>2.5244444444444398</v>
      </c>
      <c r="AB11">
        <v>0.284444444444444</v>
      </c>
      <c r="AC11">
        <v>10.8697916666667</v>
      </c>
      <c r="AD11">
        <v>5.8611111111111098</v>
      </c>
      <c r="AE11" s="3"/>
      <c r="AF11" s="3">
        <f t="shared" ref="AF11:AF21" si="2">Y11*86400/1000000</f>
        <v>3.1195980000000052</v>
      </c>
      <c r="AG11" s="3"/>
    </row>
    <row r="12" spans="13:33" ht="14.25">
      <c r="N12">
        <f>(83-45)*X6</f>
        <v>97.07587200000016</v>
      </c>
      <c r="S12">
        <v>25159</v>
      </c>
      <c r="T12" s="3" t="s">
        <v>792</v>
      </c>
      <c r="U12" s="134" t="s">
        <v>785</v>
      </c>
      <c r="V12" s="218">
        <f t="shared" si="0"/>
        <v>3.0903906249999977</v>
      </c>
      <c r="W12" t="s">
        <v>793</v>
      </c>
      <c r="X12" s="3" t="s">
        <v>794</v>
      </c>
      <c r="Y12" s="217">
        <f t="shared" si="1"/>
        <v>24.723124999999982</v>
      </c>
      <c r="Z12">
        <v>11.0444444444444</v>
      </c>
      <c r="AA12">
        <v>2.5244444444444398</v>
      </c>
      <c r="AB12">
        <v>0.284444444444444</v>
      </c>
      <c r="AC12">
        <v>10.8697916666667</v>
      </c>
      <c r="AD12" s="3"/>
      <c r="AE12" s="3"/>
      <c r="AF12" s="3">
        <f t="shared" si="2"/>
        <v>2.1360779999999986</v>
      </c>
      <c r="AG12" s="3"/>
    </row>
    <row r="13" spans="13:33" ht="14.25">
      <c r="P13" s="17" t="s">
        <v>795</v>
      </c>
      <c r="S13" s="17">
        <v>25139</v>
      </c>
      <c r="T13" s="3" t="s">
        <v>784</v>
      </c>
      <c r="U13" s="134" t="s">
        <v>785</v>
      </c>
      <c r="V13" s="218">
        <f t="shared" si="0"/>
        <v>3.7806684027777853</v>
      </c>
      <c r="W13" t="s">
        <v>793</v>
      </c>
      <c r="X13" s="3" t="s">
        <v>787</v>
      </c>
      <c r="Y13" s="217">
        <f t="shared" si="1"/>
        <v>30.245347222222282</v>
      </c>
      <c r="Z13">
        <v>16.566666666666698</v>
      </c>
      <c r="AA13">
        <v>2.5244444444444398</v>
      </c>
      <c r="AB13">
        <v>0.284444444444444</v>
      </c>
      <c r="AC13">
        <v>10.8697916666667</v>
      </c>
      <c r="AD13" s="3"/>
      <c r="AE13" s="3"/>
      <c r="AF13" s="3">
        <f t="shared" si="2"/>
        <v>2.613198000000005</v>
      </c>
      <c r="AG13" s="3"/>
    </row>
    <row r="14" spans="13:33" ht="14.25">
      <c r="S14">
        <v>25159</v>
      </c>
      <c r="T14" t="s">
        <v>792</v>
      </c>
      <c r="U14" s="134" t="s">
        <v>785</v>
      </c>
      <c r="V14" s="218">
        <f t="shared" si="0"/>
        <v>0.34244791666666624</v>
      </c>
      <c r="W14" t="s">
        <v>796</v>
      </c>
      <c r="X14" s="3" t="s">
        <v>794</v>
      </c>
      <c r="Y14" s="217">
        <f t="shared" si="1"/>
        <v>2.7395833333333299</v>
      </c>
      <c r="AD14" s="3"/>
      <c r="AE14">
        <v>2.7395833333333299</v>
      </c>
      <c r="AF14" s="3">
        <f t="shared" si="2"/>
        <v>0.23669999999999972</v>
      </c>
      <c r="AG14" s="3">
        <f>AF14*21</f>
        <v>4.9706999999999937</v>
      </c>
    </row>
    <row r="15" spans="13:33" ht="14.25">
      <c r="S15" s="17" t="s">
        <v>797</v>
      </c>
      <c r="T15" s="3" t="s">
        <v>798</v>
      </c>
      <c r="U15" s="134" t="s">
        <v>785</v>
      </c>
      <c r="V15" s="218">
        <f t="shared" si="0"/>
        <v>1.7316666666666605</v>
      </c>
      <c r="W15" t="s">
        <v>799</v>
      </c>
      <c r="X15" s="3" t="s">
        <v>794</v>
      </c>
      <c r="Y15" s="217">
        <f t="shared" si="1"/>
        <v>13.853333333333284</v>
      </c>
      <c r="Z15">
        <v>11.0444444444444</v>
      </c>
      <c r="AA15">
        <v>2.5244444444444398</v>
      </c>
      <c r="AB15">
        <v>0.284444444444444</v>
      </c>
      <c r="AF15" s="3">
        <f t="shared" si="2"/>
        <v>1.1969279999999958</v>
      </c>
      <c r="AG15" s="3"/>
    </row>
    <row r="16" spans="13:33" ht="14.25">
      <c r="P16" s="219"/>
      <c r="Q16" s="219" t="s">
        <v>800</v>
      </c>
      <c r="R16" s="219"/>
      <c r="S16" s="220" t="s">
        <v>801</v>
      </c>
      <c r="T16" s="221" t="s">
        <v>798</v>
      </c>
      <c r="U16" s="222" t="s">
        <v>785</v>
      </c>
      <c r="V16" s="223">
        <f t="shared" si="0"/>
        <v>2.4219444444444478</v>
      </c>
      <c r="W16" s="219" t="s">
        <v>799</v>
      </c>
      <c r="X16" s="221" t="s">
        <v>787</v>
      </c>
      <c r="Y16" s="217">
        <f t="shared" si="1"/>
        <v>19.375555555555582</v>
      </c>
      <c r="Z16">
        <v>16.566666666666698</v>
      </c>
      <c r="AA16">
        <v>2.5244444444444398</v>
      </c>
      <c r="AB16">
        <v>0.284444444444444</v>
      </c>
      <c r="AF16" s="3">
        <f t="shared" si="2"/>
        <v>1.6740480000000024</v>
      </c>
      <c r="AG16" s="3"/>
    </row>
    <row r="17" spans="11:43" ht="14.25">
      <c r="Q17" t="s">
        <v>802</v>
      </c>
      <c r="S17">
        <v>25181</v>
      </c>
      <c r="T17" s="17" t="s">
        <v>803</v>
      </c>
      <c r="U17" s="134" t="s">
        <v>785</v>
      </c>
      <c r="V17" s="218">
        <f t="shared" si="0"/>
        <v>2.1248784722222167</v>
      </c>
      <c r="W17" t="s">
        <v>804</v>
      </c>
      <c r="X17" s="3" t="s">
        <v>794</v>
      </c>
      <c r="Y17" s="217">
        <f t="shared" si="1"/>
        <v>16.999027777777734</v>
      </c>
      <c r="Z17">
        <v>11.0444444444444</v>
      </c>
      <c r="AB17">
        <v>0.284444444444444</v>
      </c>
      <c r="AD17">
        <v>2.9305555555555598</v>
      </c>
      <c r="AE17">
        <v>2.7395833333333299</v>
      </c>
      <c r="AF17" s="3">
        <f t="shared" si="2"/>
        <v>1.4687159999999964</v>
      </c>
    </row>
    <row r="18" spans="11:43" ht="14.25">
      <c r="Q18" t="s">
        <v>805</v>
      </c>
      <c r="S18">
        <v>25181</v>
      </c>
      <c r="T18" s="17" t="s">
        <v>803</v>
      </c>
      <c r="U18" s="134" t="s">
        <v>785</v>
      </c>
      <c r="V18" s="218">
        <f t="shared" si="0"/>
        <v>1.6742795138888924</v>
      </c>
      <c r="W18" t="s">
        <v>806</v>
      </c>
      <c r="X18" s="3" t="s">
        <v>794</v>
      </c>
      <c r="Y18" s="217">
        <f t="shared" si="1"/>
        <v>13.394236111111139</v>
      </c>
      <c r="AA18">
        <v>2.5244444444444398</v>
      </c>
      <c r="AC18">
        <v>10.8697916666667</v>
      </c>
      <c r="AF18" s="3">
        <f t="shared" si="2"/>
        <v>1.1572620000000022</v>
      </c>
    </row>
    <row r="19" spans="11:43" ht="14.25">
      <c r="S19">
        <v>25181</v>
      </c>
      <c r="T19" t="s">
        <v>803</v>
      </c>
      <c r="U19" s="134" t="s">
        <v>785</v>
      </c>
      <c r="V19" s="218">
        <f t="shared" si="0"/>
        <v>3.7991579861111089</v>
      </c>
      <c r="W19" t="s">
        <v>807</v>
      </c>
      <c r="X19" s="3" t="s">
        <v>794</v>
      </c>
      <c r="Y19" s="217">
        <f t="shared" si="1"/>
        <v>30.393263888888871</v>
      </c>
      <c r="Z19">
        <v>11.0444444444444</v>
      </c>
      <c r="AA19">
        <v>2.5244444444444398</v>
      </c>
      <c r="AB19">
        <v>0.284444444444444</v>
      </c>
      <c r="AC19">
        <v>10.8697916666667</v>
      </c>
      <c r="AD19">
        <v>2.9305555555555598</v>
      </c>
      <c r="AE19">
        <v>2.7395833333333299</v>
      </c>
      <c r="AF19" s="3">
        <f t="shared" si="2"/>
        <v>2.6259779999999986</v>
      </c>
    </row>
    <row r="20" spans="11:43" ht="14.25">
      <c r="S20">
        <v>25159</v>
      </c>
      <c r="T20" t="s">
        <v>792</v>
      </c>
      <c r="U20" s="134" t="s">
        <v>785</v>
      </c>
      <c r="V20" s="218">
        <f t="shared" si="0"/>
        <v>52.75</v>
      </c>
      <c r="W20" t="s">
        <v>808</v>
      </c>
      <c r="X20" s="3" t="s">
        <v>794</v>
      </c>
      <c r="Y20" s="217">
        <f t="shared" si="1"/>
        <v>422</v>
      </c>
      <c r="AD20">
        <v>422</v>
      </c>
      <c r="AF20" s="3">
        <f t="shared" si="2"/>
        <v>36.460799999999999</v>
      </c>
    </row>
    <row r="21" spans="11:43" ht="14.25">
      <c r="T21" s="17" t="s">
        <v>809</v>
      </c>
      <c r="U21" s="134" t="s">
        <v>785</v>
      </c>
      <c r="V21" s="218">
        <f t="shared" si="0"/>
        <v>1.7889843749999992</v>
      </c>
      <c r="W21" t="s">
        <v>810</v>
      </c>
      <c r="X21" s="3" t="s">
        <v>811</v>
      </c>
      <c r="Y21" s="217">
        <f t="shared" si="1"/>
        <v>14.311874999999993</v>
      </c>
      <c r="Z21">
        <v>5.5222222222222204</v>
      </c>
      <c r="AB21">
        <v>0.284444444444444</v>
      </c>
      <c r="AD21">
        <v>4.3958333333333304</v>
      </c>
      <c r="AE21">
        <v>4.109375</v>
      </c>
      <c r="AF21" s="3">
        <f t="shared" si="2"/>
        <v>1.2365459999999995</v>
      </c>
    </row>
    <row r="22" spans="11:43" ht="14.25"/>
    <row r="23" spans="11:43" ht="14.25">
      <c r="U23" s="215" t="s">
        <v>812</v>
      </c>
      <c r="V23" s="135">
        <v>197375</v>
      </c>
      <c r="AB23" s="3"/>
    </row>
    <row r="24" spans="11:43" ht="14.25">
      <c r="P24" s="224" t="s">
        <v>813</v>
      </c>
      <c r="Q24" s="224" t="s">
        <v>814</v>
      </c>
      <c r="R24" s="225">
        <v>606262016</v>
      </c>
      <c r="S24" s="224">
        <v>8</v>
      </c>
      <c r="T24" s="224" t="s">
        <v>373</v>
      </c>
      <c r="U24" s="224" t="s">
        <v>815</v>
      </c>
      <c r="V24" s="224" t="s">
        <v>816</v>
      </c>
      <c r="W24" s="224" t="s">
        <v>817</v>
      </c>
      <c r="X24" s="224" t="s">
        <v>818</v>
      </c>
      <c r="Y24" s="226"/>
      <c r="Z24" s="227"/>
    </row>
    <row r="25" spans="11:43" ht="14.25">
      <c r="O25" s="17" t="s">
        <v>819</v>
      </c>
      <c r="P25" s="224" t="s">
        <v>820</v>
      </c>
      <c r="Q25" s="224" t="s">
        <v>821</v>
      </c>
      <c r="R25" s="225">
        <v>606473516</v>
      </c>
      <c r="S25" s="224">
        <v>7</v>
      </c>
      <c r="T25" s="224" t="s">
        <v>373</v>
      </c>
      <c r="U25" s="224" t="s">
        <v>822</v>
      </c>
      <c r="V25" s="224" t="s">
        <v>816</v>
      </c>
      <c r="W25" s="224" t="s">
        <v>817</v>
      </c>
      <c r="X25" s="224" t="s">
        <v>823</v>
      </c>
      <c r="Y25" s="227"/>
    </row>
    <row r="26" spans="11:43" ht="14.25">
      <c r="P26" s="224" t="s">
        <v>824</v>
      </c>
      <c r="Q26" s="224" t="s">
        <v>825</v>
      </c>
      <c r="R26" s="224">
        <v>606480128</v>
      </c>
      <c r="S26" s="224">
        <v>0</v>
      </c>
      <c r="T26" s="224" t="s">
        <v>826</v>
      </c>
      <c r="U26" s="224" t="s">
        <v>827</v>
      </c>
      <c r="V26" s="224" t="s">
        <v>828</v>
      </c>
      <c r="W26" s="224"/>
      <c r="X26" s="224" t="s">
        <v>829</v>
      </c>
      <c r="Y26" s="227"/>
    </row>
    <row r="27" spans="11:43" ht="14.25">
      <c r="P27">
        <f>R26-R25</f>
        <v>6612</v>
      </c>
      <c r="R27">
        <v>589335049</v>
      </c>
      <c r="S27">
        <v>589362052</v>
      </c>
      <c r="T27">
        <f>S27-R27</f>
        <v>27003</v>
      </c>
      <c r="U27">
        <v>110684</v>
      </c>
      <c r="V27">
        <f>U27/T27</f>
        <v>4.0989519682998186</v>
      </c>
    </row>
    <row r="28" spans="11:43" ht="14.25">
      <c r="M28">
        <f>(20+16/24)*38.9*86400/1000000</f>
        <v>69.45984</v>
      </c>
      <c r="P28" s="225" t="s">
        <v>830</v>
      </c>
      <c r="Q28" s="225" t="s">
        <v>831</v>
      </c>
      <c r="R28" s="225">
        <v>606482128</v>
      </c>
      <c r="S28" s="225">
        <v>1</v>
      </c>
      <c r="T28" s="225" t="s">
        <v>373</v>
      </c>
      <c r="U28" s="225" t="s">
        <v>832</v>
      </c>
      <c r="V28" s="225" t="s">
        <v>833</v>
      </c>
      <c r="W28" s="225"/>
      <c r="X28" s="225" t="s">
        <v>834</v>
      </c>
      <c r="AD28">
        <f>11000000/500</f>
        <v>22000</v>
      </c>
      <c r="AE28">
        <f>AD28/3600</f>
        <v>6.1111111111111107</v>
      </c>
      <c r="AG28" t="s">
        <v>634</v>
      </c>
    </row>
    <row r="29" spans="11:43" ht="14.25">
      <c r="O29" s="3"/>
      <c r="P29" s="59">
        <v>25096</v>
      </c>
      <c r="Q29" s="55"/>
      <c r="R29" s="55"/>
      <c r="S29" s="56"/>
      <c r="T29" s="3"/>
      <c r="U29" s="95">
        <f>V23</f>
        <v>197375</v>
      </c>
      <c r="V29" s="93"/>
      <c r="W29" s="139" t="s">
        <v>62</v>
      </c>
      <c r="X29" s="140">
        <v>2.70622E-5</v>
      </c>
      <c r="Y29" s="3"/>
      <c r="Z29" s="5"/>
      <c r="AA29" s="5"/>
      <c r="AB29" s="5" t="s">
        <v>835</v>
      </c>
      <c r="AC29" s="5"/>
      <c r="AD29" s="5"/>
      <c r="AE29">
        <f>11000000/500</f>
        <v>22000</v>
      </c>
      <c r="AF29">
        <f>AE29/3600</f>
        <v>6.1111111111111107</v>
      </c>
      <c r="AH29" t="s">
        <v>636</v>
      </c>
      <c r="AI29" t="s">
        <v>836</v>
      </c>
    </row>
    <row r="30" spans="11:43" ht="14.25">
      <c r="O30" s="3"/>
      <c r="P30" s="73" t="s">
        <v>837</v>
      </c>
      <c r="Q30" s="72" t="s">
        <v>65</v>
      </c>
      <c r="R30" s="73" t="s">
        <v>66</v>
      </c>
      <c r="S30" s="73" t="s">
        <v>67</v>
      </c>
      <c r="T30" s="74" t="s">
        <v>68</v>
      </c>
      <c r="U30" s="3" t="s">
        <v>176</v>
      </c>
      <c r="V30" s="74" t="s">
        <v>265</v>
      </c>
      <c r="W30" s="73" t="s">
        <v>266</v>
      </c>
      <c r="X30" s="73" t="s">
        <v>70</v>
      </c>
      <c r="Y30" s="3"/>
      <c r="Z30" s="5"/>
      <c r="AA30" s="5" t="s">
        <v>838</v>
      </c>
      <c r="AB30" s="97" t="s">
        <v>839</v>
      </c>
      <c r="AC30" s="97" t="s">
        <v>840</v>
      </c>
      <c r="AD30" t="s">
        <v>841</v>
      </c>
      <c r="AE30" t="s">
        <v>841</v>
      </c>
      <c r="AH30" t="s">
        <v>637</v>
      </c>
      <c r="AJ30" s="227">
        <f>AJ31+AJ33+AJ34</f>
        <v>31.701153000000001</v>
      </c>
    </row>
    <row r="31" spans="11:43" ht="15.75">
      <c r="L31" s="226" t="s">
        <v>842</v>
      </c>
      <c r="M31" s="226" t="s">
        <v>843</v>
      </c>
      <c r="N31" s="227" t="s">
        <v>844</v>
      </c>
      <c r="O31" s="228" t="s">
        <v>845</v>
      </c>
      <c r="P31" s="179" t="s">
        <v>846</v>
      </c>
      <c r="Q31" s="212">
        <f>R24-20</f>
        <v>606261996</v>
      </c>
      <c r="R31" s="212">
        <f>R25</f>
        <v>606473516</v>
      </c>
      <c r="S31" s="104">
        <f>R31-Q31</f>
        <v>211520</v>
      </c>
      <c r="T31" s="104">
        <f>S31*$V$9</f>
        <v>808006.4</v>
      </c>
      <c r="U31" s="3">
        <v>0</v>
      </c>
      <c r="V31" s="142">
        <f>T31+U31*$V$23</f>
        <v>808006.4</v>
      </c>
      <c r="W31" s="97">
        <f>Y31*1000000/8</f>
        <v>1085211.75</v>
      </c>
      <c r="X31" s="105">
        <f>W31-V31</f>
        <v>277205.34999999998</v>
      </c>
      <c r="Y31" s="189">
        <f>8.681694</f>
        <v>8.6816940000000002</v>
      </c>
      <c r="Z31" s="189"/>
      <c r="AA31" s="229">
        <v>344216</v>
      </c>
      <c r="AB31" s="230">
        <f>S31*$S$9</f>
        <v>294226.40092592593</v>
      </c>
      <c r="AC31" s="231">
        <f>AB31*8/1000000</f>
        <v>2.3538112074074076</v>
      </c>
      <c r="AD31" s="229">
        <f>AB31+AB32</f>
        <v>1088101.4009259259</v>
      </c>
      <c r="AE31" s="229">
        <f>AC31+AC32</f>
        <v>8.704811207407408</v>
      </c>
      <c r="AF31" s="178" t="s">
        <v>847</v>
      </c>
      <c r="AG31" s="228" t="s">
        <v>845</v>
      </c>
      <c r="AH31" s="232">
        <f>X31*8/1000000</f>
        <v>2.2176427999999997</v>
      </c>
      <c r="AI31" s="232">
        <f>V31*8/1000000</f>
        <v>6.4640512000000001</v>
      </c>
      <c r="AJ31" s="227">
        <v>8.6816940000000002</v>
      </c>
      <c r="AK31" t="s">
        <v>847</v>
      </c>
      <c r="AL31" t="s">
        <v>848</v>
      </c>
      <c r="AM31">
        <v>0.80020999999999998</v>
      </c>
      <c r="AN31">
        <v>6</v>
      </c>
      <c r="AO31">
        <v>1.786772</v>
      </c>
      <c r="AP31">
        <v>0.98655599999999999</v>
      </c>
      <c r="AQ31">
        <v>8.6816940000000002</v>
      </c>
    </row>
    <row r="32" spans="11:43" ht="15.75">
      <c r="K32" s="226" t="s">
        <v>849</v>
      </c>
      <c r="L32" s="226" t="s">
        <v>843</v>
      </c>
      <c r="M32" s="226" t="s">
        <v>850</v>
      </c>
      <c r="N32" s="227">
        <v>5.58</v>
      </c>
      <c r="O32" s="228"/>
      <c r="P32" s="179" t="s">
        <v>846</v>
      </c>
      <c r="Q32" s="212">
        <f>R31-1</f>
        <v>606473515</v>
      </c>
      <c r="R32" s="212">
        <f>R26</f>
        <v>606480128</v>
      </c>
      <c r="S32" s="104">
        <f>R32-Q32</f>
        <v>6613</v>
      </c>
      <c r="T32" s="104">
        <f>N32*1000000/8</f>
        <v>697500</v>
      </c>
      <c r="U32" s="3">
        <v>0</v>
      </c>
      <c r="V32" s="142">
        <f>T32+U32*$V$23</f>
        <v>697500</v>
      </c>
      <c r="W32" s="97">
        <f>X31</f>
        <v>277205.34999999998</v>
      </c>
      <c r="X32" s="105">
        <f>W32-V32</f>
        <v>-420294.65</v>
      </c>
      <c r="Y32" s="189"/>
      <c r="Z32" s="189"/>
      <c r="AA32" s="229">
        <v>677415</v>
      </c>
      <c r="AB32" s="233">
        <f>AC32*1000000/8</f>
        <v>793875</v>
      </c>
      <c r="AC32" s="234">
        <v>6.351</v>
      </c>
      <c r="AD32" s="229">
        <f>AB32+AB31-W31</f>
        <v>2889.6509259259328</v>
      </c>
      <c r="AE32" s="229">
        <f>AC32+AC31-Y31</f>
        <v>2.3117207407407747E-2</v>
      </c>
      <c r="AF32" s="178"/>
      <c r="AG32" s="228"/>
      <c r="AH32" s="232"/>
      <c r="AI32" s="232"/>
      <c r="AJ32" s="227"/>
    </row>
    <row r="33" spans="1:44" ht="15.75">
      <c r="K33" s="226" t="s">
        <v>851</v>
      </c>
      <c r="L33" s="226" t="s">
        <v>850</v>
      </c>
      <c r="M33" s="226" t="s">
        <v>852</v>
      </c>
      <c r="N33" s="227"/>
      <c r="O33" s="228" t="s">
        <v>853</v>
      </c>
      <c r="P33" s="179" t="s">
        <v>854</v>
      </c>
      <c r="Q33" s="212">
        <f>R32-1</f>
        <v>606480127</v>
      </c>
      <c r="R33" s="143">
        <f>((W33)/$V$9)+Q33</f>
        <v>606884641.65314138</v>
      </c>
      <c r="S33" s="104">
        <f>R33-Q33</f>
        <v>404514.65314137936</v>
      </c>
      <c r="T33" s="104">
        <f>S33*$V$9</f>
        <v>1545245.975000069</v>
      </c>
      <c r="U33" s="3">
        <v>0</v>
      </c>
      <c r="V33" s="142">
        <f>T33+U33*$V$23</f>
        <v>1545245.975000069</v>
      </c>
      <c r="W33" s="97">
        <f>Y33*1000000/8+X32</f>
        <v>1545245.9750000001</v>
      </c>
      <c r="X33" s="105">
        <f>W33-V33</f>
        <v>-6.891787052154541E-8</v>
      </c>
      <c r="Y33" s="189">
        <f>AJ33</f>
        <v>15.724325</v>
      </c>
      <c r="Z33" s="189"/>
      <c r="AA33" s="229">
        <v>647088</v>
      </c>
      <c r="AB33" s="235">
        <f>S33*$S$9</f>
        <v>562683.86211983429</v>
      </c>
      <c r="AC33" s="236">
        <f>AB33*8/1000000</f>
        <v>4.5014708969586739</v>
      </c>
      <c r="AD33" s="229">
        <f>AB33-V33</f>
        <v>-982562.11288023472</v>
      </c>
      <c r="AE33" s="229">
        <f>AD33*8/1000000</f>
        <v>-7.8604969030418781</v>
      </c>
      <c r="AF33" s="178" t="str">
        <f>AK33</f>
        <v>TRK_112_1</v>
      </c>
      <c r="AG33" s="228" t="s">
        <v>853</v>
      </c>
      <c r="AH33" s="232">
        <f>X33*8/1000000</f>
        <v>-5.5134296417236325E-13</v>
      </c>
      <c r="AI33" s="232">
        <f>V33*8/1000000</f>
        <v>12.361967800000553</v>
      </c>
      <c r="AJ33" s="227">
        <v>15.724325</v>
      </c>
      <c r="AK33" t="s">
        <v>855</v>
      </c>
      <c r="AL33" t="s">
        <v>856</v>
      </c>
      <c r="AM33">
        <v>0.23064999999999999</v>
      </c>
      <c r="AN33">
        <v>6</v>
      </c>
      <c r="AO33">
        <v>2.0175109999999998</v>
      </c>
      <c r="AP33">
        <v>1.7868550000000001</v>
      </c>
      <c r="AQ33">
        <v>15.724325</v>
      </c>
    </row>
    <row r="34" spans="1:44" ht="15.75">
      <c r="L34" s="226" t="s">
        <v>852</v>
      </c>
      <c r="M34" s="226" t="s">
        <v>857</v>
      </c>
      <c r="N34" s="227"/>
      <c r="O34" s="228" t="s">
        <v>858</v>
      </c>
      <c r="P34" s="179" t="s">
        <v>859</v>
      </c>
      <c r="Q34" s="237">
        <f>R33-1</f>
        <v>606884640.65314138</v>
      </c>
      <c r="R34" s="143">
        <f>((W34)/$V$9)+Q34</f>
        <v>607123355.77094245</v>
      </c>
      <c r="S34" s="104">
        <f>R34-Q34</f>
        <v>238715.11780107021</v>
      </c>
      <c r="T34" s="104">
        <f>S34*$V$9</f>
        <v>911891.75000008813</v>
      </c>
      <c r="U34" s="3">
        <v>0</v>
      </c>
      <c r="V34" s="142">
        <f>T34+U34*$V$23</f>
        <v>911891.75000008813</v>
      </c>
      <c r="W34" s="97">
        <f>Y34*1000000/8</f>
        <v>911891.75</v>
      </c>
      <c r="X34" s="105">
        <f>W34-V34</f>
        <v>-8.8126398622989655E-8</v>
      </c>
      <c r="Y34" s="189">
        <f>AJ34</f>
        <v>7.295134</v>
      </c>
      <c r="Z34" s="189"/>
      <c r="AA34" s="229">
        <v>323548</v>
      </c>
      <c r="AB34" s="235">
        <f>S34*$S$9</f>
        <v>332055.07733177627</v>
      </c>
      <c r="AC34" s="236">
        <f>AB34*8/1000000</f>
        <v>2.65644061865421</v>
      </c>
      <c r="AD34" s="229">
        <f>AB34-V34</f>
        <v>-579836.67266831186</v>
      </c>
      <c r="AE34" s="229">
        <f>AC34-Y34</f>
        <v>-4.6386933813457905</v>
      </c>
      <c r="AF34" s="178" t="str">
        <f>AK34</f>
        <v>TRK_112_2</v>
      </c>
      <c r="AG34" s="228" t="s">
        <v>858</v>
      </c>
      <c r="AH34" s="232">
        <f>X34*8/1000000</f>
        <v>-7.0501118898391721E-13</v>
      </c>
      <c r="AI34" s="232">
        <f>V34*8/1000000</f>
        <v>7.2951340000007052</v>
      </c>
      <c r="AJ34" s="227">
        <v>7.295134</v>
      </c>
      <c r="AK34" t="s">
        <v>860</v>
      </c>
      <c r="AL34" t="s">
        <v>861</v>
      </c>
      <c r="AM34">
        <v>0.23527999999999999</v>
      </c>
      <c r="AN34">
        <v>2</v>
      </c>
      <c r="AO34">
        <v>1.0642739999999999</v>
      </c>
      <c r="AP34">
        <v>0.82899199999999995</v>
      </c>
      <c r="AQ34">
        <v>7.295134</v>
      </c>
    </row>
    <row r="35" spans="1:44" ht="14.25">
      <c r="M35" s="3"/>
      <c r="N35" s="3"/>
      <c r="P35" s="3"/>
      <c r="T35" s="4"/>
      <c r="U35" s="3"/>
      <c r="V35" s="3"/>
      <c r="X35" s="3"/>
      <c r="Y35" s="3"/>
      <c r="Z35" s="5"/>
      <c r="AB35" s="3" t="s">
        <v>862</v>
      </c>
      <c r="AC35" s="3"/>
      <c r="AD35" s="97"/>
      <c r="AE35" s="97"/>
      <c r="AH35" s="232"/>
      <c r="AI35" s="232"/>
    </row>
    <row r="36" spans="1:44" ht="14.25">
      <c r="L36" s="3"/>
      <c r="M36" s="3"/>
      <c r="N36" s="3"/>
      <c r="P36" s="81" t="s">
        <v>863</v>
      </c>
      <c r="Q36" s="81" t="s">
        <v>864</v>
      </c>
      <c r="R36" s="81">
        <v>606263216</v>
      </c>
      <c r="S36" s="81">
        <v>7</v>
      </c>
      <c r="T36" s="81" t="s">
        <v>373</v>
      </c>
      <c r="U36" s="81" t="s">
        <v>865</v>
      </c>
      <c r="V36" s="81" t="s">
        <v>866</v>
      </c>
      <c r="W36" s="81" t="s">
        <v>867</v>
      </c>
      <c r="X36" s="81" t="s">
        <v>868</v>
      </c>
      <c r="Y36" s="238"/>
      <c r="Z36" s="239"/>
      <c r="AA36" s="3" t="s">
        <v>869</v>
      </c>
      <c r="AB36" s="3" t="s">
        <v>870</v>
      </c>
      <c r="AC36" s="3" t="s">
        <v>871</v>
      </c>
      <c r="AD36" s="238"/>
      <c r="AE36" s="238"/>
      <c r="AH36" s="232"/>
      <c r="AI36" s="232"/>
    </row>
    <row r="37" spans="1:44" ht="15.75">
      <c r="A37" s="238" t="s">
        <v>872</v>
      </c>
      <c r="B37" s="238"/>
      <c r="C37" s="238"/>
      <c r="D37" s="238"/>
      <c r="E37" s="238"/>
      <c r="F37" s="238"/>
      <c r="G37" s="238"/>
      <c r="H37" s="238"/>
      <c r="I37" s="238"/>
      <c r="J37" s="238"/>
      <c r="K37" s="238"/>
      <c r="L37" s="238" t="s">
        <v>873</v>
      </c>
      <c r="M37" s="238" t="s">
        <v>874</v>
      </c>
      <c r="N37" s="238"/>
      <c r="O37" s="192" t="s">
        <v>875</v>
      </c>
      <c r="P37" s="179" t="s">
        <v>876</v>
      </c>
      <c r="Q37" s="240">
        <f>R36-20</f>
        <v>606263196</v>
      </c>
      <c r="R37" s="143">
        <f>((W37-U37*$V$23)/$V$10)+Q37</f>
        <v>606535975.99367166</v>
      </c>
      <c r="S37" s="104">
        <f>R37-Q37</f>
        <v>272779.99367165565</v>
      </c>
      <c r="T37" s="104">
        <f>S37*$V$10</f>
        <v>1324552.8750002775</v>
      </c>
      <c r="U37" s="3">
        <v>1</v>
      </c>
      <c r="V37" s="142">
        <f>T37+U37*$V$23</f>
        <v>1521927.8750002775</v>
      </c>
      <c r="W37" s="97">
        <f>Y37*1000000/8</f>
        <v>1521927.875</v>
      </c>
      <c r="X37" s="105">
        <f>W37-V37</f>
        <v>-2.775341272354126E-7</v>
      </c>
      <c r="Y37" s="189">
        <f>AJ37</f>
        <v>12.175423</v>
      </c>
      <c r="Z37" s="189"/>
      <c r="AA37" s="229">
        <v>1614636</v>
      </c>
      <c r="AB37" s="235">
        <f>AA37-T37</f>
        <v>290083.12499972247</v>
      </c>
      <c r="AC37" s="241">
        <f>(AB37/8)/1000000</f>
        <v>3.6260390624965305E-2</v>
      </c>
      <c r="AD37" s="229"/>
      <c r="AE37" s="229"/>
      <c r="AF37" s="178" t="str">
        <f>AK37</f>
        <v>TRK_113_1</v>
      </c>
      <c r="AG37" s="192" t="s">
        <v>875</v>
      </c>
      <c r="AH37" s="232">
        <f>X37*8/1000000</f>
        <v>-2.2202730178833006E-12</v>
      </c>
      <c r="AI37" s="232">
        <f>V37*8/1000000</f>
        <v>12.175423000002221</v>
      </c>
      <c r="AJ37" s="242">
        <v>12.175423</v>
      </c>
      <c r="AK37" t="s">
        <v>877</v>
      </c>
      <c r="AL37" t="s">
        <v>878</v>
      </c>
      <c r="AM37">
        <v>0.23605000000000001</v>
      </c>
      <c r="AN37">
        <v>6</v>
      </c>
      <c r="AO37">
        <v>1.6196269999999999</v>
      </c>
      <c r="AP37">
        <v>1.3835710000000001</v>
      </c>
      <c r="AQ37">
        <v>12.175423</v>
      </c>
    </row>
    <row r="38" spans="1:44" ht="15.75">
      <c r="L38" s="238" t="str">
        <f>M37</f>
        <v>99/20:14</v>
      </c>
      <c r="M38" s="238" t="s">
        <v>879</v>
      </c>
      <c r="N38" s="238"/>
      <c r="O38" s="192" t="s">
        <v>880</v>
      </c>
      <c r="P38" s="179" t="s">
        <v>571</v>
      </c>
      <c r="Q38" s="237">
        <f>R37-1</f>
        <v>606535974.99367166</v>
      </c>
      <c r="R38" s="143">
        <f>((W38-U38*$V$23)/$V$10)+Q38</f>
        <v>606937249.54652727</v>
      </c>
      <c r="S38" s="104">
        <f>R38-Q38</f>
        <v>401274.55285561085</v>
      </c>
      <c r="T38" s="104">
        <f>S38*$V$10</f>
        <v>1948491.0000002645</v>
      </c>
      <c r="U38" s="3">
        <v>0</v>
      </c>
      <c r="V38" s="142">
        <f>T38+U38*$V$23</f>
        <v>1948491.0000002645</v>
      </c>
      <c r="W38" s="97">
        <f>Y38*1000000/8</f>
        <v>1948491</v>
      </c>
      <c r="X38" s="105">
        <f>W38-V38</f>
        <v>-2.644956111907959E-7</v>
      </c>
      <c r="Y38" s="189">
        <f>AJ38</f>
        <v>15.587928</v>
      </c>
      <c r="Z38" s="189"/>
      <c r="AA38" s="229">
        <v>2057144</v>
      </c>
      <c r="AB38" s="235">
        <f>AA38-T38</f>
        <v>108652.9999997355</v>
      </c>
      <c r="AC38" s="241">
        <f>(AB38/8)/1000000</f>
        <v>1.3581624999966938E-2</v>
      </c>
      <c r="AD38" s="229"/>
      <c r="AE38" s="229"/>
      <c r="AF38" s="178" t="str">
        <f>AK38</f>
        <v>TRK_114_1_</v>
      </c>
      <c r="AG38" s="192" t="s">
        <v>880</v>
      </c>
      <c r="AH38" s="232">
        <f>X38*8/1000000</f>
        <v>-2.1159648895263673E-12</v>
      </c>
      <c r="AI38" s="232">
        <f>V38*8/1000000</f>
        <v>15.587928000002115</v>
      </c>
      <c r="AJ38" s="242">
        <v>15.587928</v>
      </c>
      <c r="AK38" t="s">
        <v>881</v>
      </c>
      <c r="AL38" t="s">
        <v>882</v>
      </c>
      <c r="AM38">
        <v>0.40827999999999998</v>
      </c>
      <c r="AN38">
        <v>6</v>
      </c>
      <c r="AO38">
        <v>2.1796410000000002</v>
      </c>
      <c r="AP38">
        <v>1.771355</v>
      </c>
      <c r="AQ38">
        <v>15.587928</v>
      </c>
    </row>
    <row r="39" spans="1:44" ht="15.75">
      <c r="L39" s="238" t="str">
        <f>M38</f>
        <v>104/11:33</v>
      </c>
      <c r="M39" s="238" t="s">
        <v>883</v>
      </c>
      <c r="N39" s="238"/>
      <c r="O39" s="192" t="s">
        <v>884</v>
      </c>
      <c r="P39" s="179" t="s">
        <v>885</v>
      </c>
      <c r="Q39" s="237">
        <f>R38-1</f>
        <v>606937248.54652727</v>
      </c>
      <c r="R39" s="143">
        <f>((W39-U39*$V$23)/$V$10)+Q39</f>
        <v>607165734.06575108</v>
      </c>
      <c r="S39" s="104">
        <f>R39-Q39</f>
        <v>228485.51922380924</v>
      </c>
      <c r="T39" s="104">
        <f>S39*$V$10</f>
        <v>1109469.7499997593</v>
      </c>
      <c r="U39" s="3">
        <v>0</v>
      </c>
      <c r="V39" s="142">
        <f>T39+U39*$V$23</f>
        <v>1109469.7499997593</v>
      </c>
      <c r="W39" s="97">
        <f>Y39*1000000/8</f>
        <v>1109469.75</v>
      </c>
      <c r="X39" s="105">
        <f>W39-V39</f>
        <v>2.407468855381012E-7</v>
      </c>
      <c r="Y39" s="189">
        <f>AJ39</f>
        <v>8.8757579999999994</v>
      </c>
      <c r="Z39" s="189"/>
      <c r="AA39" s="229">
        <v>1157806</v>
      </c>
      <c r="AB39" s="235">
        <f>AA39-T39</f>
        <v>48336.250000240747</v>
      </c>
      <c r="AC39" s="241">
        <f>(AB39/8)/1000000</f>
        <v>6.0420312500300936E-3</v>
      </c>
      <c r="AD39" s="229"/>
      <c r="AE39" s="229"/>
      <c r="AF39" s="178" t="str">
        <f>AK39</f>
        <v>TRK_115_1</v>
      </c>
      <c r="AG39" s="192" t="s">
        <v>884</v>
      </c>
      <c r="AH39" s="232">
        <f>X39*8/1000000</f>
        <v>1.9259750843048095E-12</v>
      </c>
      <c r="AI39" s="232">
        <f>V39*8/1000000</f>
        <v>8.8757579999980738</v>
      </c>
      <c r="AJ39" s="242">
        <v>8.8757579999999994</v>
      </c>
      <c r="AK39" t="s">
        <v>886</v>
      </c>
      <c r="AL39" t="s">
        <v>887</v>
      </c>
      <c r="AM39">
        <v>0.25274000000000002</v>
      </c>
      <c r="AN39">
        <v>0</v>
      </c>
      <c r="AO39">
        <v>1.2613490000000001</v>
      </c>
      <c r="AP39">
        <v>1.0086090000000001</v>
      </c>
      <c r="AQ39">
        <v>8.8757579999999994</v>
      </c>
    </row>
    <row r="40" spans="1:44" ht="14.25">
      <c r="L40" s="3"/>
      <c r="M40" s="3"/>
      <c r="N40" s="3"/>
      <c r="AA40" s="3"/>
      <c r="AD40" s="3"/>
      <c r="AE40" s="3"/>
      <c r="AH40" s="232"/>
      <c r="AI40" s="232"/>
      <c r="AJ40">
        <f>SUM(AJ37:AJ39)</f>
        <v>36.639108999999998</v>
      </c>
    </row>
    <row r="41" spans="1:44" ht="15.75">
      <c r="L41" s="226" t="s">
        <v>857</v>
      </c>
      <c r="M41" s="226" t="s">
        <v>888</v>
      </c>
      <c r="N41" s="227"/>
      <c r="O41" s="228" t="s">
        <v>889</v>
      </c>
      <c r="P41" s="179" t="s">
        <v>890</v>
      </c>
      <c r="Q41" s="237">
        <f>R34-1</f>
        <v>607123354.77094245</v>
      </c>
      <c r="R41" s="143">
        <f>((W41)/$V$9)+Q41</f>
        <v>607164814.48952889</v>
      </c>
      <c r="S41" s="104">
        <f>R41-Q41</f>
        <v>41459.718586444855</v>
      </c>
      <c r="T41" s="104">
        <f>S41*$V$9</f>
        <v>158376.12500021933</v>
      </c>
      <c r="U41" s="3">
        <v>0</v>
      </c>
      <c r="V41" s="142">
        <f>T41+U41*$V$23</f>
        <v>158376.12500021933</v>
      </c>
      <c r="W41" s="97">
        <f>Y41*1000000/8</f>
        <v>158376.125</v>
      </c>
      <c r="X41" s="105">
        <f>W41-V41</f>
        <v>-2.1932646632194519E-7</v>
      </c>
      <c r="Y41" s="189">
        <f>AJ41</f>
        <v>1.2670090000000001</v>
      </c>
      <c r="Z41" s="189"/>
      <c r="AA41" s="229"/>
      <c r="AB41" s="235">
        <f>S41*$S$9</f>
        <v>57670.876432920704</v>
      </c>
      <c r="AC41" s="236">
        <f>AB41*8/1000000</f>
        <v>0.46136701146336562</v>
      </c>
      <c r="AD41" s="235">
        <f>AB41-V41</f>
        <v>-100705.24856729862</v>
      </c>
      <c r="AE41" s="229">
        <f>AC41-Y41</f>
        <v>-0.80564198853663438</v>
      </c>
      <c r="AF41" s="178" t="str">
        <f>AK41</f>
        <v>TRK_118_1</v>
      </c>
      <c r="AG41" s="228" t="s">
        <v>889</v>
      </c>
      <c r="AH41" s="232">
        <f>X41*8/1000000</f>
        <v>-1.7546117305755616E-12</v>
      </c>
      <c r="AI41" s="232">
        <f>V41*8/1000000</f>
        <v>1.2670090000017546</v>
      </c>
      <c r="AJ41" s="227">
        <v>1.2670090000000001</v>
      </c>
      <c r="AK41" t="s">
        <v>891</v>
      </c>
      <c r="AL41" t="s">
        <v>892</v>
      </c>
      <c r="AM41">
        <v>0.65856000000000003</v>
      </c>
      <c r="AN41">
        <v>2</v>
      </c>
      <c r="AO41">
        <v>0.80254000000000003</v>
      </c>
      <c r="AP41">
        <v>0.14397799999999999</v>
      </c>
      <c r="AQ41">
        <v>1.2670090000000001</v>
      </c>
    </row>
    <row r="42" spans="1:44" ht="14.25">
      <c r="L42" s="3"/>
      <c r="M42" s="3" t="s">
        <v>893</v>
      </c>
      <c r="N42" s="3"/>
      <c r="O42" s="3"/>
      <c r="Y42">
        <f>SUM(Y31:Y41)</f>
        <v>69.607270999999997</v>
      </c>
      <c r="AB42" s="243">
        <f>AC41+AC34+AC33+AC32+AC31</f>
        <v>16.324089734483657</v>
      </c>
      <c r="AC42" s="3"/>
      <c r="AD42" s="3"/>
      <c r="AG42" s="219"/>
      <c r="AH42" s="219"/>
    </row>
    <row r="43" spans="1:44" ht="14.25">
      <c r="L43" s="3"/>
      <c r="M43" s="3"/>
      <c r="N43" s="3"/>
      <c r="O43" s="3"/>
      <c r="Y43">
        <f>Y41+Y34+Y33+Y31</f>
        <v>32.968162</v>
      </c>
      <c r="Z43" s="239">
        <f>Y39+Y38+Y37</f>
        <v>36.639108999999998</v>
      </c>
      <c r="AB43" t="s">
        <v>894</v>
      </c>
      <c r="AC43" s="3"/>
      <c r="AD43" s="3"/>
      <c r="AG43" s="219"/>
      <c r="AH43" s="219"/>
    </row>
    <row r="44" spans="1:44" ht="14.25">
      <c r="L44" s="3"/>
      <c r="M44" s="3"/>
      <c r="N44" s="3"/>
      <c r="O44" s="3"/>
      <c r="Y44" s="3" t="s">
        <v>895</v>
      </c>
      <c r="Z44" s="3" t="s">
        <v>896</v>
      </c>
      <c r="AA44" s="3"/>
      <c r="AB44" s="3"/>
      <c r="AC44" s="3"/>
      <c r="AD44" s="3"/>
      <c r="AG44" s="219"/>
      <c r="AH44" s="219"/>
      <c r="AK44" s="244" t="s">
        <v>897</v>
      </c>
      <c r="AL44" s="244" t="s">
        <v>898</v>
      </c>
      <c r="AM44" s="244">
        <v>14.73</v>
      </c>
      <c r="AN44" s="244">
        <v>-5.43</v>
      </c>
      <c r="AO44" s="244">
        <v>-5.43</v>
      </c>
      <c r="AR44" s="3">
        <v>16.2</v>
      </c>
    </row>
    <row r="45" spans="1:44" ht="14.25">
      <c r="L45" s="93" t="s">
        <v>899</v>
      </c>
      <c r="M45" s="3"/>
      <c r="N45" s="3"/>
      <c r="O45" s="3"/>
      <c r="AC45" s="3"/>
      <c r="AD45" s="3"/>
      <c r="AG45" s="219"/>
      <c r="AH45" s="219"/>
      <c r="AK45" s="244" t="s">
        <v>900</v>
      </c>
      <c r="AL45" s="244" t="s">
        <v>901</v>
      </c>
      <c r="AM45" s="244">
        <v>3.7</v>
      </c>
      <c r="AN45" s="244">
        <v>3.7</v>
      </c>
      <c r="AO45" s="244">
        <v>-1.73</v>
      </c>
      <c r="AR45" s="3">
        <v>4.07</v>
      </c>
    </row>
    <row r="46" spans="1:44" ht="14.25">
      <c r="L46" s="93" t="s">
        <v>902</v>
      </c>
      <c r="M46" s="3"/>
      <c r="N46" s="3"/>
      <c r="O46" s="3"/>
      <c r="AC46" s="3"/>
      <c r="AD46" s="3"/>
      <c r="AG46" s="219"/>
      <c r="AH46" s="219"/>
      <c r="AK46" s="244" t="s">
        <v>903</v>
      </c>
      <c r="AL46" s="244" t="s">
        <v>904</v>
      </c>
      <c r="AM46" s="244">
        <v>4.3099999999999996</v>
      </c>
      <c r="AN46" s="244">
        <v>-2.41</v>
      </c>
      <c r="AO46" s="244">
        <v>-4.1399999999999997</v>
      </c>
      <c r="AR46" s="3">
        <v>4.74</v>
      </c>
    </row>
    <row r="47" spans="1:44" ht="14.25">
      <c r="O47" s="3"/>
      <c r="AC47" s="3"/>
      <c r="AD47" s="3"/>
      <c r="AG47" s="219"/>
      <c r="AH47" s="219"/>
      <c r="AK47" s="244" t="s">
        <v>905</v>
      </c>
      <c r="AL47" s="244" t="s">
        <v>906</v>
      </c>
      <c r="AM47" s="244">
        <v>4.42</v>
      </c>
      <c r="AN47" s="244">
        <v>1.46</v>
      </c>
      <c r="AO47" s="244">
        <v>-2.68</v>
      </c>
      <c r="AR47" s="3">
        <v>4.87</v>
      </c>
    </row>
    <row r="48" spans="1:44" ht="14.25">
      <c r="P48" s="81" t="s">
        <v>907</v>
      </c>
      <c r="Q48" s="81" t="s">
        <v>908</v>
      </c>
      <c r="R48" s="81">
        <v>608130222</v>
      </c>
      <c r="S48" s="81">
        <v>1</v>
      </c>
      <c r="T48" s="81" t="s">
        <v>373</v>
      </c>
      <c r="U48" s="81" t="s">
        <v>909</v>
      </c>
      <c r="V48" s="81" t="s">
        <v>382</v>
      </c>
      <c r="W48" s="81"/>
      <c r="X48" s="81" t="s">
        <v>910</v>
      </c>
      <c r="AC48" s="3"/>
      <c r="AD48" s="3"/>
      <c r="AG48" s="219"/>
      <c r="AH48" s="219"/>
      <c r="AK48" s="245" t="s">
        <v>911</v>
      </c>
      <c r="AL48" s="246" t="s">
        <v>912</v>
      </c>
      <c r="AM48" s="244">
        <v>11.87</v>
      </c>
      <c r="AN48" s="244">
        <v>9.11</v>
      </c>
      <c r="AO48" s="246">
        <v>6.43</v>
      </c>
      <c r="AP48">
        <f>AO48</f>
        <v>6.43</v>
      </c>
      <c r="AR48" s="247">
        <v>13.04</v>
      </c>
    </row>
    <row r="49" spans="2:45" ht="14.25">
      <c r="X49" t="s">
        <v>913</v>
      </c>
      <c r="AC49" s="3"/>
      <c r="AD49" s="3"/>
      <c r="AG49" s="219"/>
      <c r="AH49" s="219"/>
      <c r="AK49" s="245" t="s">
        <v>914</v>
      </c>
      <c r="AL49" s="246" t="s">
        <v>915</v>
      </c>
      <c r="AM49" s="244">
        <v>11.16</v>
      </c>
      <c r="AN49" s="244">
        <v>11.16</v>
      </c>
      <c r="AO49" s="246">
        <v>11.16</v>
      </c>
      <c r="AP49" s="248">
        <f>AP48+AO49</f>
        <v>17.59</v>
      </c>
      <c r="AR49" s="3">
        <v>12.28</v>
      </c>
    </row>
    <row r="50" spans="2:45" ht="14.25">
      <c r="X50" t="s">
        <v>916</v>
      </c>
      <c r="AC50" s="3"/>
      <c r="AD50" s="3"/>
      <c r="AE50" s="3"/>
      <c r="AH50" s="219"/>
      <c r="AI50" s="219"/>
      <c r="AL50" s="244" t="s">
        <v>917</v>
      </c>
      <c r="AM50" s="244" t="s">
        <v>918</v>
      </c>
      <c r="AN50" s="244">
        <v>0</v>
      </c>
      <c r="AO50" s="244">
        <v>0</v>
      </c>
      <c r="AP50" s="249">
        <v>0</v>
      </c>
      <c r="AS50" s="3"/>
    </row>
    <row r="51" spans="2:45" ht="14.25">
      <c r="P51" s="59">
        <v>25118</v>
      </c>
      <c r="Q51" s="55"/>
      <c r="R51" s="55"/>
      <c r="S51" s="56"/>
      <c r="T51" s="3"/>
      <c r="U51" s="95">
        <f>Q40</f>
        <v>0</v>
      </c>
      <c r="V51" s="93"/>
      <c r="W51" s="139"/>
      <c r="X51" s="140"/>
      <c r="Y51" s="3"/>
      <c r="Z51" s="5"/>
      <c r="AA51" s="5"/>
      <c r="AB51" s="5"/>
      <c r="AC51" s="97"/>
      <c r="AD51" s="97"/>
      <c r="AE51" s="97"/>
      <c r="AH51" t="s">
        <v>919</v>
      </c>
      <c r="AI51" t="s">
        <v>836</v>
      </c>
      <c r="AL51" s="244" t="s">
        <v>920</v>
      </c>
      <c r="AM51" s="244" t="s">
        <v>921</v>
      </c>
      <c r="AN51" s="244">
        <v>0</v>
      </c>
      <c r="AO51" s="244">
        <v>0</v>
      </c>
      <c r="AP51" s="249">
        <v>0</v>
      </c>
      <c r="AS51" s="3"/>
    </row>
    <row r="52" spans="2:45" ht="14.25">
      <c r="P52" s="73" t="s">
        <v>837</v>
      </c>
      <c r="Q52" s="72" t="s">
        <v>65</v>
      </c>
      <c r="R52" s="73" t="s">
        <v>66</v>
      </c>
      <c r="S52" s="73" t="s">
        <v>67</v>
      </c>
      <c r="T52" s="74" t="s">
        <v>68</v>
      </c>
      <c r="U52" s="3" t="s">
        <v>176</v>
      </c>
      <c r="V52" s="74" t="s">
        <v>265</v>
      </c>
      <c r="W52" s="73" t="s">
        <v>266</v>
      </c>
      <c r="X52" s="73" t="s">
        <v>70</v>
      </c>
      <c r="Y52" s="3"/>
      <c r="Z52" s="5"/>
      <c r="AA52" s="97" t="s">
        <v>839</v>
      </c>
      <c r="AB52" s="97" t="s">
        <v>840</v>
      </c>
      <c r="AC52" t="s">
        <v>922</v>
      </c>
      <c r="AD52" t="s">
        <v>923</v>
      </c>
      <c r="AH52" t="s">
        <v>637</v>
      </c>
      <c r="AJ52" s="227"/>
      <c r="AL52" s="246" t="s">
        <v>924</v>
      </c>
      <c r="AM52" s="245" t="s">
        <v>925</v>
      </c>
      <c r="AN52" s="244">
        <v>3.19</v>
      </c>
      <c r="AO52" s="244">
        <v>3.19</v>
      </c>
      <c r="AP52" s="246">
        <v>3.19</v>
      </c>
      <c r="AQ52">
        <f>AP49+AP52</f>
        <v>20.78</v>
      </c>
      <c r="AS52" s="3">
        <v>3.5</v>
      </c>
    </row>
    <row r="53" spans="2:45" ht="14.25">
      <c r="P53" s="224" t="s">
        <v>926</v>
      </c>
      <c r="Q53" s="224" t="s">
        <v>927</v>
      </c>
      <c r="R53" s="224">
        <v>607931101</v>
      </c>
      <c r="S53" s="224">
        <v>1</v>
      </c>
      <c r="T53" s="224" t="s">
        <v>373</v>
      </c>
      <c r="U53" s="224" t="s">
        <v>928</v>
      </c>
      <c r="V53" s="224" t="s">
        <v>833</v>
      </c>
      <c r="W53" s="224"/>
      <c r="X53" s="224" t="s">
        <v>929</v>
      </c>
      <c r="Y53" s="227"/>
      <c r="Z53" s="227"/>
      <c r="AA53" s="227"/>
      <c r="AB53" s="227"/>
      <c r="AC53" s="226"/>
      <c r="AD53" s="226"/>
      <c r="AE53" s="226"/>
      <c r="AF53" s="227"/>
      <c r="AL53" s="250" t="s">
        <v>930</v>
      </c>
      <c r="AM53" s="250" t="s">
        <v>931</v>
      </c>
      <c r="AN53" s="244">
        <v>6.36</v>
      </c>
      <c r="AO53" s="244">
        <v>6.36</v>
      </c>
      <c r="AP53" s="251">
        <v>6.36</v>
      </c>
      <c r="AQ53">
        <f>AQ52+AP53</f>
        <v>27.14</v>
      </c>
      <c r="AS53" s="3">
        <v>6.99</v>
      </c>
    </row>
    <row r="54" spans="2:45" ht="15.75">
      <c r="L54" s="226" t="s">
        <v>932</v>
      </c>
      <c r="M54" s="226" t="s">
        <v>933</v>
      </c>
      <c r="N54" s="252" t="s">
        <v>934</v>
      </c>
      <c r="O54" s="226"/>
      <c r="P54" s="179" t="s">
        <v>935</v>
      </c>
      <c r="Q54" s="237">
        <f>R41-1</f>
        <v>607164813.48952889</v>
      </c>
      <c r="R54" s="240">
        <f>R53+20</f>
        <v>607931121</v>
      </c>
      <c r="S54" s="104">
        <f>R54-Q54</f>
        <v>766307.51047110558</v>
      </c>
      <c r="T54" s="104">
        <f>S54*$V$9</f>
        <v>2927294.6899996232</v>
      </c>
      <c r="U54" s="3">
        <v>0</v>
      </c>
      <c r="V54" s="142">
        <f>T54+U54*$V$23</f>
        <v>2927294.6899996232</v>
      </c>
      <c r="W54" s="97">
        <f>Y54*1000000/8</f>
        <v>2857250.0000000005</v>
      </c>
      <c r="X54" s="105">
        <f>W54-V54</f>
        <v>-70044.689999622758</v>
      </c>
      <c r="Y54" s="253">
        <f>1.1*(AO48+AO49+AP52)</f>
        <v>22.858000000000004</v>
      </c>
      <c r="Z54" s="189" t="s">
        <v>936</v>
      </c>
      <c r="AA54" s="235">
        <f>S54*$S$9</f>
        <v>1065941.2859702141</v>
      </c>
      <c r="AB54" s="236">
        <f>AA54*8/1000000</f>
        <v>8.5275302877617118</v>
      </c>
      <c r="AC54" s="235">
        <f>AA54-V54</f>
        <v>-1861353.4040294092</v>
      </c>
      <c r="AD54" s="229">
        <f>AB54-Y54</f>
        <v>-14.330469712238292</v>
      </c>
      <c r="AE54" s="229"/>
      <c r="AF54" s="178" t="s">
        <v>937</v>
      </c>
      <c r="AG54" s="228" t="s">
        <v>938</v>
      </c>
      <c r="AH54" s="232">
        <f>X54*8/1000000</f>
        <v>-0.56035751999698202</v>
      </c>
      <c r="AI54" s="232">
        <f>V54*8/1000000</f>
        <v>23.418357519996984</v>
      </c>
      <c r="AJ54" s="242"/>
      <c r="AL54" s="250" t="s">
        <v>939</v>
      </c>
      <c r="AM54" s="250" t="s">
        <v>940</v>
      </c>
      <c r="AN54" s="244">
        <v>8.57</v>
      </c>
      <c r="AO54" s="244">
        <v>8.57</v>
      </c>
      <c r="AP54" s="251">
        <v>8.57</v>
      </c>
      <c r="AQ54">
        <f>AQ53+AP54</f>
        <v>35.71</v>
      </c>
      <c r="AS54" s="3">
        <v>9.43</v>
      </c>
    </row>
    <row r="55" spans="2:45" ht="14.25">
      <c r="C55" s="254" t="s">
        <v>941</v>
      </c>
      <c r="D55" s="254" t="s">
        <v>942</v>
      </c>
      <c r="E55" s="254" t="s">
        <v>766</v>
      </c>
      <c r="F55" s="254" t="s">
        <v>764</v>
      </c>
      <c r="G55" s="254" t="s">
        <v>765</v>
      </c>
      <c r="H55" s="254" t="s">
        <v>768</v>
      </c>
      <c r="I55" s="254" t="s">
        <v>769</v>
      </c>
      <c r="J55" s="254" t="s">
        <v>943</v>
      </c>
      <c r="P55" s="81" t="s">
        <v>944</v>
      </c>
      <c r="Q55" s="81" t="s">
        <v>945</v>
      </c>
      <c r="R55" s="81">
        <v>607931322</v>
      </c>
      <c r="S55" s="81">
        <v>1</v>
      </c>
      <c r="T55" s="81" t="s">
        <v>373</v>
      </c>
      <c r="U55" s="81" t="s">
        <v>928</v>
      </c>
      <c r="V55" s="81" t="s">
        <v>382</v>
      </c>
      <c r="W55" s="81"/>
      <c r="X55" s="81" t="s">
        <v>946</v>
      </c>
      <c r="Y55" s="239"/>
      <c r="Z55" s="239"/>
      <c r="AA55" s="239"/>
      <c r="AB55" s="239"/>
      <c r="AC55" s="238"/>
      <c r="AD55" s="238"/>
      <c r="AE55" s="238"/>
      <c r="AH55" s="232"/>
      <c r="AI55" s="232"/>
      <c r="AL55" s="244" t="s">
        <v>947</v>
      </c>
      <c r="AM55" s="244" t="s">
        <v>948</v>
      </c>
      <c r="AN55" s="244">
        <v>0</v>
      </c>
      <c r="AO55" s="244">
        <v>0</v>
      </c>
      <c r="AP55" s="249">
        <v>0</v>
      </c>
      <c r="AS55" s="3"/>
    </row>
    <row r="56" spans="2:45" ht="15.75">
      <c r="B56">
        <v>102</v>
      </c>
      <c r="C56">
        <v>101</v>
      </c>
      <c r="E56" t="s">
        <v>766</v>
      </c>
      <c r="F56" t="s">
        <v>764</v>
      </c>
      <c r="G56" t="s">
        <v>765</v>
      </c>
      <c r="H56" t="s">
        <v>768</v>
      </c>
      <c r="L56" s="238" t="s">
        <v>883</v>
      </c>
      <c r="M56" s="238" t="s">
        <v>949</v>
      </c>
      <c r="N56" s="255" t="s">
        <v>950</v>
      </c>
      <c r="O56" s="238"/>
      <c r="P56" s="179" t="s">
        <v>951</v>
      </c>
      <c r="Q56" s="237">
        <f>R39-1</f>
        <v>607165733.06575108</v>
      </c>
      <c r="R56" s="240">
        <f>R55+20</f>
        <v>607931342</v>
      </c>
      <c r="S56" s="104">
        <f>R56-Q56</f>
        <v>765608.93424892426</v>
      </c>
      <c r="T56" s="104">
        <f>S56*$V$10</f>
        <v>3717609.5700257518</v>
      </c>
      <c r="U56" s="3">
        <v>0</v>
      </c>
      <c r="V56" s="142">
        <f>T56+U56*$V$23</f>
        <v>3717609.5700257518</v>
      </c>
      <c r="W56" s="97">
        <f>Y56*1000000/8+X54</f>
        <v>5179705.3100003786</v>
      </c>
      <c r="X56" s="105">
        <f>W56-V56</f>
        <v>1462095.7399746268</v>
      </c>
      <c r="Y56" s="256">
        <f>1.1*(AP53+AP54+AP59+AP60)</f>
        <v>41.998000000000005</v>
      </c>
      <c r="Z56" s="189" t="s">
        <v>952</v>
      </c>
      <c r="AA56" s="229">
        <v>1654428</v>
      </c>
      <c r="AB56" s="235">
        <f>AA56-T56</f>
        <v>-2063181.5700257518</v>
      </c>
      <c r="AC56" s="241">
        <f>(AB56/8)/1000000</f>
        <v>-0.25789769625321896</v>
      </c>
      <c r="AD56" s="241"/>
      <c r="AE56" s="229"/>
      <c r="AF56" s="178" t="s">
        <v>953</v>
      </c>
      <c r="AG56" s="192" t="s">
        <v>954</v>
      </c>
      <c r="AH56" s="232">
        <f>X56*8/1000000</f>
        <v>11.696765919797015</v>
      </c>
      <c r="AI56" s="232">
        <f>V56*8/1000000</f>
        <v>29.740876560206015</v>
      </c>
      <c r="AL56" s="244" t="s">
        <v>955</v>
      </c>
      <c r="AM56" s="244" t="s">
        <v>956</v>
      </c>
      <c r="AN56" s="244">
        <v>0</v>
      </c>
      <c r="AO56" s="244">
        <v>0</v>
      </c>
      <c r="AP56" s="249">
        <v>0</v>
      </c>
      <c r="AS56" s="3"/>
    </row>
    <row r="57" spans="2:45" ht="14.25">
      <c r="P57" s="81" t="s">
        <v>957</v>
      </c>
      <c r="Q57" s="81" t="s">
        <v>958</v>
      </c>
      <c r="R57" s="81">
        <v>607961216</v>
      </c>
      <c r="S57" s="81">
        <v>7</v>
      </c>
      <c r="T57" s="81" t="s">
        <v>373</v>
      </c>
      <c r="U57" s="81" t="s">
        <v>959</v>
      </c>
      <c r="V57" s="81" t="s">
        <v>866</v>
      </c>
      <c r="W57" s="81" t="s">
        <v>867</v>
      </c>
      <c r="X57" s="81" t="s">
        <v>960</v>
      </c>
      <c r="Y57" s="239"/>
      <c r="Z57" s="239"/>
      <c r="AA57" s="239"/>
      <c r="AB57" s="239"/>
      <c r="AC57" s="238"/>
      <c r="AD57" s="238"/>
      <c r="AE57" s="238"/>
      <c r="AH57" s="232"/>
      <c r="AI57" s="232"/>
      <c r="AL57" s="244" t="s">
        <v>961</v>
      </c>
      <c r="AM57" s="244" t="s">
        <v>962</v>
      </c>
      <c r="AN57" s="244">
        <v>0</v>
      </c>
      <c r="AO57" s="244">
        <v>0</v>
      </c>
      <c r="AP57" s="249">
        <v>0</v>
      </c>
      <c r="AS57" s="3"/>
    </row>
    <row r="58" spans="2:45" ht="15.75">
      <c r="B58">
        <v>102</v>
      </c>
      <c r="C58">
        <v>101</v>
      </c>
      <c r="E58" t="s">
        <v>766</v>
      </c>
      <c r="F58" t="s">
        <v>764</v>
      </c>
      <c r="G58" t="s">
        <v>765</v>
      </c>
      <c r="H58" t="s">
        <v>768</v>
      </c>
      <c r="L58" s="238" t="s">
        <v>963</v>
      </c>
      <c r="M58" s="257" t="s">
        <v>964</v>
      </c>
      <c r="N58" s="255" t="s">
        <v>965</v>
      </c>
      <c r="O58" s="238"/>
      <c r="P58" s="179" t="s">
        <v>951</v>
      </c>
      <c r="Q58" s="240">
        <f>R57-20</f>
        <v>607961196</v>
      </c>
      <c r="R58" s="104">
        <f>((W58-U58*$V$23)/$V$10)+Q58</f>
        <v>608221654.09265757</v>
      </c>
      <c r="S58" s="104">
        <f>R58-Q58</f>
        <v>260458.09265756607</v>
      </c>
      <c r="T58" s="104">
        <f>S58*$V$10</f>
        <v>1264720.7399745442</v>
      </c>
      <c r="U58" s="3">
        <v>1</v>
      </c>
      <c r="V58" s="142">
        <f>T58+U58*$V$23</f>
        <v>1462095.7399745442</v>
      </c>
      <c r="W58" s="97">
        <f>X56</f>
        <v>1462095.7399746268</v>
      </c>
      <c r="X58" s="105">
        <f>W58-V58</f>
        <v>8.2654878497123718E-8</v>
      </c>
      <c r="Y58" t="s">
        <v>966</v>
      </c>
      <c r="AA58" s="229">
        <v>334035</v>
      </c>
      <c r="AB58" s="235">
        <f>AA58-T58</f>
        <v>-930685.73997454415</v>
      </c>
      <c r="AC58" s="241">
        <f>(AB58/8)/1000000</f>
        <v>-0.11633571749681802</v>
      </c>
      <c r="AD58" s="241"/>
      <c r="AE58" s="3"/>
      <c r="AF58">
        <f>15*60*4.8624</f>
        <v>4376.16</v>
      </c>
      <c r="AG58" t="s">
        <v>173</v>
      </c>
      <c r="AH58" s="232">
        <f>X58*8/1000000</f>
        <v>6.6123902797698976E-13</v>
      </c>
      <c r="AI58" s="232">
        <f>V58*8/1000000</f>
        <v>11.696765919796354</v>
      </c>
      <c r="AL58" s="244" t="s">
        <v>967</v>
      </c>
      <c r="AM58" s="244" t="s">
        <v>968</v>
      </c>
      <c r="AN58" s="244">
        <v>0</v>
      </c>
      <c r="AO58" s="244">
        <v>0</v>
      </c>
      <c r="AP58" s="249">
        <v>0</v>
      </c>
      <c r="AS58" s="3"/>
    </row>
    <row r="59" spans="2:45" ht="14.25">
      <c r="L59" s="17" t="s">
        <v>969</v>
      </c>
      <c r="M59" t="s">
        <v>970</v>
      </c>
      <c r="N59" t="s">
        <v>971</v>
      </c>
      <c r="P59" s="224" t="s">
        <v>972</v>
      </c>
      <c r="Q59" s="224" t="s">
        <v>973</v>
      </c>
      <c r="R59" s="224">
        <v>607960737</v>
      </c>
      <c r="S59" s="224">
        <v>7</v>
      </c>
      <c r="T59" s="224" t="s">
        <v>373</v>
      </c>
      <c r="U59" s="224" t="s">
        <v>974</v>
      </c>
      <c r="V59" s="224" t="s">
        <v>816</v>
      </c>
      <c r="W59" s="224" t="s">
        <v>817</v>
      </c>
      <c r="X59" s="224" t="s">
        <v>975</v>
      </c>
      <c r="Y59" s="227"/>
      <c r="Z59" s="227"/>
      <c r="AA59" s="227"/>
      <c r="AB59" s="3"/>
      <c r="AC59" s="3"/>
      <c r="AD59" s="3"/>
      <c r="AE59" s="3"/>
      <c r="AF59" s="3"/>
      <c r="AH59" s="232"/>
      <c r="AI59" s="232"/>
      <c r="AL59" s="250" t="s">
        <v>976</v>
      </c>
      <c r="AM59" s="250" t="s">
        <v>977</v>
      </c>
      <c r="AN59" s="244">
        <v>6.03</v>
      </c>
      <c r="AO59" s="244">
        <v>6.03</v>
      </c>
      <c r="AP59" s="251">
        <v>6.03</v>
      </c>
      <c r="AQ59">
        <f>AQ54+AP59</f>
        <v>41.74</v>
      </c>
      <c r="AS59" s="3">
        <v>6.63</v>
      </c>
    </row>
    <row r="60" spans="2:45" ht="15.75">
      <c r="L60" s="226" t="s">
        <v>978</v>
      </c>
      <c r="M60" s="226" t="s">
        <v>979</v>
      </c>
      <c r="N60" s="227" t="s">
        <v>980</v>
      </c>
      <c r="O60" s="226"/>
      <c r="P60" s="179" t="s">
        <v>112</v>
      </c>
      <c r="Q60" s="240">
        <f>R59-20</f>
        <v>607960717</v>
      </c>
      <c r="R60" s="240">
        <f>R62+20</f>
        <v>608535921</v>
      </c>
      <c r="S60" s="104">
        <f>R60-Q60</f>
        <v>575204</v>
      </c>
      <c r="T60" s="104">
        <f>S60*$V$9</f>
        <v>2197279.2799999998</v>
      </c>
      <c r="U60" s="3">
        <v>0</v>
      </c>
      <c r="V60" s="142">
        <f>T60+U60*$V$23</f>
        <v>2197279.2799999998</v>
      </c>
      <c r="W60" s="97">
        <f>Y60*1000000/8</f>
        <v>3121250.0000000005</v>
      </c>
      <c r="X60" s="105">
        <f>W60-V60</f>
        <v>923970.72000000067</v>
      </c>
      <c r="Y60" s="258">
        <f>1.1*(AP61+AP62+AP63)</f>
        <v>24.970000000000002</v>
      </c>
      <c r="Z60" s="189" t="s">
        <v>981</v>
      </c>
      <c r="AA60" s="235">
        <f>S60*$S$9</f>
        <v>800114.42283564818</v>
      </c>
      <c r="AB60" s="236">
        <f>AA60*8/1000000</f>
        <v>6.4009153826851852</v>
      </c>
      <c r="AC60" s="235">
        <f>AA60-V60</f>
        <v>-1397164.8571643517</v>
      </c>
      <c r="AD60" s="229">
        <f>AB60-Y60</f>
        <v>-18.569084617314818</v>
      </c>
      <c r="AE60" s="229"/>
      <c r="AF60" t="s">
        <v>580</v>
      </c>
      <c r="AG60" s="227" t="s">
        <v>982</v>
      </c>
      <c r="AH60" s="232">
        <f>X60*8/1000000</f>
        <v>7.3917657600000055</v>
      </c>
      <c r="AI60" s="232">
        <f>V60*8/1000000</f>
        <v>17.578234239999997</v>
      </c>
      <c r="AL60" s="250" t="s">
        <v>983</v>
      </c>
      <c r="AM60" s="250" t="s">
        <v>984</v>
      </c>
      <c r="AN60" s="244">
        <v>17.22</v>
      </c>
      <c r="AO60" s="244">
        <v>17.22</v>
      </c>
      <c r="AP60" s="251">
        <v>17.22</v>
      </c>
      <c r="AQ60">
        <f>AQ59+AP60</f>
        <v>58.96</v>
      </c>
      <c r="AS60" s="3">
        <v>18.940000000000001</v>
      </c>
    </row>
    <row r="61" spans="2:45" ht="14.25">
      <c r="O61" s="17" t="s">
        <v>985</v>
      </c>
      <c r="P61" s="225" t="s">
        <v>986</v>
      </c>
      <c r="Q61" s="225" t="s">
        <v>987</v>
      </c>
      <c r="R61" s="225">
        <v>608622301</v>
      </c>
      <c r="S61" s="225">
        <v>1</v>
      </c>
      <c r="T61" s="225" t="s">
        <v>373</v>
      </c>
      <c r="U61" s="225" t="s">
        <v>988</v>
      </c>
      <c r="V61" s="225" t="s">
        <v>833</v>
      </c>
      <c r="W61" s="225"/>
      <c r="X61" s="225" t="s">
        <v>989</v>
      </c>
      <c r="Y61">
        <f>(Y60+Y56+Y54)*0.9</f>
        <v>80.843400000000003</v>
      </c>
      <c r="AC61" s="3"/>
      <c r="AD61" s="3"/>
      <c r="AE61" s="3"/>
      <c r="AH61" s="232"/>
      <c r="AI61" s="232"/>
      <c r="AL61" s="259" t="s">
        <v>990</v>
      </c>
      <c r="AM61" s="259" t="s">
        <v>991</v>
      </c>
      <c r="AN61" s="244">
        <v>8.7799999999999994</v>
      </c>
      <c r="AO61" s="244">
        <v>8.7799999999999994</v>
      </c>
      <c r="AP61" s="260">
        <v>8.7799999999999994</v>
      </c>
      <c r="AQ61">
        <f>AQ60+AP61</f>
        <v>67.739999999999995</v>
      </c>
      <c r="AS61" s="3">
        <v>9.66</v>
      </c>
    </row>
    <row r="62" spans="2:45" ht="14.25">
      <c r="O62" s="17" t="s">
        <v>992</v>
      </c>
      <c r="P62" s="225" t="s">
        <v>993</v>
      </c>
      <c r="Q62" s="225" t="s">
        <v>994</v>
      </c>
      <c r="R62" s="261">
        <f>R61-86400</f>
        <v>608535901</v>
      </c>
      <c r="S62" s="225">
        <v>1</v>
      </c>
      <c r="T62" s="225" t="s">
        <v>373</v>
      </c>
      <c r="U62" s="225" t="s">
        <v>988</v>
      </c>
      <c r="V62" s="225" t="s">
        <v>833</v>
      </c>
      <c r="W62" s="225"/>
      <c r="X62" s="225" t="s">
        <v>989</v>
      </c>
      <c r="Y62" s="227"/>
      <c r="Z62" s="227"/>
      <c r="AA62" s="227"/>
      <c r="AB62" s="227"/>
      <c r="AC62" s="226"/>
      <c r="AD62" s="226"/>
      <c r="AE62" s="226"/>
      <c r="AF62" s="227"/>
      <c r="AH62" s="232"/>
      <c r="AI62" s="232"/>
      <c r="AL62" s="259" t="s">
        <v>995</v>
      </c>
      <c r="AM62" s="259" t="s">
        <v>996</v>
      </c>
      <c r="AN62" s="244">
        <v>6.38</v>
      </c>
      <c r="AO62" s="244">
        <v>6.38</v>
      </c>
      <c r="AP62" s="260">
        <v>6.38</v>
      </c>
      <c r="AQ62">
        <f>AQ61+AP62</f>
        <v>74.11999999999999</v>
      </c>
      <c r="AS62" s="3">
        <v>7.01</v>
      </c>
    </row>
    <row r="63" spans="2:45" ht="14.25">
      <c r="O63" s="17" t="s">
        <v>997</v>
      </c>
      <c r="P63" s="225" t="s">
        <v>998</v>
      </c>
      <c r="Q63" s="225" t="s">
        <v>999</v>
      </c>
      <c r="R63" s="225">
        <v>608651936</v>
      </c>
      <c r="S63" s="225">
        <v>7</v>
      </c>
      <c r="T63" s="225" t="s">
        <v>373</v>
      </c>
      <c r="U63" s="225" t="s">
        <v>1000</v>
      </c>
      <c r="V63" s="225" t="s">
        <v>816</v>
      </c>
      <c r="W63" s="225" t="s">
        <v>817</v>
      </c>
      <c r="X63" s="225" t="s">
        <v>1001</v>
      </c>
      <c r="Y63" s="227"/>
      <c r="Z63" s="227"/>
      <c r="AA63" s="227"/>
      <c r="AB63" s="227"/>
      <c r="AC63" s="226"/>
      <c r="AD63" s="226"/>
      <c r="AE63" s="226"/>
      <c r="AF63" s="227"/>
      <c r="AH63" s="232"/>
      <c r="AI63" s="232"/>
      <c r="AL63" s="259" t="s">
        <v>1002</v>
      </c>
      <c r="AM63" s="259" t="s">
        <v>1003</v>
      </c>
      <c r="AN63" s="244">
        <v>7.54</v>
      </c>
      <c r="AO63" s="244">
        <v>7.54</v>
      </c>
      <c r="AP63" s="260">
        <v>7.54</v>
      </c>
      <c r="AQ63">
        <f>AQ62+AP63</f>
        <v>81.66</v>
      </c>
      <c r="AR63">
        <f>AQ63/2</f>
        <v>40.83</v>
      </c>
      <c r="AS63" s="3">
        <v>8.3000000000000007</v>
      </c>
    </row>
    <row r="64" spans="2:45" ht="14.25">
      <c r="O64" s="17" t="s">
        <v>992</v>
      </c>
      <c r="P64" s="225" t="s">
        <v>998</v>
      </c>
      <c r="Q64" s="225" t="s">
        <v>1004</v>
      </c>
      <c r="R64" s="261">
        <f>R63-86400</f>
        <v>608565536</v>
      </c>
      <c r="S64" s="225">
        <v>7</v>
      </c>
      <c r="T64" s="225" t="s">
        <v>373</v>
      </c>
      <c r="U64" s="225" t="s">
        <v>1000</v>
      </c>
      <c r="V64" s="225" t="s">
        <v>816</v>
      </c>
      <c r="W64" s="225" t="s">
        <v>817</v>
      </c>
      <c r="X64" s="225" t="s">
        <v>1001</v>
      </c>
      <c r="Y64" s="227"/>
      <c r="Z64" s="227"/>
      <c r="AA64" s="227"/>
      <c r="AB64" s="227"/>
      <c r="AC64" s="226"/>
      <c r="AD64" s="226"/>
      <c r="AE64" s="226"/>
      <c r="AF64" s="227"/>
      <c r="AH64" s="232"/>
      <c r="AI64" s="232"/>
    </row>
    <row r="65" spans="1:47" ht="15.75">
      <c r="L65" s="226" t="s">
        <v>1005</v>
      </c>
      <c r="M65" s="226" t="s">
        <v>1006</v>
      </c>
      <c r="N65" s="227" t="s">
        <v>1007</v>
      </c>
      <c r="O65" s="226"/>
      <c r="P65" s="179" t="s">
        <v>112</v>
      </c>
      <c r="Q65" s="240">
        <f>R64-20</f>
        <v>608565516</v>
      </c>
      <c r="R65" s="143">
        <f>((W65)/$V$9)+Q65</f>
        <v>608807393.15183246</v>
      </c>
      <c r="S65" s="104">
        <f>R65-Q65</f>
        <v>241877.15183246136</v>
      </c>
      <c r="T65" s="104">
        <f>S65*$V$9</f>
        <v>923970.7200000023</v>
      </c>
      <c r="U65" s="3">
        <v>0</v>
      </c>
      <c r="V65" s="142">
        <f>T65+U65*$V$23</f>
        <v>923970.7200000023</v>
      </c>
      <c r="W65" s="97">
        <f>X60</f>
        <v>923970.72000000067</v>
      </c>
      <c r="X65" s="105">
        <f>W65-V65</f>
        <v>-1.6298145055770874E-9</v>
      </c>
      <c r="Y65">
        <f>SUM(Y54:Y60)</f>
        <v>89.826000000000008</v>
      </c>
      <c r="AA65" s="235">
        <f>S65*$S$9</f>
        <v>336453.49777741509</v>
      </c>
      <c r="AB65" s="236">
        <f>AA65*8/1000000</f>
        <v>2.6916279822193205</v>
      </c>
      <c r="AC65" s="235">
        <f>AA65-V65</f>
        <v>-587517.22222258721</v>
      </c>
      <c r="AD65" s="229">
        <f>AB65-Y65</f>
        <v>-87.134372017780692</v>
      </c>
      <c r="AE65" s="229"/>
      <c r="AG65" s="227" t="s">
        <v>1008</v>
      </c>
      <c r="AH65" s="232">
        <f>X65*8/1000000</f>
        <v>-1.3038516044616699E-14</v>
      </c>
      <c r="AI65" s="232">
        <f>V65*8/1000000</f>
        <v>7.3917657600000188</v>
      </c>
      <c r="AU65" s="3"/>
    </row>
    <row r="66" spans="1:47" ht="14.25">
      <c r="Z66" s="238">
        <f>Y56</f>
        <v>41.998000000000005</v>
      </c>
      <c r="AB66" s="243">
        <f>AB65+AB60+AB54</f>
        <v>17.620073652666218</v>
      </c>
      <c r="AC66" s="3"/>
      <c r="AD66" s="3"/>
      <c r="AE66" s="3"/>
      <c r="AH66" s="232"/>
      <c r="AI66" s="232"/>
    </row>
    <row r="67" spans="1:47" ht="14.25">
      <c r="X67" t="s">
        <v>913</v>
      </c>
      <c r="AB67" t="s">
        <v>894</v>
      </c>
      <c r="AC67" s="3"/>
      <c r="AD67" s="3"/>
      <c r="AE67" s="3"/>
      <c r="AH67" s="232"/>
      <c r="AI67" s="232"/>
    </row>
    <row r="68" spans="1:47" ht="14.25">
      <c r="P68" t="s">
        <v>1009</v>
      </c>
      <c r="X68" t="s">
        <v>1010</v>
      </c>
      <c r="AC68" s="3"/>
      <c r="AD68" s="3"/>
      <c r="AE68" s="3"/>
      <c r="AH68" s="232"/>
      <c r="AI68" s="232"/>
    </row>
    <row r="69" spans="1:47" ht="14.25">
      <c r="P69" s="81" t="s">
        <v>907</v>
      </c>
      <c r="Q69" s="81" t="s">
        <v>908</v>
      </c>
      <c r="R69" s="81">
        <v>608130222</v>
      </c>
      <c r="S69" s="81">
        <v>1</v>
      </c>
      <c r="T69" s="81" t="s">
        <v>373</v>
      </c>
      <c r="U69" s="81" t="s">
        <v>909</v>
      </c>
      <c r="V69" s="81" t="s">
        <v>382</v>
      </c>
      <c r="W69" s="81"/>
      <c r="X69" s="81" t="s">
        <v>910</v>
      </c>
      <c r="Y69" s="239"/>
      <c r="Z69" s="239"/>
      <c r="AA69" s="239"/>
      <c r="AB69" s="239"/>
      <c r="AC69" s="238"/>
      <c r="AD69" s="238"/>
      <c r="AE69" s="238"/>
      <c r="AH69" s="232"/>
      <c r="AI69" s="232"/>
    </row>
    <row r="70" spans="1:47" ht="14.25">
      <c r="P70" s="81" t="s">
        <v>1011</v>
      </c>
      <c r="Q70" s="81" t="s">
        <v>1012</v>
      </c>
      <c r="R70" s="81">
        <v>608131016</v>
      </c>
      <c r="S70" s="81">
        <v>7</v>
      </c>
      <c r="T70" s="81" t="s">
        <v>373</v>
      </c>
      <c r="U70" s="81" t="s">
        <v>1013</v>
      </c>
      <c r="V70" s="81" t="s">
        <v>866</v>
      </c>
      <c r="W70" s="81" t="s">
        <v>867</v>
      </c>
      <c r="X70" s="81" t="s">
        <v>1014</v>
      </c>
      <c r="Y70" s="239"/>
      <c r="Z70" s="239"/>
      <c r="AA70" s="239"/>
      <c r="AB70" s="239"/>
      <c r="AC70" s="238"/>
      <c r="AD70" s="238"/>
      <c r="AE70" s="238"/>
      <c r="AH70" s="232"/>
      <c r="AI70" s="232"/>
    </row>
    <row r="71" spans="1:47" ht="14.25">
      <c r="P71" s="59">
        <v>25139</v>
      </c>
      <c r="Q71" s="55"/>
      <c r="R71" s="55"/>
      <c r="S71" s="56"/>
      <c r="T71" s="3"/>
      <c r="U71" s="95"/>
      <c r="V71" s="93"/>
      <c r="W71" s="139"/>
      <c r="X71" s="140"/>
      <c r="AC71" s="3" t="s">
        <v>862</v>
      </c>
      <c r="AD71" s="3"/>
      <c r="AE71" s="3"/>
      <c r="AN71" s="3"/>
    </row>
    <row r="72" spans="1:47" ht="14.25">
      <c r="L72" t="s">
        <v>1015</v>
      </c>
      <c r="P72" s="73" t="s">
        <v>837</v>
      </c>
      <c r="Q72" s="72" t="s">
        <v>65</v>
      </c>
      <c r="R72" s="73" t="s">
        <v>66</v>
      </c>
      <c r="S72" s="73" t="s">
        <v>67</v>
      </c>
      <c r="T72" s="74" t="s">
        <v>68</v>
      </c>
      <c r="U72" s="3" t="s">
        <v>176</v>
      </c>
      <c r="V72" s="74" t="s">
        <v>265</v>
      </c>
      <c r="W72" s="73" t="s">
        <v>266</v>
      </c>
      <c r="X72" s="73" t="s">
        <v>70</v>
      </c>
      <c r="AB72" s="3" t="s">
        <v>869</v>
      </c>
      <c r="AC72" s="3" t="s">
        <v>870</v>
      </c>
      <c r="AD72" s="3" t="s">
        <v>871</v>
      </c>
      <c r="AE72" s="3"/>
      <c r="AN72" s="4"/>
    </row>
    <row r="73" spans="1:47" ht="14.25">
      <c r="C73" s="254" t="s">
        <v>941</v>
      </c>
      <c r="D73" s="254" t="s">
        <v>942</v>
      </c>
      <c r="E73" s="254" t="s">
        <v>766</v>
      </c>
      <c r="F73" s="254" t="s">
        <v>764</v>
      </c>
      <c r="G73" s="254" t="s">
        <v>765</v>
      </c>
      <c r="H73" s="254" t="s">
        <v>768</v>
      </c>
      <c r="I73" s="254" t="s">
        <v>769</v>
      </c>
      <c r="J73" s="254" t="s">
        <v>943</v>
      </c>
      <c r="L73" t="s">
        <v>1016</v>
      </c>
      <c r="P73" s="83" t="s">
        <v>1017</v>
      </c>
      <c r="Q73" s="83" t="s">
        <v>1018</v>
      </c>
      <c r="R73" s="83">
        <v>608536122</v>
      </c>
      <c r="S73" s="83">
        <v>1</v>
      </c>
      <c r="T73" s="83" t="s">
        <v>373</v>
      </c>
      <c r="U73" s="83" t="s">
        <v>1019</v>
      </c>
      <c r="V73" s="83" t="s">
        <v>382</v>
      </c>
      <c r="W73" s="83"/>
      <c r="X73" s="83" t="s">
        <v>1020</v>
      </c>
      <c r="Y73" s="239"/>
      <c r="Z73" s="239"/>
      <c r="AA73" s="239"/>
      <c r="AB73" s="239"/>
      <c r="AC73" s="238"/>
      <c r="AD73" s="238"/>
      <c r="AE73" s="238"/>
      <c r="AH73" t="s">
        <v>1021</v>
      </c>
      <c r="AI73" t="s">
        <v>836</v>
      </c>
      <c r="AL73" s="262" t="s">
        <v>1022</v>
      </c>
      <c r="AM73" s="262" t="s">
        <v>1023</v>
      </c>
      <c r="AN73" s="262" t="s">
        <v>1024</v>
      </c>
      <c r="AO73" s="262" t="s">
        <v>1025</v>
      </c>
      <c r="AP73" s="262" t="s">
        <v>1026</v>
      </c>
    </row>
    <row r="74" spans="1:47" ht="15.75">
      <c r="B74">
        <v>102</v>
      </c>
      <c r="C74">
        <v>101</v>
      </c>
      <c r="E74" t="s">
        <v>766</v>
      </c>
      <c r="F74" t="s">
        <v>764</v>
      </c>
      <c r="G74" t="s">
        <v>765</v>
      </c>
      <c r="H74" t="s">
        <v>768</v>
      </c>
      <c r="L74" s="238" t="s">
        <v>964</v>
      </c>
      <c r="M74" s="238" t="s">
        <v>1027</v>
      </c>
      <c r="N74" s="255" t="s">
        <v>167</v>
      </c>
      <c r="O74" s="263" t="s">
        <v>1028</v>
      </c>
      <c r="P74" s="179" t="s">
        <v>120</v>
      </c>
      <c r="Q74" s="264">
        <f>R58-1</f>
        <v>608221653.09265757</v>
      </c>
      <c r="R74" s="265">
        <f>R73+20</f>
        <v>608536142</v>
      </c>
      <c r="S74" s="104">
        <f>R74-Q74</f>
        <v>314488.90734243393</v>
      </c>
      <c r="T74" s="104">
        <f>S74*$V$10</f>
        <v>1527081.1497910847</v>
      </c>
      <c r="U74" s="3">
        <v>1</v>
      </c>
      <c r="V74" s="142">
        <f>T74+U74*$V$23</f>
        <v>1724456.1497910847</v>
      </c>
      <c r="W74" s="97">
        <f>Y74*1000000/8</f>
        <v>2076250</v>
      </c>
      <c r="X74" s="266">
        <f>W74-V74</f>
        <v>351793.8502089153</v>
      </c>
      <c r="Y74" s="256">
        <f>1.1*AN74</f>
        <v>16.61</v>
      </c>
      <c r="Z74" s="189"/>
      <c r="AA74" s="189"/>
      <c r="AB74" s="229">
        <v>1612718</v>
      </c>
      <c r="AC74" s="229">
        <f>AB74-V74</f>
        <v>-111738.1497910847</v>
      </c>
      <c r="AD74" s="267">
        <f>AC74*8/1000000</f>
        <v>-0.89390519832867754</v>
      </c>
      <c r="AE74" s="241">
        <f>AC74/AB74</f>
        <v>-6.9285609629882408E-2</v>
      </c>
      <c r="AF74" s="178" t="s">
        <v>1029</v>
      </c>
      <c r="AG74" s="192" t="s">
        <v>1028</v>
      </c>
      <c r="AH74" s="232">
        <f>X74*8/1000000</f>
        <v>2.8143508016713223</v>
      </c>
      <c r="AI74" s="232">
        <f>V74*8/1000000</f>
        <v>13.795649198328677</v>
      </c>
      <c r="AL74" s="268" t="s">
        <v>1030</v>
      </c>
      <c r="AM74" s="268" t="s">
        <v>1031</v>
      </c>
      <c r="AN74" s="268">
        <v>15.1</v>
      </c>
      <c r="AO74" s="268">
        <v>15.1</v>
      </c>
      <c r="AP74" s="268">
        <v>15.1</v>
      </c>
      <c r="AQ74">
        <f>AP74</f>
        <v>15.1</v>
      </c>
    </row>
    <row r="75" spans="1:47" ht="14.25">
      <c r="M75" s="3"/>
      <c r="P75" s="83" t="s">
        <v>1032</v>
      </c>
      <c r="Q75" s="83" t="s">
        <v>1033</v>
      </c>
      <c r="R75" s="83">
        <v>608566017</v>
      </c>
      <c r="S75" s="83">
        <v>7</v>
      </c>
      <c r="T75" s="83" t="s">
        <v>373</v>
      </c>
      <c r="U75" s="83" t="s">
        <v>1034</v>
      </c>
      <c r="V75" s="83" t="s">
        <v>866</v>
      </c>
      <c r="W75" s="83" t="s">
        <v>867</v>
      </c>
      <c r="X75" s="83" t="s">
        <v>1035</v>
      </c>
      <c r="Y75" s="239"/>
      <c r="Z75" s="239"/>
      <c r="AA75" s="239"/>
      <c r="AB75" s="257"/>
      <c r="AC75" s="238"/>
      <c r="AD75" s="238"/>
      <c r="AE75" s="269"/>
      <c r="AH75" s="232"/>
      <c r="AI75" s="232"/>
    </row>
    <row r="76" spans="1:47" ht="15.75">
      <c r="A76" s="255" t="s">
        <v>872</v>
      </c>
      <c r="B76">
        <v>102</v>
      </c>
      <c r="C76">
        <v>101</v>
      </c>
      <c r="E76" t="s">
        <v>766</v>
      </c>
      <c r="F76" t="s">
        <v>764</v>
      </c>
      <c r="G76" t="s">
        <v>765</v>
      </c>
      <c r="H76" t="s">
        <v>768</v>
      </c>
      <c r="I76" s="255"/>
      <c r="J76" s="255"/>
      <c r="K76" s="255"/>
      <c r="L76" s="257" t="s">
        <v>1036</v>
      </c>
      <c r="M76" s="257" t="s">
        <v>1037</v>
      </c>
      <c r="N76" s="255"/>
      <c r="O76" s="263" t="s">
        <v>1028</v>
      </c>
      <c r="P76" s="179" t="s">
        <v>120</v>
      </c>
      <c r="Q76" s="270">
        <f>R75+20</f>
        <v>608566037</v>
      </c>
      <c r="R76" s="143">
        <f t="shared" ref="R76:R81" si="3">((W76-U76*$V$23)/$V$10)+Q76</f>
        <v>608597838.20158112</v>
      </c>
      <c r="S76" s="104">
        <f t="shared" ref="S76:S81" si="4">R76-Q76</f>
        <v>31801.201581120491</v>
      </c>
      <c r="T76" s="104">
        <f t="shared" ref="T76:T81" si="5">S76*$V$10</f>
        <v>154418.85020878428</v>
      </c>
      <c r="U76" s="3">
        <v>1</v>
      </c>
      <c r="V76" s="142">
        <f t="shared" ref="V76:V81" si="6">T76+U76*$V$23</f>
        <v>351793.85020878428</v>
      </c>
      <c r="W76" s="97">
        <f>X74</f>
        <v>351793.8502089153</v>
      </c>
      <c r="X76" s="266">
        <f t="shared" ref="X76:X81" si="7">W76-V76</f>
        <v>1.3102544471621513E-7</v>
      </c>
      <c r="AB76" s="229">
        <v>334134</v>
      </c>
      <c r="AC76" s="229">
        <f t="shared" ref="AC76:AC81" si="8">AB76-V76</f>
        <v>-17659.850208784279</v>
      </c>
      <c r="AD76" s="267">
        <f t="shared" ref="AD76:AD81" si="9">AC76*8/1000000</f>
        <v>-0.14127880167027423</v>
      </c>
      <c r="AE76" s="241">
        <f t="shared" ref="AE76:AE81" si="10">AC76/AB76</f>
        <v>-5.2852598684313114E-2</v>
      </c>
      <c r="AF76" s="178" t="s">
        <v>1029</v>
      </c>
      <c r="AG76" s="192" t="s">
        <v>1028</v>
      </c>
      <c r="AH76" s="232">
        <f t="shared" ref="AH76:AH81" si="11">X76*8/1000000</f>
        <v>1.0482035577297211E-12</v>
      </c>
      <c r="AI76" s="232">
        <f t="shared" ref="AI76:AI81" si="12">V76*8/1000000</f>
        <v>2.8143508016702743</v>
      </c>
    </row>
    <row r="77" spans="1:47" ht="15.75">
      <c r="B77">
        <v>102</v>
      </c>
      <c r="C77">
        <v>101</v>
      </c>
      <c r="E77" t="s">
        <v>766</v>
      </c>
      <c r="F77" t="s">
        <v>764</v>
      </c>
      <c r="G77" t="s">
        <v>765</v>
      </c>
      <c r="H77" t="s">
        <v>768</v>
      </c>
      <c r="L77" s="257" t="s">
        <v>1037</v>
      </c>
      <c r="M77" s="257" t="s">
        <v>1038</v>
      </c>
      <c r="O77" s="263" t="s">
        <v>1039</v>
      </c>
      <c r="P77" s="179" t="s">
        <v>1040</v>
      </c>
      <c r="Q77" s="264">
        <f>R76-1</f>
        <v>608597837.20158112</v>
      </c>
      <c r="R77" s="143">
        <f t="shared" si="3"/>
        <v>608806816.02288961</v>
      </c>
      <c r="S77" s="104">
        <f t="shared" si="4"/>
        <v>208978.82130849361</v>
      </c>
      <c r="T77" s="104">
        <f t="shared" si="5"/>
        <v>1014750.0000000803</v>
      </c>
      <c r="U77" s="3">
        <v>0</v>
      </c>
      <c r="V77" s="142">
        <f t="shared" si="6"/>
        <v>1014750.0000000803</v>
      </c>
      <c r="W77" s="97">
        <f>Y77*1000000/8</f>
        <v>1014750</v>
      </c>
      <c r="X77" s="266">
        <f t="shared" si="7"/>
        <v>-8.0326572060585022E-8</v>
      </c>
      <c r="Y77" s="256">
        <f>1.1*AN77</f>
        <v>8.1180000000000003</v>
      </c>
      <c r="Z77" s="189"/>
      <c r="AA77" s="189"/>
      <c r="AB77" s="229">
        <v>1116266</v>
      </c>
      <c r="AC77" s="229">
        <f t="shared" si="8"/>
        <v>101515.99999991967</v>
      </c>
      <c r="AD77" s="267">
        <f t="shared" si="9"/>
        <v>0.81212799999935736</v>
      </c>
      <c r="AE77" s="241">
        <f t="shared" si="10"/>
        <v>9.0942481451481705E-2</v>
      </c>
      <c r="AF77" s="178" t="s">
        <v>1041</v>
      </c>
      <c r="AG77" s="192" t="s">
        <v>1039</v>
      </c>
      <c r="AH77" s="232">
        <f t="shared" si="11"/>
        <v>-6.4261257648468014E-13</v>
      </c>
      <c r="AI77" s="232">
        <f t="shared" si="12"/>
        <v>8.1180000000006434</v>
      </c>
      <c r="AJ77" s="3"/>
      <c r="AK77" s="3"/>
      <c r="AL77" s="268" t="s">
        <v>1042</v>
      </c>
      <c r="AM77" s="268" t="s">
        <v>1043</v>
      </c>
      <c r="AN77" s="268">
        <v>7.38</v>
      </c>
      <c r="AO77" s="268">
        <v>7.38</v>
      </c>
      <c r="AP77" s="268">
        <v>7.38</v>
      </c>
      <c r="AQ77" s="271">
        <f>AQ74+AP77</f>
        <v>22.48</v>
      </c>
    </row>
    <row r="78" spans="1:47" ht="15.75">
      <c r="B78">
        <v>102</v>
      </c>
      <c r="C78">
        <v>101</v>
      </c>
      <c r="E78" t="s">
        <v>766</v>
      </c>
      <c r="F78" t="s">
        <v>764</v>
      </c>
      <c r="G78" t="s">
        <v>765</v>
      </c>
      <c r="H78" t="s">
        <v>768</v>
      </c>
      <c r="L78" s="257" t="s">
        <v>1038</v>
      </c>
      <c r="M78" s="257" t="s">
        <v>1044</v>
      </c>
      <c r="O78" s="263" t="s">
        <v>1045</v>
      </c>
      <c r="P78" s="179" t="s">
        <v>1046</v>
      </c>
      <c r="Q78" s="264">
        <f>R77-1</f>
        <v>608806815.02288961</v>
      </c>
      <c r="R78" s="143">
        <f t="shared" si="3"/>
        <v>608968221.4295913</v>
      </c>
      <c r="S78" s="104">
        <f t="shared" si="4"/>
        <v>161406.406701684</v>
      </c>
      <c r="T78" s="104">
        <f t="shared" si="5"/>
        <v>783750.00000007136</v>
      </c>
      <c r="U78" s="3">
        <v>0</v>
      </c>
      <c r="V78" s="142">
        <f t="shared" si="6"/>
        <v>783750.00000007136</v>
      </c>
      <c r="W78" s="97">
        <f>Y78*1000000/8</f>
        <v>783750</v>
      </c>
      <c r="X78" s="266">
        <f t="shared" si="7"/>
        <v>-7.1362592279911041E-8</v>
      </c>
      <c r="Y78" s="256">
        <f>1.1*AN78</f>
        <v>6.2700000000000005</v>
      </c>
      <c r="Z78" s="189"/>
      <c r="AA78" s="189"/>
      <c r="AB78" s="229">
        <v>862324</v>
      </c>
      <c r="AC78" s="229">
        <f t="shared" si="8"/>
        <v>78573.999999928637</v>
      </c>
      <c r="AD78" s="267">
        <f t="shared" si="9"/>
        <v>0.62859199999942905</v>
      </c>
      <c r="AE78" s="241">
        <f t="shared" si="10"/>
        <v>9.1118883389455285E-2</v>
      </c>
      <c r="AF78" s="178" t="s">
        <v>1047</v>
      </c>
      <c r="AG78" s="192" t="s">
        <v>1045</v>
      </c>
      <c r="AH78" s="232">
        <f t="shared" si="11"/>
        <v>-5.7090073823928837E-13</v>
      </c>
      <c r="AI78" s="232">
        <f t="shared" si="12"/>
        <v>6.2700000000005707</v>
      </c>
      <c r="AL78" s="268" t="s">
        <v>1048</v>
      </c>
      <c r="AM78" s="268" t="s">
        <v>1049</v>
      </c>
      <c r="AN78" s="268">
        <v>5.7</v>
      </c>
      <c r="AO78" s="268">
        <v>5.7</v>
      </c>
      <c r="AP78" s="268">
        <v>5.7</v>
      </c>
      <c r="AQ78" s="271">
        <f>AQ77+AP78</f>
        <v>28.18</v>
      </c>
    </row>
    <row r="79" spans="1:47" ht="15.75">
      <c r="B79">
        <v>102</v>
      </c>
      <c r="C79">
        <v>101</v>
      </c>
      <c r="E79" t="s">
        <v>766</v>
      </c>
      <c r="F79" t="s">
        <v>764</v>
      </c>
      <c r="G79" t="s">
        <v>765</v>
      </c>
      <c r="H79" t="s">
        <v>768</v>
      </c>
      <c r="L79" s="257" t="s">
        <v>1044</v>
      </c>
      <c r="M79" s="257" t="s">
        <v>1050</v>
      </c>
      <c r="O79" s="263" t="s">
        <v>1051</v>
      </c>
      <c r="P79" s="179" t="s">
        <v>1052</v>
      </c>
      <c r="Q79" s="264">
        <f>R78-1</f>
        <v>608968220.4295913</v>
      </c>
      <c r="R79" s="143">
        <f t="shared" si="3"/>
        <v>609242044.98271501</v>
      </c>
      <c r="S79" s="104">
        <f t="shared" si="4"/>
        <v>273824.55312371254</v>
      </c>
      <c r="T79" s="104">
        <f t="shared" si="5"/>
        <v>1329625.0000000165</v>
      </c>
      <c r="U79" s="3">
        <v>0</v>
      </c>
      <c r="V79" s="142">
        <f t="shared" si="6"/>
        <v>1329625.0000000165</v>
      </c>
      <c r="W79" s="97">
        <f>Y79*1000000/8</f>
        <v>1329625</v>
      </c>
      <c r="X79" s="266">
        <f t="shared" si="7"/>
        <v>-1.6530975699424744E-8</v>
      </c>
      <c r="Y79" s="256">
        <f>1.1*AN79</f>
        <v>10.637</v>
      </c>
      <c r="Z79" s="189"/>
      <c r="AA79" s="189"/>
      <c r="AB79" s="229">
        <v>1414898</v>
      </c>
      <c r="AC79" s="229">
        <f t="shared" si="8"/>
        <v>85272.999999983469</v>
      </c>
      <c r="AD79" s="267">
        <f t="shared" si="9"/>
        <v>0.68218399999986779</v>
      </c>
      <c r="AE79" s="241">
        <f t="shared" si="10"/>
        <v>6.0267948643636125E-2</v>
      </c>
      <c r="AF79" s="178" t="s">
        <v>1053</v>
      </c>
      <c r="AG79" s="192" t="s">
        <v>1051</v>
      </c>
      <c r="AH79" s="232">
        <f t="shared" si="11"/>
        <v>-1.3224780559539796E-13</v>
      </c>
      <c r="AI79" s="232">
        <f t="shared" si="12"/>
        <v>10.637000000000132</v>
      </c>
      <c r="AL79" s="268" t="s">
        <v>1054</v>
      </c>
      <c r="AM79" s="268" t="s">
        <v>1055</v>
      </c>
      <c r="AN79" s="268">
        <v>9.67</v>
      </c>
      <c r="AO79" s="268">
        <v>9.67</v>
      </c>
      <c r="AP79" s="268">
        <v>9.67</v>
      </c>
      <c r="AQ79" s="271">
        <f>AQ78+AP79</f>
        <v>37.85</v>
      </c>
    </row>
    <row r="80" spans="1:47" ht="15.75">
      <c r="B80">
        <v>102</v>
      </c>
      <c r="C80">
        <v>101</v>
      </c>
      <c r="E80" t="s">
        <v>766</v>
      </c>
      <c r="F80" t="s">
        <v>764</v>
      </c>
      <c r="G80" t="s">
        <v>765</v>
      </c>
      <c r="H80" t="s">
        <v>768</v>
      </c>
      <c r="L80" s="257" t="s">
        <v>1050</v>
      </c>
      <c r="M80" s="257" t="s">
        <v>1056</v>
      </c>
      <c r="N80" s="91"/>
      <c r="O80" s="263" t="s">
        <v>1057</v>
      </c>
      <c r="P80" s="179" t="s">
        <v>1058</v>
      </c>
      <c r="Q80" s="264">
        <f>R79-1</f>
        <v>609242043.98271501</v>
      </c>
      <c r="R80" s="143">
        <f t="shared" si="3"/>
        <v>609420723.7066251</v>
      </c>
      <c r="S80" s="104">
        <f t="shared" si="4"/>
        <v>178679.72391009331</v>
      </c>
      <c r="T80" s="104">
        <f t="shared" si="5"/>
        <v>867624.99999999884</v>
      </c>
      <c r="U80" s="3">
        <v>0</v>
      </c>
      <c r="V80" s="142">
        <f t="shared" si="6"/>
        <v>867624.99999999884</v>
      </c>
      <c r="W80" s="97">
        <f>Y80*1000000/8</f>
        <v>867625</v>
      </c>
      <c r="X80" s="266">
        <f t="shared" si="7"/>
        <v>1.1641532182693481E-9</v>
      </c>
      <c r="Y80" s="256">
        <f>1.1*AN80</f>
        <v>6.9409999999999998</v>
      </c>
      <c r="Z80" s="189"/>
      <c r="AA80" s="189"/>
      <c r="AB80" s="229">
        <v>924952</v>
      </c>
      <c r="AC80" s="229">
        <f t="shared" si="8"/>
        <v>57327.000000001164</v>
      </c>
      <c r="AD80" s="267">
        <f t="shared" si="9"/>
        <v>0.45861600000000929</v>
      </c>
      <c r="AE80" s="241">
        <f t="shared" si="10"/>
        <v>6.1978351309042161E-2</v>
      </c>
      <c r="AF80" s="178" t="s">
        <v>1059</v>
      </c>
      <c r="AG80" s="192" t="s">
        <v>1057</v>
      </c>
      <c r="AH80" s="232">
        <f t="shared" si="11"/>
        <v>9.3132257461547859E-15</v>
      </c>
      <c r="AI80" s="232">
        <f t="shared" si="12"/>
        <v>6.940999999999991</v>
      </c>
      <c r="AL80" s="268" t="s">
        <v>1060</v>
      </c>
      <c r="AM80" s="268" t="s">
        <v>1061</v>
      </c>
      <c r="AN80" s="268">
        <v>6.31</v>
      </c>
      <c r="AO80" s="268">
        <v>6.31</v>
      </c>
      <c r="AP80" s="268">
        <v>6.31</v>
      </c>
      <c r="AQ80" s="271">
        <f>AQ79+AP80</f>
        <v>44.160000000000004</v>
      </c>
    </row>
    <row r="81" spans="1:43" ht="15.75">
      <c r="B81">
        <v>102</v>
      </c>
      <c r="C81">
        <v>101</v>
      </c>
      <c r="E81" t="s">
        <v>766</v>
      </c>
      <c r="F81" t="s">
        <v>764</v>
      </c>
      <c r="G81" t="s">
        <v>765</v>
      </c>
      <c r="H81" t="s">
        <v>768</v>
      </c>
      <c r="L81" s="257" t="s">
        <v>1056</v>
      </c>
      <c r="M81" s="257" t="s">
        <v>1062</v>
      </c>
      <c r="N81" s="91"/>
      <c r="O81" s="263" t="s">
        <v>1063</v>
      </c>
      <c r="P81" s="179" t="s">
        <v>1064</v>
      </c>
      <c r="Q81" s="264">
        <f>R80-1</f>
        <v>609420722.7066251</v>
      </c>
      <c r="R81" s="143">
        <f t="shared" si="3"/>
        <v>609625453.99091506</v>
      </c>
      <c r="S81" s="104">
        <f t="shared" si="4"/>
        <v>204731.28428995609</v>
      </c>
      <c r="T81" s="104">
        <f t="shared" si="5"/>
        <v>994124.99999972805</v>
      </c>
      <c r="U81" s="3">
        <v>0</v>
      </c>
      <c r="V81" s="142">
        <f t="shared" si="6"/>
        <v>994124.99999972805</v>
      </c>
      <c r="W81" s="97">
        <f>Y81*1000000/8</f>
        <v>994125.00000000012</v>
      </c>
      <c r="X81" s="266">
        <f t="shared" si="7"/>
        <v>2.7206260710954666E-7</v>
      </c>
      <c r="Y81" s="256">
        <f>1.1*AN81</f>
        <v>7.9530000000000012</v>
      </c>
      <c r="Z81" s="272">
        <f>SUM(Y74:Y81)</f>
        <v>56.529000000000011</v>
      </c>
      <c r="AA81" s="229"/>
      <c r="AB81" s="229">
        <v>1063706</v>
      </c>
      <c r="AC81" s="229">
        <f t="shared" si="8"/>
        <v>69581.000000271946</v>
      </c>
      <c r="AD81" s="267">
        <f t="shared" si="9"/>
        <v>0.55664800000217562</v>
      </c>
      <c r="AE81" s="241">
        <f t="shared" si="10"/>
        <v>6.5413751544385335E-2</v>
      </c>
      <c r="AF81" s="178" t="s">
        <v>1065</v>
      </c>
      <c r="AG81" s="192" t="s">
        <v>1063</v>
      </c>
      <c r="AH81" s="232">
        <f t="shared" si="11"/>
        <v>2.1765008568763734E-12</v>
      </c>
      <c r="AI81" s="232">
        <f t="shared" si="12"/>
        <v>7.9529999999978243</v>
      </c>
      <c r="AL81" s="268" t="s">
        <v>1066</v>
      </c>
      <c r="AM81" s="268" t="s">
        <v>1067</v>
      </c>
      <c r="AN81" s="268">
        <v>7.23</v>
      </c>
      <c r="AO81" s="268">
        <v>7.23</v>
      </c>
      <c r="AP81" s="268">
        <v>7.23</v>
      </c>
      <c r="AQ81" s="271">
        <f>AQ80+AP81</f>
        <v>51.39</v>
      </c>
    </row>
    <row r="82" spans="1:43" ht="14.25">
      <c r="V82">
        <f>23*0.96</f>
        <v>22.08</v>
      </c>
      <c r="W82">
        <f>86400*V82</f>
        <v>1907711.9999999998</v>
      </c>
      <c r="Z82" s="238">
        <f>Y72</f>
        <v>0</v>
      </c>
      <c r="AB82" s="243">
        <f>AB81+AB76+AB70</f>
        <v>1397840</v>
      </c>
      <c r="AC82" s="3"/>
      <c r="AD82" s="3">
        <f>SUM(AD74:AD81)</f>
        <v>2.1029840000018876</v>
      </c>
      <c r="AE82" s="3"/>
      <c r="AH82" s="232"/>
      <c r="AI82" s="232"/>
    </row>
    <row r="83" spans="1:43" ht="14.25">
      <c r="O83" t="s">
        <v>1068</v>
      </c>
      <c r="Q83" s="3">
        <v>590138632</v>
      </c>
      <c r="Y83" s="3"/>
      <c r="Z83" s="5"/>
      <c r="AA83" s="5"/>
      <c r="AB83" s="5"/>
      <c r="AC83" s="97"/>
      <c r="AD83" s="97"/>
      <c r="AE83" s="97"/>
      <c r="AH83" s="232"/>
      <c r="AI83" s="232"/>
    </row>
    <row r="84" spans="1:43" ht="14.25">
      <c r="M84" t="s">
        <v>1069</v>
      </c>
      <c r="P84" s="224" t="s">
        <v>1070</v>
      </c>
      <c r="Q84" s="224" t="s">
        <v>1071</v>
      </c>
      <c r="R84" s="224">
        <v>590207401</v>
      </c>
      <c r="S84" s="224">
        <v>1</v>
      </c>
      <c r="T84" s="224" t="s">
        <v>373</v>
      </c>
      <c r="U84" s="224" t="s">
        <v>1072</v>
      </c>
      <c r="V84" s="224" t="s">
        <v>833</v>
      </c>
      <c r="W84" s="224"/>
      <c r="X84" s="224" t="s">
        <v>1073</v>
      </c>
      <c r="Y84" s="227"/>
      <c r="AC84" s="3"/>
      <c r="AD84" s="3"/>
      <c r="AE84" s="3"/>
      <c r="AH84" s="232"/>
      <c r="AI84" s="232"/>
    </row>
    <row r="85" spans="1:43" ht="15.75">
      <c r="L85" s="273" t="s">
        <v>1074</v>
      </c>
      <c r="M85" s="273" t="s">
        <v>1075</v>
      </c>
      <c r="N85" s="252" t="s">
        <v>167</v>
      </c>
      <c r="O85" s="192" t="s">
        <v>1076</v>
      </c>
      <c r="P85" s="61" t="s">
        <v>82</v>
      </c>
      <c r="Q85" s="264">
        <f>Q83-3</f>
        <v>590138629</v>
      </c>
      <c r="R85" s="270">
        <f>R84+20</f>
        <v>590207421</v>
      </c>
      <c r="S85" s="104">
        <f>R85-Q85</f>
        <v>68792</v>
      </c>
      <c r="T85" s="104">
        <f>S85*$W$9</f>
        <v>253437.51089120371</v>
      </c>
      <c r="U85" s="3">
        <v>0</v>
      </c>
      <c r="V85" s="142">
        <f>T85+U85*$W$9</f>
        <v>253437.51089120371</v>
      </c>
      <c r="W85" s="97">
        <f>Y85*1000000/8</f>
        <v>396000</v>
      </c>
      <c r="X85" s="266">
        <f>W85-V85</f>
        <v>142562.48910879629</v>
      </c>
      <c r="Y85" s="256">
        <f>1.1*AN85</f>
        <v>3.1680000000000001</v>
      </c>
      <c r="Z85" s="189"/>
      <c r="AA85" s="189"/>
      <c r="AB85" s="229">
        <v>283727</v>
      </c>
      <c r="AC85" s="229">
        <f>AB85-W85</f>
        <v>-112273</v>
      </c>
      <c r="AD85" s="229">
        <f>AC85*8/1000000</f>
        <v>-0.89818399999999998</v>
      </c>
      <c r="AE85" s="229"/>
      <c r="AF85" s="178" t="s">
        <v>1077</v>
      </c>
      <c r="AG85" s="192" t="s">
        <v>1076</v>
      </c>
      <c r="AH85" s="232">
        <f>X85*8/1000000</f>
        <v>1.1404999128703703</v>
      </c>
      <c r="AI85" s="232">
        <f>V85*8/1000000</f>
        <v>2.0275000871296296</v>
      </c>
      <c r="AL85" s="274" t="s">
        <v>1078</v>
      </c>
      <c r="AM85" s="274" t="s">
        <v>1079</v>
      </c>
      <c r="AN85" s="274">
        <v>2.88</v>
      </c>
      <c r="AO85" s="274">
        <v>2.88</v>
      </c>
      <c r="AP85" s="274">
        <v>2.88</v>
      </c>
      <c r="AQ85" s="227">
        <f>AP85</f>
        <v>2.88</v>
      </c>
    </row>
    <row r="86" spans="1:43" ht="14.25">
      <c r="O86" t="s">
        <v>204</v>
      </c>
      <c r="P86" s="225" t="s">
        <v>1080</v>
      </c>
      <c r="Q86" s="225" t="s">
        <v>1081</v>
      </c>
      <c r="R86" s="225">
        <v>590247116</v>
      </c>
      <c r="S86" s="225">
        <v>7</v>
      </c>
      <c r="T86" s="225" t="s">
        <v>373</v>
      </c>
      <c r="U86" s="225" t="s">
        <v>1082</v>
      </c>
      <c r="V86" s="224" t="s">
        <v>816</v>
      </c>
      <c r="W86" s="225" t="s">
        <v>817</v>
      </c>
      <c r="X86" s="225" t="s">
        <v>1083</v>
      </c>
      <c r="Y86" s="227"/>
      <c r="Z86" s="227"/>
      <c r="AA86" s="227"/>
      <c r="AB86" s="227"/>
      <c r="AC86" s="226"/>
      <c r="AD86" s="226"/>
      <c r="AE86" s="226"/>
      <c r="AG86" t="s">
        <v>204</v>
      </c>
      <c r="AH86" s="232"/>
      <c r="AI86" s="232"/>
    </row>
    <row r="87" spans="1:43" ht="15.75">
      <c r="A87" s="252" t="s">
        <v>872</v>
      </c>
      <c r="B87" s="252"/>
      <c r="C87" s="252"/>
      <c r="D87" s="252"/>
      <c r="E87" s="252"/>
      <c r="F87" s="252"/>
      <c r="G87" s="252"/>
      <c r="H87" s="252"/>
      <c r="I87" s="252"/>
      <c r="J87" s="252"/>
      <c r="K87" s="252"/>
      <c r="L87" s="273" t="s">
        <v>1084</v>
      </c>
      <c r="M87" s="273" t="s">
        <v>1085</v>
      </c>
      <c r="O87" s="192" t="s">
        <v>1076</v>
      </c>
      <c r="P87" s="179" t="s">
        <v>82</v>
      </c>
      <c r="Q87" s="270">
        <f>R86-20</f>
        <v>590247096</v>
      </c>
      <c r="R87" s="143">
        <f t="shared" ref="R87:R92" si="13">((W87)/$W$9)+Q87</f>
        <v>590285792.5556767</v>
      </c>
      <c r="S87" s="104">
        <f t="shared" ref="S87:S92" si="14">R87-Q87</f>
        <v>38696.555676698685</v>
      </c>
      <c r="T87" s="104">
        <f t="shared" ref="T87:T92" si="15">S87*$W$9</f>
        <v>142562.48910869568</v>
      </c>
      <c r="U87" s="3">
        <v>0</v>
      </c>
      <c r="V87" s="142">
        <f t="shared" ref="V87:V92" si="16">T87+U87*$V$23</f>
        <v>142562.48910869568</v>
      </c>
      <c r="W87" s="97">
        <f>X85</f>
        <v>142562.48910879629</v>
      </c>
      <c r="X87" s="266">
        <f t="shared" ref="X87:X92" si="17">W87-V87</f>
        <v>1.0061194188892841E-7</v>
      </c>
      <c r="AB87" s="229">
        <v>191209</v>
      </c>
      <c r="AC87" s="229">
        <f t="shared" ref="AC87:AC92" si="18">AB87-W87</f>
        <v>48646.51089120371</v>
      </c>
      <c r="AD87" s="229">
        <f t="shared" ref="AD87:AD92" si="19">AC87*8/1000000</f>
        <v>0.3891720871296297</v>
      </c>
      <c r="AE87" s="229"/>
      <c r="AH87" s="232">
        <f t="shared" ref="AH87:AH92" si="20">X87*8/1000000</f>
        <v>8.0489553511142731E-13</v>
      </c>
      <c r="AI87" s="232">
        <f t="shared" ref="AI87:AI92" si="21">V87*8/1000000</f>
        <v>1.1404999128695654</v>
      </c>
    </row>
    <row r="88" spans="1:43" ht="15.75">
      <c r="L88" s="273" t="s">
        <v>1085</v>
      </c>
      <c r="M88" s="273" t="s">
        <v>1086</v>
      </c>
      <c r="O88" s="192" t="s">
        <v>1087</v>
      </c>
      <c r="P88" s="179" t="s">
        <v>1088</v>
      </c>
      <c r="Q88" s="264">
        <f>R87-3</f>
        <v>590285789.5556767</v>
      </c>
      <c r="R88" s="143">
        <f t="shared" si="13"/>
        <v>590669090.75942671</v>
      </c>
      <c r="S88" s="104">
        <f t="shared" si="14"/>
        <v>383301.20375001431</v>
      </c>
      <c r="T88" s="104">
        <f t="shared" si="15"/>
        <v>1412125.0000000836</v>
      </c>
      <c r="U88" s="3">
        <v>0</v>
      </c>
      <c r="V88" s="142">
        <f t="shared" si="16"/>
        <v>1412125.0000000836</v>
      </c>
      <c r="W88" s="97">
        <f>Y88*1000000/8</f>
        <v>1412125</v>
      </c>
      <c r="X88" s="266">
        <f t="shared" si="17"/>
        <v>-8.3586201071739197E-8</v>
      </c>
      <c r="Y88" s="256">
        <f>1.1*AN88</f>
        <v>11.297000000000001</v>
      </c>
      <c r="Z88" s="189"/>
      <c r="AA88" s="189"/>
      <c r="AB88" s="229">
        <v>1411117</v>
      </c>
      <c r="AC88" s="229">
        <f t="shared" si="18"/>
        <v>-1008</v>
      </c>
      <c r="AD88" s="229">
        <f t="shared" si="19"/>
        <v>-8.064E-3</v>
      </c>
      <c r="AE88" s="229"/>
      <c r="AF88" s="178" t="s">
        <v>1089</v>
      </c>
      <c r="AG88" s="192" t="s">
        <v>1087</v>
      </c>
      <c r="AH88" s="232">
        <f t="shared" si="20"/>
        <v>-6.6868960857391357E-13</v>
      </c>
      <c r="AI88" s="232">
        <f t="shared" si="21"/>
        <v>11.297000000000669</v>
      </c>
      <c r="AL88" s="274" t="s">
        <v>1090</v>
      </c>
      <c r="AM88" s="274" t="s">
        <v>1091</v>
      </c>
      <c r="AN88" s="274">
        <v>10.27</v>
      </c>
      <c r="AO88" s="274">
        <v>10.27</v>
      </c>
      <c r="AP88" s="274">
        <v>10.27</v>
      </c>
      <c r="AQ88" s="227">
        <f>AQ85+AP88</f>
        <v>13.149999999999999</v>
      </c>
    </row>
    <row r="89" spans="1:43" ht="15.75">
      <c r="L89" s="273" t="s">
        <v>1086</v>
      </c>
      <c r="M89" s="273" t="s">
        <v>1092</v>
      </c>
      <c r="O89" s="192" t="s">
        <v>1093</v>
      </c>
      <c r="P89" s="179" t="s">
        <v>162</v>
      </c>
      <c r="Q89" s="264">
        <f>R88-3</f>
        <v>590669087.75942671</v>
      </c>
      <c r="R89" s="143">
        <f t="shared" si="13"/>
        <v>591454351.37450945</v>
      </c>
      <c r="S89" s="104">
        <f t="shared" si="14"/>
        <v>785263.61508274078</v>
      </c>
      <c r="T89" s="104">
        <f t="shared" si="15"/>
        <v>2892999.9999999725</v>
      </c>
      <c r="U89" s="3">
        <v>0</v>
      </c>
      <c r="V89" s="142">
        <f t="shared" si="16"/>
        <v>2892999.9999999725</v>
      </c>
      <c r="W89" s="97">
        <f>Y89*1000000/8</f>
        <v>2893000.0000000005</v>
      </c>
      <c r="X89" s="266">
        <f t="shared" si="17"/>
        <v>2.7939677238464355E-8</v>
      </c>
      <c r="Y89" s="256">
        <f>1.1*AN89</f>
        <v>23.144000000000002</v>
      </c>
      <c r="Z89" s="189"/>
      <c r="AA89" s="189"/>
      <c r="AB89" s="229">
        <v>2901234</v>
      </c>
      <c r="AC89" s="229">
        <f t="shared" si="18"/>
        <v>8233.9999999995343</v>
      </c>
      <c r="AD89" s="229">
        <f t="shared" si="19"/>
        <v>6.5871999999996281E-2</v>
      </c>
      <c r="AE89" s="229"/>
      <c r="AF89" s="178" t="s">
        <v>1094</v>
      </c>
      <c r="AG89" s="192" t="s">
        <v>1093</v>
      </c>
      <c r="AH89" s="232">
        <f t="shared" si="20"/>
        <v>2.2351741790771485E-13</v>
      </c>
      <c r="AI89" s="232">
        <f t="shared" si="21"/>
        <v>23.143999999999782</v>
      </c>
      <c r="AL89" s="274" t="s">
        <v>1095</v>
      </c>
      <c r="AM89" s="274" t="s">
        <v>1096</v>
      </c>
      <c r="AN89" s="274">
        <v>21.04</v>
      </c>
      <c r="AO89" s="274">
        <v>21.04</v>
      </c>
      <c r="AP89" s="274">
        <v>21.04</v>
      </c>
      <c r="AQ89" s="227">
        <f>AQ88+AP89</f>
        <v>34.19</v>
      </c>
    </row>
    <row r="90" spans="1:43" ht="15.75">
      <c r="L90" s="273" t="s">
        <v>1092</v>
      </c>
      <c r="M90" s="273" t="s">
        <v>1097</v>
      </c>
      <c r="N90" s="91"/>
      <c r="O90" s="192" t="s">
        <v>1098</v>
      </c>
      <c r="P90" s="179" t="s">
        <v>1099</v>
      </c>
      <c r="Q90" s="264">
        <f>R89-3</f>
        <v>591454348.37450945</v>
      </c>
      <c r="R90" s="143">
        <f t="shared" si="13"/>
        <v>591795102.02497077</v>
      </c>
      <c r="S90" s="104">
        <f t="shared" si="14"/>
        <v>340753.65046131611</v>
      </c>
      <c r="T90" s="104">
        <f t="shared" si="15"/>
        <v>1255375.000000105</v>
      </c>
      <c r="U90" s="3">
        <v>0</v>
      </c>
      <c r="V90" s="142">
        <f t="shared" si="16"/>
        <v>1255375.000000105</v>
      </c>
      <c r="W90" s="97">
        <f>Y90*1000000/8</f>
        <v>1255375.0000000002</v>
      </c>
      <c r="X90" s="266">
        <f t="shared" si="17"/>
        <v>-1.0477378964424133E-7</v>
      </c>
      <c r="Y90" s="256">
        <f>1.1*AN90</f>
        <v>10.043000000000001</v>
      </c>
      <c r="Z90" s="189"/>
      <c r="AA90" s="189"/>
      <c r="AB90" s="229">
        <v>1259168</v>
      </c>
      <c r="AC90" s="229">
        <f t="shared" si="18"/>
        <v>3792.9999999997672</v>
      </c>
      <c r="AD90" s="229">
        <f t="shared" si="19"/>
        <v>3.0343999999998136E-2</v>
      </c>
      <c r="AE90" s="229"/>
      <c r="AF90" s="178" t="s">
        <v>1100</v>
      </c>
      <c r="AG90" s="192" t="s">
        <v>1098</v>
      </c>
      <c r="AH90" s="232">
        <f t="shared" si="20"/>
        <v>-8.3819031715393064E-13</v>
      </c>
      <c r="AI90" s="232">
        <f t="shared" si="21"/>
        <v>10.043000000000839</v>
      </c>
      <c r="AL90" s="274" t="s">
        <v>1101</v>
      </c>
      <c r="AM90" s="274" t="s">
        <v>1102</v>
      </c>
      <c r="AN90" s="274">
        <v>9.1300000000000008</v>
      </c>
      <c r="AO90" s="274">
        <v>9.1300000000000008</v>
      </c>
      <c r="AP90" s="274">
        <v>9.1300000000000008</v>
      </c>
      <c r="AQ90" s="227">
        <f>AQ89+AP90</f>
        <v>43.32</v>
      </c>
    </row>
    <row r="91" spans="1:43" ht="15.75">
      <c r="L91" s="226" t="s">
        <v>1097</v>
      </c>
      <c r="M91" s="226" t="s">
        <v>1103</v>
      </c>
      <c r="O91" s="192" t="s">
        <v>1104</v>
      </c>
      <c r="P91" s="179" t="s">
        <v>1105</v>
      </c>
      <c r="Q91" s="237">
        <f>R90-3</f>
        <v>591795099.02497077</v>
      </c>
      <c r="R91" s="104">
        <f t="shared" si="13"/>
        <v>592042173.41336656</v>
      </c>
      <c r="S91" s="104">
        <f t="shared" si="14"/>
        <v>247074.38839578629</v>
      </c>
      <c r="T91" s="104">
        <f t="shared" si="15"/>
        <v>910249.9999999213</v>
      </c>
      <c r="U91" s="3">
        <v>0</v>
      </c>
      <c r="V91" s="97">
        <f t="shared" si="16"/>
        <v>910249.9999999213</v>
      </c>
      <c r="W91" s="97">
        <f>Y91*1000000/8</f>
        <v>910250.00000000012</v>
      </c>
      <c r="X91" s="266">
        <f t="shared" si="17"/>
        <v>7.8813172876834869E-8</v>
      </c>
      <c r="Y91" s="256">
        <f>1.1*AN91</f>
        <v>7.2820000000000009</v>
      </c>
      <c r="Z91" s="189"/>
      <c r="AA91" s="189"/>
      <c r="AB91" s="229">
        <v>915898</v>
      </c>
      <c r="AC91" s="229">
        <f t="shared" si="18"/>
        <v>5647.9999999998836</v>
      </c>
      <c r="AD91" s="229">
        <f t="shared" si="19"/>
        <v>4.5183999999999072E-2</v>
      </c>
      <c r="AE91" s="229"/>
      <c r="AF91" s="178" t="s">
        <v>1106</v>
      </c>
      <c r="AG91" s="192" t="s">
        <v>1104</v>
      </c>
      <c r="AH91" s="232">
        <f t="shared" si="20"/>
        <v>6.3050538301467893E-13</v>
      </c>
      <c r="AI91" s="232">
        <f t="shared" si="21"/>
        <v>7.2819999999993703</v>
      </c>
      <c r="AL91" s="274" t="s">
        <v>1107</v>
      </c>
      <c r="AM91" s="274" t="s">
        <v>1108</v>
      </c>
      <c r="AN91" s="274">
        <v>6.62</v>
      </c>
      <c r="AO91" s="274">
        <v>6.62</v>
      </c>
      <c r="AP91" s="274">
        <v>6.62</v>
      </c>
      <c r="AQ91" s="227">
        <f>AQ90+AP91</f>
        <v>49.94</v>
      </c>
    </row>
    <row r="92" spans="1:43" ht="15.75">
      <c r="L92" s="226" t="s">
        <v>1103</v>
      </c>
      <c r="M92" s="226" t="s">
        <v>1109</v>
      </c>
      <c r="O92" s="192" t="s">
        <v>1110</v>
      </c>
      <c r="P92" s="179" t="s">
        <v>1111</v>
      </c>
      <c r="Q92" s="237">
        <f>R91-3</f>
        <v>592042170.41336656</v>
      </c>
      <c r="R92" s="104">
        <f t="shared" si="13"/>
        <v>592432562.87599802</v>
      </c>
      <c r="S92" s="104">
        <f t="shared" si="14"/>
        <v>390392.462631464</v>
      </c>
      <c r="T92" s="104">
        <f t="shared" si="15"/>
        <v>1438250.0000000799</v>
      </c>
      <c r="U92" s="3">
        <v>0</v>
      </c>
      <c r="V92" s="97">
        <f t="shared" si="16"/>
        <v>1438250.0000000799</v>
      </c>
      <c r="W92" s="97">
        <f>Y92*1000000/8</f>
        <v>1438250.0000000002</v>
      </c>
      <c r="X92" s="266">
        <f t="shared" si="17"/>
        <v>-7.9628080129623413E-8</v>
      </c>
      <c r="Y92" s="256">
        <f>1.1*AN92</f>
        <v>11.506000000000002</v>
      </c>
      <c r="Z92" s="275">
        <f>SUM(Y85:Y92)</f>
        <v>66.440000000000012</v>
      </c>
      <c r="AA92" s="229"/>
      <c r="AB92" s="229">
        <v>1436041</v>
      </c>
      <c r="AC92" s="229">
        <f t="shared" si="18"/>
        <v>-2209.0000000002328</v>
      </c>
      <c r="AD92" s="229">
        <f t="shared" si="19"/>
        <v>-1.7672000000001863E-2</v>
      </c>
      <c r="AE92" s="229"/>
      <c r="AF92" s="178" t="s">
        <v>1112</v>
      </c>
      <c r="AG92" s="192" t="s">
        <v>1110</v>
      </c>
      <c r="AH92" s="232">
        <f t="shared" si="20"/>
        <v>-6.3702464103698734E-13</v>
      </c>
      <c r="AI92" s="232">
        <f t="shared" si="21"/>
        <v>11.50600000000064</v>
      </c>
      <c r="AL92" s="274" t="s">
        <v>1113</v>
      </c>
      <c r="AM92" s="274" t="s">
        <v>1114</v>
      </c>
      <c r="AN92" s="274">
        <v>10.46</v>
      </c>
      <c r="AO92" s="274">
        <v>10.46</v>
      </c>
      <c r="AP92" s="274">
        <v>10.46</v>
      </c>
      <c r="AQ92" s="227">
        <f>AQ91+AP92</f>
        <v>60.4</v>
      </c>
    </row>
    <row r="93" spans="1:43" ht="14.25">
      <c r="P93" s="73" t="s">
        <v>837</v>
      </c>
      <c r="Q93" s="72" t="s">
        <v>65</v>
      </c>
      <c r="R93" s="73" t="s">
        <v>66</v>
      </c>
      <c r="S93" s="73" t="s">
        <v>67</v>
      </c>
      <c r="T93" s="74" t="s">
        <v>68</v>
      </c>
      <c r="U93" s="3" t="s">
        <v>176</v>
      </c>
      <c r="V93" s="74" t="s">
        <v>265</v>
      </c>
      <c r="W93" s="73" t="s">
        <v>266</v>
      </c>
      <c r="X93" s="73" t="s">
        <v>70</v>
      </c>
      <c r="Y93" s="73" t="s">
        <v>1115</v>
      </c>
      <c r="AC93" s="3"/>
      <c r="AD93" s="3">
        <f>SUM(AD85:AD92)</f>
        <v>-0.39334791287037862</v>
      </c>
      <c r="AE93" s="3"/>
      <c r="AH93" s="232"/>
      <c r="AI93" s="232"/>
    </row>
    <row r="94" spans="1:43" ht="15.75">
      <c r="P94" s="179" t="s">
        <v>1116</v>
      </c>
      <c r="Q94" s="237">
        <f>R92-3</f>
        <v>592432559.87599802</v>
      </c>
      <c r="R94" s="104">
        <f>((W94)/$W$9)+Q94</f>
        <v>592883201.30270076</v>
      </c>
      <c r="S94" s="104">
        <f>R94-Q94</f>
        <v>450641.42670273781</v>
      </c>
      <c r="T94" s="104">
        <f>S94*$W$9</f>
        <v>1660214.0000000391</v>
      </c>
      <c r="U94" s="3">
        <v>0</v>
      </c>
      <c r="V94" s="97">
        <f>T94+U94*$V$23</f>
        <v>1660214.0000000391</v>
      </c>
      <c r="W94" s="97">
        <f>982562+579837+100705-2890</f>
        <v>1660214</v>
      </c>
      <c r="X94" s="266">
        <f>W94-V94</f>
        <v>-3.9115548133850098E-8</v>
      </c>
      <c r="Y94" s="256">
        <f>W94*8/1000000</f>
        <v>13.281712000000001</v>
      </c>
      <c r="Z94" t="s">
        <v>1117</v>
      </c>
      <c r="AC94" s="3" t="s">
        <v>870</v>
      </c>
      <c r="AD94" s="3"/>
      <c r="AE94" s="3"/>
      <c r="AH94" s="232">
        <f>X94*8/1000000</f>
        <v>-3.1292438507080076E-13</v>
      </c>
      <c r="AI94" s="232">
        <f>V94*8/1000000</f>
        <v>13.281712000000313</v>
      </c>
    </row>
    <row r="95" spans="1:43" ht="14.25">
      <c r="AC95" s="3"/>
      <c r="AH95" s="232"/>
      <c r="AI95" s="232"/>
      <c r="AJ95" s="276"/>
      <c r="AK95" s="276"/>
      <c r="AL95" s="276"/>
      <c r="AM95" s="276"/>
      <c r="AN95" s="276"/>
    </row>
    <row r="96" spans="1:43" ht="14.25">
      <c r="AC96" s="3"/>
      <c r="AI96" s="276"/>
      <c r="AJ96" s="276"/>
      <c r="AK96" s="276"/>
      <c r="AL96" s="276"/>
      <c r="AM96" s="276"/>
    </row>
    <row r="97" spans="16:41" ht="14.25">
      <c r="AA97" s="239"/>
      <c r="AC97" s="3"/>
      <c r="AI97" s="276"/>
      <c r="AJ97" s="276"/>
      <c r="AK97" s="276"/>
      <c r="AL97" s="276"/>
      <c r="AM97" s="276"/>
    </row>
    <row r="98" spans="16:41" ht="14.25">
      <c r="AG98" s="276"/>
      <c r="AH98" s="276"/>
      <c r="AI98" s="276"/>
      <c r="AJ98" s="276"/>
      <c r="AK98" s="276"/>
    </row>
    <row r="100" spans="16:41" ht="14.25">
      <c r="AK100" s="244"/>
      <c r="AL100" s="244"/>
      <c r="AM100" s="244"/>
      <c r="AN100" s="244"/>
      <c r="AO100" s="244"/>
    </row>
    <row r="101" spans="16:41" ht="14.25">
      <c r="AK101" s="244"/>
      <c r="AL101" s="244"/>
      <c r="AM101" s="244"/>
      <c r="AN101" s="244"/>
      <c r="AO101" s="244"/>
    </row>
    <row r="102" spans="16:41" ht="14.25">
      <c r="AK102" s="244"/>
      <c r="AL102" s="244"/>
      <c r="AM102" s="244"/>
      <c r="AN102" s="244"/>
      <c r="AO102" s="244"/>
    </row>
    <row r="103" spans="16:41" ht="14.25">
      <c r="AK103" s="244"/>
      <c r="AL103" s="244"/>
      <c r="AM103" s="244"/>
      <c r="AN103" s="244"/>
      <c r="AO103" s="244"/>
    </row>
    <row r="104" spans="16:41" ht="14.25">
      <c r="P104" s="81" t="s">
        <v>1118</v>
      </c>
      <c r="Q104" s="81" t="s">
        <v>1119</v>
      </c>
      <c r="R104" s="81">
        <v>611744576</v>
      </c>
      <c r="S104" s="81">
        <v>7</v>
      </c>
      <c r="T104" s="81" t="s">
        <v>373</v>
      </c>
      <c r="U104" s="81" t="s">
        <v>1120</v>
      </c>
      <c r="V104" s="81" t="s">
        <v>866</v>
      </c>
      <c r="W104" s="81" t="s">
        <v>867</v>
      </c>
      <c r="X104" s="81" t="s">
        <v>1121</v>
      </c>
      <c r="Y104" s="239"/>
      <c r="Z104" s="239"/>
      <c r="AA104" s="239"/>
      <c r="AK104" s="244"/>
      <c r="AL104" s="244"/>
      <c r="AM104" s="244"/>
      <c r="AN104" s="244"/>
      <c r="AO104" s="244"/>
    </row>
    <row r="105" spans="16:41" ht="14.25">
      <c r="P105" s="81" t="s">
        <v>1122</v>
      </c>
      <c r="Q105" s="81" t="s">
        <v>1123</v>
      </c>
      <c r="R105" s="81">
        <v>611746916</v>
      </c>
      <c r="S105" s="81">
        <v>0</v>
      </c>
      <c r="T105" s="81" t="s">
        <v>1124</v>
      </c>
      <c r="U105" s="81" t="s">
        <v>1125</v>
      </c>
      <c r="V105" s="81" t="s">
        <v>1126</v>
      </c>
      <c r="W105" s="81"/>
      <c r="X105" s="81" t="s">
        <v>1121</v>
      </c>
      <c r="Y105" s="239"/>
      <c r="Z105" s="239"/>
      <c r="AA105" s="239"/>
      <c r="AG105" s="276"/>
      <c r="AH105" s="276"/>
      <c r="AI105" s="276"/>
      <c r="AJ105" s="276"/>
      <c r="AK105" s="244"/>
      <c r="AL105" s="244"/>
      <c r="AM105" s="244"/>
      <c r="AN105" s="244"/>
      <c r="AO105" s="244"/>
    </row>
    <row r="106" spans="16:41" ht="14.25">
      <c r="AK106" s="244"/>
      <c r="AL106" s="244"/>
      <c r="AM106" s="244"/>
      <c r="AN106" s="244"/>
      <c r="AO106" s="244"/>
    </row>
    <row r="107" spans="16:41" ht="14.25">
      <c r="P107" s="81" t="s">
        <v>1127</v>
      </c>
      <c r="Q107" s="81" t="s">
        <v>1128</v>
      </c>
      <c r="R107" s="81">
        <v>611791076</v>
      </c>
      <c r="S107" s="81">
        <v>0</v>
      </c>
      <c r="T107" s="81" t="s">
        <v>1124</v>
      </c>
      <c r="U107" s="81" t="s">
        <v>1129</v>
      </c>
      <c r="V107" s="81" t="s">
        <v>1130</v>
      </c>
      <c r="W107" s="81"/>
      <c r="X107" s="81"/>
      <c r="AK107" s="244"/>
      <c r="AL107" s="244"/>
      <c r="AM107" s="244"/>
      <c r="AN107" s="244"/>
      <c r="AO107" s="244"/>
    </row>
    <row r="108" spans="16:41" ht="14.25">
      <c r="P108" s="81" t="s">
        <v>1127</v>
      </c>
      <c r="Q108" s="81" t="s">
        <v>1128</v>
      </c>
      <c r="R108" s="81">
        <v>611791076</v>
      </c>
      <c r="S108" s="81">
        <v>0</v>
      </c>
      <c r="T108" s="81" t="s">
        <v>1124</v>
      </c>
      <c r="U108" s="81" t="s">
        <v>1129</v>
      </c>
      <c r="V108" s="81" t="s">
        <v>1131</v>
      </c>
      <c r="W108" s="81" t="s">
        <v>1132</v>
      </c>
      <c r="X108" s="81"/>
      <c r="AK108" s="244"/>
      <c r="AL108" s="244"/>
      <c r="AM108" s="244"/>
      <c r="AN108" s="244"/>
      <c r="AO108" s="244"/>
    </row>
    <row r="109" spans="16:41" ht="14.25">
      <c r="P109" s="81" t="s">
        <v>1127</v>
      </c>
      <c r="Q109" s="81" t="s">
        <v>1128</v>
      </c>
      <c r="R109" s="81">
        <v>611791076</v>
      </c>
      <c r="S109" s="81">
        <v>0</v>
      </c>
      <c r="T109" s="81" t="s">
        <v>1124</v>
      </c>
      <c r="U109" s="81" t="s">
        <v>1129</v>
      </c>
      <c r="V109" s="81" t="s">
        <v>1133</v>
      </c>
      <c r="W109" s="81"/>
      <c r="X109" s="81"/>
      <c r="AB109" t="s">
        <v>1134</v>
      </c>
      <c r="AK109" s="244"/>
      <c r="AL109" s="244"/>
      <c r="AM109" s="244"/>
      <c r="AN109" s="244"/>
      <c r="AO109" s="244"/>
    </row>
    <row r="110" spans="16:41" ht="14.25">
      <c r="X110" t="s">
        <v>913</v>
      </c>
      <c r="AK110" s="244"/>
      <c r="AL110" s="244"/>
      <c r="AM110" s="244"/>
      <c r="AN110" s="244"/>
      <c r="AO110" s="244"/>
    </row>
    <row r="111" spans="16:41" ht="14.25">
      <c r="P111" s="59">
        <v>25159</v>
      </c>
      <c r="T111" s="3"/>
      <c r="V111" s="93"/>
      <c r="X111" t="s">
        <v>1010</v>
      </c>
      <c r="AK111" s="244"/>
      <c r="AL111" s="244"/>
      <c r="AM111" s="244"/>
      <c r="AN111" s="244"/>
      <c r="AO111" s="244"/>
    </row>
    <row r="112" spans="16:41" ht="14.25">
      <c r="P112" s="73" t="s">
        <v>837</v>
      </c>
      <c r="Q112" s="72" t="s">
        <v>65</v>
      </c>
      <c r="R112" s="73" t="s">
        <v>66</v>
      </c>
      <c r="S112" s="73" t="s">
        <v>67</v>
      </c>
      <c r="T112" s="74" t="s">
        <v>68</v>
      </c>
      <c r="U112" s="3" t="s">
        <v>176</v>
      </c>
      <c r="V112" s="74" t="s">
        <v>265</v>
      </c>
      <c r="W112" s="73" t="s">
        <v>266</v>
      </c>
      <c r="X112" s="73" t="s">
        <v>70</v>
      </c>
      <c r="AC112" t="s">
        <v>862</v>
      </c>
      <c r="AK112" s="244"/>
      <c r="AL112" s="244"/>
      <c r="AM112" s="244"/>
      <c r="AN112" s="244"/>
      <c r="AO112" s="244"/>
    </row>
    <row r="113" spans="1:48" ht="14.25">
      <c r="C113" s="254" t="s">
        <v>941</v>
      </c>
      <c r="D113" s="254" t="s">
        <v>942</v>
      </c>
      <c r="E113" s="254" t="s">
        <v>766</v>
      </c>
      <c r="F113" s="254" t="s">
        <v>764</v>
      </c>
      <c r="G113" s="254" t="s">
        <v>765</v>
      </c>
      <c r="H113" s="254" t="s">
        <v>768</v>
      </c>
      <c r="I113" s="254" t="s">
        <v>769</v>
      </c>
      <c r="J113" s="254" t="s">
        <v>943</v>
      </c>
      <c r="L113" t="s">
        <v>1135</v>
      </c>
      <c r="P113" s="81" t="s">
        <v>1136</v>
      </c>
      <c r="Q113" s="81" t="s">
        <v>1137</v>
      </c>
      <c r="R113" s="81">
        <v>609911802</v>
      </c>
      <c r="S113" s="81">
        <v>1</v>
      </c>
      <c r="T113" s="81" t="s">
        <v>373</v>
      </c>
      <c r="U113" s="81" t="s">
        <v>909</v>
      </c>
      <c r="V113" s="81" t="s">
        <v>382</v>
      </c>
      <c r="W113" s="81"/>
      <c r="X113" s="81" t="s">
        <v>1138</v>
      </c>
      <c r="Y113" s="239"/>
      <c r="Z113" s="239"/>
      <c r="AB113" s="3" t="s">
        <v>1139</v>
      </c>
      <c r="AC113" s="3" t="s">
        <v>870</v>
      </c>
      <c r="AH113" t="s">
        <v>1021</v>
      </c>
      <c r="AI113" t="s">
        <v>836</v>
      </c>
      <c r="AM113" s="244"/>
      <c r="AN113" s="244"/>
      <c r="AO113" s="244"/>
      <c r="AP113" s="244"/>
    </row>
    <row r="114" spans="1:48" ht="15.75">
      <c r="B114">
        <v>102</v>
      </c>
      <c r="C114">
        <v>101</v>
      </c>
      <c r="E114" t="s">
        <v>766</v>
      </c>
      <c r="F114" t="s">
        <v>764</v>
      </c>
      <c r="G114" t="s">
        <v>765</v>
      </c>
      <c r="L114" s="257" t="s">
        <v>1062</v>
      </c>
      <c r="M114" s="257" t="s">
        <v>1140</v>
      </c>
      <c r="N114" s="91"/>
      <c r="O114" s="263" t="str">
        <f>AG114</f>
        <v>160/16:16</v>
      </c>
      <c r="P114" s="179" t="s">
        <v>90</v>
      </c>
      <c r="Q114" s="264">
        <f>R81-1</f>
        <v>609625452.99091506</v>
      </c>
      <c r="R114" s="265">
        <f>R113+20</f>
        <v>609911822</v>
      </c>
      <c r="S114" s="104">
        <f>R114-Q114</f>
        <v>286369.00908493996</v>
      </c>
      <c r="T114" s="104">
        <f>S114*$V$13</f>
        <v>1082666.264182217</v>
      </c>
      <c r="U114" s="3">
        <v>0</v>
      </c>
      <c r="V114" s="142">
        <f>T114+U114*$V$23</f>
        <v>1082666.264182217</v>
      </c>
      <c r="W114" s="97">
        <f>Y114*1000000/8</f>
        <v>1236125.0000000002</v>
      </c>
      <c r="X114" s="266">
        <f>W114-V114</f>
        <v>153458.73581778328</v>
      </c>
      <c r="Y114" s="256">
        <f>1.1*AL114</f>
        <v>9.8890000000000011</v>
      </c>
      <c r="Z114" s="272">
        <f>SUM(Y106:Y114)</f>
        <v>9.8890000000000011</v>
      </c>
      <c r="AA114" s="229"/>
      <c r="AB114" s="229">
        <v>1242139</v>
      </c>
      <c r="AC114" s="229">
        <f>AB114-T114</f>
        <v>159472.73581778305</v>
      </c>
      <c r="AD114" s="277">
        <f>AC114*8/1000000</f>
        <v>1.2757818865422643</v>
      </c>
      <c r="AE114" s="241">
        <f>AC114/AB114</f>
        <v>0.1283855798890326</v>
      </c>
      <c r="AF114" s="178" t="s">
        <v>1141</v>
      </c>
      <c r="AG114" s="192" t="s">
        <v>1142</v>
      </c>
      <c r="AH114" s="232">
        <f>X114*8/1000000</f>
        <v>1.2276698865422662</v>
      </c>
      <c r="AI114" s="232">
        <f>V114*8/1000000</f>
        <v>8.6613301134577352</v>
      </c>
      <c r="AJ114" s="249" t="s">
        <v>1143</v>
      </c>
      <c r="AK114" s="244" t="s">
        <v>1144</v>
      </c>
      <c r="AL114" s="244">
        <v>8.99</v>
      </c>
      <c r="AM114" s="244">
        <v>8.99</v>
      </c>
      <c r="AN114" s="244">
        <v>8.99</v>
      </c>
      <c r="AP114" s="244"/>
      <c r="AQ114" s="244"/>
      <c r="AR114" s="244"/>
      <c r="AS114" s="244"/>
      <c r="AT114" s="244"/>
      <c r="AU114" s="244"/>
      <c r="AV114" s="244"/>
    </row>
    <row r="115" spans="1:48" ht="14.25">
      <c r="P115" s="81" t="s">
        <v>1145</v>
      </c>
      <c r="Q115" s="83" t="s">
        <v>1146</v>
      </c>
      <c r="R115" s="81">
        <v>609912716</v>
      </c>
      <c r="S115" s="81">
        <v>7</v>
      </c>
      <c r="T115" s="81" t="s">
        <v>373</v>
      </c>
      <c r="U115" s="81" t="s">
        <v>1120</v>
      </c>
      <c r="V115" s="81" t="s">
        <v>866</v>
      </c>
      <c r="W115" s="81" t="s">
        <v>867</v>
      </c>
      <c r="X115" s="81" t="s">
        <v>1147</v>
      </c>
      <c r="Y115" s="239"/>
      <c r="Z115" s="239"/>
      <c r="AA115" s="238"/>
      <c r="AB115" s="238"/>
      <c r="AC115" s="3" t="s">
        <v>1148</v>
      </c>
      <c r="AD115" s="278"/>
      <c r="AK115" s="244"/>
      <c r="AL115" s="244"/>
      <c r="AM115" s="244"/>
      <c r="AO115" s="244"/>
      <c r="AP115" s="244"/>
    </row>
    <row r="116" spans="1:48" ht="14.25">
      <c r="N116" s="91"/>
      <c r="P116" s="81" t="s">
        <v>1149</v>
      </c>
      <c r="Q116" s="81" t="s">
        <v>1150</v>
      </c>
      <c r="R116" s="81">
        <v>609914566</v>
      </c>
      <c r="S116" s="81">
        <v>0</v>
      </c>
      <c r="T116" s="81" t="s">
        <v>1124</v>
      </c>
      <c r="U116" s="81" t="s">
        <v>1151</v>
      </c>
      <c r="V116" s="81" t="s">
        <v>1152</v>
      </c>
      <c r="W116" s="81"/>
      <c r="X116" s="81" t="s">
        <v>1147</v>
      </c>
      <c r="Y116" s="239"/>
      <c r="Z116" s="239"/>
      <c r="AA116" s="239"/>
      <c r="AB116" s="238"/>
      <c r="AC116" s="3" t="s">
        <v>1153</v>
      </c>
      <c r="AD116" s="278"/>
      <c r="AI116" s="249"/>
      <c r="AJ116" s="244"/>
      <c r="AK116" s="244"/>
      <c r="AL116" s="244"/>
      <c r="AM116" s="244"/>
      <c r="AP116" s="244"/>
      <c r="AQ116" s="244"/>
      <c r="AR116" s="244"/>
      <c r="AS116" s="244"/>
      <c r="AT116" s="244"/>
      <c r="AU116" s="244"/>
    </row>
    <row r="117" spans="1:48" ht="14.25">
      <c r="P117" s="81" t="s">
        <v>1154</v>
      </c>
      <c r="Q117" s="81" t="s">
        <v>1155</v>
      </c>
      <c r="R117" s="81">
        <v>609914569</v>
      </c>
      <c r="S117" s="81">
        <v>0</v>
      </c>
      <c r="T117" s="81" t="s">
        <v>1124</v>
      </c>
      <c r="U117" s="81" t="s">
        <v>1151</v>
      </c>
      <c r="V117" s="81" t="s">
        <v>1156</v>
      </c>
      <c r="W117" s="81"/>
      <c r="X117" s="81" t="s">
        <v>1147</v>
      </c>
      <c r="Y117" s="239"/>
      <c r="Z117" s="239"/>
      <c r="AA117" s="239"/>
      <c r="AB117" s="238"/>
      <c r="AC117" s="3" t="s">
        <v>1157</v>
      </c>
      <c r="AD117" s="278"/>
    </row>
    <row r="118" spans="1:48" ht="14.25">
      <c r="P118" s="81" t="s">
        <v>1158</v>
      </c>
      <c r="Q118" s="81" t="s">
        <v>1159</v>
      </c>
      <c r="R118" s="81">
        <v>609914572</v>
      </c>
      <c r="S118" s="81">
        <v>0</v>
      </c>
      <c r="T118" s="81" t="s">
        <v>1124</v>
      </c>
      <c r="U118" s="81" t="s">
        <v>1151</v>
      </c>
      <c r="V118" s="81" t="s">
        <v>1160</v>
      </c>
      <c r="W118" s="81"/>
      <c r="X118" s="81" t="s">
        <v>1147</v>
      </c>
      <c r="Y118" s="239"/>
      <c r="Z118" s="239"/>
      <c r="AA118" s="239"/>
      <c r="AB118" s="238"/>
      <c r="AC118" s="3" t="s">
        <v>1161</v>
      </c>
      <c r="AD118" s="278"/>
      <c r="AE118" s="278"/>
    </row>
    <row r="119" spans="1:48" ht="14.25">
      <c r="P119" s="81" t="s">
        <v>1162</v>
      </c>
      <c r="Q119" s="81" t="s">
        <v>1163</v>
      </c>
      <c r="R119" s="81">
        <v>609914575</v>
      </c>
      <c r="S119" s="81">
        <v>0</v>
      </c>
      <c r="T119" s="81" t="s">
        <v>1124</v>
      </c>
      <c r="U119" s="81" t="s">
        <v>1151</v>
      </c>
      <c r="V119" s="81" t="s">
        <v>1164</v>
      </c>
      <c r="W119" s="81"/>
      <c r="X119" s="81" t="s">
        <v>1147</v>
      </c>
      <c r="Y119" s="239"/>
      <c r="Z119" s="239"/>
      <c r="AA119" s="239"/>
      <c r="AB119" s="238"/>
      <c r="AC119" s="3" t="s">
        <v>1165</v>
      </c>
      <c r="AD119" s="278">
        <f>SUM(AD121:AD128)</f>
        <v>6.8930581134568474</v>
      </c>
      <c r="AE119" s="278"/>
    </row>
    <row r="120" spans="1:48" ht="14.25">
      <c r="L120" t="s">
        <v>1166</v>
      </c>
      <c r="P120" s="81" t="s">
        <v>1167</v>
      </c>
      <c r="Q120" s="81" t="s">
        <v>1168</v>
      </c>
      <c r="R120" s="81">
        <v>609915176</v>
      </c>
      <c r="S120" s="81">
        <v>0</v>
      </c>
      <c r="T120" s="81" t="s">
        <v>1124</v>
      </c>
      <c r="U120" s="81" t="s">
        <v>1125</v>
      </c>
      <c r="V120" s="81" t="s">
        <v>1169</v>
      </c>
      <c r="W120" s="81"/>
      <c r="X120" s="81" t="s">
        <v>1147</v>
      </c>
      <c r="Y120" s="239"/>
      <c r="Z120" s="239"/>
      <c r="AA120" s="239"/>
      <c r="AB120" s="238"/>
      <c r="AC120" t="s">
        <v>1170</v>
      </c>
      <c r="AD120" s="278"/>
      <c r="AE120" s="278"/>
    </row>
    <row r="121" spans="1:48" ht="15.75">
      <c r="A121" t="s">
        <v>872</v>
      </c>
      <c r="B121">
        <v>102</v>
      </c>
      <c r="C121">
        <v>101</v>
      </c>
      <c r="E121" t="s">
        <v>766</v>
      </c>
      <c r="F121" t="s">
        <v>764</v>
      </c>
      <c r="G121" t="s">
        <v>765</v>
      </c>
      <c r="L121" s="257" t="s">
        <v>1171</v>
      </c>
      <c r="M121" s="257" t="s">
        <v>1172</v>
      </c>
      <c r="N121" s="91"/>
      <c r="P121" s="179" t="s">
        <v>90</v>
      </c>
      <c r="Q121" s="279">
        <f>R115-20</f>
        <v>609912696</v>
      </c>
      <c r="R121" s="143">
        <f t="shared" ref="R121:R128" si="22">((W121-U121*$V$23)/$V$13)+Q121</f>
        <v>609953286.37171972</v>
      </c>
      <c r="S121" s="104">
        <f t="shared" ref="S121:S128" si="23">R121-Q121</f>
        <v>40590.371719717979</v>
      </c>
      <c r="T121" s="104">
        <f t="shared" ref="T121:T128" si="24">S121*$V$13</f>
        <v>153458.73581774277</v>
      </c>
      <c r="U121" s="3">
        <v>0</v>
      </c>
      <c r="V121" s="142">
        <f>T121+U121*$V$23+$V$23</f>
        <v>350833.73581774277</v>
      </c>
      <c r="W121" s="280">
        <f>X114</f>
        <v>153458.73581778328</v>
      </c>
      <c r="X121" s="266">
        <f t="shared" ref="X121:X128" si="25">W121-V121</f>
        <v>-197374.99999995949</v>
      </c>
      <c r="AB121" s="229">
        <v>306124</v>
      </c>
      <c r="AC121" s="229">
        <f>AB121-W121</f>
        <v>152665.26418221672</v>
      </c>
      <c r="AD121" s="277">
        <f t="shared" ref="AD121:AD128" si="26">AC121*8/1000000</f>
        <v>1.2213221134577337</v>
      </c>
      <c r="AE121" s="241">
        <f t="shared" ref="AE121:AE127" si="27">AC121/AB121</f>
        <v>0.49870400289495997</v>
      </c>
      <c r="AF121" t="s">
        <v>1173</v>
      </c>
      <c r="AH121" t="s">
        <v>1174</v>
      </c>
      <c r="AI121" t="e">
        <f>V120*8/1000000</f>
        <v>#VALUE!</v>
      </c>
    </row>
    <row r="122" spans="1:48" ht="15.75">
      <c r="B122">
        <v>102</v>
      </c>
      <c r="C122">
        <v>101</v>
      </c>
      <c r="E122" t="s">
        <v>766</v>
      </c>
      <c r="F122" t="s">
        <v>764</v>
      </c>
      <c r="G122" t="s">
        <v>765</v>
      </c>
      <c r="L122" s="257" t="str">
        <f t="shared" ref="L122:L128" si="28">M121</f>
        <v>139/09:36</v>
      </c>
      <c r="M122" s="257" t="s">
        <v>1175</v>
      </c>
      <c r="O122" s="263" t="str">
        <f t="shared" ref="O122:O128" si="29">AG122</f>
        <v>161/15:11</v>
      </c>
      <c r="P122" s="179" t="s">
        <v>602</v>
      </c>
      <c r="Q122" s="264">
        <f t="shared" ref="Q122:Q128" si="30">R121-1</f>
        <v>609953285.37171972</v>
      </c>
      <c r="R122" s="143">
        <f t="shared" si="22"/>
        <v>610156754.68403363</v>
      </c>
      <c r="S122" s="104">
        <f t="shared" si="23"/>
        <v>203469.3123139143</v>
      </c>
      <c r="T122" s="104">
        <f t="shared" si="24"/>
        <v>769250.00000014075</v>
      </c>
      <c r="U122" s="3">
        <v>0</v>
      </c>
      <c r="V122" s="142">
        <f t="shared" ref="V122:V128" si="31">T122+U122*$V$23</f>
        <v>769250.00000014075</v>
      </c>
      <c r="W122" s="97">
        <f>Y122*1000000/8+X121</f>
        <v>769250.00000004063</v>
      </c>
      <c r="X122" s="266">
        <f t="shared" si="25"/>
        <v>-1.0011717677116394E-7</v>
      </c>
      <c r="Y122" s="256">
        <f t="shared" ref="Y122:Y128" si="32">1.1*AL122</f>
        <v>7.7330000000000005</v>
      </c>
      <c r="Z122" s="272">
        <f>Z114+Y122</f>
        <v>17.622</v>
      </c>
      <c r="AA122" s="229"/>
      <c r="AB122" s="229">
        <v>873308</v>
      </c>
      <c r="AC122" s="229">
        <f t="shared" ref="AC122:AC128" si="33">AB122-T122</f>
        <v>104057.99999985925</v>
      </c>
      <c r="AD122" s="277">
        <f t="shared" si="26"/>
        <v>0.83246399999887399</v>
      </c>
      <c r="AE122" s="241">
        <f t="shared" si="27"/>
        <v>0.11915383805010289</v>
      </c>
      <c r="AF122" s="178" t="s">
        <v>603</v>
      </c>
      <c r="AG122" s="192" t="s">
        <v>1176</v>
      </c>
      <c r="AH122" s="281">
        <f>X121*8/1000000</f>
        <v>-1.578999999999676</v>
      </c>
      <c r="AI122" s="232">
        <f>V121*8/1000000</f>
        <v>2.8066698865419419</v>
      </c>
      <c r="AJ122" s="249" t="s">
        <v>1177</v>
      </c>
      <c r="AK122" s="244" t="s">
        <v>1178</v>
      </c>
      <c r="AL122" s="244">
        <v>7.03</v>
      </c>
      <c r="AM122" s="244">
        <v>7.03</v>
      </c>
      <c r="AN122" s="244">
        <v>7.03</v>
      </c>
    </row>
    <row r="123" spans="1:48" ht="15.75">
      <c r="B123">
        <v>102</v>
      </c>
      <c r="C123">
        <v>101</v>
      </c>
      <c r="E123" t="s">
        <v>766</v>
      </c>
      <c r="F123" t="s">
        <v>764</v>
      </c>
      <c r="G123" t="s">
        <v>765</v>
      </c>
      <c r="L123" s="257" t="str">
        <f t="shared" si="28"/>
        <v>141/18:07</v>
      </c>
      <c r="M123" s="257" t="s">
        <v>1179</v>
      </c>
      <c r="O123" s="263" t="str">
        <f t="shared" si="29"/>
        <v>162/01:06</v>
      </c>
      <c r="P123" s="179" t="s">
        <v>91</v>
      </c>
      <c r="Q123" s="264">
        <f t="shared" si="30"/>
        <v>610156753.68403363</v>
      </c>
      <c r="R123" s="143">
        <f t="shared" si="22"/>
        <v>610410247.21954072</v>
      </c>
      <c r="S123" s="104">
        <f t="shared" si="23"/>
        <v>253493.53550708294</v>
      </c>
      <c r="T123" s="104">
        <f t="shared" si="24"/>
        <v>958375.00000005704</v>
      </c>
      <c r="U123" s="3">
        <v>0</v>
      </c>
      <c r="V123" s="142">
        <f t="shared" si="31"/>
        <v>958375.00000005704</v>
      </c>
      <c r="W123" s="97">
        <f t="shared" ref="W123:W128" si="34">Y123*1000000/8</f>
        <v>958375.00000000012</v>
      </c>
      <c r="X123" s="266">
        <f t="shared" si="25"/>
        <v>-5.6927092373371124E-8</v>
      </c>
      <c r="Y123" s="256">
        <f t="shared" si="32"/>
        <v>7.6670000000000007</v>
      </c>
      <c r="Z123" s="272">
        <f t="shared" ref="Z123:Z128" si="35">Y123+Z122</f>
        <v>25.289000000000001</v>
      </c>
      <c r="AA123" s="229"/>
      <c r="AB123" s="229">
        <v>1092116</v>
      </c>
      <c r="AC123" s="229">
        <f t="shared" si="33"/>
        <v>133740.99999994296</v>
      </c>
      <c r="AD123" s="277">
        <f t="shared" si="26"/>
        <v>1.0699279999995437</v>
      </c>
      <c r="AE123" s="241">
        <f t="shared" si="27"/>
        <v>0.1224604346057955</v>
      </c>
      <c r="AF123" s="178" t="s">
        <v>1180</v>
      </c>
      <c r="AG123" s="192" t="s">
        <v>1181</v>
      </c>
      <c r="AH123" s="232">
        <f>X122*8/1000000</f>
        <v>-8.009374141693115E-13</v>
      </c>
      <c r="AI123" s="232">
        <f>V122*8/1000000</f>
        <v>6.1540000000011261</v>
      </c>
      <c r="AJ123" s="244" t="s">
        <v>1182</v>
      </c>
      <c r="AK123" s="244" t="s">
        <v>1183</v>
      </c>
      <c r="AL123" s="244">
        <v>6.97</v>
      </c>
      <c r="AM123" s="244">
        <v>6.97</v>
      </c>
      <c r="AN123" s="244">
        <v>6.97</v>
      </c>
    </row>
    <row r="124" spans="1:48" ht="15.75">
      <c r="B124">
        <v>102</v>
      </c>
      <c r="C124">
        <v>101</v>
      </c>
      <c r="E124" t="s">
        <v>766</v>
      </c>
      <c r="F124" t="s">
        <v>764</v>
      </c>
      <c r="G124" t="s">
        <v>765</v>
      </c>
      <c r="L124" s="257" t="str">
        <f t="shared" si="28"/>
        <v>144/16:32</v>
      </c>
      <c r="M124" s="257" t="s">
        <v>1184</v>
      </c>
      <c r="O124" s="263" t="str">
        <f t="shared" si="29"/>
        <v>162/17:01</v>
      </c>
      <c r="P124" s="179" t="s">
        <v>1185</v>
      </c>
      <c r="Q124" s="264">
        <f t="shared" si="30"/>
        <v>610410246.21954072</v>
      </c>
      <c r="R124" s="143">
        <f t="shared" si="22"/>
        <v>610650283.13981998</v>
      </c>
      <c r="S124" s="104">
        <f t="shared" si="23"/>
        <v>240036.92027926445</v>
      </c>
      <c r="T124" s="104">
        <f t="shared" si="24"/>
        <v>907499.99999990535</v>
      </c>
      <c r="U124" s="3">
        <v>0</v>
      </c>
      <c r="V124" s="142">
        <f t="shared" si="31"/>
        <v>907499.99999990535</v>
      </c>
      <c r="W124" s="97">
        <f t="shared" si="34"/>
        <v>907500</v>
      </c>
      <c r="X124" s="266">
        <f t="shared" si="25"/>
        <v>9.4645656645298004E-8</v>
      </c>
      <c r="Y124" s="256">
        <f t="shared" si="32"/>
        <v>7.26</v>
      </c>
      <c r="Z124" s="272">
        <f t="shared" si="35"/>
        <v>32.548999999999999</v>
      </c>
      <c r="AA124" s="229"/>
      <c r="AB124" s="229">
        <v>1024638</v>
      </c>
      <c r="AC124" s="229">
        <f t="shared" si="33"/>
        <v>117138.00000009465</v>
      </c>
      <c r="AD124" s="277">
        <f t="shared" si="26"/>
        <v>0.93710400000075722</v>
      </c>
      <c r="AE124" s="241">
        <f t="shared" si="27"/>
        <v>0.1143213505648772</v>
      </c>
      <c r="AF124" s="178" t="s">
        <v>1186</v>
      </c>
      <c r="AG124" s="192" t="s">
        <v>1187</v>
      </c>
      <c r="AH124" s="232">
        <f>X123*8/1000000</f>
        <v>-4.5541673898696896E-13</v>
      </c>
      <c r="AI124" s="232">
        <f>V123*8/1000000</f>
        <v>7.6670000000004563</v>
      </c>
      <c r="AJ124" s="244" t="s">
        <v>1188</v>
      </c>
      <c r="AK124" s="244" t="s">
        <v>1189</v>
      </c>
      <c r="AL124" s="244">
        <v>6.6</v>
      </c>
      <c r="AM124" s="244">
        <v>6.6</v>
      </c>
      <c r="AN124" s="244">
        <v>6.6</v>
      </c>
    </row>
    <row r="125" spans="1:48" ht="15.75">
      <c r="B125">
        <v>102</v>
      </c>
      <c r="C125">
        <v>101</v>
      </c>
      <c r="E125" t="s">
        <v>766</v>
      </c>
      <c r="F125" t="s">
        <v>764</v>
      </c>
      <c r="G125" t="s">
        <v>765</v>
      </c>
      <c r="L125" s="257" t="str">
        <f t="shared" si="28"/>
        <v>147/11:13</v>
      </c>
      <c r="M125" s="257" t="s">
        <v>1190</v>
      </c>
      <c r="O125" s="263" t="str">
        <f t="shared" si="29"/>
        <v>164/00:56</v>
      </c>
      <c r="P125" s="179" t="s">
        <v>1191</v>
      </c>
      <c r="Q125" s="264">
        <f t="shared" si="30"/>
        <v>610650282.13981998</v>
      </c>
      <c r="R125" s="143">
        <f t="shared" si="22"/>
        <v>610784848.29209781</v>
      </c>
      <c r="S125" s="104">
        <f t="shared" si="23"/>
        <v>134566.15227782726</v>
      </c>
      <c r="T125" s="104">
        <f t="shared" si="24"/>
        <v>508750.00000016543</v>
      </c>
      <c r="U125" s="3">
        <v>0</v>
      </c>
      <c r="V125" s="142">
        <f t="shared" si="31"/>
        <v>508750.00000016543</v>
      </c>
      <c r="W125" s="97">
        <f t="shared" si="34"/>
        <v>508750.00000000006</v>
      </c>
      <c r="X125" s="266">
        <f t="shared" si="25"/>
        <v>-1.653679646551609E-7</v>
      </c>
      <c r="Y125" s="256">
        <f t="shared" si="32"/>
        <v>4.07</v>
      </c>
      <c r="Z125" s="272">
        <f t="shared" si="35"/>
        <v>36.619</v>
      </c>
      <c r="AA125" s="229"/>
      <c r="AB125" s="229">
        <v>574838</v>
      </c>
      <c r="AC125" s="229">
        <f t="shared" si="33"/>
        <v>66087.999999834574</v>
      </c>
      <c r="AD125" s="277">
        <f t="shared" si="26"/>
        <v>0.52870399999867657</v>
      </c>
      <c r="AE125" s="241">
        <f t="shared" si="27"/>
        <v>0.11496804317013588</v>
      </c>
      <c r="AF125" s="178" t="s">
        <v>1192</v>
      </c>
      <c r="AG125" s="192" t="s">
        <v>1193</v>
      </c>
      <c r="AH125" s="232">
        <f>X124*8/1000000</f>
        <v>7.5716525316238406E-13</v>
      </c>
      <c r="AI125" s="232">
        <f>V124*8/1000000</f>
        <v>7.2599999999992431</v>
      </c>
      <c r="AJ125" s="244" t="s">
        <v>1194</v>
      </c>
      <c r="AK125" s="244" t="s">
        <v>1195</v>
      </c>
      <c r="AL125" s="244">
        <v>3.7</v>
      </c>
      <c r="AM125" s="244">
        <v>3.7</v>
      </c>
      <c r="AN125" s="244">
        <v>3.7</v>
      </c>
    </row>
    <row r="126" spans="1:48" ht="15.75">
      <c r="B126">
        <v>102</v>
      </c>
      <c r="C126">
        <v>101</v>
      </c>
      <c r="E126" t="s">
        <v>766</v>
      </c>
      <c r="F126" t="s">
        <v>764</v>
      </c>
      <c r="G126" t="s">
        <v>765</v>
      </c>
      <c r="L126" s="257" t="str">
        <f t="shared" si="28"/>
        <v>149/00:35</v>
      </c>
      <c r="M126" s="257" t="s">
        <v>1196</v>
      </c>
      <c r="O126" s="263" t="str">
        <f t="shared" si="29"/>
        <v>166/15:41</v>
      </c>
      <c r="P126" s="179" t="s">
        <v>1197</v>
      </c>
      <c r="Q126" s="264">
        <f t="shared" si="30"/>
        <v>610784847.29209781</v>
      </c>
      <c r="R126" s="143">
        <f t="shared" si="22"/>
        <v>611216550.05629706</v>
      </c>
      <c r="S126" s="104">
        <f t="shared" si="23"/>
        <v>431702.7641992569</v>
      </c>
      <c r="T126" s="104">
        <f t="shared" si="24"/>
        <v>1632124.9999999595</v>
      </c>
      <c r="U126" s="3">
        <v>0</v>
      </c>
      <c r="V126" s="142">
        <f t="shared" si="31"/>
        <v>1632124.9999999595</v>
      </c>
      <c r="W126" s="97">
        <f t="shared" si="34"/>
        <v>1632125</v>
      </c>
      <c r="X126" s="266">
        <f t="shared" si="25"/>
        <v>4.0512531995773315E-8</v>
      </c>
      <c r="Y126" s="282">
        <f t="shared" si="32"/>
        <v>13.057</v>
      </c>
      <c r="Z126" s="272">
        <f t="shared" si="35"/>
        <v>49.676000000000002</v>
      </c>
      <c r="AA126" s="229"/>
      <c r="AB126" s="229">
        <v>1838628</v>
      </c>
      <c r="AC126" s="229">
        <f t="shared" si="33"/>
        <v>206503.00000004051</v>
      </c>
      <c r="AD126" s="277">
        <f t="shared" si="26"/>
        <v>1.6520240000003241</v>
      </c>
      <c r="AE126" s="241">
        <f t="shared" si="27"/>
        <v>0.11231363821286335</v>
      </c>
      <c r="AF126" s="178" t="s">
        <v>1198</v>
      </c>
      <c r="AG126" s="192" t="s">
        <v>1199</v>
      </c>
      <c r="AH126" s="232">
        <f>X126*8/1000000</f>
        <v>3.2410025596618653E-13</v>
      </c>
      <c r="AI126" s="232">
        <f>V126*8/1000000</f>
        <v>13.056999999999675</v>
      </c>
      <c r="AJ126" s="244" t="s">
        <v>1200</v>
      </c>
      <c r="AK126" s="244" t="s">
        <v>1201</v>
      </c>
      <c r="AL126" s="244">
        <v>11.87</v>
      </c>
      <c r="AM126" s="244">
        <v>11.87</v>
      </c>
      <c r="AN126" s="244">
        <v>11.87</v>
      </c>
    </row>
    <row r="127" spans="1:48" ht="15.75">
      <c r="B127">
        <v>102</v>
      </c>
      <c r="C127">
        <v>101</v>
      </c>
      <c r="E127" t="s">
        <v>766</v>
      </c>
      <c r="F127" t="s">
        <v>764</v>
      </c>
      <c r="G127" t="s">
        <v>765</v>
      </c>
      <c r="L127" s="257" t="str">
        <f t="shared" si="28"/>
        <v>154/00:30</v>
      </c>
      <c r="M127" s="257" t="s">
        <v>1202</v>
      </c>
      <c r="O127" s="263" t="str">
        <f t="shared" si="29"/>
        <v>167/15:51</v>
      </c>
      <c r="P127" s="179" t="s">
        <v>101</v>
      </c>
      <c r="Q127" s="264">
        <f t="shared" si="30"/>
        <v>611216549.05629706</v>
      </c>
      <c r="R127" s="143">
        <f t="shared" si="22"/>
        <v>611398758.90032721</v>
      </c>
      <c r="S127" s="104">
        <f t="shared" si="23"/>
        <v>182209.84403014183</v>
      </c>
      <c r="T127" s="104">
        <f t="shared" si="24"/>
        <v>688874.99999982573</v>
      </c>
      <c r="U127" s="3">
        <v>0</v>
      </c>
      <c r="V127" s="142">
        <f t="shared" si="31"/>
        <v>688874.99999982573</v>
      </c>
      <c r="W127" s="97">
        <f t="shared" si="34"/>
        <v>688875</v>
      </c>
      <c r="X127" s="266">
        <f t="shared" si="25"/>
        <v>1.7427373677492142E-7</v>
      </c>
      <c r="Y127" s="282">
        <f t="shared" si="32"/>
        <v>5.5110000000000001</v>
      </c>
      <c r="Z127" s="272">
        <f t="shared" si="35"/>
        <v>55.187000000000005</v>
      </c>
      <c r="AA127" s="229"/>
      <c r="AB127" s="229">
        <v>770314</v>
      </c>
      <c r="AC127" s="229">
        <f t="shared" si="33"/>
        <v>81439.000000174274</v>
      </c>
      <c r="AD127" s="277">
        <f t="shared" si="26"/>
        <v>0.6515120000013942</v>
      </c>
      <c r="AE127" s="241">
        <f t="shared" si="27"/>
        <v>0.10572182252974018</v>
      </c>
      <c r="AF127" s="178" t="s">
        <v>1203</v>
      </c>
      <c r="AG127" s="192" t="s">
        <v>1204</v>
      </c>
      <c r="AH127" s="232">
        <f>X127*8/1000000</f>
        <v>1.3941898941993714E-12</v>
      </c>
      <c r="AI127" s="232">
        <f>V127*8/1000000</f>
        <v>5.5109999999986057</v>
      </c>
      <c r="AJ127" s="244" t="s">
        <v>1205</v>
      </c>
      <c r="AK127" s="244" t="s">
        <v>1206</v>
      </c>
      <c r="AL127" s="244">
        <v>5.01</v>
      </c>
      <c r="AM127" s="244">
        <v>5.01</v>
      </c>
      <c r="AN127" s="244">
        <v>5.01</v>
      </c>
    </row>
    <row r="128" spans="1:48" ht="15.75">
      <c r="B128">
        <v>102</v>
      </c>
      <c r="C128">
        <v>101</v>
      </c>
      <c r="E128" t="s">
        <v>766</v>
      </c>
      <c r="F128" t="s">
        <v>764</v>
      </c>
      <c r="G128" t="s">
        <v>765</v>
      </c>
      <c r="L128" s="257" t="str">
        <f t="shared" si="28"/>
        <v>156/03:07</v>
      </c>
      <c r="M128" s="257" t="s">
        <v>1207</v>
      </c>
      <c r="O128" s="263" t="str">
        <f t="shared" si="29"/>
        <v>168/15:51</v>
      </c>
      <c r="P128" s="179" t="s">
        <v>1208</v>
      </c>
      <c r="Q128" s="264">
        <f t="shared" si="30"/>
        <v>611398757.90032721</v>
      </c>
      <c r="R128" s="143">
        <f t="shared" si="22"/>
        <v>611652251.43583429</v>
      </c>
      <c r="S128" s="104">
        <f t="shared" si="23"/>
        <v>253493.53550708294</v>
      </c>
      <c r="T128" s="104">
        <f t="shared" si="24"/>
        <v>958375.00000005704</v>
      </c>
      <c r="U128" s="3">
        <v>0</v>
      </c>
      <c r="V128" s="142">
        <f t="shared" si="31"/>
        <v>958375.00000005704</v>
      </c>
      <c r="W128" s="97">
        <f t="shared" si="34"/>
        <v>958375.00000000012</v>
      </c>
      <c r="X128" s="266">
        <f t="shared" si="25"/>
        <v>-5.6927092373371124E-8</v>
      </c>
      <c r="Y128" s="282">
        <f t="shared" si="32"/>
        <v>7.6670000000000007</v>
      </c>
      <c r="Z128" s="272">
        <f t="shared" si="35"/>
        <v>62.854000000000006</v>
      </c>
      <c r="AA128" s="229"/>
      <c r="AB128" s="229">
        <v>958375</v>
      </c>
      <c r="AC128" s="229">
        <f t="shared" si="33"/>
        <v>-5.7043507695198059E-8</v>
      </c>
      <c r="AD128" s="277">
        <f t="shared" si="26"/>
        <v>-4.5634806156158446E-13</v>
      </c>
      <c r="AE128" s="241"/>
      <c r="AF128" s="178" t="s">
        <v>1209</v>
      </c>
      <c r="AG128" s="192" t="s">
        <v>1210</v>
      </c>
      <c r="AH128" s="232">
        <f>X128*8/1000000</f>
        <v>-4.5541673898696896E-13</v>
      </c>
      <c r="AI128" s="232">
        <f>V128*8/1000000</f>
        <v>7.6670000000004563</v>
      </c>
      <c r="AJ128" s="244" t="s">
        <v>1211</v>
      </c>
      <c r="AK128" s="244" t="s">
        <v>1212</v>
      </c>
      <c r="AL128" s="244">
        <v>6.97</v>
      </c>
      <c r="AM128" s="244">
        <v>6.97</v>
      </c>
      <c r="AN128" s="244">
        <v>6.97</v>
      </c>
    </row>
    <row r="129" spans="1:40" ht="15.75">
      <c r="L129" s="283"/>
      <c r="M129" s="284"/>
      <c r="N129" s="284"/>
      <c r="O129" s="285" t="s">
        <v>1213</v>
      </c>
      <c r="P129" s="81" t="s">
        <v>1214</v>
      </c>
      <c r="Q129" s="81" t="s">
        <v>1215</v>
      </c>
      <c r="R129" s="81">
        <v>611744022</v>
      </c>
      <c r="S129" s="81">
        <v>1</v>
      </c>
      <c r="T129" s="81" t="s">
        <v>373</v>
      </c>
      <c r="U129" s="81" t="s">
        <v>1216</v>
      </c>
      <c r="V129" s="81" t="s">
        <v>382</v>
      </c>
      <c r="W129" s="81"/>
      <c r="X129" s="81" t="s">
        <v>1217</v>
      </c>
      <c r="Y129" s="286"/>
      <c r="Z129" s="286"/>
      <c r="AA129" s="238"/>
      <c r="AB129" s="229"/>
      <c r="AC129" s="229"/>
      <c r="AD129" s="278"/>
      <c r="AE129" s="278"/>
      <c r="AF129" s="178"/>
      <c r="AG129" s="192"/>
      <c r="AH129" s="232"/>
      <c r="AI129" s="232"/>
      <c r="AJ129" s="244"/>
      <c r="AK129" s="244"/>
      <c r="AL129" s="244">
        <v>4.93</v>
      </c>
      <c r="AM129" s="244">
        <v>4.93</v>
      </c>
      <c r="AN129" s="244">
        <v>4.93</v>
      </c>
    </row>
    <row r="130" spans="1:40" ht="15.75">
      <c r="B130">
        <v>102</v>
      </c>
      <c r="C130">
        <v>101</v>
      </c>
      <c r="E130" t="s">
        <v>766</v>
      </c>
      <c r="F130" t="s">
        <v>764</v>
      </c>
      <c r="G130" t="s">
        <v>765</v>
      </c>
      <c r="L130" s="257" t="str">
        <f>M128</f>
        <v>159/01:32</v>
      </c>
      <c r="M130" s="287" t="s">
        <v>1218</v>
      </c>
      <c r="N130" t="s">
        <v>167</v>
      </c>
      <c r="O130" s="263" t="str">
        <f>AG130</f>
        <v>169/01:21</v>
      </c>
      <c r="P130" s="179" t="s">
        <v>104</v>
      </c>
      <c r="Q130" s="264">
        <f>R128-1</f>
        <v>611652250.43583429</v>
      </c>
      <c r="R130" s="212">
        <f>R129+20</f>
        <v>611744042</v>
      </c>
      <c r="S130" s="104">
        <f>R130-Q130</f>
        <v>91791.564165711403</v>
      </c>
      <c r="T130" s="104">
        <f>S130*$V$13</f>
        <v>347033.46628285473</v>
      </c>
      <c r="U130" s="3">
        <v>0</v>
      </c>
      <c r="V130" s="142">
        <f>T130+U130*$V$23</f>
        <v>347033.46628285473</v>
      </c>
      <c r="W130" s="97">
        <f>Y130*1000000/8</f>
        <v>677875</v>
      </c>
      <c r="X130" s="266">
        <f>W130-V130</f>
        <v>330841.53371714527</v>
      </c>
      <c r="Y130" s="282">
        <f>1.1*AL130</f>
        <v>5.423</v>
      </c>
      <c r="Z130" s="288">
        <f>Y130+Z128</f>
        <v>68.277000000000001</v>
      </c>
      <c r="AA130" s="229"/>
      <c r="AB130" s="229"/>
      <c r="AC130" s="229">
        <f>AB130-T130</f>
        <v>-347033.46628285473</v>
      </c>
      <c r="AD130" s="277">
        <f>AC130*8/1000000</f>
        <v>-2.776267730262838</v>
      </c>
      <c r="AE130" s="277"/>
      <c r="AF130" s="178" t="s">
        <v>607</v>
      </c>
      <c r="AG130" s="192" t="s">
        <v>1219</v>
      </c>
      <c r="AH130" s="232">
        <f>X130*8/1000000</f>
        <v>2.646732269737162</v>
      </c>
      <c r="AI130" s="232">
        <f>V130*8/1000000</f>
        <v>2.776267730262838</v>
      </c>
      <c r="AJ130" s="244" t="s">
        <v>1220</v>
      </c>
      <c r="AK130" s="244" t="s">
        <v>1221</v>
      </c>
      <c r="AL130" s="244">
        <v>4.93</v>
      </c>
      <c r="AM130" s="244">
        <v>4.93</v>
      </c>
      <c r="AN130" s="244">
        <v>4.93</v>
      </c>
    </row>
    <row r="131" spans="1:40" ht="15.75">
      <c r="L131" s="283"/>
      <c r="M131" s="284"/>
      <c r="N131" s="284"/>
      <c r="O131" s="285" t="s">
        <v>1222</v>
      </c>
      <c r="P131" s="81" t="s">
        <v>1118</v>
      </c>
      <c r="Q131" s="81" t="s">
        <v>1119</v>
      </c>
      <c r="R131" s="81">
        <v>611744576</v>
      </c>
      <c r="S131" s="81">
        <v>7</v>
      </c>
      <c r="T131" s="81" t="s">
        <v>373</v>
      </c>
      <c r="U131" s="81" t="s">
        <v>1120</v>
      </c>
      <c r="V131" s="81" t="s">
        <v>866</v>
      </c>
      <c r="W131" s="81" t="s">
        <v>867</v>
      </c>
      <c r="X131" s="81" t="s">
        <v>1121</v>
      </c>
      <c r="Y131" s="286"/>
      <c r="Z131" s="286"/>
      <c r="AA131" s="239"/>
      <c r="AB131" s="229"/>
      <c r="AC131" s="229"/>
      <c r="AD131" s="278"/>
      <c r="AE131" s="278"/>
      <c r="AF131" s="178"/>
      <c r="AG131" s="192"/>
      <c r="AH131" s="232"/>
      <c r="AI131" s="232"/>
      <c r="AJ131" s="244"/>
      <c r="AK131" s="244"/>
      <c r="AL131" s="244"/>
      <c r="AM131" s="244"/>
    </row>
    <row r="132" spans="1:40" ht="15.75">
      <c r="A132" s="17"/>
      <c r="B132">
        <v>102</v>
      </c>
      <c r="C132">
        <v>103</v>
      </c>
      <c r="D132">
        <v>110</v>
      </c>
      <c r="E132" t="s">
        <v>766</v>
      </c>
      <c r="F132" t="s">
        <v>764</v>
      </c>
      <c r="G132" t="s">
        <v>765</v>
      </c>
      <c r="H132" s="17"/>
      <c r="I132" s="17"/>
      <c r="J132" s="17"/>
      <c r="K132" s="17" t="s">
        <v>872</v>
      </c>
      <c r="L132" s="257" t="s">
        <v>1223</v>
      </c>
      <c r="M132" s="257" t="s">
        <v>1224</v>
      </c>
      <c r="P132" s="179" t="s">
        <v>104</v>
      </c>
      <c r="Q132" s="279">
        <f>R131-20</f>
        <v>611744556</v>
      </c>
      <c r="R132" s="143">
        <f>((W132-U132*$V$23)/$V$12)+Q132</f>
        <v>611851610.92407358</v>
      </c>
      <c r="S132" s="104">
        <f t="shared" ref="S132:S142" si="36">R132-Q132</f>
        <v>107054.92407357693</v>
      </c>
      <c r="T132" s="104">
        <f>S132*$V$12</f>
        <v>330841.53371706873</v>
      </c>
      <c r="U132" s="3">
        <v>0</v>
      </c>
      <c r="V132" s="142">
        <f t="shared" ref="V132:V142" si="37">T132+U132*$V$23</f>
        <v>330841.53371706873</v>
      </c>
      <c r="W132" s="97">
        <f>X130</f>
        <v>330841.53371714527</v>
      </c>
      <c r="X132" s="266">
        <f t="shared" ref="X132:X142" si="38">W132-V132</f>
        <v>7.6543074101209641E-8</v>
      </c>
      <c r="Y132" s="282"/>
      <c r="Z132" s="289"/>
      <c r="AA132" s="229"/>
      <c r="AB132" s="229"/>
      <c r="AC132" s="229">
        <f t="shared" ref="AC132:AC142" si="39">AB132-T132</f>
        <v>-330841.53371706873</v>
      </c>
      <c r="AD132" s="277">
        <f t="shared" ref="AD132:AD142" si="40">AC132*8/1000000</f>
        <v>-2.6467322697365496</v>
      </c>
      <c r="AE132" s="277"/>
      <c r="AF132" s="178"/>
      <c r="AG132" s="192"/>
      <c r="AH132" s="232">
        <f t="shared" ref="AH132:AH142" si="41">X132*8/1000000</f>
        <v>6.1234459280967711E-13</v>
      </c>
      <c r="AI132" s="232">
        <f t="shared" ref="AI132:AI142" si="42">V132*8/1000000</f>
        <v>2.6467322697365496</v>
      </c>
      <c r="AJ132" s="244"/>
      <c r="AK132" s="244"/>
      <c r="AL132" s="244"/>
      <c r="AM132" s="244"/>
    </row>
    <row r="133" spans="1:40" ht="15.75">
      <c r="B133">
        <v>102</v>
      </c>
      <c r="C133">
        <v>103</v>
      </c>
      <c r="D133">
        <v>110</v>
      </c>
      <c r="E133" t="s">
        <v>766</v>
      </c>
      <c r="F133" t="s">
        <v>764</v>
      </c>
      <c r="G133" t="s">
        <v>765</v>
      </c>
      <c r="L133" s="257" t="str">
        <f>M132</f>
        <v>161/08:55</v>
      </c>
      <c r="M133" s="257" t="s">
        <v>1225</v>
      </c>
      <c r="O133" s="263" t="str">
        <f>AG133</f>
        <v>169/22:11</v>
      </c>
      <c r="P133" s="179" t="s">
        <v>1226</v>
      </c>
      <c r="Q133" s="264">
        <f>R132-1</f>
        <v>611851609.92407358</v>
      </c>
      <c r="R133" s="143">
        <f>((W133-U133*$V$23)/$V$12)+Q133</f>
        <v>612349038.95054173</v>
      </c>
      <c r="S133" s="104">
        <f t="shared" si="36"/>
        <v>497429.02646815777</v>
      </c>
      <c r="T133" s="104">
        <f>S133*$V$12</f>
        <v>1537250.0000000705</v>
      </c>
      <c r="U133" s="3">
        <v>0</v>
      </c>
      <c r="V133" s="142">
        <f t="shared" si="37"/>
        <v>1537250.0000000705</v>
      </c>
      <c r="W133" s="97">
        <f>Y133*1000000/8</f>
        <v>1537250</v>
      </c>
      <c r="X133" s="266">
        <f t="shared" si="38"/>
        <v>-7.0547685027122498E-8</v>
      </c>
      <c r="Y133" s="282">
        <f>1.1*AL133</f>
        <v>12.298</v>
      </c>
      <c r="Z133" s="288">
        <f>Z130+Y133</f>
        <v>80.575000000000003</v>
      </c>
      <c r="AA133" s="229"/>
      <c r="AB133" s="229"/>
      <c r="AC133" s="229">
        <f t="shared" si="39"/>
        <v>-1537250.0000000705</v>
      </c>
      <c r="AD133" s="277">
        <f t="shared" si="40"/>
        <v>-12.298000000000565</v>
      </c>
      <c r="AE133" s="277"/>
      <c r="AF133" s="178" t="s">
        <v>1227</v>
      </c>
      <c r="AG133" s="192" t="s">
        <v>1228</v>
      </c>
      <c r="AH133" s="232">
        <f t="shared" si="41"/>
        <v>-5.6438148021697997E-13</v>
      </c>
      <c r="AI133" s="232">
        <f t="shared" si="42"/>
        <v>12.298000000000565</v>
      </c>
      <c r="AJ133" s="244" t="s">
        <v>1229</v>
      </c>
      <c r="AK133" s="244" t="s">
        <v>1230</v>
      </c>
      <c r="AL133" s="244">
        <v>11.18</v>
      </c>
      <c r="AM133" s="244">
        <v>11.18</v>
      </c>
      <c r="AN133" s="244">
        <v>11.18</v>
      </c>
    </row>
    <row r="134" spans="1:40" ht="15.75">
      <c r="B134">
        <v>102</v>
      </c>
      <c r="C134">
        <v>103</v>
      </c>
      <c r="D134">
        <v>110</v>
      </c>
      <c r="E134" t="s">
        <v>766</v>
      </c>
      <c r="F134" t="s">
        <v>764</v>
      </c>
      <c r="G134" t="s">
        <v>765</v>
      </c>
      <c r="L134" s="257" t="str">
        <f>M133</f>
        <v>167/03:05</v>
      </c>
      <c r="M134" s="257" t="s">
        <v>1231</v>
      </c>
      <c r="O134" s="263" t="str">
        <f>AG134</f>
        <v>170/16:06</v>
      </c>
      <c r="P134" s="179" t="s">
        <v>1232</v>
      </c>
      <c r="Q134" s="264">
        <f>R133-1</f>
        <v>612349037.95054173</v>
      </c>
      <c r="R134" s="212">
        <v>612647515</v>
      </c>
      <c r="S134" s="104">
        <f t="shared" si="36"/>
        <v>298477.0494582653</v>
      </c>
      <c r="T134" s="104">
        <f>S134*$V$12</f>
        <v>922410.67542348371</v>
      </c>
      <c r="U134" s="3">
        <v>0</v>
      </c>
      <c r="V134" s="142">
        <f t="shared" si="37"/>
        <v>922410.67542348371</v>
      </c>
      <c r="W134" s="97">
        <f>Y134*1000000/8</f>
        <v>2965875.0000000005</v>
      </c>
      <c r="X134" s="266">
        <f t="shared" si="38"/>
        <v>2043464.3245765166</v>
      </c>
      <c r="Y134" s="282">
        <f>1.1*AL134</f>
        <v>23.727000000000004</v>
      </c>
      <c r="Z134" s="288">
        <f>Z133+AA134</f>
        <v>87.954285403387871</v>
      </c>
      <c r="AA134" s="229">
        <f>AI134</f>
        <v>7.3792854033878701</v>
      </c>
      <c r="AB134" s="229"/>
      <c r="AC134" s="229">
        <f t="shared" si="39"/>
        <v>-922410.67542348371</v>
      </c>
      <c r="AD134" s="277">
        <f t="shared" si="40"/>
        <v>-7.3792854033878701</v>
      </c>
      <c r="AE134" s="277"/>
      <c r="AF134" t="s">
        <v>1233</v>
      </c>
      <c r="AG134" s="192" t="s">
        <v>1234</v>
      </c>
      <c r="AH134" s="232">
        <f t="shared" si="41"/>
        <v>16.347714596612132</v>
      </c>
      <c r="AI134" s="232">
        <f t="shared" si="42"/>
        <v>7.3792854033878701</v>
      </c>
      <c r="AJ134" s="244" t="s">
        <v>1235</v>
      </c>
      <c r="AK134" s="244" t="s">
        <v>1236</v>
      </c>
      <c r="AL134" s="244">
        <v>21.57</v>
      </c>
      <c r="AM134" s="244">
        <v>21.57</v>
      </c>
      <c r="AN134" s="244"/>
    </row>
    <row r="135" spans="1:40" ht="15.75">
      <c r="L135" s="226" t="s">
        <v>1109</v>
      </c>
      <c r="M135" s="226" t="s">
        <v>1237</v>
      </c>
      <c r="O135" s="192"/>
      <c r="P135" s="179" t="s">
        <v>1232</v>
      </c>
      <c r="Q135" s="237">
        <f>R92-3</f>
        <v>592432559.87599802</v>
      </c>
      <c r="R135" s="104">
        <f t="shared" ref="R135:R141" si="43">((W135)/$X$9)+Q135</f>
        <v>592985455.41489768</v>
      </c>
      <c r="S135" s="104">
        <f t="shared" si="36"/>
        <v>552895.53889966011</v>
      </c>
      <c r="T135" s="104">
        <f t="shared" ref="T135:T141" si="44">S135*$X$9</f>
        <v>2043464.3245764237</v>
      </c>
      <c r="U135" s="3">
        <v>0</v>
      </c>
      <c r="V135" s="97">
        <f t="shared" si="37"/>
        <v>2043464.3245764237</v>
      </c>
      <c r="W135" s="97">
        <f>X134</f>
        <v>2043464.3245765166</v>
      </c>
      <c r="X135" s="266">
        <f t="shared" si="38"/>
        <v>9.2899426817893982E-8</v>
      </c>
      <c r="Z135" s="290">
        <f>W135*8/1000000</f>
        <v>16.347714596612132</v>
      </c>
      <c r="AA135" s="290"/>
      <c r="AB135" s="229"/>
      <c r="AC135" s="229">
        <f t="shared" si="39"/>
        <v>-2043464.3245764237</v>
      </c>
      <c r="AD135" s="277">
        <f t="shared" si="40"/>
        <v>-16.347714596611389</v>
      </c>
      <c r="AE135" s="277"/>
      <c r="AH135" s="232">
        <f t="shared" si="41"/>
        <v>7.4319541454315185E-13</v>
      </c>
      <c r="AI135" s="232">
        <f t="shared" si="42"/>
        <v>16.347714596611389</v>
      </c>
    </row>
    <row r="136" spans="1:40" ht="15.75">
      <c r="L136" s="226" t="str">
        <f t="shared" ref="L136:L141" si="45">M135</f>
        <v>309/00:19</v>
      </c>
      <c r="M136" s="226" t="s">
        <v>1238</v>
      </c>
      <c r="O136" s="263" t="str">
        <f t="shared" ref="O136:O142" si="46">AG136</f>
        <v>173/15:36</v>
      </c>
      <c r="P136" s="179" t="s">
        <v>1239</v>
      </c>
      <c r="Q136" s="237">
        <f t="shared" ref="Q136:Q141" si="47">R135-3</f>
        <v>592985452.41489768</v>
      </c>
      <c r="R136" s="104">
        <f t="shared" si="43"/>
        <v>593579957.39755702</v>
      </c>
      <c r="S136" s="104">
        <f t="shared" si="36"/>
        <v>594504.9826593399</v>
      </c>
      <c r="T136" s="104">
        <f t="shared" si="44"/>
        <v>2197250.0000000154</v>
      </c>
      <c r="U136" s="3">
        <v>0</v>
      </c>
      <c r="V136" s="97">
        <f t="shared" si="37"/>
        <v>2197250.0000000154</v>
      </c>
      <c r="W136" s="97">
        <f t="shared" ref="W136:W142" si="48">Y136*1000000/8</f>
        <v>2197250.0000000005</v>
      </c>
      <c r="X136" s="266">
        <f t="shared" si="38"/>
        <v>-1.4901161193847656E-8</v>
      </c>
      <c r="Y136" s="282">
        <f t="shared" ref="Y136:Y141" si="49">1.1*AL136</f>
        <v>17.578000000000003</v>
      </c>
      <c r="Z136" s="290">
        <f>Z135+Y136</f>
        <v>33.925714596612139</v>
      </c>
      <c r="AA136" s="229"/>
      <c r="AB136" s="229"/>
      <c r="AC136" s="229">
        <f t="shared" si="39"/>
        <v>-2197250.0000000154</v>
      </c>
      <c r="AD136" s="277">
        <f t="shared" si="40"/>
        <v>-17.578000000000124</v>
      </c>
      <c r="AE136" s="277"/>
      <c r="AF136" s="178" t="s">
        <v>1240</v>
      </c>
      <c r="AG136" s="192" t="s">
        <v>1241</v>
      </c>
      <c r="AH136" s="232">
        <f t="shared" si="41"/>
        <v>-1.1920928955078124E-13</v>
      </c>
      <c r="AI136" s="232">
        <f t="shared" si="42"/>
        <v>17.578000000000124</v>
      </c>
      <c r="AJ136" s="244" t="s">
        <v>1242</v>
      </c>
      <c r="AK136" s="244" t="s">
        <v>1243</v>
      </c>
      <c r="AL136" s="244">
        <v>15.98</v>
      </c>
      <c r="AM136" s="244">
        <v>15.98</v>
      </c>
      <c r="AN136" s="244">
        <v>15.98</v>
      </c>
    </row>
    <row r="137" spans="1:40" ht="15.75">
      <c r="L137" s="226" t="str">
        <f t="shared" si="45"/>
        <v>315/21:27</v>
      </c>
      <c r="M137" s="226" t="s">
        <v>1244</v>
      </c>
      <c r="O137" s="263" t="str">
        <f t="shared" si="46"/>
        <v>174/15:46</v>
      </c>
      <c r="P137" s="179" t="s">
        <v>1245</v>
      </c>
      <c r="Q137" s="237">
        <f t="shared" si="47"/>
        <v>593579954.39755702</v>
      </c>
      <c r="R137" s="104">
        <f t="shared" si="43"/>
        <v>593841863.97690129</v>
      </c>
      <c r="S137" s="104">
        <f t="shared" si="36"/>
        <v>261909.57934427261</v>
      </c>
      <c r="T137" s="104">
        <f t="shared" si="44"/>
        <v>967999.99999994272</v>
      </c>
      <c r="U137" s="3">
        <v>0</v>
      </c>
      <c r="V137" s="97">
        <f t="shared" si="37"/>
        <v>967999.99999994272</v>
      </c>
      <c r="W137" s="97">
        <f t="shared" si="48"/>
        <v>968000.00000000012</v>
      </c>
      <c r="X137" s="266">
        <f t="shared" si="38"/>
        <v>5.7392753660678864E-8</v>
      </c>
      <c r="Y137" s="282">
        <f t="shared" si="49"/>
        <v>7.7440000000000007</v>
      </c>
      <c r="Z137" s="290">
        <f>Z136+Y137</f>
        <v>41.669714596612138</v>
      </c>
      <c r="AA137" s="229"/>
      <c r="AB137" s="229"/>
      <c r="AC137" s="229">
        <f t="shared" si="39"/>
        <v>-967999.99999994272</v>
      </c>
      <c r="AD137" s="277">
        <f t="shared" si="40"/>
        <v>-7.7439999999995415</v>
      </c>
      <c r="AE137" s="277"/>
      <c r="AF137" s="178" t="s">
        <v>1246</v>
      </c>
      <c r="AG137" s="192" t="s">
        <v>1247</v>
      </c>
      <c r="AH137" s="232">
        <f t="shared" si="41"/>
        <v>4.5914202928543086E-13</v>
      </c>
      <c r="AI137" s="232">
        <f t="shared" si="42"/>
        <v>7.7439999999995415</v>
      </c>
      <c r="AJ137" s="244" t="s">
        <v>1248</v>
      </c>
      <c r="AK137" s="244" t="s">
        <v>1249</v>
      </c>
      <c r="AL137" s="244">
        <v>7.04</v>
      </c>
      <c r="AM137" s="244">
        <v>7.04</v>
      </c>
      <c r="AN137" s="244">
        <v>7.04</v>
      </c>
    </row>
    <row r="138" spans="1:40" ht="15.75">
      <c r="A138" s="17"/>
      <c r="B138" s="17"/>
      <c r="C138" s="17"/>
      <c r="D138" s="17"/>
      <c r="E138" s="17"/>
      <c r="F138" s="17"/>
      <c r="G138" s="17"/>
      <c r="H138" s="17"/>
      <c r="I138" s="17"/>
      <c r="J138" s="17"/>
      <c r="K138" s="17"/>
      <c r="L138" s="226" t="str">
        <f t="shared" si="45"/>
        <v>318/22:12</v>
      </c>
      <c r="M138" s="226" t="s">
        <v>1250</v>
      </c>
      <c r="O138" s="263" t="str">
        <f t="shared" si="46"/>
        <v>175/23:26</v>
      </c>
      <c r="P138" s="179" t="s">
        <v>1251</v>
      </c>
      <c r="Q138" s="237">
        <f t="shared" si="47"/>
        <v>593841860.97690129</v>
      </c>
      <c r="R138" s="104">
        <f t="shared" si="43"/>
        <v>594108978.98538029</v>
      </c>
      <c r="S138" s="104">
        <f t="shared" si="36"/>
        <v>267118.00847899914</v>
      </c>
      <c r="T138" s="104">
        <f t="shared" si="44"/>
        <v>987250.00000008673</v>
      </c>
      <c r="U138" s="3">
        <v>0</v>
      </c>
      <c r="V138" s="97">
        <f t="shared" si="37"/>
        <v>987250.00000008673</v>
      </c>
      <c r="W138" s="97">
        <f t="shared" si="48"/>
        <v>987250.00000000012</v>
      </c>
      <c r="X138" s="266">
        <f t="shared" si="38"/>
        <v>-8.6612999439239502E-8</v>
      </c>
      <c r="Y138" s="282">
        <f t="shared" si="49"/>
        <v>7.8980000000000006</v>
      </c>
      <c r="Z138" s="290">
        <f>Z137+Y138</f>
        <v>49.567714596612142</v>
      </c>
      <c r="AA138" s="229"/>
      <c r="AB138" s="229"/>
      <c r="AC138" s="229">
        <f t="shared" si="39"/>
        <v>-987250.00000008673</v>
      </c>
      <c r="AD138" s="277">
        <f t="shared" si="40"/>
        <v>-7.8980000000006942</v>
      </c>
      <c r="AE138" s="277"/>
      <c r="AF138" s="178" t="s">
        <v>1252</v>
      </c>
      <c r="AG138" s="192" t="s">
        <v>1253</v>
      </c>
      <c r="AH138" s="232">
        <f t="shared" si="41"/>
        <v>-6.92903995513916E-13</v>
      </c>
      <c r="AI138" s="232">
        <f t="shared" si="42"/>
        <v>7.8980000000006942</v>
      </c>
      <c r="AJ138" s="244" t="s">
        <v>1254</v>
      </c>
      <c r="AK138" s="244" t="s">
        <v>1255</v>
      </c>
      <c r="AL138" s="244">
        <v>7.18</v>
      </c>
      <c r="AM138" s="244">
        <v>7.18</v>
      </c>
      <c r="AN138" s="244">
        <v>7.18</v>
      </c>
    </row>
    <row r="139" spans="1:40" ht="15.75">
      <c r="L139" s="226" t="str">
        <f t="shared" si="45"/>
        <v>322/00:24</v>
      </c>
      <c r="M139" s="226" t="s">
        <v>1256</v>
      </c>
      <c r="O139" s="263" t="str">
        <f t="shared" si="46"/>
        <v>177/00:06</v>
      </c>
      <c r="P139" s="179" t="s">
        <v>1257</v>
      </c>
      <c r="Q139" s="237">
        <f t="shared" si="47"/>
        <v>594108975.98538029</v>
      </c>
      <c r="R139" s="104">
        <f t="shared" si="43"/>
        <v>594325497.82512236</v>
      </c>
      <c r="S139" s="104">
        <f t="shared" si="36"/>
        <v>216521.83974206448</v>
      </c>
      <c r="T139" s="104">
        <f t="shared" si="44"/>
        <v>800250.00000019802</v>
      </c>
      <c r="U139" s="3">
        <v>0</v>
      </c>
      <c r="V139" s="97">
        <f t="shared" si="37"/>
        <v>800250.00000019802</v>
      </c>
      <c r="W139" s="97">
        <f t="shared" si="48"/>
        <v>800250.00000000012</v>
      </c>
      <c r="X139" s="266">
        <f t="shared" si="38"/>
        <v>-1.9790604710578918E-7</v>
      </c>
      <c r="Y139" s="282">
        <f t="shared" si="49"/>
        <v>6.402000000000001</v>
      </c>
      <c r="Z139" s="290">
        <f>Z138+Y139</f>
        <v>55.969714596612143</v>
      </c>
      <c r="AA139" s="229"/>
      <c r="AB139" s="229"/>
      <c r="AC139" s="229">
        <f t="shared" si="39"/>
        <v>-800250.00000019802</v>
      </c>
      <c r="AD139" s="277">
        <f t="shared" si="40"/>
        <v>-6.4020000000015838</v>
      </c>
      <c r="AE139" s="277"/>
      <c r="AF139" s="178" t="s">
        <v>1258</v>
      </c>
      <c r="AG139" s="192" t="s">
        <v>1259</v>
      </c>
      <c r="AH139" s="232">
        <f t="shared" si="41"/>
        <v>-1.5832483768463134E-12</v>
      </c>
      <c r="AI139" s="232">
        <f t="shared" si="42"/>
        <v>6.4020000000015838</v>
      </c>
      <c r="AJ139" s="244" t="s">
        <v>1260</v>
      </c>
      <c r="AK139" s="244" t="s">
        <v>1261</v>
      </c>
      <c r="AL139" s="244">
        <v>5.82</v>
      </c>
      <c r="AM139" s="244">
        <v>5.82</v>
      </c>
      <c r="AN139" s="244">
        <v>5.82</v>
      </c>
    </row>
    <row r="140" spans="1:40" ht="15.75">
      <c r="L140" s="226" t="str">
        <f t="shared" si="45"/>
        <v>324/12:33</v>
      </c>
      <c r="M140" s="226" t="s">
        <v>1262</v>
      </c>
      <c r="O140" s="263" t="str">
        <f t="shared" si="46"/>
        <v>177/17:16</v>
      </c>
      <c r="P140" s="179" t="s">
        <v>1263</v>
      </c>
      <c r="Q140" s="237">
        <f t="shared" si="47"/>
        <v>594325494.82512236</v>
      </c>
      <c r="R140" s="104">
        <f t="shared" si="43"/>
        <v>594930416.66605103</v>
      </c>
      <c r="S140" s="104">
        <f t="shared" si="36"/>
        <v>604921.84092867374</v>
      </c>
      <c r="T140" s="104">
        <f t="shared" si="44"/>
        <v>2235749.9999998626</v>
      </c>
      <c r="U140" s="3">
        <v>0</v>
      </c>
      <c r="V140" s="97">
        <f t="shared" si="37"/>
        <v>2235749.9999998626</v>
      </c>
      <c r="W140" s="97">
        <f t="shared" si="48"/>
        <v>2235750.0000000005</v>
      </c>
      <c r="X140" s="266">
        <f t="shared" si="38"/>
        <v>1.3783574104309082E-7</v>
      </c>
      <c r="Y140" s="282">
        <f t="shared" si="49"/>
        <v>17.886000000000003</v>
      </c>
      <c r="Z140" s="290">
        <f>Y140+Z139</f>
        <v>73.855714596612145</v>
      </c>
      <c r="AA140" s="290"/>
      <c r="AB140" s="229"/>
      <c r="AC140" s="229">
        <f t="shared" si="39"/>
        <v>-2235749.9999998626</v>
      </c>
      <c r="AD140" s="277">
        <f t="shared" si="40"/>
        <v>-17.885999999998901</v>
      </c>
      <c r="AE140" s="277"/>
      <c r="AF140" s="178" t="s">
        <v>1264</v>
      </c>
      <c r="AG140" s="192" t="s">
        <v>1265</v>
      </c>
      <c r="AH140" s="232">
        <f t="shared" si="41"/>
        <v>1.1026859283447265E-12</v>
      </c>
      <c r="AI140" s="232">
        <f t="shared" si="42"/>
        <v>17.885999999998901</v>
      </c>
      <c r="AJ140" s="244" t="s">
        <v>1266</v>
      </c>
      <c r="AK140" s="244" t="s">
        <v>1267</v>
      </c>
      <c r="AL140" s="244">
        <v>16.260000000000002</v>
      </c>
      <c r="AM140" s="244">
        <v>16.260000000000002</v>
      </c>
      <c r="AN140" s="244">
        <v>16.260000000000002</v>
      </c>
    </row>
    <row r="141" spans="1:40" ht="15.75">
      <c r="L141" s="226" t="str">
        <f t="shared" si="45"/>
        <v>331/12:35</v>
      </c>
      <c r="M141" s="226" t="s">
        <v>1268</v>
      </c>
      <c r="O141" s="263" t="str">
        <f t="shared" si="46"/>
        <v>179/13:51</v>
      </c>
      <c r="P141" s="179" t="s">
        <v>1269</v>
      </c>
      <c r="Q141" s="237">
        <f t="shared" si="47"/>
        <v>594930413.66605103</v>
      </c>
      <c r="R141" s="104">
        <f t="shared" si="43"/>
        <v>595490319.7980299</v>
      </c>
      <c r="S141" s="104">
        <f t="shared" si="36"/>
        <v>559906.13197886944</v>
      </c>
      <c r="T141" s="104">
        <f t="shared" si="44"/>
        <v>2069374.9999998449</v>
      </c>
      <c r="U141" s="3">
        <v>0</v>
      </c>
      <c r="V141" s="97">
        <f t="shared" si="37"/>
        <v>2069374.9999998449</v>
      </c>
      <c r="W141" s="97">
        <f t="shared" si="48"/>
        <v>2069375.0000000005</v>
      </c>
      <c r="X141" s="266">
        <f t="shared" si="38"/>
        <v>1.5553086996078491E-7</v>
      </c>
      <c r="Y141" s="282">
        <f t="shared" si="49"/>
        <v>16.555000000000003</v>
      </c>
      <c r="Z141" s="290">
        <f>Y141+Z140</f>
        <v>90.410714596612152</v>
      </c>
      <c r="AA141" s="290"/>
      <c r="AB141" s="229"/>
      <c r="AC141" s="229">
        <f t="shared" si="39"/>
        <v>-2069374.9999998449</v>
      </c>
      <c r="AD141" s="277">
        <f t="shared" si="40"/>
        <v>-16.55499999999876</v>
      </c>
      <c r="AE141" s="277"/>
      <c r="AF141" s="178" t="s">
        <v>1270</v>
      </c>
      <c r="AG141" s="192" t="s">
        <v>1271</v>
      </c>
      <c r="AH141" s="232">
        <f t="shared" si="41"/>
        <v>1.2442469596862792E-12</v>
      </c>
      <c r="AI141" s="232">
        <f t="shared" si="42"/>
        <v>16.55499999999876</v>
      </c>
      <c r="AJ141" s="244" t="s">
        <v>1272</v>
      </c>
      <c r="AK141" s="244" t="s">
        <v>1273</v>
      </c>
      <c r="AL141" s="244">
        <v>15.05</v>
      </c>
      <c r="AM141" s="244">
        <v>15.05</v>
      </c>
      <c r="AN141" s="244">
        <v>15.05</v>
      </c>
    </row>
    <row r="142" spans="1:40" ht="15.75">
      <c r="L142" s="257" t="s">
        <v>1231</v>
      </c>
      <c r="M142" s="257" t="s">
        <v>1274</v>
      </c>
      <c r="O142" s="263" t="str">
        <f t="shared" si="46"/>
        <v>180/16:16</v>
      </c>
      <c r="P142" s="179" t="s">
        <v>1275</v>
      </c>
      <c r="Q142" s="237">
        <f>R134-1</f>
        <v>612647514</v>
      </c>
      <c r="R142" s="104">
        <f>((W142-U142*$V$23)/$V$12)+Q142</f>
        <v>613358508.26144552</v>
      </c>
      <c r="S142" s="104">
        <f t="shared" si="36"/>
        <v>710994.26144552231</v>
      </c>
      <c r="T142" s="104">
        <f>S142*$V$12</f>
        <v>2197250.0000000396</v>
      </c>
      <c r="U142" s="3">
        <v>0</v>
      </c>
      <c r="V142" s="142">
        <f t="shared" si="37"/>
        <v>2197250.0000000396</v>
      </c>
      <c r="W142" s="97">
        <f t="shared" si="48"/>
        <v>2197250.0000000005</v>
      </c>
      <c r="X142" s="266">
        <f t="shared" si="38"/>
        <v>-3.9115548133850098E-8</v>
      </c>
      <c r="Y142" s="282">
        <f>1.1*AL136</f>
        <v>17.578000000000003</v>
      </c>
      <c r="Z142" s="272">
        <f>Z134+Y142</f>
        <v>105.53228540338787</v>
      </c>
      <c r="AA142" s="229">
        <f>Z142-Z130</f>
        <v>37.255285403387873</v>
      </c>
      <c r="AB142" s="229"/>
      <c r="AC142" s="229">
        <f t="shared" si="39"/>
        <v>-2197250.0000000396</v>
      </c>
      <c r="AD142" s="277">
        <f t="shared" si="40"/>
        <v>-17.578000000000316</v>
      </c>
      <c r="AE142" s="277"/>
      <c r="AF142" s="178" t="s">
        <v>1276</v>
      </c>
      <c r="AG142" s="192" t="s">
        <v>1277</v>
      </c>
      <c r="AH142" s="232">
        <f t="shared" si="41"/>
        <v>-3.1292438507080076E-13</v>
      </c>
      <c r="AI142" s="232">
        <f t="shared" si="42"/>
        <v>17.578000000000316</v>
      </c>
      <c r="AJ142" s="244" t="s">
        <v>1278</v>
      </c>
      <c r="AK142" s="244" t="s">
        <v>1279</v>
      </c>
      <c r="AL142" s="244">
        <v>16.260000000000002</v>
      </c>
      <c r="AM142" s="244">
        <v>16.260000000000002</v>
      </c>
      <c r="AN142" s="244">
        <v>16.260000000000002</v>
      </c>
    </row>
    <row r="143" spans="1:40" ht="14.25">
      <c r="X143" s="232"/>
      <c r="Z143" s="3"/>
      <c r="AH143" s="232"/>
      <c r="AI143" s="232"/>
      <c r="AN143">
        <f>SUM(AM114:AM142)</f>
        <v>183.34</v>
      </c>
    </row>
    <row r="144" spans="1:40" ht="14.25">
      <c r="L144" s="226" t="s">
        <v>1268</v>
      </c>
      <c r="M144" s="226" t="s">
        <v>1280</v>
      </c>
      <c r="P144" t="s">
        <v>1281</v>
      </c>
      <c r="Q144" s="237">
        <f>R141-3</f>
        <v>595490316.7980299</v>
      </c>
      <c r="R144" s="104">
        <f>((W144)/$X$9)+Q144</f>
        <v>595690536.93099976</v>
      </c>
      <c r="S144" s="104">
        <f>R144-Q144</f>
        <v>200220.13296985626</v>
      </c>
      <c r="T144" s="104">
        <f>S144*$X$9</f>
        <v>740000.00000018196</v>
      </c>
      <c r="U144" s="3">
        <v>0</v>
      </c>
      <c r="V144" s="97">
        <f>T144+U144*$V$23</f>
        <v>740000.00000018196</v>
      </c>
      <c r="W144" s="97">
        <v>740000</v>
      </c>
      <c r="X144" s="266">
        <f>W144-V144</f>
        <v>-1.8195714801549911E-7</v>
      </c>
      <c r="Z144" s="3"/>
      <c r="AA144" t="s">
        <v>204</v>
      </c>
      <c r="AH144" s="232">
        <f>X144*8/1000000</f>
        <v>-1.4556571841239929E-12</v>
      </c>
      <c r="AI144" s="232">
        <f>V144*8/1000000</f>
        <v>5.9200000000014557</v>
      </c>
      <c r="AJ144" s="244"/>
    </row>
    <row r="145" spans="1:57" ht="15.75">
      <c r="L145" s="226" t="s">
        <v>1280</v>
      </c>
      <c r="M145" s="226" t="s">
        <v>1282</v>
      </c>
      <c r="O145" s="263" t="s">
        <v>1283</v>
      </c>
      <c r="P145" t="s">
        <v>1284</v>
      </c>
      <c r="Q145" s="237">
        <f>R144-3</f>
        <v>595690533.93099976</v>
      </c>
      <c r="R145" s="104">
        <f>((W145)/$X$9)+Q145</f>
        <v>596272254.58760118</v>
      </c>
      <c r="S145" s="104">
        <f>R145-Q145</f>
        <v>581720.65660142899</v>
      </c>
      <c r="T145" s="104">
        <f>S145*$X$9</f>
        <v>2149999.9999998617</v>
      </c>
      <c r="U145" s="3">
        <v>0</v>
      </c>
      <c r="V145" s="97">
        <f>T145+U145*$V$23</f>
        <v>2149999.9999998617</v>
      </c>
      <c r="W145" s="97">
        <v>2150000</v>
      </c>
      <c r="X145" s="266">
        <f>W145-V145</f>
        <v>1.3830140233039856E-7</v>
      </c>
      <c r="AB145" s="229">
        <v>2153619</v>
      </c>
      <c r="AC145" s="229"/>
      <c r="AH145" s="232">
        <f>X145*8/1000000</f>
        <v>1.1064112186431885E-12</v>
      </c>
      <c r="AI145" s="232">
        <f>V145*8/1000000</f>
        <v>17.199999999998894</v>
      </c>
      <c r="AQ145" s="91"/>
      <c r="AY145" s="91"/>
      <c r="AZ145" s="91"/>
      <c r="BA145" s="91"/>
      <c r="BB145" s="91"/>
      <c r="BC145" s="91"/>
      <c r="BD145" s="91"/>
      <c r="BE145" s="91"/>
    </row>
    <row r="146" spans="1:57" ht="14.25">
      <c r="AG146" s="232"/>
      <c r="AH146" s="232">
        <f>AI145+AI144</f>
        <v>23.120000000000349</v>
      </c>
      <c r="AV146" s="91"/>
      <c r="AW146" s="91"/>
    </row>
    <row r="147" spans="1:57" ht="14.25">
      <c r="AE147" s="232"/>
      <c r="AF147" s="232"/>
    </row>
    <row r="148" spans="1:57" ht="14.25">
      <c r="X148" t="s">
        <v>913</v>
      </c>
    </row>
    <row r="149" spans="1:57" ht="14.25">
      <c r="C149" s="291" t="s">
        <v>941</v>
      </c>
      <c r="D149" s="291" t="s">
        <v>942</v>
      </c>
      <c r="E149" s="291" t="s">
        <v>766</v>
      </c>
      <c r="F149" s="291" t="s">
        <v>764</v>
      </c>
      <c r="G149" s="291" t="s">
        <v>765</v>
      </c>
      <c r="H149" s="291" t="s">
        <v>768</v>
      </c>
      <c r="I149" s="291" t="s">
        <v>769</v>
      </c>
      <c r="J149" s="291" t="s">
        <v>943</v>
      </c>
      <c r="P149" s="59">
        <v>25181</v>
      </c>
      <c r="T149" s="3"/>
      <c r="V149" s="93"/>
      <c r="X149" t="s">
        <v>1010</v>
      </c>
    </row>
    <row r="150" spans="1:57" ht="14.25">
      <c r="C150" s="3"/>
      <c r="D150" s="3"/>
      <c r="E150" s="3"/>
      <c r="F150" s="3"/>
      <c r="G150" s="3"/>
      <c r="H150" s="3"/>
      <c r="I150" s="3"/>
      <c r="J150" s="3"/>
      <c r="P150" s="73" t="s">
        <v>837</v>
      </c>
      <c r="Q150" s="72" t="s">
        <v>65</v>
      </c>
      <c r="R150" s="73" t="s">
        <v>66</v>
      </c>
      <c r="S150" s="73" t="s">
        <v>67</v>
      </c>
      <c r="T150" s="74" t="s">
        <v>68</v>
      </c>
      <c r="U150" s="3" t="s">
        <v>176</v>
      </c>
      <c r="V150" s="74" t="s">
        <v>265</v>
      </c>
      <c r="W150" s="73" t="s">
        <v>266</v>
      </c>
      <c r="X150" s="73" t="s">
        <v>70</v>
      </c>
    </row>
    <row r="151" spans="1:57" ht="14.25">
      <c r="C151" s="3"/>
      <c r="D151" s="3"/>
      <c r="E151" s="3"/>
      <c r="F151" s="3"/>
      <c r="G151" s="3"/>
      <c r="H151" s="3"/>
      <c r="I151" s="3"/>
      <c r="J151" s="3"/>
      <c r="P151" s="81" t="s">
        <v>1285</v>
      </c>
      <c r="Q151" s="81" t="s">
        <v>1286</v>
      </c>
      <c r="R151" s="81">
        <v>613555316</v>
      </c>
      <c r="S151" s="81">
        <v>0</v>
      </c>
      <c r="T151" s="81" t="s">
        <v>1124</v>
      </c>
      <c r="U151" s="81" t="s">
        <v>1287</v>
      </c>
      <c r="V151" s="81" t="s">
        <v>1288</v>
      </c>
      <c r="W151" s="81"/>
      <c r="X151" s="81" t="s">
        <v>1289</v>
      </c>
    </row>
    <row r="152" spans="1:57" ht="14.25">
      <c r="C152" s="3"/>
      <c r="D152" s="3"/>
      <c r="E152" s="3"/>
      <c r="F152" s="3"/>
      <c r="G152" s="3"/>
      <c r="H152" s="3"/>
      <c r="I152" s="3"/>
      <c r="J152" s="3"/>
      <c r="O152" s="292" t="s">
        <v>1290</v>
      </c>
      <c r="P152" s="79" t="s">
        <v>1291</v>
      </c>
      <c r="Q152" s="293" t="s">
        <v>1292</v>
      </c>
      <c r="R152" s="294">
        <v>613555366</v>
      </c>
      <c r="S152" s="79">
        <v>0</v>
      </c>
      <c r="T152" s="79" t="s">
        <v>1124</v>
      </c>
      <c r="U152" s="79" t="s">
        <v>1293</v>
      </c>
      <c r="V152" s="79" t="s">
        <v>1294</v>
      </c>
      <c r="AH152" t="s">
        <v>1021</v>
      </c>
      <c r="AI152" t="s">
        <v>836</v>
      </c>
      <c r="AL152" s="244"/>
      <c r="AM152" s="244"/>
      <c r="AN152" s="244"/>
      <c r="AO152" s="244"/>
      <c r="AP152" s="244"/>
      <c r="AQ152" s="91"/>
    </row>
    <row r="153" spans="1:57" ht="15.75">
      <c r="A153" t="s">
        <v>1295</v>
      </c>
      <c r="C153" s="3">
        <v>103</v>
      </c>
      <c r="D153" s="3">
        <v>110</v>
      </c>
      <c r="E153" s="3" t="s">
        <v>766</v>
      </c>
      <c r="F153" s="3" t="s">
        <v>764</v>
      </c>
      <c r="G153" s="3" t="s">
        <v>765</v>
      </c>
      <c r="H153" s="3"/>
      <c r="I153" s="3"/>
      <c r="J153" s="3"/>
      <c r="L153" s="257" t="s">
        <v>1274</v>
      </c>
      <c r="M153" s="295" t="s">
        <v>1296</v>
      </c>
      <c r="O153" s="263" t="str">
        <f>AG153</f>
        <v>182/15:36</v>
      </c>
      <c r="P153" s="179" t="str">
        <f>MID(AJ153,11,5)</f>
        <v>182_1</v>
      </c>
      <c r="Q153" s="237">
        <f>R142-1</f>
        <v>613358507.26144552</v>
      </c>
      <c r="R153" s="296">
        <f>R152</f>
        <v>613555366</v>
      </c>
      <c r="S153" s="104">
        <f>R153-Q153</f>
        <v>196858.73855447769</v>
      </c>
      <c r="T153" s="104">
        <f>S153*$V$12</f>
        <v>608370.4000780835</v>
      </c>
      <c r="U153" s="3">
        <v>0</v>
      </c>
      <c r="V153" s="142">
        <f>T153+U153*$V$23</f>
        <v>608370.4000780835</v>
      </c>
      <c r="W153" s="97">
        <f>Y153*1000000/8</f>
        <v>1001000.0000000001</v>
      </c>
      <c r="X153" s="266">
        <f>W153-V153</f>
        <v>392629.59992191661</v>
      </c>
      <c r="Y153" s="256">
        <f>1.1*AN153</f>
        <v>8.0080000000000009</v>
      </c>
      <c r="Z153" s="229"/>
      <c r="AA153" s="229"/>
      <c r="AB153" s="297">
        <f>AI153</f>
        <v>4.8669632006246681</v>
      </c>
      <c r="AC153" s="277"/>
      <c r="AD153" s="277"/>
      <c r="AE153" s="241"/>
      <c r="AF153" s="178" t="str">
        <f>MID(AJ153,7,9)</f>
        <v>TRK_182_1</v>
      </c>
      <c r="AG153" s="192" t="s">
        <v>1297</v>
      </c>
      <c r="AH153" s="232">
        <f>X153*8/1000000</f>
        <v>3.1410367993753328</v>
      </c>
      <c r="AI153" s="232">
        <f>V153*8/1000000</f>
        <v>4.8669632006246681</v>
      </c>
      <c r="AJ153" s="276" t="s">
        <v>1298</v>
      </c>
      <c r="AK153" s="276" t="s">
        <v>1299</v>
      </c>
      <c r="AL153" s="276">
        <v>7.28</v>
      </c>
      <c r="AM153" s="276">
        <v>7.28</v>
      </c>
      <c r="AN153" s="276">
        <v>7.28</v>
      </c>
      <c r="AO153" s="244"/>
      <c r="AP153" s="244">
        <f>SUM(AT114:AT151)</f>
        <v>0</v>
      </c>
    </row>
    <row r="154" spans="1:57" ht="15.75">
      <c r="A154" t="s">
        <v>1300</v>
      </c>
      <c r="C154" s="3">
        <v>103</v>
      </c>
      <c r="D154" s="3">
        <v>110</v>
      </c>
      <c r="E154" s="3" t="s">
        <v>766</v>
      </c>
      <c r="F154" s="3" t="s">
        <v>764</v>
      </c>
      <c r="G154" s="3" t="s">
        <v>765</v>
      </c>
      <c r="H154" s="3"/>
      <c r="I154" s="3"/>
      <c r="J154" s="3"/>
      <c r="L154" s="295" t="s">
        <v>1296</v>
      </c>
      <c r="M154" s="298" t="s">
        <v>1301</v>
      </c>
      <c r="O154" s="292" t="s">
        <v>1302</v>
      </c>
      <c r="P154" s="179"/>
      <c r="Q154" s="299">
        <f>R153-1</f>
        <v>613555365</v>
      </c>
      <c r="R154" s="300">
        <f>R155</f>
        <v>613559216</v>
      </c>
      <c r="S154" s="104">
        <f>R154-Q154</f>
        <v>3851</v>
      </c>
      <c r="T154" s="104">
        <f>S154*$V$15</f>
        <v>6668.6483333333099</v>
      </c>
      <c r="U154" s="3">
        <v>0</v>
      </c>
      <c r="V154" s="142">
        <f>T154+U154*$V$23</f>
        <v>6668.6483333333099</v>
      </c>
      <c r="W154" s="280">
        <f>X153</f>
        <v>392629.59992191661</v>
      </c>
      <c r="X154" s="266">
        <f>W154-V154</f>
        <v>385960.9515885833</v>
      </c>
      <c r="Y154" s="256"/>
      <c r="Z154" s="229"/>
      <c r="AA154" s="229"/>
      <c r="AB154" s="297">
        <f>AB153+AI154</f>
        <v>4.920312387291335</v>
      </c>
      <c r="AC154" s="277"/>
      <c r="AD154" s="277"/>
      <c r="AE154" s="241"/>
      <c r="AH154" s="232">
        <f>X154*8/1000000</f>
        <v>3.0876876127086663</v>
      </c>
      <c r="AI154" s="232">
        <f>V154*8/1000000</f>
        <v>5.3349186666666479E-2</v>
      </c>
    </row>
    <row r="155" spans="1:57" ht="15.75">
      <c r="A155" s="284" t="s">
        <v>1303</v>
      </c>
      <c r="B155" s="284"/>
      <c r="C155" s="283"/>
      <c r="D155" s="283"/>
      <c r="E155" s="283"/>
      <c r="F155" s="283"/>
      <c r="G155" s="283"/>
      <c r="H155" s="283"/>
      <c r="I155" s="283"/>
      <c r="J155" s="283"/>
      <c r="O155" s="292" t="s">
        <v>1304</v>
      </c>
      <c r="P155" s="83" t="s">
        <v>1305</v>
      </c>
      <c r="Q155" s="301" t="s">
        <v>1306</v>
      </c>
      <c r="R155" s="301">
        <f>613558916+300</f>
        <v>613559216</v>
      </c>
      <c r="S155" s="83">
        <v>8</v>
      </c>
      <c r="T155" s="83" t="s">
        <v>373</v>
      </c>
      <c r="U155" s="83" t="s">
        <v>1013</v>
      </c>
      <c r="V155" s="83"/>
      <c r="W155" s="83"/>
      <c r="X155" s="83" t="s">
        <v>1307</v>
      </c>
      <c r="Y155" s="91"/>
      <c r="Z155" s="91"/>
      <c r="AB155" s="278"/>
      <c r="AC155" s="277"/>
      <c r="AD155" s="277"/>
      <c r="AE155" s="302"/>
      <c r="AH155" s="232"/>
      <c r="AI155" s="232"/>
    </row>
    <row r="156" spans="1:57" ht="15.75">
      <c r="A156" t="s">
        <v>1308</v>
      </c>
      <c r="C156" s="3"/>
      <c r="D156" s="3"/>
      <c r="E156" s="3"/>
      <c r="F156" s="3"/>
      <c r="G156" s="3">
        <v>3.1</v>
      </c>
      <c r="H156" s="3"/>
      <c r="I156" s="3" t="s">
        <v>769</v>
      </c>
      <c r="J156" s="3"/>
      <c r="K156" s="17" t="s">
        <v>1309</v>
      </c>
      <c r="L156" s="257" t="s">
        <v>1223</v>
      </c>
      <c r="M156" s="257" t="s">
        <v>1310</v>
      </c>
      <c r="N156" t="s">
        <v>1311</v>
      </c>
      <c r="P156" s="179"/>
      <c r="Q156" s="303">
        <f>Q132</f>
        <v>611744556</v>
      </c>
      <c r="R156" s="104">
        <f>((W156-U156*$V$23)/$V$14)+Q156</f>
        <v>612295255.66091263</v>
      </c>
      <c r="S156" s="104">
        <f t="shared" ref="S156:S182" si="50">R156-Q156</f>
        <v>550699.66091263294</v>
      </c>
      <c r="T156" s="104">
        <f>S156*$V$14</f>
        <v>188585.95158857069</v>
      </c>
      <c r="U156" s="3">
        <v>1</v>
      </c>
      <c r="V156" s="142">
        <f t="shared" ref="V156:V182" si="51">T156+U156*$V$23</f>
        <v>385960.95158857072</v>
      </c>
      <c r="W156" s="97">
        <f>X154</f>
        <v>385960.9515885833</v>
      </c>
      <c r="X156" s="304">
        <f t="shared" ref="X156:X182" si="52">W156-V156</f>
        <v>1.257285475730896E-8</v>
      </c>
      <c r="Y156" s="256"/>
      <c r="Z156" s="229"/>
      <c r="AA156" s="229"/>
      <c r="AB156" s="297">
        <f>AB154+AI156</f>
        <v>8.0079999999999014</v>
      </c>
      <c r="AC156" s="277"/>
      <c r="AD156" s="277"/>
      <c r="AE156" s="241"/>
      <c r="AH156" s="232">
        <f t="shared" ref="AH156:AH182" si="53">X156*8/1000000</f>
        <v>1.0058283805847168E-13</v>
      </c>
      <c r="AI156" s="232">
        <f t="shared" ref="AI156:AI182" si="54">V156*8/1000000</f>
        <v>3.087687612708566</v>
      </c>
    </row>
    <row r="157" spans="1:57" ht="15.75">
      <c r="A157" t="s">
        <v>1312</v>
      </c>
      <c r="C157" s="3"/>
      <c r="D157" s="3"/>
      <c r="E157" s="3"/>
      <c r="F157" s="3"/>
      <c r="G157">
        <v>3.5</v>
      </c>
      <c r="H157" s="3"/>
      <c r="I157" s="3" t="s">
        <v>769</v>
      </c>
      <c r="J157" s="3"/>
      <c r="L157" s="257" t="s">
        <v>1310</v>
      </c>
      <c r="M157" s="257" t="s">
        <v>1301</v>
      </c>
      <c r="N157">
        <v>431523</v>
      </c>
      <c r="O157" s="263" t="str">
        <f>AG157</f>
        <v>183/14:46</v>
      </c>
      <c r="P157" s="179" t="str">
        <f>MID(AJ157,11,5)</f>
        <v>183_1</v>
      </c>
      <c r="Q157" s="237">
        <f>R156-1</f>
        <v>612295254.66091263</v>
      </c>
      <c r="R157" s="305">
        <f>R155</f>
        <v>613559216</v>
      </c>
      <c r="S157" s="104">
        <f t="shared" si="50"/>
        <v>1263961.3390873671</v>
      </c>
      <c r="T157" s="104">
        <f>S157*$V$14</f>
        <v>432840.92731767852</v>
      </c>
      <c r="U157" s="3">
        <v>0</v>
      </c>
      <c r="V157" s="142">
        <f t="shared" si="51"/>
        <v>432840.92731767852</v>
      </c>
      <c r="W157" s="97">
        <f>Y157*1000000/8</f>
        <v>1197625.0000000002</v>
      </c>
      <c r="X157" s="266">
        <f t="shared" si="52"/>
        <v>764784.07268232177</v>
      </c>
      <c r="Y157" s="256">
        <f>1.1*AN157</f>
        <v>9.5810000000000013</v>
      </c>
      <c r="Z157" s="229"/>
      <c r="AA157" s="229"/>
      <c r="AB157" s="297">
        <f>AB156+AI157</f>
        <v>11.47072741854133</v>
      </c>
      <c r="AC157" s="277"/>
      <c r="AD157" s="277"/>
      <c r="AE157" s="241"/>
      <c r="AF157" s="178" t="str">
        <f>MID(AJ157,7,9)</f>
        <v>TRK_183_1</v>
      </c>
      <c r="AG157" s="192" t="s">
        <v>1313</v>
      </c>
      <c r="AH157" s="232">
        <f t="shared" si="53"/>
        <v>6.1182725814585739</v>
      </c>
      <c r="AI157" s="232">
        <f t="shared" si="54"/>
        <v>3.4627274185414283</v>
      </c>
      <c r="AJ157" s="276" t="s">
        <v>1314</v>
      </c>
      <c r="AK157" s="276" t="s">
        <v>1315</v>
      </c>
      <c r="AL157" s="276">
        <v>8.7100000000000009</v>
      </c>
      <c r="AM157" s="276">
        <v>8.7100000000000009</v>
      </c>
      <c r="AN157" s="276">
        <v>8.7100000000000009</v>
      </c>
    </row>
    <row r="158" spans="1:57" ht="15.75">
      <c r="A158" t="s">
        <v>1316</v>
      </c>
      <c r="D158" s="3"/>
      <c r="E158" s="3" t="s">
        <v>766</v>
      </c>
      <c r="F158" s="3" t="s">
        <v>764</v>
      </c>
      <c r="G158" s="3"/>
      <c r="H158" s="3" t="s">
        <v>768</v>
      </c>
      <c r="I158" s="3" t="s">
        <v>769</v>
      </c>
      <c r="J158" s="3"/>
      <c r="L158" s="257" t="s">
        <v>1301</v>
      </c>
      <c r="M158" s="257" t="s">
        <v>1317</v>
      </c>
      <c r="O158" s="263"/>
      <c r="P158" s="179" t="str">
        <f>MID(AJ158,11,5)</f>
        <v/>
      </c>
      <c r="Q158" s="306">
        <f>R157-1</f>
        <v>613559215</v>
      </c>
      <c r="R158" s="307">
        <v>613766276</v>
      </c>
      <c r="S158" s="104">
        <f t="shared" si="50"/>
        <v>207061</v>
      </c>
      <c r="T158" s="104">
        <f>S158*$V$17</f>
        <v>439979.46133680444</v>
      </c>
      <c r="U158" s="3">
        <v>0</v>
      </c>
      <c r="V158" s="142">
        <f t="shared" si="51"/>
        <v>439979.46133680444</v>
      </c>
      <c r="W158" s="280">
        <f>X157</f>
        <v>764784.07268232177</v>
      </c>
      <c r="X158" s="266">
        <f t="shared" si="52"/>
        <v>324804.61134551733</v>
      </c>
      <c r="Y158" s="256"/>
      <c r="Z158" s="229"/>
      <c r="AA158" s="229"/>
      <c r="AB158" s="297">
        <f>AB157+AI158</f>
        <v>14.990563109235765</v>
      </c>
      <c r="AC158" s="277"/>
      <c r="AD158" s="277"/>
      <c r="AE158" s="241"/>
      <c r="AF158" s="178"/>
      <c r="AG158" s="192"/>
      <c r="AH158" s="232">
        <f t="shared" si="53"/>
        <v>2.5984368907641389</v>
      </c>
      <c r="AI158" s="232">
        <f t="shared" si="54"/>
        <v>3.5198356906944355</v>
      </c>
      <c r="AJ158" s="276"/>
      <c r="AK158" s="276"/>
      <c r="AL158" s="276"/>
      <c r="AM158" s="276"/>
      <c r="AN158" s="276"/>
    </row>
    <row r="159" spans="1:57" ht="15.75">
      <c r="A159" t="s">
        <v>1318</v>
      </c>
      <c r="D159" s="3"/>
      <c r="E159" s="3"/>
      <c r="F159" s="3"/>
      <c r="G159" s="3"/>
      <c r="H159" s="3"/>
      <c r="I159" s="3"/>
      <c r="J159" s="3"/>
      <c r="L159" s="226" t="s">
        <v>1282</v>
      </c>
      <c r="M159" s="226" t="s">
        <v>1319</v>
      </c>
      <c r="O159" s="263"/>
      <c r="P159" s="179"/>
      <c r="Q159" s="237">
        <f>R145-3</f>
        <v>596272251.58760118</v>
      </c>
      <c r="R159" s="104">
        <f t="shared" ref="R159:R176" si="55">((W159)/$X$9)+Q159</f>
        <v>596360133.23959148</v>
      </c>
      <c r="S159" s="104">
        <f t="shared" si="50"/>
        <v>87881.651990294456</v>
      </c>
      <c r="T159" s="104">
        <f t="shared" ref="T159:T176" si="56">S159*$X$9</f>
        <v>324804.61134557688</v>
      </c>
      <c r="U159" s="3">
        <v>0</v>
      </c>
      <c r="V159" s="97">
        <f t="shared" si="51"/>
        <v>324804.61134557688</v>
      </c>
      <c r="W159" s="280">
        <f>X158</f>
        <v>324804.61134551733</v>
      </c>
      <c r="X159" s="266">
        <f t="shared" si="52"/>
        <v>-5.9546437114477158E-8</v>
      </c>
      <c r="Y159" s="256"/>
      <c r="Z159" s="229"/>
      <c r="AA159" s="308">
        <f>AI159</f>
        <v>2.5984368907646149</v>
      </c>
      <c r="AB159" s="277"/>
      <c r="AC159" s="277"/>
      <c r="AD159" s="277"/>
      <c r="AE159" s="277"/>
      <c r="AF159" s="178"/>
      <c r="AG159" s="192"/>
      <c r="AH159" s="232">
        <f t="shared" si="53"/>
        <v>-4.7637149691581728E-13</v>
      </c>
      <c r="AI159" s="232">
        <f t="shared" si="54"/>
        <v>2.5984368907646149</v>
      </c>
      <c r="AJ159" s="276"/>
      <c r="AK159" s="276"/>
      <c r="AL159" s="276"/>
      <c r="AM159" s="276"/>
      <c r="AN159" s="276"/>
    </row>
    <row r="160" spans="1:57" ht="15.75">
      <c r="C160" s="3"/>
      <c r="D160" s="3"/>
      <c r="E160" s="3"/>
      <c r="F160" s="3"/>
      <c r="G160" s="3"/>
      <c r="H160" s="3"/>
      <c r="I160" s="3"/>
      <c r="J160" s="3"/>
      <c r="L160" s="226" t="s">
        <v>1319</v>
      </c>
      <c r="M160" s="226" t="s">
        <v>1320</v>
      </c>
      <c r="O160" s="263" t="str">
        <f t="shared" ref="O160:O181" si="57">AG160</f>
        <v>183/23:16</v>
      </c>
      <c r="P160" s="179" t="str">
        <f t="shared" ref="P160:P182" si="58">MID(AJ160,11,5)</f>
        <v>183_2</v>
      </c>
      <c r="Q160" s="237">
        <f t="shared" ref="Q160:Q176" si="59">R159-3</f>
        <v>596360130.23959148</v>
      </c>
      <c r="R160" s="104">
        <f t="shared" si="55"/>
        <v>596666311.46658063</v>
      </c>
      <c r="S160" s="104">
        <f t="shared" si="50"/>
        <v>306181.22698915005</v>
      </c>
      <c r="T160" s="104">
        <f t="shared" si="56"/>
        <v>1131625.0000000657</v>
      </c>
      <c r="U160" s="3">
        <v>0</v>
      </c>
      <c r="V160" s="97">
        <f t="shared" si="51"/>
        <v>1131625.0000000657</v>
      </c>
      <c r="W160" s="97">
        <f t="shared" ref="W160:W181" si="60">Y160*1000000/8</f>
        <v>1131625</v>
      </c>
      <c r="X160" s="266">
        <f t="shared" si="52"/>
        <v>-6.5658241510391235E-8</v>
      </c>
      <c r="Y160" s="256">
        <f t="shared" ref="Y160:Y181" si="61">1.1*AN160</f>
        <v>9.0530000000000008</v>
      </c>
      <c r="Z160" s="229"/>
      <c r="AA160" s="308">
        <f t="shared" ref="AA160:AA176" si="62">AA159+AI160</f>
        <v>11.65143689076514</v>
      </c>
      <c r="AB160" s="277"/>
      <c r="AC160" s="277"/>
      <c r="AD160" s="277"/>
      <c r="AE160" s="277"/>
      <c r="AF160" s="178" t="str">
        <f t="shared" ref="AF160:AF181" si="63">MID(AJ160,7,9)</f>
        <v>TRK_183_2</v>
      </c>
      <c r="AG160" s="192" t="s">
        <v>1321</v>
      </c>
      <c r="AH160" s="232">
        <f t="shared" si="53"/>
        <v>-5.2526593208312993E-13</v>
      </c>
      <c r="AI160" s="232">
        <f t="shared" si="54"/>
        <v>9.0530000000005248</v>
      </c>
      <c r="AJ160" s="276" t="s">
        <v>1322</v>
      </c>
      <c r="AK160" s="276" t="s">
        <v>1323</v>
      </c>
      <c r="AL160" s="276">
        <v>8.23</v>
      </c>
      <c r="AM160" s="276">
        <v>8.23</v>
      </c>
      <c r="AN160" s="276">
        <v>8.23</v>
      </c>
    </row>
    <row r="161" spans="3:40" ht="15.75">
      <c r="C161" s="3"/>
      <c r="D161" s="3"/>
      <c r="E161" s="3"/>
      <c r="F161" s="3"/>
      <c r="G161" s="3"/>
      <c r="H161" s="3"/>
      <c r="I161" s="3"/>
      <c r="J161" s="3"/>
      <c r="L161" s="226" t="s">
        <v>1320</v>
      </c>
      <c r="M161" s="226" t="s">
        <v>1324</v>
      </c>
      <c r="O161" s="263" t="str">
        <f t="shared" si="57"/>
        <v>184/21:41</v>
      </c>
      <c r="P161" s="179" t="str">
        <f t="shared" si="58"/>
        <v>184_2</v>
      </c>
      <c r="Q161" s="237">
        <f t="shared" si="59"/>
        <v>596666308.46658063</v>
      </c>
      <c r="R161" s="104">
        <f t="shared" si="55"/>
        <v>597034618.8125335</v>
      </c>
      <c r="S161" s="104">
        <f t="shared" si="50"/>
        <v>368310.34595286846</v>
      </c>
      <c r="T161" s="104">
        <f t="shared" si="56"/>
        <v>1361249.9999998643</v>
      </c>
      <c r="U161" s="3">
        <v>0</v>
      </c>
      <c r="V161" s="97">
        <f t="shared" si="51"/>
        <v>1361249.9999998643</v>
      </c>
      <c r="W161" s="97">
        <f t="shared" si="60"/>
        <v>1361250</v>
      </c>
      <c r="X161" s="266">
        <f t="shared" si="52"/>
        <v>1.3574026525020599E-7</v>
      </c>
      <c r="Y161" s="256">
        <f t="shared" si="61"/>
        <v>10.89</v>
      </c>
      <c r="Z161" s="229"/>
      <c r="AA161" s="308">
        <f t="shared" si="62"/>
        <v>22.541436890764054</v>
      </c>
      <c r="AB161" s="277"/>
      <c r="AC161" s="277"/>
      <c r="AD161" s="277"/>
      <c r="AE161" s="277"/>
      <c r="AF161" s="178" t="str">
        <f t="shared" si="63"/>
        <v>TRK_184_2</v>
      </c>
      <c r="AG161" s="192" t="s">
        <v>1325</v>
      </c>
      <c r="AH161" s="232">
        <f t="shared" si="53"/>
        <v>1.0859221220016479E-12</v>
      </c>
      <c r="AI161" s="232">
        <f t="shared" si="54"/>
        <v>10.889999999998913</v>
      </c>
      <c r="AJ161" s="276" t="s">
        <v>1326</v>
      </c>
      <c r="AK161" s="276" t="s">
        <v>1327</v>
      </c>
      <c r="AL161" s="276">
        <v>9.9</v>
      </c>
      <c r="AM161" s="276">
        <v>9.9</v>
      </c>
      <c r="AN161" s="276">
        <v>9.9</v>
      </c>
    </row>
    <row r="162" spans="3:40" ht="15.75">
      <c r="C162" s="3"/>
      <c r="D162" s="3"/>
      <c r="E162" s="3"/>
      <c r="F162" s="3"/>
      <c r="G162" s="3"/>
      <c r="H162" s="3"/>
      <c r="I162" s="3"/>
      <c r="J162" s="3"/>
      <c r="L162" s="226" t="s">
        <v>1324</v>
      </c>
      <c r="M162" s="226" t="s">
        <v>1328</v>
      </c>
      <c r="O162" s="263" t="str">
        <f t="shared" si="57"/>
        <v>185/16:36</v>
      </c>
      <c r="P162" s="179" t="str">
        <f t="shared" si="58"/>
        <v>185_1</v>
      </c>
      <c r="Q162" s="237">
        <f t="shared" si="59"/>
        <v>597034615.8125335</v>
      </c>
      <c r="R162" s="104">
        <f t="shared" si="55"/>
        <v>597147341.10023427</v>
      </c>
      <c r="S162" s="104">
        <f t="shared" si="50"/>
        <v>112725.28770077229</v>
      </c>
      <c r="T162" s="104">
        <f t="shared" si="56"/>
        <v>416625.00000012806</v>
      </c>
      <c r="U162" s="3">
        <v>0</v>
      </c>
      <c r="V162" s="97">
        <f t="shared" si="51"/>
        <v>416625.00000012806</v>
      </c>
      <c r="W162" s="97">
        <f t="shared" si="60"/>
        <v>416625</v>
      </c>
      <c r="X162" s="266">
        <f t="shared" si="52"/>
        <v>-1.280568540096283E-7</v>
      </c>
      <c r="Y162" s="256">
        <f t="shared" si="61"/>
        <v>3.3330000000000002</v>
      </c>
      <c r="Z162" s="229"/>
      <c r="AA162" s="308">
        <f t="shared" si="62"/>
        <v>25.874436890765079</v>
      </c>
      <c r="AB162" s="277"/>
      <c r="AC162" s="277"/>
      <c r="AD162" s="277"/>
      <c r="AE162" s="277"/>
      <c r="AF162" s="178" t="str">
        <f t="shared" si="63"/>
        <v>TRK_185_1</v>
      </c>
      <c r="AG162" s="192" t="s">
        <v>1329</v>
      </c>
      <c r="AH162" s="232">
        <f t="shared" si="53"/>
        <v>-1.0244548320770264E-12</v>
      </c>
      <c r="AI162" s="232">
        <f t="shared" si="54"/>
        <v>3.3330000000010243</v>
      </c>
      <c r="AJ162" s="276" t="s">
        <v>1330</v>
      </c>
      <c r="AK162" s="276" t="s">
        <v>1331</v>
      </c>
      <c r="AL162" s="276">
        <v>3.03</v>
      </c>
      <c r="AM162" s="276">
        <v>3.03</v>
      </c>
      <c r="AN162" s="276">
        <v>3.03</v>
      </c>
    </row>
    <row r="163" spans="3:40" ht="15.75">
      <c r="C163" s="3"/>
      <c r="D163" s="3"/>
      <c r="E163" s="3"/>
      <c r="F163" s="3"/>
      <c r="G163" s="3"/>
      <c r="H163" s="3"/>
      <c r="I163" s="3"/>
      <c r="J163" s="3"/>
      <c r="L163" s="226" t="s">
        <v>1328</v>
      </c>
      <c r="M163" s="226" t="s">
        <v>1332</v>
      </c>
      <c r="O163" s="263" t="str">
        <f t="shared" si="57"/>
        <v>186/16:36</v>
      </c>
      <c r="P163" s="179" t="str">
        <f t="shared" si="58"/>
        <v>186_1</v>
      </c>
      <c r="Q163" s="237">
        <f t="shared" si="59"/>
        <v>597147338.10023427</v>
      </c>
      <c r="R163" s="104">
        <f t="shared" si="55"/>
        <v>597267131.97033203</v>
      </c>
      <c r="S163" s="104">
        <f t="shared" si="50"/>
        <v>119793.87009775639</v>
      </c>
      <c r="T163" s="104">
        <f t="shared" si="56"/>
        <v>442749.99999978853</v>
      </c>
      <c r="U163" s="3">
        <v>0</v>
      </c>
      <c r="V163" s="97">
        <f t="shared" si="51"/>
        <v>442749.99999978853</v>
      </c>
      <c r="W163" s="97">
        <f t="shared" si="60"/>
        <v>442750.00000000012</v>
      </c>
      <c r="X163" s="266">
        <f t="shared" si="52"/>
        <v>2.1158484742045403E-7</v>
      </c>
      <c r="Y163" s="256">
        <f t="shared" si="61"/>
        <v>3.5420000000000007</v>
      </c>
      <c r="Z163" s="229"/>
      <c r="AA163" s="308">
        <f t="shared" si="62"/>
        <v>29.416436890763386</v>
      </c>
      <c r="AB163" s="277"/>
      <c r="AC163" s="277"/>
      <c r="AD163" s="277"/>
      <c r="AE163" s="277"/>
      <c r="AF163" s="178" t="str">
        <f t="shared" si="63"/>
        <v>TRK_186_1</v>
      </c>
      <c r="AG163" s="192" t="s">
        <v>1333</v>
      </c>
      <c r="AH163" s="232">
        <f t="shared" si="53"/>
        <v>1.6926787793636323E-12</v>
      </c>
      <c r="AI163" s="232">
        <f t="shared" si="54"/>
        <v>3.5419999999983083</v>
      </c>
      <c r="AJ163" s="276" t="s">
        <v>1334</v>
      </c>
      <c r="AK163" s="276" t="s">
        <v>1335</v>
      </c>
      <c r="AL163" s="276">
        <v>3.22</v>
      </c>
      <c r="AM163" s="276">
        <v>3.22</v>
      </c>
      <c r="AN163" s="276">
        <v>3.22</v>
      </c>
    </row>
    <row r="164" spans="3:40" ht="15.75">
      <c r="C164" s="3"/>
      <c r="D164" s="3"/>
      <c r="E164" s="3"/>
      <c r="F164" s="3"/>
      <c r="G164" s="3"/>
      <c r="H164" s="3"/>
      <c r="I164" s="3"/>
      <c r="J164" s="3"/>
      <c r="L164" s="226" t="s">
        <v>1332</v>
      </c>
      <c r="M164" s="226" t="s">
        <v>1336</v>
      </c>
      <c r="O164" s="263" t="str">
        <f t="shared" si="57"/>
        <v>186/22:56</v>
      </c>
      <c r="P164" s="179" t="str">
        <f t="shared" si="58"/>
        <v>186_2</v>
      </c>
      <c r="Q164" s="237">
        <f t="shared" si="59"/>
        <v>597267128.97033203</v>
      </c>
      <c r="R164" s="104">
        <f t="shared" si="55"/>
        <v>597572938.16666865</v>
      </c>
      <c r="S164" s="104">
        <f t="shared" si="50"/>
        <v>305809.19633662701</v>
      </c>
      <c r="T164" s="104">
        <f t="shared" si="56"/>
        <v>1130249.999999898</v>
      </c>
      <c r="U164" s="3">
        <v>0</v>
      </c>
      <c r="V164" s="97">
        <f t="shared" si="51"/>
        <v>1130249.999999898</v>
      </c>
      <c r="W164" s="97">
        <f t="shared" si="60"/>
        <v>1130250.0000000002</v>
      </c>
      <c r="X164" s="266">
        <f t="shared" si="52"/>
        <v>1.0221265256404877E-7</v>
      </c>
      <c r="Y164" s="256">
        <f t="shared" si="61"/>
        <v>9.0420000000000016</v>
      </c>
      <c r="Z164" s="229"/>
      <c r="AA164" s="308">
        <f t="shared" si="62"/>
        <v>38.45843689076257</v>
      </c>
      <c r="AB164" s="277"/>
      <c r="AC164" s="277"/>
      <c r="AD164" s="277"/>
      <c r="AE164" s="277"/>
      <c r="AF164" s="178" t="str">
        <f t="shared" si="63"/>
        <v>TRK_186_2</v>
      </c>
      <c r="AG164" s="192" t="s">
        <v>1337</v>
      </c>
      <c r="AH164" s="232">
        <f t="shared" si="53"/>
        <v>8.1770122051239012E-13</v>
      </c>
      <c r="AI164" s="232">
        <f t="shared" si="54"/>
        <v>9.0419999999991845</v>
      </c>
      <c r="AJ164" s="276" t="s">
        <v>1338</v>
      </c>
      <c r="AK164" s="276" t="s">
        <v>1339</v>
      </c>
      <c r="AL164" s="276">
        <v>8.2200000000000006</v>
      </c>
      <c r="AM164" s="276">
        <v>8.2200000000000006</v>
      </c>
      <c r="AN164" s="276">
        <v>8.2200000000000006</v>
      </c>
    </row>
    <row r="165" spans="3:40" ht="15.75">
      <c r="C165" s="3"/>
      <c r="D165" s="3"/>
      <c r="E165" s="3"/>
      <c r="F165" s="3"/>
      <c r="G165" s="3"/>
      <c r="H165" s="3"/>
      <c r="I165" s="3"/>
      <c r="J165" s="3"/>
      <c r="L165" s="226" t="s">
        <v>1336</v>
      </c>
      <c r="M165" s="226" t="s">
        <v>1340</v>
      </c>
      <c r="O165" s="263" t="str">
        <f t="shared" si="57"/>
        <v>187/13:21</v>
      </c>
      <c r="P165" s="179" t="str">
        <f t="shared" si="58"/>
        <v>187_1</v>
      </c>
      <c r="Q165" s="237">
        <f t="shared" si="59"/>
        <v>597572935.16666865</v>
      </c>
      <c r="R165" s="104">
        <f t="shared" si="55"/>
        <v>597943849.72718894</v>
      </c>
      <c r="S165" s="104">
        <f t="shared" si="50"/>
        <v>370914.56052029133</v>
      </c>
      <c r="T165" s="104">
        <f t="shared" si="56"/>
        <v>1370875.0000001567</v>
      </c>
      <c r="U165" s="3">
        <v>0</v>
      </c>
      <c r="V165" s="97">
        <f t="shared" si="51"/>
        <v>1370875.0000001567</v>
      </c>
      <c r="W165" s="97">
        <f t="shared" si="60"/>
        <v>1370875.0000000002</v>
      </c>
      <c r="X165" s="266">
        <f t="shared" si="52"/>
        <v>-1.5646219253540039E-7</v>
      </c>
      <c r="Y165" s="256">
        <f t="shared" si="61"/>
        <v>10.967000000000002</v>
      </c>
      <c r="Z165" s="229"/>
      <c r="AA165" s="308">
        <f t="shared" si="62"/>
        <v>49.42543689076382</v>
      </c>
      <c r="AB165" s="277"/>
      <c r="AC165" s="277"/>
      <c r="AD165" s="277"/>
      <c r="AE165" s="277"/>
      <c r="AF165" s="178" t="str">
        <f t="shared" si="63"/>
        <v>TRK_187_1</v>
      </c>
      <c r="AG165" s="192" t="s">
        <v>1341</v>
      </c>
      <c r="AH165" s="232">
        <f t="shared" si="53"/>
        <v>-1.2516975402832031E-12</v>
      </c>
      <c r="AI165" s="232">
        <f t="shared" si="54"/>
        <v>10.967000000001253</v>
      </c>
      <c r="AJ165" s="276" t="s">
        <v>1342</v>
      </c>
      <c r="AK165" s="276" t="s">
        <v>1343</v>
      </c>
      <c r="AL165" s="276">
        <v>9.9700000000000006</v>
      </c>
      <c r="AM165" s="276">
        <v>9.9700000000000006</v>
      </c>
      <c r="AN165" s="276">
        <v>9.9700000000000006</v>
      </c>
    </row>
    <row r="166" spans="3:40" ht="15.75">
      <c r="C166" s="3"/>
      <c r="D166" s="3"/>
      <c r="E166" s="3"/>
      <c r="F166" s="3"/>
      <c r="G166" s="3"/>
      <c r="H166" s="3"/>
      <c r="I166" s="3"/>
      <c r="J166" s="3"/>
      <c r="L166" s="226" t="s">
        <v>1340</v>
      </c>
      <c r="M166" s="226" t="s">
        <v>1344</v>
      </c>
      <c r="O166" s="263" t="str">
        <f t="shared" si="57"/>
        <v>189/12:16</v>
      </c>
      <c r="P166" s="179" t="str">
        <f t="shared" si="58"/>
        <v>189_1</v>
      </c>
      <c r="Q166" s="237">
        <f t="shared" si="59"/>
        <v>597943846.72718894</v>
      </c>
      <c r="R166" s="104">
        <f t="shared" si="55"/>
        <v>598228822.2069869</v>
      </c>
      <c r="S166" s="104">
        <f t="shared" si="50"/>
        <v>284975.47979795933</v>
      </c>
      <c r="T166" s="104">
        <f t="shared" si="56"/>
        <v>1053250.000000203</v>
      </c>
      <c r="U166" s="3">
        <v>0</v>
      </c>
      <c r="V166" s="97">
        <f t="shared" si="51"/>
        <v>1053250.000000203</v>
      </c>
      <c r="W166" s="97">
        <f t="shared" si="60"/>
        <v>1053250</v>
      </c>
      <c r="X166" s="266">
        <f t="shared" si="52"/>
        <v>-2.0302832126617432E-7</v>
      </c>
      <c r="Y166" s="256">
        <f t="shared" si="61"/>
        <v>8.4260000000000002</v>
      </c>
      <c r="Z166" s="229"/>
      <c r="AA166" s="308">
        <f t="shared" si="62"/>
        <v>57.851436890765441</v>
      </c>
      <c r="AB166" s="277"/>
      <c r="AC166" s="277"/>
      <c r="AD166" s="277"/>
      <c r="AE166" s="277"/>
      <c r="AF166" s="178" t="str">
        <f t="shared" si="63"/>
        <v>TRK_189_1</v>
      </c>
      <c r="AG166" s="192" t="s">
        <v>1345</v>
      </c>
      <c r="AH166" s="232">
        <f t="shared" si="53"/>
        <v>-1.6242265701293946E-12</v>
      </c>
      <c r="AI166" s="232">
        <f t="shared" si="54"/>
        <v>8.4260000000016237</v>
      </c>
      <c r="AJ166" s="276" t="s">
        <v>1346</v>
      </c>
      <c r="AK166" s="276" t="s">
        <v>1347</v>
      </c>
      <c r="AL166" s="276">
        <v>7.66</v>
      </c>
      <c r="AM166" s="276">
        <v>7.66</v>
      </c>
      <c r="AN166" s="276">
        <v>7.66</v>
      </c>
    </row>
    <row r="167" spans="3:40" ht="15.75">
      <c r="C167" s="3"/>
      <c r="D167" s="3"/>
      <c r="E167" s="3"/>
      <c r="F167" s="3"/>
      <c r="G167" s="3"/>
      <c r="H167" s="3"/>
      <c r="I167" s="3"/>
      <c r="J167" s="3"/>
      <c r="L167" s="226" t="s">
        <v>1344</v>
      </c>
      <c r="M167" s="226" t="s">
        <v>1348</v>
      </c>
      <c r="O167" s="263" t="str">
        <f t="shared" si="57"/>
        <v>190/20:06</v>
      </c>
      <c r="P167" s="179" t="str">
        <f t="shared" si="58"/>
        <v>190_1</v>
      </c>
      <c r="Q167" s="237">
        <f t="shared" si="59"/>
        <v>598228819.2069869</v>
      </c>
      <c r="R167" s="104">
        <f t="shared" si="55"/>
        <v>598699065.95171869</v>
      </c>
      <c r="S167" s="104">
        <f t="shared" si="50"/>
        <v>470246.74473178387</v>
      </c>
      <c r="T167" s="104">
        <f t="shared" si="56"/>
        <v>1737999.9999999772</v>
      </c>
      <c r="U167" s="3">
        <v>0</v>
      </c>
      <c r="V167" s="97">
        <f t="shared" si="51"/>
        <v>1737999.9999999772</v>
      </c>
      <c r="W167" s="97">
        <f t="shared" si="60"/>
        <v>1738000.0000000002</v>
      </c>
      <c r="X167" s="266">
        <f t="shared" si="52"/>
        <v>2.3050233721733093E-8</v>
      </c>
      <c r="Y167" s="256">
        <f t="shared" si="61"/>
        <v>13.904000000000002</v>
      </c>
      <c r="Z167" s="229"/>
      <c r="AA167" s="308">
        <f t="shared" si="62"/>
        <v>71.755436890765253</v>
      </c>
      <c r="AB167" s="277"/>
      <c r="AC167" s="277"/>
      <c r="AD167" s="277"/>
      <c r="AE167" s="277"/>
      <c r="AF167" s="178" t="str">
        <f t="shared" si="63"/>
        <v>TRK_190_1</v>
      </c>
      <c r="AG167" s="192" t="s">
        <v>1349</v>
      </c>
      <c r="AH167" s="232">
        <f t="shared" si="53"/>
        <v>1.8440186977386473E-13</v>
      </c>
      <c r="AI167" s="232">
        <f t="shared" si="54"/>
        <v>13.903999999999817</v>
      </c>
      <c r="AJ167" s="276" t="s">
        <v>1350</v>
      </c>
      <c r="AK167" s="276" t="s">
        <v>1351</v>
      </c>
      <c r="AL167" s="276">
        <v>12.64</v>
      </c>
      <c r="AM167" s="276">
        <v>12.64</v>
      </c>
      <c r="AN167" s="276">
        <v>12.64</v>
      </c>
    </row>
    <row r="168" spans="3:40" ht="15.75">
      <c r="C168" s="3"/>
      <c r="D168" s="3"/>
      <c r="E168" s="3"/>
      <c r="F168" s="3"/>
      <c r="G168" s="3"/>
      <c r="H168" s="3"/>
      <c r="I168" s="3"/>
      <c r="J168" s="3"/>
      <c r="L168" s="226" t="s">
        <v>1348</v>
      </c>
      <c r="M168" s="226" t="s">
        <v>1352</v>
      </c>
      <c r="O168" s="263" t="str">
        <f t="shared" si="57"/>
        <v>191/12:11</v>
      </c>
      <c r="P168" s="179" t="str">
        <f t="shared" si="58"/>
        <v>191_1</v>
      </c>
      <c r="Q168" s="237">
        <f t="shared" si="59"/>
        <v>598699062.95171869</v>
      </c>
      <c r="R168" s="104">
        <f t="shared" si="55"/>
        <v>599169681.72710299</v>
      </c>
      <c r="S168" s="104">
        <f t="shared" si="50"/>
        <v>470618.77538430691</v>
      </c>
      <c r="T168" s="104">
        <f t="shared" si="56"/>
        <v>1739375.0000001448</v>
      </c>
      <c r="U168" s="3">
        <v>0</v>
      </c>
      <c r="V168" s="97">
        <f t="shared" si="51"/>
        <v>1739375.0000001448</v>
      </c>
      <c r="W168" s="97">
        <f t="shared" si="60"/>
        <v>1739375</v>
      </c>
      <c r="X168" s="266">
        <f t="shared" si="52"/>
        <v>-1.4482066035270691E-7</v>
      </c>
      <c r="Y168" s="256">
        <f t="shared" si="61"/>
        <v>13.915000000000001</v>
      </c>
      <c r="Z168" s="229"/>
      <c r="AA168" s="308">
        <f t="shared" si="62"/>
        <v>85.67043689076641</v>
      </c>
      <c r="AB168" s="277"/>
      <c r="AC168" s="277"/>
      <c r="AD168" s="277"/>
      <c r="AE168" s="277"/>
      <c r="AF168" s="178" t="str">
        <f t="shared" si="63"/>
        <v>TRK_191_1</v>
      </c>
      <c r="AG168" s="192" t="s">
        <v>1353</v>
      </c>
      <c r="AH168" s="232">
        <f t="shared" si="53"/>
        <v>-1.1585652828216554E-12</v>
      </c>
      <c r="AI168" s="232">
        <f t="shared" si="54"/>
        <v>13.915000000001159</v>
      </c>
      <c r="AJ168" s="276" t="s">
        <v>1354</v>
      </c>
      <c r="AK168" s="276" t="s">
        <v>1355</v>
      </c>
      <c r="AL168" s="276">
        <v>12.65</v>
      </c>
      <c r="AM168" s="276">
        <v>12.65</v>
      </c>
      <c r="AN168" s="276">
        <v>12.65</v>
      </c>
    </row>
    <row r="169" spans="3:40" ht="15.75">
      <c r="C169" s="3"/>
      <c r="D169" s="3"/>
      <c r="E169" s="3"/>
      <c r="F169" s="3"/>
      <c r="G169" s="3"/>
      <c r="H169" s="3"/>
      <c r="I169" s="3"/>
      <c r="J169" s="3"/>
      <c r="L169" s="226" t="s">
        <v>1352</v>
      </c>
      <c r="M169" s="226" t="s">
        <v>1356</v>
      </c>
      <c r="O169" s="263" t="str">
        <f t="shared" si="57"/>
        <v>192/12:06</v>
      </c>
      <c r="P169" s="179" t="str">
        <f t="shared" si="58"/>
        <v>192_2</v>
      </c>
      <c r="Q169" s="237">
        <f t="shared" si="59"/>
        <v>599169678.72710299</v>
      </c>
      <c r="R169" s="104">
        <f t="shared" si="55"/>
        <v>599478464.16865945</v>
      </c>
      <c r="S169" s="104">
        <f t="shared" si="50"/>
        <v>308785.4415564537</v>
      </c>
      <c r="T169" s="104">
        <f t="shared" si="56"/>
        <v>1141249.9999999173</v>
      </c>
      <c r="U169" s="3">
        <v>0</v>
      </c>
      <c r="V169" s="97">
        <f t="shared" si="51"/>
        <v>1141249.9999999173</v>
      </c>
      <c r="W169" s="97">
        <f t="shared" si="60"/>
        <v>1141250</v>
      </c>
      <c r="X169" s="266">
        <f t="shared" si="52"/>
        <v>8.2654878497123718E-8</v>
      </c>
      <c r="Y169" s="256">
        <f t="shared" si="61"/>
        <v>9.1300000000000008</v>
      </c>
      <c r="Z169" s="229"/>
      <c r="AA169" s="308">
        <f t="shared" si="62"/>
        <v>94.800436890765752</v>
      </c>
      <c r="AB169" s="277"/>
      <c r="AC169" s="277"/>
      <c r="AD169" s="277"/>
      <c r="AE169" s="277"/>
      <c r="AF169" s="178" t="str">
        <f t="shared" si="63"/>
        <v>TRK_192_2</v>
      </c>
      <c r="AG169" s="192" t="s">
        <v>1357</v>
      </c>
      <c r="AH169" s="232">
        <f t="shared" si="53"/>
        <v>6.6123902797698976E-13</v>
      </c>
      <c r="AI169" s="232">
        <f t="shared" si="54"/>
        <v>9.1299999999993382</v>
      </c>
      <c r="AJ169" s="276" t="s">
        <v>1358</v>
      </c>
      <c r="AK169" s="276" t="s">
        <v>1359</v>
      </c>
      <c r="AL169" s="276">
        <v>8.3000000000000007</v>
      </c>
      <c r="AM169" s="276">
        <v>8.3000000000000007</v>
      </c>
      <c r="AN169" s="276">
        <v>8.3000000000000007</v>
      </c>
    </row>
    <row r="170" spans="3:40" ht="15.75">
      <c r="C170" s="3"/>
      <c r="D170" s="3"/>
      <c r="E170" s="3"/>
      <c r="F170" s="3"/>
      <c r="G170" s="3"/>
      <c r="H170" s="3"/>
      <c r="I170" s="3"/>
      <c r="J170" s="3"/>
      <c r="L170" s="226" t="s">
        <v>1356</v>
      </c>
      <c r="M170" s="226" t="s">
        <v>1360</v>
      </c>
      <c r="O170" s="263" t="str">
        <f t="shared" si="57"/>
        <v>193/13:50</v>
      </c>
      <c r="P170" s="179" t="str">
        <f t="shared" si="58"/>
        <v>193_1</v>
      </c>
      <c r="Q170" s="237">
        <f t="shared" si="59"/>
        <v>599478461.16865945</v>
      </c>
      <c r="R170" s="104">
        <f t="shared" si="55"/>
        <v>600150720.55768657</v>
      </c>
      <c r="S170" s="104">
        <f t="shared" si="50"/>
        <v>672259.38902711868</v>
      </c>
      <c r="T170" s="104">
        <f t="shared" si="56"/>
        <v>2484624.9999998054</v>
      </c>
      <c r="U170" s="3">
        <v>0</v>
      </c>
      <c r="V170" s="97">
        <f t="shared" si="51"/>
        <v>2484624.9999998054</v>
      </c>
      <c r="W170" s="97">
        <f t="shared" si="60"/>
        <v>2484625.0000000005</v>
      </c>
      <c r="X170" s="266">
        <f t="shared" si="52"/>
        <v>1.9511207938194275E-7</v>
      </c>
      <c r="Y170" s="256">
        <f t="shared" si="61"/>
        <v>19.877000000000002</v>
      </c>
      <c r="Z170" s="229"/>
      <c r="AA170" s="308">
        <f t="shared" si="62"/>
        <v>114.6774368907642</v>
      </c>
      <c r="AB170" s="277"/>
      <c r="AC170" s="277"/>
      <c r="AD170" s="277"/>
      <c r="AE170" s="277"/>
      <c r="AF170" s="178" t="str">
        <f t="shared" si="63"/>
        <v>TRK_193_1</v>
      </c>
      <c r="AG170" s="192" t="s">
        <v>1361</v>
      </c>
      <c r="AH170" s="232">
        <f t="shared" si="53"/>
        <v>1.560896635055542E-12</v>
      </c>
      <c r="AI170" s="232">
        <f t="shared" si="54"/>
        <v>19.876999999998443</v>
      </c>
      <c r="AJ170" s="276" t="s">
        <v>1362</v>
      </c>
      <c r="AK170" s="276" t="s">
        <v>1363</v>
      </c>
      <c r="AL170" s="276">
        <v>18.07</v>
      </c>
      <c r="AM170" s="276">
        <v>18.07</v>
      </c>
      <c r="AN170" s="276">
        <v>18.07</v>
      </c>
    </row>
    <row r="171" spans="3:40" ht="15.75">
      <c r="C171" s="3"/>
      <c r="D171" s="3"/>
      <c r="E171" s="3"/>
      <c r="F171" s="3"/>
      <c r="G171" s="3"/>
      <c r="H171" s="3"/>
      <c r="I171" s="3"/>
      <c r="J171" s="3"/>
      <c r="L171" s="226" t="s">
        <v>1360</v>
      </c>
      <c r="M171" s="226" t="s">
        <v>1364</v>
      </c>
      <c r="O171" s="263" t="str">
        <f t="shared" si="57"/>
        <v>194/16:20</v>
      </c>
      <c r="P171" s="179" t="str">
        <f t="shared" si="58"/>
        <v>194_2</v>
      </c>
      <c r="Q171" s="237">
        <f t="shared" si="59"/>
        <v>600150717.55768657</v>
      </c>
      <c r="R171" s="104">
        <f t="shared" si="55"/>
        <v>600221403.38165736</v>
      </c>
      <c r="S171" s="104">
        <f t="shared" si="50"/>
        <v>70685.823970794678</v>
      </c>
      <c r="T171" s="104">
        <f t="shared" si="56"/>
        <v>261250.00000012974</v>
      </c>
      <c r="U171" s="3">
        <v>0</v>
      </c>
      <c r="V171" s="97">
        <f t="shared" si="51"/>
        <v>261250.00000012974</v>
      </c>
      <c r="W171" s="97">
        <f t="shared" si="60"/>
        <v>261249.99999999997</v>
      </c>
      <c r="X171" s="266">
        <f t="shared" si="52"/>
        <v>-1.2977398000657558E-7</v>
      </c>
      <c r="Y171" s="256">
        <f t="shared" si="61"/>
        <v>2.09</v>
      </c>
      <c r="Z171" s="229"/>
      <c r="AA171" s="308">
        <f t="shared" si="62"/>
        <v>116.76743689076524</v>
      </c>
      <c r="AB171" s="277"/>
      <c r="AC171" s="277"/>
      <c r="AD171" s="277"/>
      <c r="AE171" s="277"/>
      <c r="AF171" s="178" t="str">
        <f t="shared" si="63"/>
        <v>TRK_194_2</v>
      </c>
      <c r="AG171" s="192" t="s">
        <v>1365</v>
      </c>
      <c r="AH171" s="232">
        <f t="shared" si="53"/>
        <v>-1.0381918400526047E-12</v>
      </c>
      <c r="AI171" s="232">
        <f t="shared" si="54"/>
        <v>2.0900000000010381</v>
      </c>
      <c r="AJ171" s="276" t="s">
        <v>1366</v>
      </c>
      <c r="AK171" s="276" t="s">
        <v>1367</v>
      </c>
      <c r="AL171" s="276">
        <v>1.9</v>
      </c>
      <c r="AM171" s="276">
        <v>1.9</v>
      </c>
      <c r="AN171" s="276">
        <v>1.9</v>
      </c>
    </row>
    <row r="172" spans="3:40" ht="15.75">
      <c r="C172" s="3"/>
      <c r="D172" s="3"/>
      <c r="E172" s="3"/>
      <c r="F172" s="3"/>
      <c r="G172" s="3"/>
      <c r="H172" s="3"/>
      <c r="I172" s="3"/>
      <c r="J172" s="3"/>
      <c r="L172" s="226" t="s">
        <v>1364</v>
      </c>
      <c r="M172" s="226" t="s">
        <v>1368</v>
      </c>
      <c r="O172" s="263" t="str">
        <f t="shared" si="57"/>
        <v>194/22:50</v>
      </c>
      <c r="P172" s="179" t="str">
        <f t="shared" si="58"/>
        <v>194_3</v>
      </c>
      <c r="Q172" s="237">
        <f t="shared" si="59"/>
        <v>600221400.38165736</v>
      </c>
      <c r="R172" s="104">
        <f t="shared" si="55"/>
        <v>600487402.29817891</v>
      </c>
      <c r="S172" s="104">
        <f t="shared" si="50"/>
        <v>266001.91652154922</v>
      </c>
      <c r="T172" s="104">
        <f t="shared" si="56"/>
        <v>983125.00000002445</v>
      </c>
      <c r="U172" s="3">
        <v>0</v>
      </c>
      <c r="V172" s="97">
        <f t="shared" si="51"/>
        <v>983125.00000002445</v>
      </c>
      <c r="W172" s="97">
        <f t="shared" si="60"/>
        <v>983125.00000000012</v>
      </c>
      <c r="X172" s="266">
        <f t="shared" si="52"/>
        <v>-2.4330802261829376E-8</v>
      </c>
      <c r="Y172" s="256">
        <f t="shared" si="61"/>
        <v>7.8650000000000011</v>
      </c>
      <c r="Z172" s="229"/>
      <c r="AA172" s="308">
        <f t="shared" si="62"/>
        <v>124.63243689076543</v>
      </c>
      <c r="AB172" s="277"/>
      <c r="AC172" s="277"/>
      <c r="AD172" s="277"/>
      <c r="AE172" s="277"/>
      <c r="AF172" s="178" t="str">
        <f t="shared" si="63"/>
        <v>TRK_194_3</v>
      </c>
      <c r="AG172" s="192" t="s">
        <v>1369</v>
      </c>
      <c r="AH172" s="232">
        <f t="shared" si="53"/>
        <v>-1.9464641809463502E-13</v>
      </c>
      <c r="AI172" s="232">
        <f t="shared" si="54"/>
        <v>7.8650000000001956</v>
      </c>
      <c r="AJ172" s="276" t="s">
        <v>1370</v>
      </c>
      <c r="AK172" s="276" t="s">
        <v>1371</v>
      </c>
      <c r="AL172" s="276">
        <v>7.15</v>
      </c>
      <c r="AM172" s="276">
        <v>7.15</v>
      </c>
      <c r="AN172" s="276">
        <v>7.15</v>
      </c>
    </row>
    <row r="173" spans="3:40" ht="15.75">
      <c r="C173" s="3"/>
      <c r="D173" s="3"/>
      <c r="E173" s="3"/>
      <c r="F173" s="3"/>
      <c r="G173" s="3"/>
      <c r="H173" s="3"/>
      <c r="I173" s="3"/>
      <c r="J173" s="3"/>
      <c r="L173" s="226" t="s">
        <v>1368</v>
      </c>
      <c r="M173" s="226" t="s">
        <v>1372</v>
      </c>
      <c r="O173" s="263" t="str">
        <f t="shared" si="57"/>
        <v>195/15:30</v>
      </c>
      <c r="P173" s="179" t="str">
        <f t="shared" si="58"/>
        <v>195_1</v>
      </c>
      <c r="Q173" s="237">
        <f t="shared" si="59"/>
        <v>600487399.29817891</v>
      </c>
      <c r="R173" s="104">
        <f t="shared" si="55"/>
        <v>600627654.85416305</v>
      </c>
      <c r="S173" s="104">
        <f t="shared" si="50"/>
        <v>140255.55598413944</v>
      </c>
      <c r="T173" s="104">
        <f t="shared" si="56"/>
        <v>518375.00000019715</v>
      </c>
      <c r="U173" s="3">
        <v>0</v>
      </c>
      <c r="V173" s="97">
        <f t="shared" si="51"/>
        <v>518375.00000019715</v>
      </c>
      <c r="W173" s="97">
        <f t="shared" si="60"/>
        <v>518375.00000000006</v>
      </c>
      <c r="X173" s="266">
        <f t="shared" si="52"/>
        <v>-1.9709113985300064E-7</v>
      </c>
      <c r="Y173" s="256">
        <f t="shared" si="61"/>
        <v>4.1470000000000002</v>
      </c>
      <c r="Z173" s="229"/>
      <c r="AA173" s="308">
        <f t="shared" si="62"/>
        <v>128.77943689076702</v>
      </c>
      <c r="AB173" s="277"/>
      <c r="AC173" s="277"/>
      <c r="AD173" s="277"/>
      <c r="AE173" s="277"/>
      <c r="AF173" s="178" t="str">
        <f t="shared" si="63"/>
        <v>TRK_195_1</v>
      </c>
      <c r="AG173" s="192" t="s">
        <v>1373</v>
      </c>
      <c r="AH173" s="232">
        <f t="shared" si="53"/>
        <v>-1.5767291188240052E-12</v>
      </c>
      <c r="AI173" s="232">
        <f t="shared" si="54"/>
        <v>4.1470000000015768</v>
      </c>
      <c r="AJ173" s="276" t="s">
        <v>1374</v>
      </c>
      <c r="AK173" s="276" t="s">
        <v>1375</v>
      </c>
      <c r="AL173" s="276">
        <v>3.77</v>
      </c>
      <c r="AM173" s="276">
        <v>3.77</v>
      </c>
      <c r="AN173" s="276">
        <v>3.77</v>
      </c>
    </row>
    <row r="174" spans="3:40" ht="15.75">
      <c r="C174" s="3"/>
      <c r="D174" s="3"/>
      <c r="E174" s="3"/>
      <c r="F174" s="3"/>
      <c r="G174" s="3"/>
      <c r="H174" s="3"/>
      <c r="I174" s="3"/>
      <c r="J174" s="3"/>
      <c r="L174" s="226" t="s">
        <v>1372</v>
      </c>
      <c r="M174" s="226" t="s">
        <v>1376</v>
      </c>
      <c r="O174" s="263" t="str">
        <f t="shared" si="57"/>
        <v>195/22:50</v>
      </c>
      <c r="P174" s="179" t="str">
        <f t="shared" si="58"/>
        <v>195_2</v>
      </c>
      <c r="Q174" s="237">
        <f t="shared" si="59"/>
        <v>600627651.85416305</v>
      </c>
      <c r="R174" s="104">
        <f t="shared" si="55"/>
        <v>600889189.40285492</v>
      </c>
      <c r="S174" s="104">
        <f t="shared" si="50"/>
        <v>261537.54869186878</v>
      </c>
      <c r="T174" s="104">
        <f t="shared" si="56"/>
        <v>966625.0000002156</v>
      </c>
      <c r="U174" s="3">
        <v>0</v>
      </c>
      <c r="V174" s="97">
        <f t="shared" si="51"/>
        <v>966625.0000002156</v>
      </c>
      <c r="W174" s="97">
        <f t="shared" si="60"/>
        <v>966625.00000000012</v>
      </c>
      <c r="X174" s="266">
        <f t="shared" si="52"/>
        <v>-2.1548476070165634E-7</v>
      </c>
      <c r="Y174" s="256">
        <f t="shared" si="61"/>
        <v>7.7330000000000005</v>
      </c>
      <c r="Z174" s="229"/>
      <c r="AA174" s="308">
        <f t="shared" si="62"/>
        <v>136.51243689076875</v>
      </c>
      <c r="AB174" s="277"/>
      <c r="AC174" s="277"/>
      <c r="AD174" s="277"/>
      <c r="AE174" s="277"/>
      <c r="AF174" s="178" t="str">
        <f t="shared" si="63"/>
        <v>TRK_195_2</v>
      </c>
      <c r="AG174" s="192" t="s">
        <v>1377</v>
      </c>
      <c r="AH174" s="232">
        <f t="shared" si="53"/>
        <v>-1.7238780856132507E-12</v>
      </c>
      <c r="AI174" s="232">
        <f t="shared" si="54"/>
        <v>7.7330000000017245</v>
      </c>
      <c r="AJ174" s="276" t="s">
        <v>1378</v>
      </c>
      <c r="AK174" s="276" t="s">
        <v>1379</v>
      </c>
      <c r="AL174" s="276">
        <v>7.03</v>
      </c>
      <c r="AM174" s="276">
        <v>7.03</v>
      </c>
      <c r="AN174" s="276">
        <v>7.03</v>
      </c>
    </row>
    <row r="175" spans="3:40" ht="15.75">
      <c r="C175" s="3"/>
      <c r="D175" s="3"/>
      <c r="E175" s="3"/>
      <c r="F175" s="3"/>
      <c r="G175" s="3"/>
      <c r="H175" s="3"/>
      <c r="I175" s="3"/>
      <c r="J175" s="3"/>
      <c r="L175" s="226" t="s">
        <v>1376</v>
      </c>
      <c r="M175" s="226" t="s">
        <v>1380</v>
      </c>
      <c r="O175" s="263" t="str">
        <f t="shared" si="57"/>
        <v>197/15:45</v>
      </c>
      <c r="P175" s="179" t="str">
        <f t="shared" si="58"/>
        <v>197_2</v>
      </c>
      <c r="Q175" s="237">
        <f t="shared" si="59"/>
        <v>600889186.40285492</v>
      </c>
      <c r="R175" s="104">
        <f t="shared" si="55"/>
        <v>600955779.88964844</v>
      </c>
      <c r="S175" s="104">
        <f t="shared" si="50"/>
        <v>66593.486793518066</v>
      </c>
      <c r="T175" s="104">
        <f t="shared" si="56"/>
        <v>246125.00000004802</v>
      </c>
      <c r="U175" s="3">
        <v>0</v>
      </c>
      <c r="V175" s="97">
        <f t="shared" si="51"/>
        <v>246125.00000004802</v>
      </c>
      <c r="W175" s="97">
        <f t="shared" si="60"/>
        <v>246125.00000000003</v>
      </c>
      <c r="X175" s="266">
        <f t="shared" si="52"/>
        <v>-4.7992216423153877E-8</v>
      </c>
      <c r="Y175" s="256">
        <f t="shared" si="61"/>
        <v>1.9690000000000003</v>
      </c>
      <c r="Z175" s="229"/>
      <c r="AA175" s="308">
        <f t="shared" si="62"/>
        <v>138.48143689076915</v>
      </c>
      <c r="AB175" s="277"/>
      <c r="AC175" s="277"/>
      <c r="AD175" s="277"/>
      <c r="AE175" s="277"/>
      <c r="AF175" s="178" t="str">
        <f t="shared" si="63"/>
        <v>TRK_197_2</v>
      </c>
      <c r="AG175" s="192" t="s">
        <v>1381</v>
      </c>
      <c r="AH175" s="232">
        <f t="shared" si="53"/>
        <v>-3.8393773138523104E-13</v>
      </c>
      <c r="AI175" s="232">
        <f t="shared" si="54"/>
        <v>1.9690000000003842</v>
      </c>
      <c r="AJ175" s="276" t="s">
        <v>1382</v>
      </c>
      <c r="AK175" s="276" t="s">
        <v>1383</v>
      </c>
      <c r="AL175" s="276">
        <v>1.79</v>
      </c>
      <c r="AM175" s="276">
        <v>1.79</v>
      </c>
      <c r="AN175" s="276">
        <v>1.79</v>
      </c>
    </row>
    <row r="176" spans="3:40" ht="15.75">
      <c r="C176" s="3"/>
      <c r="D176" s="3"/>
      <c r="E176" s="3"/>
      <c r="F176" s="3"/>
      <c r="G176" s="3"/>
      <c r="H176" s="3"/>
      <c r="I176" s="3"/>
      <c r="J176" s="3"/>
      <c r="L176" s="226" t="s">
        <v>1380</v>
      </c>
      <c r="M176" s="226" t="s">
        <v>1384</v>
      </c>
      <c r="O176" s="263" t="str">
        <f t="shared" si="57"/>
        <v>197/22:00</v>
      </c>
      <c r="P176" s="179" t="str">
        <f t="shared" si="58"/>
        <v>197_3</v>
      </c>
      <c r="Q176" s="237">
        <f t="shared" si="59"/>
        <v>600955776.88964844</v>
      </c>
      <c r="R176" s="104">
        <f t="shared" si="55"/>
        <v>601328551.60343111</v>
      </c>
      <c r="S176" s="104">
        <f t="shared" si="50"/>
        <v>372774.71378266811</v>
      </c>
      <c r="T176" s="104">
        <f t="shared" si="56"/>
        <v>1377750.0000001136</v>
      </c>
      <c r="U176" s="3">
        <v>0</v>
      </c>
      <c r="V176" s="97">
        <f t="shared" si="51"/>
        <v>1377750.0000001136</v>
      </c>
      <c r="W176" s="97">
        <f t="shared" si="60"/>
        <v>1377750</v>
      </c>
      <c r="X176" s="266">
        <f t="shared" si="52"/>
        <v>-1.1362135410308838E-7</v>
      </c>
      <c r="Y176" s="256">
        <f t="shared" si="61"/>
        <v>11.022</v>
      </c>
      <c r="Z176" s="229"/>
      <c r="AA176" s="308">
        <f t="shared" si="62"/>
        <v>149.50343689077005</v>
      </c>
      <c r="AB176" s="277"/>
      <c r="AC176" s="277"/>
      <c r="AD176" s="277"/>
      <c r="AE176" s="277"/>
      <c r="AF176" s="178" t="str">
        <f t="shared" si="63"/>
        <v>TRK_197_3</v>
      </c>
      <c r="AG176" s="192" t="s">
        <v>1385</v>
      </c>
      <c r="AH176" s="232">
        <f t="shared" si="53"/>
        <v>-9.0897083282470701E-13</v>
      </c>
      <c r="AI176" s="232">
        <f t="shared" si="54"/>
        <v>11.02200000000091</v>
      </c>
      <c r="AJ176" s="276" t="s">
        <v>1386</v>
      </c>
      <c r="AK176" s="276" t="s">
        <v>1387</v>
      </c>
      <c r="AL176" s="276">
        <v>10.02</v>
      </c>
      <c r="AM176" s="276">
        <v>10.02</v>
      </c>
      <c r="AN176" s="276">
        <v>10.02</v>
      </c>
    </row>
    <row r="177" spans="1:42" ht="15.75">
      <c r="A177" t="s">
        <v>1388</v>
      </c>
      <c r="C177" s="3"/>
      <c r="D177" s="3"/>
      <c r="E177" s="3"/>
      <c r="F177" s="3"/>
      <c r="G177" s="3"/>
      <c r="H177" s="3" t="s">
        <v>768</v>
      </c>
      <c r="I177" s="3"/>
      <c r="J177" s="3"/>
      <c r="L177" s="257" t="s">
        <v>1389</v>
      </c>
      <c r="M177" s="257" t="s">
        <v>1390</v>
      </c>
      <c r="O177" s="263" t="str">
        <f t="shared" si="57"/>
        <v>198/14:30</v>
      </c>
      <c r="P177" s="179" t="str">
        <f t="shared" si="58"/>
        <v>198_1</v>
      </c>
      <c r="Q177" s="264">
        <v>612597116</v>
      </c>
      <c r="R177" s="143">
        <f>((W177-U177*$V$23)/$V$20)+Q177</f>
        <v>612615336.37914693</v>
      </c>
      <c r="S177" s="104">
        <f t="shared" si="50"/>
        <v>18220.379146933556</v>
      </c>
      <c r="T177" s="104">
        <f>S177*$V$20</f>
        <v>961125.00000074506</v>
      </c>
      <c r="U177" s="3">
        <v>0</v>
      </c>
      <c r="V177" s="97">
        <f t="shared" si="51"/>
        <v>961125.00000074506</v>
      </c>
      <c r="W177" s="97">
        <f t="shared" si="60"/>
        <v>961125.00000000012</v>
      </c>
      <c r="X177" s="266">
        <f t="shared" si="52"/>
        <v>-7.4494164437055588E-7</v>
      </c>
      <c r="Y177" s="256">
        <f t="shared" si="61"/>
        <v>7.6890000000000009</v>
      </c>
      <c r="Z177" s="229"/>
      <c r="AA177" s="229"/>
      <c r="AB177" s="297">
        <f>AB158+AI177</f>
        <v>22.679563109241727</v>
      </c>
      <c r="AC177" s="297"/>
      <c r="AD177" s="297"/>
      <c r="AE177" s="297"/>
      <c r="AF177" s="178" t="str">
        <f t="shared" si="63"/>
        <v>TRK_198_1</v>
      </c>
      <c r="AG177" s="192" t="s">
        <v>1391</v>
      </c>
      <c r="AH177" s="232">
        <f t="shared" si="53"/>
        <v>-5.9595331549644472E-12</v>
      </c>
      <c r="AI177" s="232">
        <f t="shared" si="54"/>
        <v>7.6890000000059606</v>
      </c>
      <c r="AJ177" s="276" t="s">
        <v>1392</v>
      </c>
      <c r="AK177" s="276" t="s">
        <v>1393</v>
      </c>
      <c r="AL177" s="276">
        <v>6.99</v>
      </c>
      <c r="AM177" s="276">
        <v>6.99</v>
      </c>
      <c r="AN177" s="276">
        <v>6.99</v>
      </c>
    </row>
    <row r="178" spans="1:42" ht="15.75">
      <c r="A178" t="s">
        <v>1388</v>
      </c>
      <c r="C178" s="3"/>
      <c r="D178" s="3"/>
      <c r="E178" s="3"/>
      <c r="F178" s="3"/>
      <c r="G178" s="3"/>
      <c r="H178" s="3" t="s">
        <v>768</v>
      </c>
      <c r="I178" s="3"/>
      <c r="J178" s="3"/>
      <c r="L178" s="257" t="s">
        <v>1390</v>
      </c>
      <c r="M178" s="257" t="s">
        <v>1394</v>
      </c>
      <c r="O178" s="263" t="str">
        <f t="shared" si="57"/>
        <v>198/22:25</v>
      </c>
      <c r="P178" s="179" t="str">
        <f t="shared" si="58"/>
        <v>198_2</v>
      </c>
      <c r="Q178" s="264">
        <f>R177-3</f>
        <v>612615333.37914693</v>
      </c>
      <c r="R178" s="143">
        <f>((W178-U178*$V$23)/$V$20)+Q178</f>
        <v>612634987.407583</v>
      </c>
      <c r="S178" s="104">
        <f t="shared" si="50"/>
        <v>19654.02843606472</v>
      </c>
      <c r="T178" s="104">
        <f>S178*$V$20</f>
        <v>1036750.000002414</v>
      </c>
      <c r="U178" s="3">
        <v>0</v>
      </c>
      <c r="V178" s="97">
        <f t="shared" si="51"/>
        <v>1036750.000002414</v>
      </c>
      <c r="W178" s="97">
        <f t="shared" si="60"/>
        <v>1036750.0000000001</v>
      </c>
      <c r="X178" s="266">
        <f t="shared" si="52"/>
        <v>-2.4138716980814934E-6</v>
      </c>
      <c r="Y178" s="256">
        <f t="shared" si="61"/>
        <v>8.2940000000000005</v>
      </c>
      <c r="Z178" s="229"/>
      <c r="AA178" s="229"/>
      <c r="AB178" s="297">
        <f>AB177+AI178</f>
        <v>30.973563109261036</v>
      </c>
      <c r="AC178" s="297"/>
      <c r="AD178" s="297"/>
      <c r="AE178" s="297"/>
      <c r="AF178" s="178" t="str">
        <f t="shared" si="63"/>
        <v>TRK_198_2</v>
      </c>
      <c r="AG178" s="192" t="s">
        <v>1395</v>
      </c>
      <c r="AH178" s="232">
        <f t="shared" si="53"/>
        <v>-1.9310973584651947E-11</v>
      </c>
      <c r="AI178" s="309">
        <f t="shared" si="54"/>
        <v>8.2940000000193113</v>
      </c>
      <c r="AJ178" s="276" t="s">
        <v>1396</v>
      </c>
      <c r="AK178" s="276" t="s">
        <v>1397</v>
      </c>
      <c r="AL178" s="276">
        <v>7.54</v>
      </c>
      <c r="AM178" s="276">
        <v>7.54</v>
      </c>
      <c r="AN178" s="276">
        <v>7.54</v>
      </c>
    </row>
    <row r="179" spans="1:42" ht="15.75">
      <c r="A179" t="s">
        <v>1398</v>
      </c>
      <c r="C179" s="3"/>
      <c r="D179" s="3"/>
      <c r="E179" s="3" t="s">
        <v>766</v>
      </c>
      <c r="F179" s="3" t="s">
        <v>764</v>
      </c>
      <c r="G179" s="3"/>
      <c r="H179" s="3" t="s">
        <v>768</v>
      </c>
      <c r="I179" s="3" t="s">
        <v>769</v>
      </c>
      <c r="J179" s="3"/>
      <c r="L179" s="257" t="s">
        <v>1317</v>
      </c>
      <c r="M179" s="257" t="s">
        <v>1399</v>
      </c>
      <c r="O179" s="263" t="str">
        <f t="shared" si="57"/>
        <v>199/14:45</v>
      </c>
      <c r="P179" s="179" t="str">
        <f t="shared" si="58"/>
        <v>199_1</v>
      </c>
      <c r="Q179" s="237">
        <f>R158-1</f>
        <v>613766275</v>
      </c>
      <c r="R179" s="104">
        <f>((W179-U179*$V$23)/$V$17)+Q179</f>
        <v>614172004.08581376</v>
      </c>
      <c r="S179" s="104">
        <f t="shared" si="50"/>
        <v>405729.08581376076</v>
      </c>
      <c r="T179" s="104">
        <f>S179*$V$17</f>
        <v>862125.00000006065</v>
      </c>
      <c r="U179" s="3">
        <v>0</v>
      </c>
      <c r="V179" s="142">
        <f t="shared" si="51"/>
        <v>862125.00000006065</v>
      </c>
      <c r="W179" s="97">
        <f t="shared" si="60"/>
        <v>862125</v>
      </c>
      <c r="X179" s="266">
        <f t="shared" si="52"/>
        <v>-6.0652382671833038E-8</v>
      </c>
      <c r="Y179" s="256">
        <f t="shared" si="61"/>
        <v>6.8970000000000002</v>
      </c>
      <c r="Z179" s="229"/>
      <c r="AA179" s="229"/>
      <c r="AB179" s="297">
        <f>AB178+AI179</f>
        <v>37.870563109261525</v>
      </c>
      <c r="AC179" s="297"/>
      <c r="AD179" s="297"/>
      <c r="AE179" s="297"/>
      <c r="AF179" s="178" t="str">
        <f t="shared" si="63"/>
        <v>TRK_199_1</v>
      </c>
      <c r="AG179" s="192" t="s">
        <v>1400</v>
      </c>
      <c r="AH179" s="232">
        <f t="shared" si="53"/>
        <v>-4.8521906137466429E-13</v>
      </c>
      <c r="AI179" s="309">
        <f t="shared" si="54"/>
        <v>6.8970000000004852</v>
      </c>
      <c r="AJ179" s="276" t="s">
        <v>1401</v>
      </c>
      <c r="AK179" s="276" t="s">
        <v>1402</v>
      </c>
      <c r="AL179" s="276">
        <v>6.27</v>
      </c>
      <c r="AM179" s="276">
        <v>6.27</v>
      </c>
      <c r="AN179" s="276">
        <v>6.27</v>
      </c>
    </row>
    <row r="180" spans="1:42" ht="15.75">
      <c r="A180" t="s">
        <v>1398</v>
      </c>
      <c r="C180" s="3"/>
      <c r="D180" s="3"/>
      <c r="E180" s="3" t="s">
        <v>766</v>
      </c>
      <c r="F180" s="3" t="s">
        <v>764</v>
      </c>
      <c r="G180" s="3"/>
      <c r="H180" s="3" t="s">
        <v>768</v>
      </c>
      <c r="I180" s="3" t="s">
        <v>769</v>
      </c>
      <c r="J180" s="3"/>
      <c r="L180" s="257" t="s">
        <v>1399</v>
      </c>
      <c r="M180" s="257" t="s">
        <v>1403</v>
      </c>
      <c r="O180" s="263" t="str">
        <f t="shared" si="57"/>
        <v>200/14:40</v>
      </c>
      <c r="P180" s="179" t="str">
        <f t="shared" si="58"/>
        <v>200_1</v>
      </c>
      <c r="Q180" s="237">
        <f>R179-1</f>
        <v>614172003.08581376</v>
      </c>
      <c r="R180" s="104">
        <f>((W180-U180*$V$23)/$V$17)+Q180</f>
        <v>615002874.13236058</v>
      </c>
      <c r="S180" s="104">
        <f t="shared" si="50"/>
        <v>830871.04654681683</v>
      </c>
      <c r="T180" s="104">
        <f>S180*$V$17</f>
        <v>1765500.0000000745</v>
      </c>
      <c r="U180" s="3">
        <v>0</v>
      </c>
      <c r="V180" s="142">
        <f t="shared" si="51"/>
        <v>1765500.0000000745</v>
      </c>
      <c r="W180" s="97">
        <f t="shared" si="60"/>
        <v>1765500</v>
      </c>
      <c r="X180" s="266">
        <f t="shared" si="52"/>
        <v>-7.4505805969238281E-8</v>
      </c>
      <c r="Y180" s="256">
        <f t="shared" si="61"/>
        <v>14.124000000000001</v>
      </c>
      <c r="Z180" s="229"/>
      <c r="AA180" s="229"/>
      <c r="AB180" s="297">
        <f>AB179+AI180</f>
        <v>51.994563109262117</v>
      </c>
      <c r="AC180" s="297"/>
      <c r="AD180" s="297"/>
      <c r="AE180" s="297"/>
      <c r="AF180" s="178" t="str">
        <f t="shared" si="63"/>
        <v>TRK_200_1</v>
      </c>
      <c r="AG180" s="192" t="s">
        <v>1404</v>
      </c>
      <c r="AH180" s="232">
        <f t="shared" si="53"/>
        <v>-5.960464477539063E-13</v>
      </c>
      <c r="AI180" s="232">
        <f t="shared" si="54"/>
        <v>14.124000000000596</v>
      </c>
      <c r="AJ180" s="276" t="s">
        <v>1405</v>
      </c>
      <c r="AK180" s="276" t="s">
        <v>1406</v>
      </c>
      <c r="AL180" s="276">
        <v>12.84</v>
      </c>
      <c r="AM180" s="276">
        <v>12.84</v>
      </c>
      <c r="AN180" s="276">
        <v>12.84</v>
      </c>
    </row>
    <row r="181" spans="1:42" ht="15.75">
      <c r="A181" t="s">
        <v>1398</v>
      </c>
      <c r="C181" s="3"/>
      <c r="D181" s="3"/>
      <c r="E181" s="3" t="s">
        <v>766</v>
      </c>
      <c r="F181" s="3" t="s">
        <v>764</v>
      </c>
      <c r="G181" s="3"/>
      <c r="H181" s="3" t="s">
        <v>768</v>
      </c>
      <c r="I181" s="3" t="s">
        <v>769</v>
      </c>
      <c r="J181" s="3"/>
      <c r="L181" s="257" t="s">
        <v>1403</v>
      </c>
      <c r="M181" s="257" t="s">
        <v>1407</v>
      </c>
      <c r="O181" s="263" t="str">
        <f t="shared" si="57"/>
        <v>201/18:40</v>
      </c>
      <c r="P181" s="179" t="str">
        <f t="shared" si="58"/>
        <v>201_1</v>
      </c>
      <c r="Q181" s="237">
        <f>R180-1</f>
        <v>615002873.13236058</v>
      </c>
      <c r="R181" s="307">
        <v>615335513</v>
      </c>
      <c r="S181" s="104">
        <f t="shared" si="50"/>
        <v>332639.86763942242</v>
      </c>
      <c r="T181" s="104">
        <f>S181*$V$17</f>
        <v>706819.2937498563</v>
      </c>
      <c r="U181" s="3">
        <v>0</v>
      </c>
      <c r="V181" s="142">
        <f t="shared" si="51"/>
        <v>706819.2937498563</v>
      </c>
      <c r="W181" s="97">
        <f t="shared" si="60"/>
        <v>1962125.0000000002</v>
      </c>
      <c r="X181" s="266">
        <f t="shared" si="52"/>
        <v>1255305.7062501439</v>
      </c>
      <c r="Y181" s="256">
        <f t="shared" si="61"/>
        <v>15.697000000000001</v>
      </c>
      <c r="Z181" s="229"/>
      <c r="AA181" s="229"/>
      <c r="AB181" s="297">
        <f>AB180+AI181</f>
        <v>57.649117459260964</v>
      </c>
      <c r="AC181" s="297"/>
      <c r="AD181" s="297"/>
      <c r="AE181" s="297"/>
      <c r="AF181" s="178" t="str">
        <f t="shared" si="63"/>
        <v>TRK_201_1</v>
      </c>
      <c r="AG181" s="192" t="s">
        <v>1408</v>
      </c>
      <c r="AH181" s="232">
        <f t="shared" si="53"/>
        <v>10.042445650001152</v>
      </c>
      <c r="AI181" s="232">
        <f t="shared" si="54"/>
        <v>5.6545543499988504</v>
      </c>
      <c r="AJ181" s="276" t="s">
        <v>1409</v>
      </c>
      <c r="AK181" s="276" t="s">
        <v>1410</v>
      </c>
      <c r="AL181" s="276">
        <v>14.27</v>
      </c>
      <c r="AM181" s="276">
        <v>14.27</v>
      </c>
      <c r="AN181" s="276">
        <v>14.27</v>
      </c>
    </row>
    <row r="182" spans="1:42" ht="15.75">
      <c r="A182" t="s">
        <v>1411</v>
      </c>
      <c r="C182" s="3"/>
      <c r="D182" s="3"/>
      <c r="E182" s="3"/>
      <c r="F182" s="3"/>
      <c r="G182" s="3" t="s">
        <v>765</v>
      </c>
      <c r="H182" s="3"/>
      <c r="I182" s="3"/>
      <c r="J182" s="3"/>
      <c r="L182" s="257" t="s">
        <v>1301</v>
      </c>
      <c r="M182" s="257" t="s">
        <v>1412</v>
      </c>
      <c r="O182" s="263"/>
      <c r="P182" s="179" t="str">
        <f t="shared" si="58"/>
        <v/>
      </c>
      <c r="Q182" s="310">
        <f>Q158</f>
        <v>613559215</v>
      </c>
      <c r="R182" s="104">
        <f>((W182-U182*$V$23)/$V$18)+Q182</f>
        <v>614308973.7444849</v>
      </c>
      <c r="S182" s="104">
        <f t="shared" si="50"/>
        <v>749758.74448490143</v>
      </c>
      <c r="T182" s="104">
        <f>S182*$V$18</f>
        <v>1255305.7062501269</v>
      </c>
      <c r="U182" s="3">
        <v>0</v>
      </c>
      <c r="V182" s="142">
        <f t="shared" si="51"/>
        <v>1255305.7062501269</v>
      </c>
      <c r="W182" s="311">
        <f>X181</f>
        <v>1255305.7062501439</v>
      </c>
      <c r="X182" s="266">
        <f t="shared" si="52"/>
        <v>1.6996636986732483E-8</v>
      </c>
      <c r="AB182" s="297">
        <f>AB181+AI182</f>
        <v>67.691563109261978</v>
      </c>
      <c r="AC182" s="297"/>
      <c r="AD182" s="297"/>
      <c r="AE182" s="297"/>
      <c r="AH182" s="232">
        <f t="shared" si="53"/>
        <v>1.3597309589385986E-13</v>
      </c>
      <c r="AI182" s="232">
        <f t="shared" si="54"/>
        <v>10.042445650001016</v>
      </c>
    </row>
    <row r="183" spans="1:42" ht="14.25">
      <c r="C183" s="3"/>
      <c r="D183" s="3"/>
      <c r="E183" s="3"/>
      <c r="F183" s="3"/>
      <c r="G183" s="3"/>
      <c r="H183" s="3"/>
      <c r="I183" s="3"/>
      <c r="J183" s="3"/>
      <c r="AL183" t="s">
        <v>1413</v>
      </c>
      <c r="AO183">
        <f>30.53+12.81+49.55-12.87</f>
        <v>80.02</v>
      </c>
    </row>
    <row r="184" spans="1:42" ht="15.75">
      <c r="C184" s="3"/>
      <c r="D184" s="3"/>
      <c r="E184" s="3"/>
      <c r="F184" s="3"/>
      <c r="G184" s="3"/>
      <c r="H184" s="3"/>
      <c r="I184" s="3"/>
      <c r="J184" s="3"/>
      <c r="O184" s="292" t="s">
        <v>1414</v>
      </c>
      <c r="P184" s="81" t="s">
        <v>1415</v>
      </c>
      <c r="Q184" s="81" t="s">
        <v>1416</v>
      </c>
      <c r="R184" s="81">
        <v>615338922</v>
      </c>
      <c r="S184" s="81">
        <v>1</v>
      </c>
      <c r="T184" s="81" t="s">
        <v>373</v>
      </c>
      <c r="U184" s="81" t="s">
        <v>1417</v>
      </c>
      <c r="V184" s="81" t="s">
        <v>382</v>
      </c>
      <c r="W184" s="81"/>
      <c r="X184" s="81" t="s">
        <v>1418</v>
      </c>
      <c r="AA184" s="229"/>
      <c r="AF184" s="178" t="str">
        <f>MID(AJ184,7,9)</f>
        <v>TRK_202_1</v>
      </c>
      <c r="AG184" s="192" t="s">
        <v>1419</v>
      </c>
      <c r="AH184" s="232"/>
      <c r="AI184" s="232"/>
      <c r="AJ184" s="276" t="s">
        <v>1420</v>
      </c>
      <c r="AK184" s="276" t="s">
        <v>1421</v>
      </c>
      <c r="AL184" s="312">
        <v>30.53</v>
      </c>
      <c r="AM184" s="312">
        <v>-3.95</v>
      </c>
      <c r="AN184" s="312">
        <v>-3.95</v>
      </c>
      <c r="AO184">
        <f>AN184+AL184</f>
        <v>26.580000000000002</v>
      </c>
      <c r="AP184">
        <f>AO184</f>
        <v>26.580000000000002</v>
      </c>
    </row>
    <row r="185" spans="1:42" ht="15.75">
      <c r="C185" s="3"/>
      <c r="D185" s="3"/>
      <c r="E185" s="3"/>
      <c r="F185" s="3"/>
      <c r="G185" s="3"/>
      <c r="H185" s="3"/>
      <c r="I185" s="3"/>
      <c r="J185" s="3"/>
      <c r="K185" t="s">
        <v>1422</v>
      </c>
      <c r="Y185" s="253">
        <f>1.1*AN185</f>
        <v>-13.552000000000001</v>
      </c>
      <c r="Z185" s="229"/>
      <c r="AA185" s="229"/>
      <c r="AF185" s="178" t="str">
        <f>MID(AJ185,7,9)</f>
        <v>TRK_203_2</v>
      </c>
      <c r="AG185" s="192" t="s">
        <v>1423</v>
      </c>
      <c r="AH185" s="232">
        <f>X185*8/1000000</f>
        <v>0</v>
      </c>
      <c r="AI185" s="232">
        <f>V185*8/1000000</f>
        <v>0</v>
      </c>
      <c r="AJ185" s="276" t="s">
        <v>1424</v>
      </c>
      <c r="AK185" s="276" t="s">
        <v>1425</v>
      </c>
      <c r="AL185" s="312">
        <v>12.81</v>
      </c>
      <c r="AM185" s="312">
        <v>-8.3699999999999992</v>
      </c>
      <c r="AN185" s="312">
        <v>-12.32</v>
      </c>
      <c r="AO185">
        <f>AN185+AL185</f>
        <v>0.49000000000000021</v>
      </c>
      <c r="AP185">
        <f>AP184+AO185</f>
        <v>27.07</v>
      </c>
    </row>
    <row r="186" spans="1:42" ht="15.75">
      <c r="A186" t="s">
        <v>1411</v>
      </c>
      <c r="C186" s="3"/>
      <c r="D186" s="3"/>
      <c r="E186" s="3"/>
      <c r="F186" s="3"/>
      <c r="G186" s="3" t="s">
        <v>765</v>
      </c>
      <c r="H186" s="3"/>
      <c r="I186" s="3"/>
      <c r="J186" s="3"/>
      <c r="L186" s="257" t="s">
        <v>1412</v>
      </c>
      <c r="M186" s="257" t="s">
        <v>1426</v>
      </c>
      <c r="O186" s="263" t="str">
        <f>AG186</f>
        <v>204/12:55</v>
      </c>
      <c r="P186" s="179" t="str">
        <f>MID(AJ186,11,5)</f>
        <v>204_1</v>
      </c>
      <c r="Q186" s="237">
        <f>R182-1</f>
        <v>614308972.7444849</v>
      </c>
      <c r="R186" s="104">
        <f>((W186-U186*$V$23)/$V$18)+Q186</f>
        <v>615365919.91807222</v>
      </c>
      <c r="S186" s="104">
        <f>R186-Q186</f>
        <v>1056947.1735873222</v>
      </c>
      <c r="T186" s="104">
        <f>S186*$V$18</f>
        <v>1769625.0000000207</v>
      </c>
      <c r="U186" s="3">
        <v>0</v>
      </c>
      <c r="V186" s="142">
        <f>T186+U186*$V$23</f>
        <v>1769625.0000000207</v>
      </c>
      <c r="W186" s="97">
        <f>Y186*1000000/8</f>
        <v>1769625</v>
      </c>
      <c r="X186" s="266">
        <f>W186-V186</f>
        <v>-2.0721927285194397E-8</v>
      </c>
      <c r="Y186" s="256">
        <f>1.1*AN186</f>
        <v>14.157</v>
      </c>
      <c r="Z186" s="229"/>
      <c r="AA186" s="229"/>
      <c r="AB186" s="297">
        <f>AB182+AI186</f>
        <v>81.848563109262145</v>
      </c>
      <c r="AC186" s="297"/>
      <c r="AD186" s="297"/>
      <c r="AE186" s="297"/>
      <c r="AF186" s="178" t="str">
        <f>MID(AJ186,7,9)</f>
        <v>TRK_204_1</v>
      </c>
      <c r="AG186" s="192" t="s">
        <v>1427</v>
      </c>
      <c r="AH186" s="232">
        <f>X186*8/1000000</f>
        <v>-1.6577541828155517E-13</v>
      </c>
      <c r="AI186" s="232">
        <f>V186*8/1000000</f>
        <v>14.157000000000165</v>
      </c>
      <c r="AJ186" s="276" t="s">
        <v>1428</v>
      </c>
      <c r="AK186" s="276" t="s">
        <v>1429</v>
      </c>
      <c r="AL186" s="312">
        <v>49.55</v>
      </c>
      <c r="AM186" s="312">
        <v>25.2</v>
      </c>
      <c r="AN186" s="312">
        <v>12.87</v>
      </c>
      <c r="AO186">
        <f>AN186+AL186</f>
        <v>62.419999999999995</v>
      </c>
      <c r="AP186">
        <f>AP185+AO186</f>
        <v>89.49</v>
      </c>
    </row>
    <row r="187" spans="1:42" ht="15.75">
      <c r="A187" t="s">
        <v>1318</v>
      </c>
      <c r="C187" s="3"/>
      <c r="D187" s="3"/>
      <c r="E187" s="3"/>
      <c r="F187" s="3"/>
      <c r="G187" s="3"/>
      <c r="H187" s="3"/>
      <c r="I187" s="3"/>
      <c r="J187" s="3"/>
      <c r="L187" s="226" t="s">
        <v>1384</v>
      </c>
      <c r="M187" s="226" t="s">
        <v>1430</v>
      </c>
      <c r="O187" s="263" t="str">
        <f>AG187</f>
        <v>206/11:24</v>
      </c>
      <c r="P187" s="179" t="str">
        <f>MID(AJ187,11,5)</f>
        <v>206_1</v>
      </c>
      <c r="Q187" s="237">
        <f>R176-3</f>
        <v>601328548.60343111</v>
      </c>
      <c r="R187" s="104">
        <f>((W187)/$X$9)+Q187</f>
        <v>601729597.64680207</v>
      </c>
      <c r="S187" s="104">
        <f>R187-Q187</f>
        <v>401049.04337096214</v>
      </c>
      <c r="T187" s="104">
        <f>S187*$X$9</f>
        <v>1482250.0000000775</v>
      </c>
      <c r="U187" s="3">
        <v>0</v>
      </c>
      <c r="V187" s="97">
        <f>T187+U187*$V$23</f>
        <v>1482250.0000000775</v>
      </c>
      <c r="W187" s="97">
        <f>Y187*1000000/8</f>
        <v>1482250</v>
      </c>
      <c r="X187" s="266">
        <f>W187-V187</f>
        <v>-7.7532604336738586E-8</v>
      </c>
      <c r="Y187" s="256">
        <f>1.1*AN187</f>
        <v>11.858000000000001</v>
      </c>
      <c r="Z187" s="229"/>
      <c r="AA187" s="308">
        <f>AA176+AI187</f>
        <v>161.36143689077068</v>
      </c>
      <c r="AB187" s="297"/>
      <c r="AC187" s="297"/>
      <c r="AD187" s="297"/>
      <c r="AE187" s="297"/>
      <c r="AF187" s="178" t="str">
        <f>MID(AJ187,7,9)</f>
        <v>TRK_206_1</v>
      </c>
      <c r="AG187" s="192" t="s">
        <v>1431</v>
      </c>
      <c r="AH187" s="232">
        <f>X187*8/1000000</f>
        <v>-6.2026083469390872E-13</v>
      </c>
      <c r="AI187" s="232">
        <f>V187*8/1000000</f>
        <v>11.85800000000062</v>
      </c>
      <c r="AJ187" s="276" t="s">
        <v>1432</v>
      </c>
      <c r="AK187" s="276" t="s">
        <v>1433</v>
      </c>
      <c r="AL187" s="276">
        <v>10.78</v>
      </c>
      <c r="AM187" s="276">
        <v>10.78</v>
      </c>
      <c r="AN187" s="276">
        <v>10.78</v>
      </c>
    </row>
    <row r="188" spans="1:42" ht="15.75">
      <c r="A188" t="s">
        <v>1318</v>
      </c>
      <c r="C188" s="3"/>
      <c r="D188" s="3"/>
      <c r="E188" s="3"/>
      <c r="F188" s="3"/>
      <c r="G188" s="3"/>
      <c r="H188" s="3"/>
      <c r="I188" s="3"/>
      <c r="J188" s="3"/>
      <c r="L188" s="226" t="s">
        <v>1430</v>
      </c>
      <c r="M188" s="226" t="s">
        <v>1434</v>
      </c>
      <c r="O188" s="263" t="str">
        <f>AG188</f>
        <v>207/15:24</v>
      </c>
      <c r="P188" s="179" t="str">
        <f>MID(AJ188,11,5)</f>
        <v>207_1</v>
      </c>
      <c r="Q188" s="237">
        <f>R187-3</f>
        <v>601729594.64680207</v>
      </c>
      <c r="R188" s="104">
        <f>((W188)/$X$9)+Q188</f>
        <v>601814789.66621947</v>
      </c>
      <c r="S188" s="104">
        <f>R188-Q188</f>
        <v>85195.019417405128</v>
      </c>
      <c r="T188" s="104">
        <f>S188*$X$9</f>
        <v>314875.00000005896</v>
      </c>
      <c r="U188" s="3">
        <v>0</v>
      </c>
      <c r="V188" s="97">
        <f>T188+U188*$V$23</f>
        <v>314875.00000005896</v>
      </c>
      <c r="W188" s="97">
        <f>Y188*1000000/8</f>
        <v>314875</v>
      </c>
      <c r="X188" s="266">
        <f>W188-V188</f>
        <v>-5.8964360505342484E-8</v>
      </c>
      <c r="Y188" s="256">
        <f>1.1*AN188</f>
        <v>2.5190000000000001</v>
      </c>
      <c r="Z188" s="229"/>
      <c r="AA188" s="308">
        <f>AA187+AI188</f>
        <v>163.88043689077114</v>
      </c>
      <c r="AB188" s="297"/>
      <c r="AC188" s="297"/>
      <c r="AD188" s="297"/>
      <c r="AE188" s="297"/>
      <c r="AF188" s="178" t="str">
        <f>MID(AJ188,7,9)</f>
        <v>TRK_207_1</v>
      </c>
      <c r="AG188" s="192" t="s">
        <v>1435</v>
      </c>
      <c r="AH188" s="232">
        <f>X188*8/1000000</f>
        <v>-4.7171488404273987E-13</v>
      </c>
      <c r="AI188" s="232">
        <f>V188*8/1000000</f>
        <v>2.5190000000004718</v>
      </c>
      <c r="AJ188" s="276" t="s">
        <v>1436</v>
      </c>
      <c r="AK188" s="276" t="s">
        <v>1437</v>
      </c>
      <c r="AL188" s="276">
        <v>2.29</v>
      </c>
      <c r="AM188" s="276">
        <v>2.29</v>
      </c>
      <c r="AN188" s="276">
        <v>2.29</v>
      </c>
    </row>
    <row r="189" spans="1:42" ht="14.25">
      <c r="C189" s="3"/>
      <c r="D189" s="3"/>
      <c r="E189" s="3"/>
      <c r="F189" s="3"/>
      <c r="G189" s="3"/>
      <c r="H189" s="3"/>
      <c r="I189" s="3"/>
      <c r="J189" s="3"/>
      <c r="AB189">
        <f>36+42+56+105+AB186</f>
        <v>320.84856310926216</v>
      </c>
      <c r="AC189">
        <f>37+82</f>
        <v>119</v>
      </c>
    </row>
    <row r="190" spans="1:42" ht="14.25">
      <c r="C190" s="3"/>
      <c r="D190" s="3"/>
      <c r="E190" s="3"/>
      <c r="F190" s="3"/>
      <c r="G190" s="3"/>
      <c r="H190" s="3"/>
      <c r="I190" s="3"/>
      <c r="J190" s="3"/>
      <c r="P190" s="81" t="s">
        <v>1438</v>
      </c>
      <c r="Q190" s="81" t="s">
        <v>1439</v>
      </c>
      <c r="R190" s="81">
        <v>615780416</v>
      </c>
      <c r="S190" s="81">
        <v>7</v>
      </c>
      <c r="T190" s="81" t="s">
        <v>373</v>
      </c>
      <c r="U190" s="81" t="s">
        <v>1440</v>
      </c>
      <c r="V190" s="81" t="s">
        <v>866</v>
      </c>
      <c r="W190" s="81" t="s">
        <v>867</v>
      </c>
      <c r="Z190" s="81" t="s">
        <v>1441</v>
      </c>
    </row>
    <row r="191" spans="1:42" ht="14.25">
      <c r="C191" s="3"/>
      <c r="D191" s="3"/>
      <c r="E191" s="3"/>
      <c r="F191" s="3"/>
      <c r="G191" s="3"/>
      <c r="H191" s="3"/>
      <c r="I191" s="3"/>
      <c r="J191" s="3"/>
      <c r="P191" s="81" t="s">
        <v>1442</v>
      </c>
      <c r="Q191" s="81" t="s">
        <v>1443</v>
      </c>
      <c r="R191" s="81">
        <v>615782106</v>
      </c>
      <c r="S191" s="81">
        <v>0</v>
      </c>
      <c r="T191" s="81" t="s">
        <v>1124</v>
      </c>
      <c r="U191" s="81" t="s">
        <v>1440</v>
      </c>
      <c r="V191" s="81" t="s">
        <v>1444</v>
      </c>
      <c r="W191" s="81"/>
      <c r="Z191" s="81" t="s">
        <v>1441</v>
      </c>
      <c r="AB191">
        <f>380*0.12</f>
        <v>45.6</v>
      </c>
    </row>
    <row r="192" spans="1:42" ht="14.25">
      <c r="C192" s="3"/>
      <c r="D192" s="3"/>
      <c r="E192" s="3"/>
      <c r="F192" s="3"/>
      <c r="G192" s="3"/>
      <c r="H192" s="3"/>
      <c r="I192" s="3"/>
      <c r="J192" s="3"/>
      <c r="P192" s="81" t="s">
        <v>1445</v>
      </c>
      <c r="Q192" s="81" t="s">
        <v>1446</v>
      </c>
      <c r="R192" s="81">
        <v>615782109</v>
      </c>
      <c r="S192" s="81">
        <v>0</v>
      </c>
      <c r="T192" s="81" t="s">
        <v>1124</v>
      </c>
      <c r="U192" s="81" t="s">
        <v>1440</v>
      </c>
      <c r="V192" s="81" t="s">
        <v>1447</v>
      </c>
      <c r="W192" s="81"/>
      <c r="Z192" s="81" t="s">
        <v>1441</v>
      </c>
    </row>
    <row r="193" spans="1:44" ht="14.25">
      <c r="C193" s="3"/>
      <c r="D193" s="3"/>
      <c r="E193" s="3"/>
      <c r="F193" s="3"/>
      <c r="G193" s="3"/>
      <c r="H193" s="3"/>
      <c r="I193" s="3"/>
      <c r="J193" s="3"/>
      <c r="P193" s="81" t="s">
        <v>1448</v>
      </c>
      <c r="Q193" s="81" t="s">
        <v>1449</v>
      </c>
      <c r="R193" s="81">
        <v>615782112</v>
      </c>
      <c r="S193" s="81">
        <v>0</v>
      </c>
      <c r="T193" s="81" t="s">
        <v>1124</v>
      </c>
      <c r="U193" s="81" t="s">
        <v>1450</v>
      </c>
      <c r="V193" s="81" t="s">
        <v>1160</v>
      </c>
      <c r="W193" s="81"/>
      <c r="Z193" s="81" t="s">
        <v>1441</v>
      </c>
    </row>
    <row r="194" spans="1:44" ht="14.25">
      <c r="P194" s="81" t="s">
        <v>1451</v>
      </c>
      <c r="Q194" s="81" t="s">
        <v>1452</v>
      </c>
      <c r="R194" s="81">
        <v>615782115</v>
      </c>
      <c r="S194" s="81">
        <v>0</v>
      </c>
      <c r="T194" s="81" t="s">
        <v>1124</v>
      </c>
      <c r="U194" s="81" t="s">
        <v>1450</v>
      </c>
      <c r="V194" s="81" t="s">
        <v>1164</v>
      </c>
      <c r="W194" s="81"/>
      <c r="Z194" s="81" t="s">
        <v>1441</v>
      </c>
    </row>
    <row r="195" spans="1:44" ht="14.25">
      <c r="AJ195" t="s">
        <v>1453</v>
      </c>
      <c r="AK195" t="s">
        <v>1454</v>
      </c>
      <c r="AL195" t="s">
        <v>1455</v>
      </c>
      <c r="AM195" t="s">
        <v>1456</v>
      </c>
      <c r="AN195" t="s">
        <v>1457</v>
      </c>
      <c r="AO195" t="s">
        <v>1458</v>
      </c>
      <c r="AP195" s="313" t="s">
        <v>1459</v>
      </c>
      <c r="AQ195" t="s">
        <v>1460</v>
      </c>
    </row>
    <row r="196" spans="1:44" ht="14.25">
      <c r="P196" s="59">
        <v>25207</v>
      </c>
      <c r="T196" s="3"/>
      <c r="V196" s="93"/>
      <c r="X196" t="s">
        <v>1010</v>
      </c>
      <c r="AP196" s="313"/>
    </row>
    <row r="197" spans="1:44" ht="14.25">
      <c r="P197" s="73" t="s">
        <v>837</v>
      </c>
      <c r="Q197" s="72" t="s">
        <v>65</v>
      </c>
      <c r="R197" s="73" t="s">
        <v>66</v>
      </c>
      <c r="S197" s="73" t="s">
        <v>67</v>
      </c>
      <c r="T197" s="74" t="s">
        <v>68</v>
      </c>
      <c r="U197" s="3" t="s">
        <v>176</v>
      </c>
      <c r="V197" s="74" t="s">
        <v>265</v>
      </c>
      <c r="W197" s="73" t="s">
        <v>266</v>
      </c>
      <c r="X197" s="73" t="s">
        <v>70</v>
      </c>
      <c r="AJ197" t="s">
        <v>1461</v>
      </c>
      <c r="AK197" t="s">
        <v>1462</v>
      </c>
      <c r="AL197">
        <v>2.7576000000000001</v>
      </c>
      <c r="AM197">
        <v>8</v>
      </c>
      <c r="AN197">
        <v>1.7008620000000001</v>
      </c>
      <c r="AO197">
        <v>0</v>
      </c>
      <c r="AP197" s="313"/>
      <c r="AQ197">
        <v>0</v>
      </c>
    </row>
    <row r="198" spans="1:44" ht="14.25">
      <c r="P198" s="224" t="s">
        <v>1463</v>
      </c>
      <c r="Q198" s="224" t="s">
        <v>1464</v>
      </c>
      <c r="R198" s="224">
        <v>615306116</v>
      </c>
      <c r="S198" s="224">
        <v>8</v>
      </c>
      <c r="T198" s="224" t="s">
        <v>373</v>
      </c>
      <c r="U198" s="224" t="s">
        <v>1465</v>
      </c>
      <c r="V198" s="224" t="s">
        <v>816</v>
      </c>
      <c r="W198" s="224" t="s">
        <v>817</v>
      </c>
      <c r="X198" s="224" t="s">
        <v>1466</v>
      </c>
      <c r="AJ198" t="s">
        <v>1467</v>
      </c>
      <c r="AK198" t="s">
        <v>1468</v>
      </c>
      <c r="AL198">
        <v>1.3248500000000001</v>
      </c>
      <c r="AM198">
        <v>2</v>
      </c>
      <c r="AN198">
        <v>0.84326100000000004</v>
      </c>
      <c r="AO198">
        <v>0</v>
      </c>
      <c r="AP198" s="313"/>
      <c r="AQ198">
        <v>0</v>
      </c>
    </row>
    <row r="199" spans="1:44" ht="14.25">
      <c r="P199" s="224" t="s">
        <v>1469</v>
      </c>
      <c r="Q199" s="224" t="s">
        <v>1470</v>
      </c>
      <c r="R199" s="224">
        <v>615312896</v>
      </c>
      <c r="S199" s="224">
        <v>0</v>
      </c>
      <c r="T199" s="224" t="s">
        <v>826</v>
      </c>
      <c r="U199" s="224" t="s">
        <v>1465</v>
      </c>
      <c r="V199" s="224" t="s">
        <v>1471</v>
      </c>
      <c r="W199" s="224"/>
      <c r="X199" s="224" t="s">
        <v>1472</v>
      </c>
      <c r="AP199" s="313"/>
    </row>
    <row r="200" spans="1:44" ht="14.25">
      <c r="P200" s="224" t="s">
        <v>1473</v>
      </c>
      <c r="Q200" s="224" t="s">
        <v>1474</v>
      </c>
      <c r="R200" s="224">
        <v>615338560</v>
      </c>
      <c r="S200" s="224">
        <v>0</v>
      </c>
      <c r="T200" s="224" t="s">
        <v>826</v>
      </c>
      <c r="U200" s="224" t="s">
        <v>1475</v>
      </c>
      <c r="V200" s="224" t="s">
        <v>828</v>
      </c>
      <c r="W200" s="224"/>
      <c r="X200" s="224" t="s">
        <v>1476</v>
      </c>
      <c r="AP200" s="313"/>
    </row>
    <row r="201" spans="1:44" ht="14.25">
      <c r="P201" s="224" t="s">
        <v>1477</v>
      </c>
      <c r="Q201" s="224" t="s">
        <v>1478</v>
      </c>
      <c r="R201" s="224">
        <v>615339001</v>
      </c>
      <c r="S201" s="224">
        <v>1</v>
      </c>
      <c r="T201" s="224" t="s">
        <v>373</v>
      </c>
      <c r="U201" s="224" t="s">
        <v>1475</v>
      </c>
      <c r="V201" s="224" t="s">
        <v>833</v>
      </c>
      <c r="W201" s="224"/>
      <c r="X201" s="224" t="s">
        <v>1476</v>
      </c>
      <c r="AP201" s="313"/>
    </row>
    <row r="202" spans="1:44" ht="14.25">
      <c r="AP202" s="313"/>
    </row>
    <row r="203" spans="1:44" ht="15.75">
      <c r="A203" t="s">
        <v>1318</v>
      </c>
      <c r="C203" s="3"/>
      <c r="D203" s="3"/>
      <c r="E203" s="3"/>
      <c r="F203" s="3"/>
      <c r="G203" s="3"/>
      <c r="H203" s="3"/>
      <c r="I203" s="3"/>
      <c r="J203" s="3"/>
      <c r="L203" s="226" t="s">
        <v>1434</v>
      </c>
      <c r="M203" s="226" t="s">
        <v>1479</v>
      </c>
      <c r="O203" s="263" t="str">
        <f>AG203</f>
        <v>209/22:54</v>
      </c>
      <c r="P203" s="179" t="str">
        <f>MID(AJ203,5,5)</f>
        <v>209_2</v>
      </c>
      <c r="Q203" s="237">
        <f>R188-3</f>
        <v>601814786.66621947</v>
      </c>
      <c r="R203" s="104">
        <f>((W203)/$X$9)+Q203</f>
        <v>601824016.27321386</v>
      </c>
      <c r="S203" s="104">
        <f t="shared" ref="S203:S210" si="64">R203-Q203</f>
        <v>9229.6069943904877</v>
      </c>
      <c r="T203" s="104">
        <f>S203*$X$9</f>
        <v>34111.999999914609</v>
      </c>
      <c r="U203" s="3">
        <v>0</v>
      </c>
      <c r="V203" s="97">
        <f t="shared" ref="V203:V210" si="65">T203+U203*$V$23</f>
        <v>34111.999999914609</v>
      </c>
      <c r="W203" s="97">
        <f>Y203*1000000/8</f>
        <v>34112</v>
      </c>
      <c r="X203" s="266">
        <f t="shared" ref="X203:X210" si="66">W203-V203</f>
        <v>8.5390638560056686E-8</v>
      </c>
      <c r="Y203" s="256">
        <f>AP203</f>
        <v>0.27289600000000003</v>
      </c>
      <c r="Z203" s="229"/>
      <c r="AA203" s="308">
        <f>AA198+AI203</f>
        <v>0.27289599999931685</v>
      </c>
      <c r="AF203" s="178" t="str">
        <f>AJ203</f>
        <v>TRK_209_2</v>
      </c>
      <c r="AG203" s="192" t="s">
        <v>1480</v>
      </c>
      <c r="AH203" s="232">
        <f t="shared" ref="AH203:AH210" si="67">X203*8/1000000</f>
        <v>6.8312510848045349E-13</v>
      </c>
      <c r="AI203" s="232">
        <f t="shared" ref="AI203:AI210" si="68">V203*8/1000000</f>
        <v>0.27289599999931685</v>
      </c>
      <c r="AJ203" t="s">
        <v>1481</v>
      </c>
      <c r="AK203" t="s">
        <v>1482</v>
      </c>
      <c r="AL203">
        <v>0.67269000000000001</v>
      </c>
      <c r="AM203">
        <v>9</v>
      </c>
      <c r="AN203">
        <v>0.70681099999999997</v>
      </c>
      <c r="AO203">
        <v>3.4112000000000003E-2</v>
      </c>
      <c r="AP203" s="313">
        <f>AO203*8</f>
        <v>0.27289600000000003</v>
      </c>
      <c r="AQ203">
        <v>0.30018699999999998</v>
      </c>
      <c r="AR203">
        <f>AQ203</f>
        <v>0.30018699999999998</v>
      </c>
    </row>
    <row r="204" spans="1:44" ht="15.75">
      <c r="A204" t="s">
        <v>1483</v>
      </c>
      <c r="C204" s="3"/>
      <c r="D204" s="3"/>
      <c r="E204" s="3"/>
      <c r="F204" s="3"/>
      <c r="G204" s="3"/>
      <c r="H204" s="3"/>
      <c r="I204" s="3"/>
      <c r="J204" s="3"/>
      <c r="L204" s="226" t="s">
        <v>1484</v>
      </c>
      <c r="M204" s="226" t="s">
        <v>1485</v>
      </c>
      <c r="O204" s="263" t="str">
        <f>AG204</f>
        <v>210/20:49</v>
      </c>
      <c r="P204" s="179" t="str">
        <f>MID(AJ204,5,5)</f>
        <v>210_2</v>
      </c>
      <c r="Q204" s="237">
        <f>R198-20</f>
        <v>615306096</v>
      </c>
      <c r="R204" s="104">
        <f>R201+20</f>
        <v>615339021</v>
      </c>
      <c r="S204" s="104">
        <f t="shared" si="64"/>
        <v>32925</v>
      </c>
      <c r="T204" s="104">
        <f>W204</f>
        <v>845631</v>
      </c>
      <c r="U204" s="3">
        <v>0</v>
      </c>
      <c r="V204" s="97">
        <f t="shared" si="65"/>
        <v>845631</v>
      </c>
      <c r="W204" s="97">
        <f>Y204*1000000/8</f>
        <v>845631</v>
      </c>
      <c r="X204" s="266">
        <f t="shared" si="66"/>
        <v>0</v>
      </c>
      <c r="Y204" s="256">
        <f>AP204</f>
        <v>6.7650480000000002</v>
      </c>
      <c r="Z204" s="229"/>
      <c r="AA204" s="308">
        <f>AA203+AI204</f>
        <v>7.0379439999993174</v>
      </c>
      <c r="AF204" s="178" t="str">
        <f>AJ204</f>
        <v>TRK_210_2</v>
      </c>
      <c r="AG204" s="192" t="s">
        <v>1486</v>
      </c>
      <c r="AH204" s="232">
        <f t="shared" si="67"/>
        <v>0</v>
      </c>
      <c r="AI204" s="232">
        <f t="shared" si="68"/>
        <v>6.7650480000000002</v>
      </c>
      <c r="AJ204" t="s">
        <v>1487</v>
      </c>
      <c r="AK204" t="s">
        <v>1488</v>
      </c>
      <c r="AL204">
        <v>0.55793000000000004</v>
      </c>
      <c r="AM204">
        <v>7</v>
      </c>
      <c r="AN204">
        <v>1.4035679999999999</v>
      </c>
      <c r="AO204">
        <v>0.84563100000000002</v>
      </c>
      <c r="AP204" s="313">
        <f>AO204*8</f>
        <v>6.7650480000000002</v>
      </c>
      <c r="AQ204">
        <v>7.4415480000000001</v>
      </c>
      <c r="AR204">
        <f>AQ204+AQ203</f>
        <v>7.7417350000000003</v>
      </c>
    </row>
    <row r="205" spans="1:44" ht="15.75">
      <c r="A205" t="s">
        <v>1318</v>
      </c>
      <c r="C205" s="3"/>
      <c r="D205" s="3"/>
      <c r="E205" s="3"/>
      <c r="F205" s="3"/>
      <c r="G205" s="3"/>
      <c r="H205" s="3"/>
      <c r="I205" s="3"/>
      <c r="J205" s="3"/>
      <c r="L205" s="226" t="s">
        <v>1479</v>
      </c>
      <c r="M205" s="226" t="s">
        <v>1489</v>
      </c>
      <c r="O205" s="263" t="str">
        <f>AG205</f>
        <v>211/13:39</v>
      </c>
      <c r="P205" s="179" t="str">
        <f>MID(AJ205,5,5)</f>
        <v>211_1</v>
      </c>
      <c r="Q205" s="237">
        <f>R203-3</f>
        <v>601824013.27321386</v>
      </c>
      <c r="R205" s="104">
        <f>((W205)/$X$9)+Q205</f>
        <v>602046790.36870468</v>
      </c>
      <c r="S205" s="104">
        <f t="shared" si="64"/>
        <v>222777.09549081326</v>
      </c>
      <c r="T205" s="104">
        <f>S205*$X$9</f>
        <v>823368.99999992386</v>
      </c>
      <c r="U205" s="3">
        <v>0</v>
      </c>
      <c r="V205" s="97">
        <f t="shared" si="65"/>
        <v>823368.99999992386</v>
      </c>
      <c r="W205" s="97">
        <f>Y205*1000000/8</f>
        <v>823369</v>
      </c>
      <c r="X205" s="266">
        <f t="shared" si="66"/>
        <v>7.6135620474815369E-8</v>
      </c>
      <c r="Y205" s="256">
        <f>AP205</f>
        <v>6.5869520000000001</v>
      </c>
      <c r="Z205" s="229"/>
      <c r="AA205" s="308">
        <f>AA204+AI205</f>
        <v>13.624895999998708</v>
      </c>
      <c r="AF205" s="178" t="str">
        <f>AJ205</f>
        <v>TRK_211_1</v>
      </c>
      <c r="AG205" s="192" t="s">
        <v>1490</v>
      </c>
      <c r="AH205" s="232">
        <f t="shared" si="67"/>
        <v>6.0908496379852291E-13</v>
      </c>
      <c r="AI205" s="232">
        <f t="shared" si="68"/>
        <v>6.5869519999993908</v>
      </c>
      <c r="AJ205" t="s">
        <v>651</v>
      </c>
      <c r="AK205" t="s">
        <v>1491</v>
      </c>
      <c r="AL205">
        <v>0.24687999999999999</v>
      </c>
      <c r="AM205">
        <v>0</v>
      </c>
      <c r="AN205">
        <v>1.070249</v>
      </c>
      <c r="AO205">
        <v>0.82336900000000002</v>
      </c>
      <c r="AP205" s="313">
        <f>AO205*8</f>
        <v>6.5869520000000001</v>
      </c>
      <c r="AQ205">
        <v>7.2456469999999999</v>
      </c>
      <c r="AR205">
        <f>AQ205+AQ204</f>
        <v>14.687194999999999</v>
      </c>
    </row>
    <row r="206" spans="1:44" ht="15.75">
      <c r="A206" t="s">
        <v>1318</v>
      </c>
      <c r="C206" s="3"/>
      <c r="D206" s="3"/>
      <c r="E206" s="3"/>
      <c r="F206" s="3"/>
      <c r="G206" s="3"/>
      <c r="H206" s="3"/>
      <c r="I206" s="3"/>
      <c r="J206" s="3"/>
      <c r="L206" s="226" t="s">
        <v>1489</v>
      </c>
      <c r="M206" s="226" t="s">
        <v>1492</v>
      </c>
      <c r="O206" s="263" t="str">
        <f>AG206</f>
        <v>212/08:19</v>
      </c>
      <c r="P206" s="179" t="str">
        <f>MID(AJ206,5,5)</f>
        <v>212_1</v>
      </c>
      <c r="Q206" s="237">
        <f>R205-3</f>
        <v>602046787.36870468</v>
      </c>
      <c r="R206" s="104">
        <f>((W206)/$X$9)+Q206</f>
        <v>602076916.71076822</v>
      </c>
      <c r="S206" s="104">
        <f t="shared" si="64"/>
        <v>30129.342063546181</v>
      </c>
      <c r="T206" s="104">
        <f>S206*$X$9</f>
        <v>111356.0000001915</v>
      </c>
      <c r="U206" s="3">
        <v>0</v>
      </c>
      <c r="V206" s="97">
        <f t="shared" si="65"/>
        <v>111356.0000001915</v>
      </c>
      <c r="W206" s="97">
        <f>Y206*1000000/8</f>
        <v>111356</v>
      </c>
      <c r="X206" s="266">
        <f t="shared" si="66"/>
        <v>-1.9150320440530777E-7</v>
      </c>
      <c r="Y206" s="256">
        <f>AP206</f>
        <v>0.89084799999999997</v>
      </c>
      <c r="Z206" s="229"/>
      <c r="AA206" s="308">
        <f>AA205+AI206</f>
        <v>14.51574400000024</v>
      </c>
      <c r="AF206" s="178" t="str">
        <f>AJ206</f>
        <v>TRK_212_1</v>
      </c>
      <c r="AG206" s="192" t="s">
        <v>1493</v>
      </c>
      <c r="AH206" s="232">
        <f t="shared" si="67"/>
        <v>-1.5320256352424621E-12</v>
      </c>
      <c r="AI206" s="232">
        <f t="shared" si="68"/>
        <v>0.89084800000153208</v>
      </c>
      <c r="AJ206" t="s">
        <v>1494</v>
      </c>
      <c r="AK206" t="s">
        <v>1495</v>
      </c>
      <c r="AL206">
        <v>0.26268999999999998</v>
      </c>
      <c r="AM206">
        <v>7</v>
      </c>
      <c r="AN206">
        <v>0.37405300000000002</v>
      </c>
      <c r="AO206">
        <v>0.111356</v>
      </c>
      <c r="AP206" s="313">
        <f>AO206*8</f>
        <v>0.89084799999999997</v>
      </c>
      <c r="AQ206">
        <v>0.97992999999999997</v>
      </c>
      <c r="AR206">
        <f>AQ206+AQ205</f>
        <v>8.2255769999999995</v>
      </c>
    </row>
    <row r="207" spans="1:44" ht="15.75">
      <c r="A207" t="s">
        <v>1398</v>
      </c>
      <c r="C207" s="3"/>
      <c r="D207" s="3"/>
      <c r="E207" s="3" t="s">
        <v>766</v>
      </c>
      <c r="F207" s="3" t="s">
        <v>764</v>
      </c>
      <c r="G207" s="3"/>
      <c r="H207" s="3" t="s">
        <v>768</v>
      </c>
      <c r="I207" s="3" t="s">
        <v>769</v>
      </c>
      <c r="J207" s="3"/>
      <c r="L207" s="257" t="s">
        <v>1407</v>
      </c>
      <c r="M207" s="257" t="s">
        <v>1496</v>
      </c>
      <c r="N207" t="s">
        <v>167</v>
      </c>
      <c r="O207" s="263" t="str">
        <f>AG207</f>
        <v>212/20:54</v>
      </c>
      <c r="P207" s="179" t="str">
        <f>MID(AJ207,5,5)</f>
        <v>212_2</v>
      </c>
      <c r="Q207" s="237">
        <f>R181-1</f>
        <v>615335512</v>
      </c>
      <c r="R207" s="307">
        <f>R184+20</f>
        <v>615338942</v>
      </c>
      <c r="S207" s="104">
        <f t="shared" si="64"/>
        <v>3430</v>
      </c>
      <c r="T207" s="104">
        <f>S207*$V$17</f>
        <v>7288.3331597222032</v>
      </c>
      <c r="U207" s="3">
        <v>0</v>
      </c>
      <c r="V207" s="142">
        <f t="shared" si="65"/>
        <v>7288.3331597222032</v>
      </c>
      <c r="W207" s="97">
        <f>Y207*1000000/8</f>
        <v>1095433</v>
      </c>
      <c r="X207" s="266">
        <f t="shared" si="66"/>
        <v>1088144.6668402778</v>
      </c>
      <c r="Y207" s="256">
        <f>AP207</f>
        <v>8.7634640000000008</v>
      </c>
      <c r="Z207" s="229"/>
      <c r="AA207" s="229"/>
      <c r="AB207" s="297">
        <f>AI207</f>
        <v>5.8306665277777628E-2</v>
      </c>
      <c r="AC207" s="297"/>
      <c r="AD207" s="297"/>
      <c r="AE207" s="297"/>
      <c r="AF207" s="178" t="str">
        <f>AJ207</f>
        <v>TRK_212_2</v>
      </c>
      <c r="AG207" s="192" t="s">
        <v>1497</v>
      </c>
      <c r="AH207" s="232">
        <f t="shared" si="67"/>
        <v>8.7051573347222231</v>
      </c>
      <c r="AI207" s="232">
        <f t="shared" si="68"/>
        <v>5.8306665277777628E-2</v>
      </c>
      <c r="AJ207" t="s">
        <v>1498</v>
      </c>
      <c r="AK207" t="s">
        <v>1499</v>
      </c>
      <c r="AL207">
        <v>0.22791</v>
      </c>
      <c r="AM207">
        <v>1</v>
      </c>
      <c r="AN207">
        <v>1.3233440000000001</v>
      </c>
      <c r="AO207">
        <v>1.0954330000000001</v>
      </c>
      <c r="AP207" s="313">
        <f>AO207*8</f>
        <v>8.7634640000000008</v>
      </c>
      <c r="AQ207">
        <v>9.6398080000000004</v>
      </c>
      <c r="AR207">
        <f>AQ207+AQ206</f>
        <v>10.619738</v>
      </c>
    </row>
    <row r="208" spans="1:44" ht="15.75">
      <c r="A208" t="s">
        <v>1500</v>
      </c>
      <c r="C208" s="3"/>
      <c r="D208" s="3"/>
      <c r="E208" s="3" t="s">
        <v>766</v>
      </c>
      <c r="F208" s="3" t="s">
        <v>764</v>
      </c>
      <c r="G208" s="3" t="s">
        <v>765</v>
      </c>
      <c r="H208" s="3"/>
      <c r="I208" s="3"/>
      <c r="J208" s="3"/>
      <c r="K208" t="s">
        <v>1501</v>
      </c>
      <c r="L208" s="257" t="s">
        <v>1502</v>
      </c>
      <c r="M208" s="257" t="s">
        <v>1503</v>
      </c>
      <c r="O208" s="263"/>
      <c r="P208" s="179"/>
      <c r="Q208" s="303">
        <f>R190-20</f>
        <v>615780396</v>
      </c>
      <c r="R208" s="307">
        <f>R213</f>
        <v>615857156</v>
      </c>
      <c r="S208" s="104">
        <f t="shared" si="64"/>
        <v>76760</v>
      </c>
      <c r="T208" s="104">
        <f>S208*$V$15</f>
        <v>132922.73333333287</v>
      </c>
      <c r="U208" s="3">
        <v>1</v>
      </c>
      <c r="V208" s="142">
        <f t="shared" si="65"/>
        <v>330297.73333333287</v>
      </c>
      <c r="W208" s="314">
        <f>X207</f>
        <v>1088144.6668402778</v>
      </c>
      <c r="X208" s="266">
        <f t="shared" si="66"/>
        <v>757846.93350694492</v>
      </c>
      <c r="Y208" s="256"/>
      <c r="Z208" s="229"/>
      <c r="AA208" s="229"/>
      <c r="AB208" s="297">
        <f>AI208+AB207</f>
        <v>2.7006885319444409</v>
      </c>
      <c r="AC208" s="297"/>
      <c r="AD208" s="297"/>
      <c r="AE208" s="297"/>
      <c r="AF208" s="178"/>
      <c r="AG208" s="192"/>
      <c r="AH208" s="232">
        <f t="shared" si="67"/>
        <v>6.062775468055559</v>
      </c>
      <c r="AI208" s="232">
        <f t="shared" si="68"/>
        <v>2.6423818666666632</v>
      </c>
    </row>
    <row r="209" spans="1:44" ht="15.75">
      <c r="A209" t="s">
        <v>1504</v>
      </c>
      <c r="C209" s="3"/>
      <c r="D209" s="3"/>
      <c r="E209" s="3" t="s">
        <v>766</v>
      </c>
      <c r="F209" s="3" t="s">
        <v>764</v>
      </c>
      <c r="G209" s="3"/>
      <c r="H209" s="3" t="s">
        <v>768</v>
      </c>
      <c r="I209" s="3" t="s">
        <v>769</v>
      </c>
      <c r="J209" s="3"/>
      <c r="L209" s="257" t="s">
        <v>1503</v>
      </c>
      <c r="M209" s="257" t="s">
        <v>1505</v>
      </c>
      <c r="O209" s="263"/>
      <c r="P209" s="179" t="str">
        <f>MID(AJ209,5,5)</f>
        <v/>
      </c>
      <c r="Q209" s="237">
        <f>R208-1</f>
        <v>615857155</v>
      </c>
      <c r="R209" s="104">
        <f>((W209-U209*$V$23)/$V$21)+Q209</f>
        <v>616280773.53132844</v>
      </c>
      <c r="S209" s="104">
        <f t="shared" si="64"/>
        <v>423618.53132843971</v>
      </c>
      <c r="T209" s="104">
        <f>S209*$V$21</f>
        <v>757846.93350702629</v>
      </c>
      <c r="U209" s="3">
        <v>0</v>
      </c>
      <c r="V209" s="142">
        <f t="shared" si="65"/>
        <v>757846.93350702629</v>
      </c>
      <c r="W209" s="314">
        <f>X208</f>
        <v>757846.93350694492</v>
      </c>
      <c r="X209" s="266">
        <f t="shared" si="66"/>
        <v>-8.1374309957027435E-8</v>
      </c>
      <c r="Y209" s="256"/>
      <c r="Z209" s="229"/>
      <c r="AA209" s="229"/>
      <c r="AB209" s="297">
        <f>AI209+AB208</f>
        <v>8.763464000000651</v>
      </c>
      <c r="AC209" s="297"/>
      <c r="AD209" s="297"/>
      <c r="AE209" s="297"/>
      <c r="AH209" s="232">
        <f t="shared" si="67"/>
        <v>-6.5099447965621945E-13</v>
      </c>
      <c r="AI209" s="232">
        <f t="shared" si="68"/>
        <v>6.06277546805621</v>
      </c>
    </row>
    <row r="210" spans="1:44" ht="15.75">
      <c r="A210" t="s">
        <v>1506</v>
      </c>
      <c r="L210" s="226" t="str">
        <f>M206</f>
        <v>048/05:43</v>
      </c>
      <c r="M210" s="226" t="s">
        <v>1507</v>
      </c>
      <c r="O210" s="263" t="str">
        <f>AG210</f>
        <v>213/11:49</v>
      </c>
      <c r="P210" s="179" t="str">
        <f>MID(AJ210,5,5)</f>
        <v>213_1</v>
      </c>
      <c r="Q210" s="237">
        <f>R206-3</f>
        <v>602076913.71076822</v>
      </c>
      <c r="R210" s="104">
        <f>((W210)/$X$9)+Q210</f>
        <v>602366037.53526711</v>
      </c>
      <c r="S210" s="104">
        <f t="shared" si="64"/>
        <v>289123.82449889183</v>
      </c>
      <c r="T210" s="104">
        <f>S210*$X$9</f>
        <v>1068582.0000001879</v>
      </c>
      <c r="U210" s="3">
        <v>0</v>
      </c>
      <c r="V210" s="97">
        <f t="shared" si="65"/>
        <v>1068582.0000001879</v>
      </c>
      <c r="W210" s="97">
        <f>Y210*1000000/8</f>
        <v>1068582</v>
      </c>
      <c r="X210" s="266">
        <f t="shared" si="66"/>
        <v>-1.8789432942867279E-7</v>
      </c>
      <c r="Y210" s="256">
        <f>AP210</f>
        <v>8.5486559999999994</v>
      </c>
      <c r="Z210" s="229"/>
      <c r="AA210" s="308">
        <f>AA209+AI210</f>
        <v>8.5486560000015039</v>
      </c>
      <c r="AB210">
        <f>AB209+AB208+AB207</f>
        <v>11.52245919722287</v>
      </c>
      <c r="AF210" s="178" t="str">
        <f>AJ210</f>
        <v>TRK_213_1</v>
      </c>
      <c r="AG210" s="192" t="s">
        <v>1508</v>
      </c>
      <c r="AH210" s="232">
        <f t="shared" si="67"/>
        <v>-1.5031546354293823E-12</v>
      </c>
      <c r="AI210" s="232">
        <f t="shared" si="68"/>
        <v>8.5486560000015039</v>
      </c>
      <c r="AJ210" t="s">
        <v>664</v>
      </c>
      <c r="AK210" t="s">
        <v>1509</v>
      </c>
      <c r="AL210">
        <v>0.38590999999999998</v>
      </c>
      <c r="AM210">
        <v>0</v>
      </c>
      <c r="AN210">
        <v>1.4544919999999999</v>
      </c>
      <c r="AO210">
        <v>1.0685819999999999</v>
      </c>
      <c r="AP210" s="313">
        <f>AO210*8</f>
        <v>8.5486559999999994</v>
      </c>
      <c r="AQ210">
        <v>9.4035250000000001</v>
      </c>
      <c r="AR210">
        <f>AQ210+AQ207</f>
        <v>19.043333000000001</v>
      </c>
    </row>
    <row r="211" spans="1:44" ht="14.25">
      <c r="AB211">
        <f>AB210+119</f>
        <v>130.52245919722287</v>
      </c>
      <c r="AJ211" s="315" t="s">
        <v>1510</v>
      </c>
      <c r="AK211" s="315" t="s">
        <v>1511</v>
      </c>
      <c r="AL211" s="315">
        <v>0.86926000000000003</v>
      </c>
      <c r="AM211" s="315">
        <v>4</v>
      </c>
      <c r="AN211" s="315">
        <v>2.0916389999999998</v>
      </c>
      <c r="AO211" s="315">
        <v>1.222375</v>
      </c>
      <c r="AP211" s="313">
        <f>AO211*8</f>
        <v>9.7789999999999999</v>
      </c>
      <c r="AQ211" s="315">
        <v>10.756899000000001</v>
      </c>
    </row>
    <row r="212" spans="1:44" ht="14.25">
      <c r="AB212">
        <f>AB211*0.12</f>
        <v>15.662695103666744</v>
      </c>
      <c r="AJ212" s="315" t="s">
        <v>1512</v>
      </c>
      <c r="AK212" s="315" t="s">
        <v>1513</v>
      </c>
      <c r="AL212" s="315">
        <v>0.24697</v>
      </c>
      <c r="AM212" s="315">
        <v>1</v>
      </c>
      <c r="AN212" s="315">
        <v>2.9744730000000001</v>
      </c>
      <c r="AO212" s="315">
        <v>2.7275019999999999</v>
      </c>
      <c r="AP212" s="313">
        <f>AO212*8</f>
        <v>21.820015999999999</v>
      </c>
      <c r="AQ212" s="315">
        <v>24.002020000000002</v>
      </c>
    </row>
    <row r="213" spans="1:44" ht="14.25">
      <c r="P213" s="81" t="s">
        <v>1514</v>
      </c>
      <c r="Q213" s="81" t="s">
        <v>1515</v>
      </c>
      <c r="R213" s="81">
        <v>615857156</v>
      </c>
      <c r="S213" s="81">
        <v>0</v>
      </c>
      <c r="T213" s="81" t="s">
        <v>1124</v>
      </c>
      <c r="U213" s="81" t="s">
        <v>1516</v>
      </c>
      <c r="V213" s="81" t="s">
        <v>1517</v>
      </c>
      <c r="W213" s="81"/>
      <c r="X213" s="81" t="s">
        <v>1518</v>
      </c>
      <c r="AJ213" s="315" t="s">
        <v>1519</v>
      </c>
      <c r="AK213" s="315" t="s">
        <v>1520</v>
      </c>
      <c r="AL213" s="315">
        <v>0.52649000000000001</v>
      </c>
      <c r="AM213" s="315">
        <v>1</v>
      </c>
      <c r="AN213" s="315">
        <v>1.3696569999999999</v>
      </c>
      <c r="AO213" s="315">
        <v>0.84316599999999997</v>
      </c>
      <c r="AP213" s="313">
        <f>AO213*8</f>
        <v>6.7453279999999998</v>
      </c>
      <c r="AQ213" s="315">
        <v>7.4198620000000002</v>
      </c>
    </row>
    <row r="214" spans="1:44" ht="14.25">
      <c r="P214" s="81" t="s">
        <v>1521</v>
      </c>
      <c r="Q214" s="81" t="s">
        <v>1522</v>
      </c>
      <c r="R214" s="81">
        <v>615857159</v>
      </c>
      <c r="S214" s="81">
        <v>0</v>
      </c>
      <c r="T214" s="81" t="s">
        <v>1124</v>
      </c>
      <c r="U214" s="81" t="s">
        <v>1516</v>
      </c>
      <c r="V214" s="81" t="s">
        <v>1523</v>
      </c>
      <c r="W214" s="81"/>
      <c r="X214" s="81" t="s">
        <v>1518</v>
      </c>
      <c r="AJ214" s="315" t="s">
        <v>1524</v>
      </c>
      <c r="AK214" s="315" t="s">
        <v>1525</v>
      </c>
      <c r="AL214" s="315">
        <v>0.27113999999999999</v>
      </c>
      <c r="AM214" s="315">
        <v>5</v>
      </c>
      <c r="AN214" s="315">
        <v>0.32642500000000002</v>
      </c>
      <c r="AO214" s="315">
        <v>5.5280000000000003E-2</v>
      </c>
      <c r="AP214" s="313">
        <f>AO214*8</f>
        <v>0.44224000000000002</v>
      </c>
      <c r="AQ214" s="315">
        <v>0.48646099999999998</v>
      </c>
    </row>
    <row r="215" spans="1:44" ht="14.25">
      <c r="P215" s="81" t="s">
        <v>1526</v>
      </c>
      <c r="Q215" s="81" t="s">
        <v>1527</v>
      </c>
      <c r="R215" s="81">
        <v>615857162</v>
      </c>
      <c r="S215" s="81">
        <v>0</v>
      </c>
      <c r="T215" s="81" t="s">
        <v>1124</v>
      </c>
      <c r="U215" s="81" t="s">
        <v>1516</v>
      </c>
      <c r="V215" s="81" t="s">
        <v>1528</v>
      </c>
      <c r="W215" s="81"/>
      <c r="X215" s="81" t="s">
        <v>1518</v>
      </c>
      <c r="AL215">
        <f>AL214+AL213+AL212+AL211</f>
        <v>1.9138600000000001</v>
      </c>
      <c r="AP215">
        <f>AP214+AP213+AP212+AP211</f>
        <v>38.786583999999998</v>
      </c>
      <c r="AQ215" s="316">
        <f>SUM(AQ197:AQ212)</f>
        <v>69.769564000000003</v>
      </c>
    </row>
    <row r="216" spans="1:44" ht="14.25">
      <c r="P216" s="81" t="s">
        <v>1529</v>
      </c>
      <c r="Q216" s="81" t="s">
        <v>1530</v>
      </c>
      <c r="R216" s="81">
        <v>615857165</v>
      </c>
      <c r="S216" s="81">
        <v>0</v>
      </c>
      <c r="T216" s="81" t="s">
        <v>1124</v>
      </c>
      <c r="U216" s="81" t="s">
        <v>1516</v>
      </c>
      <c r="V216" s="81" t="s">
        <v>1164</v>
      </c>
      <c r="W216" s="81"/>
      <c r="X216" s="81" t="s">
        <v>1518</v>
      </c>
    </row>
    <row r="217" spans="1:44" ht="14.25">
      <c r="P217" s="81" t="s">
        <v>1531</v>
      </c>
      <c r="Q217" s="81" t="s">
        <v>1532</v>
      </c>
      <c r="R217" s="81">
        <v>615857756</v>
      </c>
      <c r="S217" s="81">
        <v>0</v>
      </c>
      <c r="T217" s="81" t="s">
        <v>1124</v>
      </c>
      <c r="U217" s="81" t="s">
        <v>1516</v>
      </c>
      <c r="V217" s="81" t="s">
        <v>1533</v>
      </c>
      <c r="W217" s="81"/>
      <c r="X217" s="81" t="s">
        <v>1518</v>
      </c>
    </row>
    <row r="222" spans="1:44" ht="14.25"/>
    <row r="223" spans="1:44" ht="14.25"/>
    <row r="224" spans="1:44" ht="14.25"/>
    <row r="225" ht="14.25"/>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F59C-DBC9-4903-8783-4320968BE370}">
  <dimension ref="E11:G14"/>
  <sheetViews>
    <sheetView workbookViewId="0">
      <selection activeCell="G12" sqref="G12"/>
    </sheetView>
  </sheetViews>
  <sheetFormatPr defaultRowHeight="14.25"/>
  <sheetData>
    <row r="11" spans="5:7">
      <c r="E11" t="s">
        <v>169</v>
      </c>
      <c r="F11" t="s">
        <v>167</v>
      </c>
      <c r="G11" t="s">
        <v>4381</v>
      </c>
    </row>
    <row r="12" spans="5:7">
      <c r="E12" t="s">
        <v>4377</v>
      </c>
      <c r="F12" t="s">
        <v>4378</v>
      </c>
    </row>
    <row r="13" spans="5:7">
      <c r="E13" t="s">
        <v>4378</v>
      </c>
      <c r="F13" t="s">
        <v>4379</v>
      </c>
    </row>
    <row r="14" spans="5:7">
      <c r="E14" t="s">
        <v>4380</v>
      </c>
      <c r="F14" t="s">
        <v>4380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E396"/>
  <sheetViews>
    <sheetView tabSelected="1" topLeftCell="C1" zoomScaleNormal="100" workbookViewId="0">
      <pane ySplit="2325" topLeftCell="A335" activePane="bottomLeft"/>
      <selection activeCell="S5" sqref="S5"/>
      <selection pane="bottomLeft" activeCell="I342" sqref="I342"/>
    </sheetView>
  </sheetViews>
  <sheetFormatPr defaultColWidth="11.59765625" defaultRowHeight="13.5" customHeight="1"/>
  <cols>
    <col min="1" max="1" width="32.59765625" customWidth="1"/>
    <col min="2" max="2" width="5" customWidth="1"/>
    <col min="3" max="3" width="4.86328125" customWidth="1"/>
    <col min="4" max="4" width="4.59765625" customWidth="1"/>
    <col min="5" max="5" width="5.265625" customWidth="1"/>
    <col min="6" max="6" width="4.1328125" customWidth="1"/>
    <col min="7" max="8" width="4.3984375" customWidth="1"/>
    <col min="9" max="9" width="4" customWidth="1"/>
    <col min="10" max="10" width="4.59765625" customWidth="1"/>
    <col min="11" max="11" width="5.86328125" customWidth="1"/>
    <col min="13" max="13" width="14.73046875" customWidth="1"/>
    <col min="14" max="14" width="11.06640625" customWidth="1"/>
    <col min="15" max="15" width="13.73046875" customWidth="1"/>
    <col min="16" max="16" width="15.1328125" customWidth="1"/>
    <col min="19" max="19" width="12" bestFit="1" customWidth="1"/>
    <col min="20" max="20" width="14.3984375" customWidth="1"/>
    <col min="22" max="22" width="12.86328125" customWidth="1"/>
    <col min="23" max="23" width="13.1328125" customWidth="1"/>
    <col min="28" max="28" width="15.3984375" customWidth="1"/>
    <col min="31" max="31" width="13.73046875" customWidth="1"/>
    <col min="32" max="32" width="12.59765625" customWidth="1"/>
    <col min="33" max="33" width="19" customWidth="1"/>
    <col min="34" max="34" width="18.73046875" customWidth="1"/>
    <col min="35" max="35" width="17.73046875" customWidth="1"/>
    <col min="36" max="36" width="17.59765625" customWidth="1"/>
    <col min="37" max="37" width="19.59765625" customWidth="1"/>
    <col min="38" max="38" width="20.3984375" customWidth="1"/>
    <col min="39" max="39" width="20.73046875" customWidth="1"/>
    <col min="42" max="42" width="10.86328125" customWidth="1"/>
    <col min="43" max="43" width="14.1328125" customWidth="1"/>
  </cols>
  <sheetData>
    <row r="2" spans="12:33" ht="14.25">
      <c r="M2" t="s">
        <v>758</v>
      </c>
      <c r="N2">
        <v>126</v>
      </c>
      <c r="O2">
        <v>159</v>
      </c>
      <c r="P2">
        <f>O2-N2</f>
        <v>33</v>
      </c>
      <c r="Q2">
        <f>P2*S6</f>
        <v>31.728378000000003</v>
      </c>
      <c r="R2" s="17" t="s">
        <v>4278</v>
      </c>
      <c r="S2" s="388">
        <f>'SWAP Data Volumns'!K108</f>
        <v>0.5056665308181959</v>
      </c>
    </row>
    <row r="3" spans="12:33" ht="14.25">
      <c r="N3">
        <v>159</v>
      </c>
      <c r="O3">
        <v>181</v>
      </c>
      <c r="P3">
        <f>O3-N3</f>
        <v>22</v>
      </c>
      <c r="Q3">
        <f>P3*X6</f>
        <v>56.201820631579039</v>
      </c>
      <c r="R3" s="17" t="s">
        <v>4308</v>
      </c>
      <c r="S3" s="388">
        <f>'SWAP Data Volumns'!K99</f>
        <v>0.80996710526315774</v>
      </c>
      <c r="V3">
        <f>4.513307/V10</f>
        <v>0.92947580888228509</v>
      </c>
      <c r="X3">
        <f>25/X6</f>
        <v>9.7861598400063663</v>
      </c>
    </row>
    <row r="4" spans="12:33" ht="14.25">
      <c r="N4">
        <v>181</v>
      </c>
      <c r="O4">
        <v>218</v>
      </c>
      <c r="P4">
        <f>O4-N4</f>
        <v>37</v>
      </c>
      <c r="Q4">
        <f>P4*S6</f>
        <v>35.574241999999998</v>
      </c>
      <c r="R4" s="17" t="s">
        <v>4172</v>
      </c>
      <c r="S4" s="388">
        <f>'SWAP Data Volumns'!K90</f>
        <v>1.4028285692679976</v>
      </c>
      <c r="W4" t="s">
        <v>4117</v>
      </c>
      <c r="X4" s="401">
        <f>'SWAP Data Volumns'!K108</f>
        <v>0.5056665308181959</v>
      </c>
    </row>
    <row r="5" spans="12:33" ht="14.25">
      <c r="L5">
        <f>66+90+23+164+28+5</f>
        <v>376</v>
      </c>
      <c r="M5">
        <f>16+18+66+90+23+164+33</f>
        <v>410</v>
      </c>
      <c r="Q5">
        <f>Q4+Q3+Q2</f>
        <v>123.50444063157904</v>
      </c>
      <c r="R5" s="17" t="s">
        <v>4277</v>
      </c>
      <c r="S5" s="388">
        <f>'SWAP Data Volumns'!K72</f>
        <v>3.6959320175438592</v>
      </c>
    </row>
    <row r="6" spans="12:33" ht="14.25">
      <c r="L6">
        <f>(51-44)*X6</f>
        <v>17.882397473684239</v>
      </c>
      <c r="M6">
        <f>82+49+54+105+82+39</f>
        <v>411</v>
      </c>
      <c r="R6" t="s">
        <v>759</v>
      </c>
      <c r="S6" s="3">
        <v>0.96146600000000004</v>
      </c>
      <c r="U6" t="s">
        <v>759</v>
      </c>
      <c r="V6" s="3">
        <f>V9*8*86400/1000000</f>
        <v>2.6403840000000001</v>
      </c>
      <c r="W6" s="3">
        <v>2.546459</v>
      </c>
      <c r="X6">
        <v>2.5546282105263201</v>
      </c>
    </row>
    <row r="7" spans="12:33" ht="14.25">
      <c r="L7">
        <f>(83-51)*X6</f>
        <v>81.748102736842242</v>
      </c>
      <c r="M7">
        <f>87+161+205+666+18</f>
        <v>1137</v>
      </c>
      <c r="R7" t="s">
        <v>760</v>
      </c>
      <c r="S7" t="s">
        <v>761</v>
      </c>
      <c r="U7" t="s">
        <v>762</v>
      </c>
      <c r="V7" t="s">
        <v>763</v>
      </c>
      <c r="Z7" s="3" t="s">
        <v>764</v>
      </c>
      <c r="AA7" s="3" t="s">
        <v>765</v>
      </c>
      <c r="AB7" s="3" t="s">
        <v>766</v>
      </c>
      <c r="AC7" s="3" t="s">
        <v>767</v>
      </c>
      <c r="AD7" s="3" t="s">
        <v>768</v>
      </c>
      <c r="AE7" s="3" t="s">
        <v>769</v>
      </c>
      <c r="AF7" s="3"/>
    </row>
    <row r="8" spans="12:33" ht="14.25">
      <c r="L8">
        <f>299+46+23+41</f>
        <v>409</v>
      </c>
      <c r="R8" s="215" t="s">
        <v>770</v>
      </c>
      <c r="S8" s="135">
        <v>14.778454999999999</v>
      </c>
      <c r="T8" s="3">
        <f>T9*1.1</f>
        <v>0.40055257114116738</v>
      </c>
      <c r="U8" s="215" t="s">
        <v>770</v>
      </c>
      <c r="V8" s="135">
        <v>14.778454999999999</v>
      </c>
      <c r="W8" s="145" t="s">
        <v>771</v>
      </c>
      <c r="X8" t="s">
        <v>772</v>
      </c>
      <c r="Z8" s="3" t="s">
        <v>12</v>
      </c>
      <c r="AA8" s="3" t="s">
        <v>773</v>
      </c>
      <c r="AB8" s="4" t="s">
        <v>774</v>
      </c>
      <c r="AC8" s="3" t="s">
        <v>775</v>
      </c>
      <c r="AD8" s="3" t="s">
        <v>776</v>
      </c>
      <c r="AE8" s="3" t="s">
        <v>777</v>
      </c>
      <c r="AF8" s="3" t="s">
        <v>778</v>
      </c>
      <c r="AG8" s="3"/>
    </row>
    <row r="9" spans="12:33" ht="14.25">
      <c r="N9" t="s">
        <v>779</v>
      </c>
      <c r="O9">
        <f>125/X6</f>
        <v>48.930799200031828</v>
      </c>
      <c r="Q9">
        <v>0.96146600000000004</v>
      </c>
      <c r="R9" s="134" t="s">
        <v>780</v>
      </c>
      <c r="S9" s="135">
        <f>S6*1000000/(8*86400)</f>
        <v>1.391009837962963</v>
      </c>
      <c r="T9">
        <f>S9/V9</f>
        <v>0.36413870103742485</v>
      </c>
      <c r="U9" s="134" t="s">
        <v>780</v>
      </c>
      <c r="V9" s="135">
        <v>3.82</v>
      </c>
      <c r="W9" s="145">
        <f>W6*1000000/(8*86400)</f>
        <v>3.6841131365740742</v>
      </c>
      <c r="X9" s="216">
        <f>X6*1000000/(8*86400)</f>
        <v>3.6959320175438659</v>
      </c>
      <c r="Y9" s="217" t="s">
        <v>781</v>
      </c>
      <c r="Z9" s="3" t="s">
        <v>6</v>
      </c>
      <c r="AA9" s="3" t="s">
        <v>6</v>
      </c>
      <c r="AB9" s="3" t="s">
        <v>6</v>
      </c>
      <c r="AC9" s="3" t="s">
        <v>6</v>
      </c>
      <c r="AD9" s="3" t="s">
        <v>6</v>
      </c>
      <c r="AE9" s="3" t="s">
        <v>6</v>
      </c>
      <c r="AF9" s="3"/>
      <c r="AG9" s="3"/>
    </row>
    <row r="10" spans="12:33" ht="14.25">
      <c r="N10" t="s">
        <v>782</v>
      </c>
      <c r="O10">
        <f>347+49-365</f>
        <v>31</v>
      </c>
      <c r="S10" s="17" t="s">
        <v>783</v>
      </c>
      <c r="T10" s="3" t="s">
        <v>784</v>
      </c>
      <c r="U10" s="134" t="s">
        <v>785</v>
      </c>
      <c r="V10" s="218">
        <f t="shared" ref="V10:V21" si="0">Y10/8</f>
        <v>4.8557552083333402</v>
      </c>
      <c r="W10" t="s">
        <v>786</v>
      </c>
      <c r="X10" s="3" t="s">
        <v>787</v>
      </c>
      <c r="Y10" s="217">
        <f t="shared" ref="Y10:Y21" si="1">SUM(Z10:AE10)</f>
        <v>38.846041666666721</v>
      </c>
      <c r="Z10">
        <v>16.566666666666698</v>
      </c>
      <c r="AA10">
        <v>2.5244444444444398</v>
      </c>
      <c r="AB10">
        <v>0.284444444444444</v>
      </c>
      <c r="AC10">
        <v>10.8697916666667</v>
      </c>
      <c r="AD10">
        <v>5.8611111111111098</v>
      </c>
      <c r="AE10">
        <v>2.7395833333333299</v>
      </c>
      <c r="AF10" s="3"/>
      <c r="AG10" s="3"/>
    </row>
    <row r="11" spans="12:33" ht="14.25">
      <c r="M11" t="s">
        <v>788</v>
      </c>
      <c r="N11" t="s">
        <v>789</v>
      </c>
      <c r="O11">
        <f>(40-6)/X6</f>
        <v>13.309177382408658</v>
      </c>
      <c r="S11" s="17" t="s">
        <v>790</v>
      </c>
      <c r="T11" s="3" t="s">
        <v>784</v>
      </c>
      <c r="U11" s="134" t="s">
        <v>785</v>
      </c>
      <c r="V11" s="218">
        <f t="shared" si="0"/>
        <v>4.5133072916666741</v>
      </c>
      <c r="W11" t="s">
        <v>791</v>
      </c>
      <c r="X11" s="3" t="s">
        <v>787</v>
      </c>
      <c r="Y11" s="217">
        <f t="shared" si="1"/>
        <v>36.106458333333393</v>
      </c>
      <c r="Z11">
        <v>16.566666666666698</v>
      </c>
      <c r="AA11">
        <v>2.5244444444444398</v>
      </c>
      <c r="AB11">
        <v>0.284444444444444</v>
      </c>
      <c r="AC11">
        <v>10.8697916666667</v>
      </c>
      <c r="AD11">
        <v>5.8611111111111098</v>
      </c>
      <c r="AE11" s="3"/>
      <c r="AF11" s="3">
        <f t="shared" ref="AF11:AF21" si="2">Y11*86400/1000000</f>
        <v>3.1195980000000052</v>
      </c>
      <c r="AG11" s="3"/>
    </row>
    <row r="12" spans="12:33" ht="14.25">
      <c r="N12">
        <f>(83-45)*X6</f>
        <v>97.07587200000016</v>
      </c>
      <c r="S12">
        <v>25159</v>
      </c>
      <c r="T12" s="3" t="s">
        <v>792</v>
      </c>
      <c r="U12" s="134" t="s">
        <v>785</v>
      </c>
      <c r="V12" s="218">
        <f t="shared" si="0"/>
        <v>3.0903906249999977</v>
      </c>
      <c r="W12" t="s">
        <v>793</v>
      </c>
      <c r="X12" s="3" t="s">
        <v>794</v>
      </c>
      <c r="Y12" s="217">
        <f t="shared" si="1"/>
        <v>24.723124999999982</v>
      </c>
      <c r="Z12">
        <v>11.0444444444444</v>
      </c>
      <c r="AA12">
        <v>2.5244444444444398</v>
      </c>
      <c r="AB12">
        <v>0.284444444444444</v>
      </c>
      <c r="AC12">
        <v>10.8697916666667</v>
      </c>
      <c r="AD12" s="3"/>
      <c r="AE12" s="3"/>
      <c r="AF12" s="3">
        <f t="shared" si="2"/>
        <v>2.1360779999999986</v>
      </c>
      <c r="AG12" s="3"/>
    </row>
    <row r="13" spans="12:33" ht="14.25">
      <c r="P13" s="17" t="s">
        <v>795</v>
      </c>
      <c r="S13" s="17">
        <v>25139</v>
      </c>
      <c r="T13" s="3" t="s">
        <v>784</v>
      </c>
      <c r="U13" s="134" t="s">
        <v>785</v>
      </c>
      <c r="V13" s="218">
        <f t="shared" si="0"/>
        <v>3.7806684027777853</v>
      </c>
      <c r="W13" t="s">
        <v>793</v>
      </c>
      <c r="X13" s="3" t="s">
        <v>787</v>
      </c>
      <c r="Y13" s="217">
        <f t="shared" si="1"/>
        <v>30.245347222222282</v>
      </c>
      <c r="Z13">
        <v>16.566666666666698</v>
      </c>
      <c r="AA13">
        <v>2.5244444444444398</v>
      </c>
      <c r="AB13">
        <v>0.284444444444444</v>
      </c>
      <c r="AC13">
        <v>10.8697916666667</v>
      </c>
      <c r="AD13" s="3"/>
      <c r="AE13" s="3"/>
      <c r="AF13" s="3">
        <f t="shared" si="2"/>
        <v>2.613198000000005</v>
      </c>
      <c r="AG13" s="3"/>
    </row>
    <row r="14" spans="12:33" ht="14.25">
      <c r="S14">
        <v>25159</v>
      </c>
      <c r="T14" t="s">
        <v>792</v>
      </c>
      <c r="U14" s="134" t="s">
        <v>785</v>
      </c>
      <c r="V14" s="218">
        <f t="shared" si="0"/>
        <v>0.34244791666666624</v>
      </c>
      <c r="W14" t="s">
        <v>796</v>
      </c>
      <c r="X14" s="3" t="s">
        <v>794</v>
      </c>
      <c r="Y14" s="217">
        <f t="shared" si="1"/>
        <v>2.7395833333333299</v>
      </c>
      <c r="AD14" s="3"/>
      <c r="AE14">
        <v>2.7395833333333299</v>
      </c>
      <c r="AF14" s="3">
        <f t="shared" si="2"/>
        <v>0.23669999999999972</v>
      </c>
      <c r="AG14" s="3">
        <f>AF14*21</f>
        <v>4.9706999999999937</v>
      </c>
    </row>
    <row r="15" spans="12:33" ht="14.25">
      <c r="S15" s="17" t="s">
        <v>797</v>
      </c>
      <c r="T15" s="3" t="s">
        <v>798</v>
      </c>
      <c r="U15" s="134" t="s">
        <v>785</v>
      </c>
      <c r="V15" s="218">
        <f t="shared" si="0"/>
        <v>1.7316666666666605</v>
      </c>
      <c r="W15" t="s">
        <v>799</v>
      </c>
      <c r="X15" s="3" t="s">
        <v>794</v>
      </c>
      <c r="Y15" s="217">
        <f t="shared" si="1"/>
        <v>13.853333333333284</v>
      </c>
      <c r="Z15">
        <v>11.0444444444444</v>
      </c>
      <c r="AA15">
        <v>2.5244444444444398</v>
      </c>
      <c r="AB15">
        <v>0.284444444444444</v>
      </c>
      <c r="AF15" s="3">
        <f t="shared" si="2"/>
        <v>1.1969279999999958</v>
      </c>
      <c r="AG15" s="3"/>
    </row>
    <row r="16" spans="12:33" ht="14.25">
      <c r="P16" s="219"/>
      <c r="Q16" s="219" t="s">
        <v>800</v>
      </c>
      <c r="R16" s="219"/>
      <c r="S16" s="220" t="s">
        <v>801</v>
      </c>
      <c r="T16" s="221" t="s">
        <v>798</v>
      </c>
      <c r="U16" s="222" t="s">
        <v>785</v>
      </c>
      <c r="V16" s="223">
        <f t="shared" si="0"/>
        <v>2.4219444444444478</v>
      </c>
      <c r="W16" s="219" t="s">
        <v>799</v>
      </c>
      <c r="X16" s="221" t="s">
        <v>787</v>
      </c>
      <c r="Y16" s="217">
        <f t="shared" si="1"/>
        <v>19.375555555555582</v>
      </c>
      <c r="Z16">
        <v>16.566666666666698</v>
      </c>
      <c r="AA16">
        <v>2.5244444444444398</v>
      </c>
      <c r="AB16">
        <v>0.284444444444444</v>
      </c>
      <c r="AF16" s="3">
        <f t="shared" si="2"/>
        <v>1.6740480000000024</v>
      </c>
      <c r="AG16" s="3"/>
    </row>
    <row r="17" spans="14:33" ht="14.25">
      <c r="Q17" t="s">
        <v>802</v>
      </c>
      <c r="S17">
        <v>25181</v>
      </c>
      <c r="T17" s="17" t="s">
        <v>803</v>
      </c>
      <c r="U17" s="134" t="s">
        <v>785</v>
      </c>
      <c r="V17" s="218">
        <f t="shared" si="0"/>
        <v>2.1248784722222167</v>
      </c>
      <c r="W17" t="s">
        <v>804</v>
      </c>
      <c r="X17" s="3" t="s">
        <v>794</v>
      </c>
      <c r="Y17" s="217">
        <f t="shared" si="1"/>
        <v>16.999027777777734</v>
      </c>
      <c r="Z17">
        <v>11.0444444444444</v>
      </c>
      <c r="AB17">
        <v>0.284444444444444</v>
      </c>
      <c r="AD17">
        <v>2.9305555555555598</v>
      </c>
      <c r="AE17">
        <v>2.7395833333333299</v>
      </c>
      <c r="AF17" s="3">
        <f t="shared" si="2"/>
        <v>1.4687159999999964</v>
      </c>
    </row>
    <row r="18" spans="14:33" ht="14.25">
      <c r="Q18" t="s">
        <v>805</v>
      </c>
      <c r="S18">
        <v>25181</v>
      </c>
      <c r="T18" s="17" t="s">
        <v>803</v>
      </c>
      <c r="U18" s="134" t="s">
        <v>785</v>
      </c>
      <c r="V18" s="218">
        <f t="shared" si="0"/>
        <v>1.6742795138888924</v>
      </c>
      <c r="W18" t="s">
        <v>806</v>
      </c>
      <c r="X18" s="3" t="s">
        <v>794</v>
      </c>
      <c r="Y18" s="217">
        <f t="shared" si="1"/>
        <v>13.394236111111139</v>
      </c>
      <c r="AA18">
        <v>2.5244444444444398</v>
      </c>
      <c r="AC18">
        <v>10.8697916666667</v>
      </c>
      <c r="AF18" s="3">
        <f t="shared" si="2"/>
        <v>1.1572620000000022</v>
      </c>
    </row>
    <row r="19" spans="14:33" ht="14.25">
      <c r="S19">
        <v>25181</v>
      </c>
      <c r="T19" t="s">
        <v>803</v>
      </c>
      <c r="U19" s="134" t="s">
        <v>785</v>
      </c>
      <c r="V19" s="218">
        <f t="shared" si="0"/>
        <v>3.7991579861111089</v>
      </c>
      <c r="W19" t="s">
        <v>807</v>
      </c>
      <c r="X19" s="3" t="s">
        <v>794</v>
      </c>
      <c r="Y19" s="217">
        <f t="shared" si="1"/>
        <v>30.393263888888871</v>
      </c>
      <c r="Z19">
        <v>11.0444444444444</v>
      </c>
      <c r="AA19">
        <v>2.5244444444444398</v>
      </c>
      <c r="AB19">
        <v>0.284444444444444</v>
      </c>
      <c r="AC19">
        <v>10.8697916666667</v>
      </c>
      <c r="AD19">
        <v>2.9305555555555598</v>
      </c>
      <c r="AE19">
        <v>2.7395833333333299</v>
      </c>
      <c r="AF19" s="3">
        <f t="shared" si="2"/>
        <v>2.6259779999999986</v>
      </c>
    </row>
    <row r="20" spans="14:33" ht="14.25">
      <c r="S20">
        <v>25159</v>
      </c>
      <c r="T20" t="s">
        <v>792</v>
      </c>
      <c r="U20" s="134" t="s">
        <v>785</v>
      </c>
      <c r="V20" s="218">
        <f t="shared" si="0"/>
        <v>52.75</v>
      </c>
      <c r="W20" t="s">
        <v>808</v>
      </c>
      <c r="X20" s="3" t="s">
        <v>794</v>
      </c>
      <c r="Y20" s="217">
        <f t="shared" si="1"/>
        <v>422</v>
      </c>
      <c r="AD20">
        <v>422</v>
      </c>
      <c r="AF20" s="3">
        <f t="shared" si="2"/>
        <v>36.460799999999999</v>
      </c>
    </row>
    <row r="21" spans="14:33" ht="14.65" thickBot="1">
      <c r="Q21" t="s">
        <v>4090</v>
      </c>
      <c r="T21" s="17" t="s">
        <v>809</v>
      </c>
      <c r="U21" s="134" t="s">
        <v>785</v>
      </c>
      <c r="V21" s="218">
        <f t="shared" si="0"/>
        <v>1.7889843749999992</v>
      </c>
      <c r="W21" t="s">
        <v>810</v>
      </c>
      <c r="X21" s="3" t="s">
        <v>811</v>
      </c>
      <c r="Y21" s="217">
        <f t="shared" si="1"/>
        <v>14.311874999999993</v>
      </c>
      <c r="Z21">
        <v>5.5222222222222204</v>
      </c>
      <c r="AB21">
        <v>0.284444444444444</v>
      </c>
      <c r="AD21">
        <v>4.3958333333333304</v>
      </c>
      <c r="AE21">
        <v>4.109375</v>
      </c>
      <c r="AF21" s="3">
        <f t="shared" si="2"/>
        <v>1.2365459999999995</v>
      </c>
    </row>
    <row r="22" spans="14:33" ht="14.65" thickBot="1">
      <c r="Q22" s="91" t="s">
        <v>805</v>
      </c>
      <c r="R22" s="91"/>
      <c r="S22" s="91"/>
      <c r="T22" s="146" t="s">
        <v>4091</v>
      </c>
      <c r="U22" s="134" t="s">
        <v>785</v>
      </c>
      <c r="V22" s="218">
        <f t="shared" ref="V22" si="3">Y22/8</f>
        <v>4.5625303819444447</v>
      </c>
      <c r="W22" t="s">
        <v>805</v>
      </c>
      <c r="X22" s="3" t="s">
        <v>4171</v>
      </c>
      <c r="Y22" s="217">
        <f t="shared" ref="Y22" si="4">SUM(Z22:AE22)</f>
        <v>36.500243055555558</v>
      </c>
      <c r="AA22">
        <v>20.195555555555554</v>
      </c>
      <c r="AC22">
        <v>16.3046875</v>
      </c>
      <c r="AF22" s="3">
        <f t="shared" ref="AF22" si="5">Y22*86400/1000000</f>
        <v>3.1536209999999998</v>
      </c>
    </row>
    <row r="23" spans="14:33" ht="14.65" thickBot="1">
      <c r="Q23" t="s">
        <v>1534</v>
      </c>
      <c r="S23">
        <v>25159</v>
      </c>
      <c r="T23" s="3" t="s">
        <v>792</v>
      </c>
      <c r="U23" s="134" t="s">
        <v>785</v>
      </c>
      <c r="V23" s="218">
        <f t="shared" ref="V23:V29" si="6">Y23/8</f>
        <v>3.2851736111111056</v>
      </c>
      <c r="W23" t="s">
        <v>793</v>
      </c>
      <c r="X23" s="3" t="s">
        <v>794</v>
      </c>
      <c r="Y23" s="217">
        <f t="shared" ref="Y23:Y29" si="7">SUM(Z23:AE23)</f>
        <v>26.281388888888845</v>
      </c>
      <c r="Z23">
        <v>11.0444444444444</v>
      </c>
      <c r="AA23">
        <v>2.7650000000000001</v>
      </c>
      <c r="AB23">
        <v>0.284444444444444</v>
      </c>
      <c r="AC23">
        <v>12.1875</v>
      </c>
      <c r="AD23" s="3"/>
      <c r="AE23" s="3"/>
      <c r="AF23" s="3">
        <f t="shared" ref="AF23:AF30" si="8">Y23*86400/1000000</f>
        <v>2.2707119999999961</v>
      </c>
      <c r="AG23" s="3"/>
    </row>
    <row r="24" spans="14:33" ht="14.25">
      <c r="Q24" t="s">
        <v>1535</v>
      </c>
      <c r="S24" s="17" t="s">
        <v>797</v>
      </c>
      <c r="T24" s="3" t="s">
        <v>798</v>
      </c>
      <c r="U24" s="134" t="s">
        <v>785</v>
      </c>
      <c r="V24" s="218">
        <f t="shared" si="6"/>
        <v>1.7617361111111056</v>
      </c>
      <c r="W24" t="s">
        <v>799</v>
      </c>
      <c r="X24" s="3" t="s">
        <v>794</v>
      </c>
      <c r="Y24" s="217">
        <f t="shared" si="7"/>
        <v>14.093888888888845</v>
      </c>
      <c r="Z24">
        <v>11.0444444444444</v>
      </c>
      <c r="AA24">
        <v>2.7650000000000001</v>
      </c>
      <c r="AB24">
        <v>0.284444444444444</v>
      </c>
      <c r="AF24" s="3">
        <f t="shared" si="8"/>
        <v>1.2177119999999964</v>
      </c>
    </row>
    <row r="25" spans="14:33" ht="14.25">
      <c r="Q25" t="s">
        <v>1536</v>
      </c>
      <c r="S25">
        <v>25159</v>
      </c>
      <c r="T25" t="s">
        <v>792</v>
      </c>
      <c r="U25" s="134" t="s">
        <v>785</v>
      </c>
      <c r="V25" s="218">
        <f t="shared" si="6"/>
        <v>0.3671875</v>
      </c>
      <c r="W25" t="s">
        <v>796</v>
      </c>
      <c r="X25" s="3" t="s">
        <v>794</v>
      </c>
      <c r="Y25" s="217">
        <f t="shared" si="7"/>
        <v>2.9375</v>
      </c>
      <c r="AD25" s="3"/>
      <c r="AE25">
        <v>2.9375</v>
      </c>
      <c r="AF25" s="3">
        <f t="shared" si="8"/>
        <v>0.25380000000000003</v>
      </c>
    </row>
    <row r="26" spans="14:33" ht="14.25">
      <c r="Q26" t="s">
        <v>1537</v>
      </c>
      <c r="R26" t="s">
        <v>802</v>
      </c>
      <c r="S26">
        <v>25181</v>
      </c>
      <c r="T26" s="17" t="s">
        <v>803</v>
      </c>
      <c r="U26" s="134" t="s">
        <v>785</v>
      </c>
      <c r="V26" s="218">
        <f t="shared" si="6"/>
        <v>2.1681365740740679</v>
      </c>
      <c r="W26" t="s">
        <v>804</v>
      </c>
      <c r="X26" s="3" t="s">
        <v>794</v>
      </c>
      <c r="Y26" s="217">
        <f t="shared" si="7"/>
        <v>17.345092592592543</v>
      </c>
      <c r="Z26">
        <v>11.0444444444444</v>
      </c>
      <c r="AB26">
        <v>0.284444444444444</v>
      </c>
      <c r="AD26">
        <v>3.0787037037037002</v>
      </c>
      <c r="AE26">
        <v>2.9375</v>
      </c>
      <c r="AF26" s="3">
        <f t="shared" si="8"/>
        <v>1.4986159999999957</v>
      </c>
    </row>
    <row r="27" spans="14:33" ht="14.25">
      <c r="Q27" t="s">
        <v>1538</v>
      </c>
      <c r="S27">
        <v>25159</v>
      </c>
      <c r="T27" t="s">
        <v>792</v>
      </c>
      <c r="U27" s="134" t="s">
        <v>785</v>
      </c>
      <c r="V27" s="218">
        <f t="shared" si="6"/>
        <v>55.416666666666622</v>
      </c>
      <c r="W27" t="s">
        <v>808</v>
      </c>
      <c r="X27" s="3" t="s">
        <v>794</v>
      </c>
      <c r="Y27" s="217">
        <f t="shared" si="7"/>
        <v>443.33333333333297</v>
      </c>
      <c r="AD27">
        <v>443.33333333333297</v>
      </c>
      <c r="AF27" s="3">
        <f t="shared" si="8"/>
        <v>38.303999999999974</v>
      </c>
    </row>
    <row r="28" spans="14:33" ht="14.25">
      <c r="Q28" t="s">
        <v>1539</v>
      </c>
      <c r="S28">
        <v>25181</v>
      </c>
      <c r="T28" s="17" t="s">
        <v>803</v>
      </c>
      <c r="U28" s="134" t="s">
        <v>785</v>
      </c>
      <c r="V28" s="218">
        <f t="shared" si="6"/>
        <v>1.8690625000000001</v>
      </c>
      <c r="W28" t="s">
        <v>806</v>
      </c>
      <c r="X28" s="3" t="s">
        <v>794</v>
      </c>
      <c r="Y28" s="217">
        <f t="shared" si="7"/>
        <v>14.952500000000001</v>
      </c>
      <c r="AA28">
        <v>2.7650000000000001</v>
      </c>
      <c r="AC28">
        <v>12.1875</v>
      </c>
      <c r="AF28" s="3">
        <f t="shared" si="8"/>
        <v>1.2918959999999999</v>
      </c>
    </row>
    <row r="29" spans="14:33" ht="14.65" thickBot="1">
      <c r="N29">
        <f>O29/1000000</f>
        <v>9.1461812499999996E-3</v>
      </c>
      <c r="O29">
        <f>Y29*180</f>
        <v>9146.1812499999996</v>
      </c>
      <c r="Q29" s="91" t="s">
        <v>4151</v>
      </c>
      <c r="R29" s="91"/>
      <c r="S29" s="91"/>
      <c r="T29" s="146" t="s">
        <v>4091</v>
      </c>
      <c r="U29" s="134" t="s">
        <v>785</v>
      </c>
      <c r="V29" s="218">
        <f t="shared" si="6"/>
        <v>6.3515147569444439</v>
      </c>
      <c r="W29" t="s">
        <v>4151</v>
      </c>
      <c r="X29" s="3" t="s">
        <v>4171</v>
      </c>
      <c r="Y29" s="217">
        <f t="shared" si="7"/>
        <v>50.812118055555551</v>
      </c>
      <c r="Z29">
        <v>5.5222222222222221</v>
      </c>
      <c r="AA29">
        <v>20.195555555555554</v>
      </c>
      <c r="AB29">
        <v>0.28444444444444444</v>
      </c>
      <c r="AC29">
        <v>16.3046875</v>
      </c>
      <c r="AD29">
        <v>4.395833333333333</v>
      </c>
      <c r="AE29">
        <v>4.109375</v>
      </c>
      <c r="AF29" s="3">
        <f t="shared" si="8"/>
        <v>4.3901669999999999</v>
      </c>
    </row>
    <row r="30" spans="14:33" ht="14.65" thickBot="1">
      <c r="Q30" s="91" t="s">
        <v>4151</v>
      </c>
      <c r="R30" s="91"/>
      <c r="S30" s="91">
        <v>26201</v>
      </c>
      <c r="T30" s="146" t="s">
        <v>4268</v>
      </c>
      <c r="U30" s="134" t="s">
        <v>785</v>
      </c>
      <c r="V30" s="218">
        <f t="shared" ref="V30" si="9">Y30/8</f>
        <v>4.9404774305555561</v>
      </c>
      <c r="W30" t="s">
        <v>4151</v>
      </c>
      <c r="X30" s="3" t="s">
        <v>4269</v>
      </c>
      <c r="Y30" s="217">
        <f t="shared" ref="Y30" si="10">SUM(Z30:AE30)</f>
        <v>39.523819444444449</v>
      </c>
      <c r="Z30">
        <v>5.5222222222222221</v>
      </c>
      <c r="AA30">
        <v>2.5244444444444443</v>
      </c>
      <c r="AB30">
        <v>0.28444444444444444</v>
      </c>
      <c r="AC30">
        <v>10.869791666666666</v>
      </c>
      <c r="AD30">
        <v>17.583333333333332</v>
      </c>
      <c r="AE30">
        <v>2.7395833333333335</v>
      </c>
      <c r="AF30" s="3">
        <f t="shared" si="8"/>
        <v>3.4148580000000006</v>
      </c>
    </row>
    <row r="31" spans="14:33" ht="14.25">
      <c r="Q31" s="91" t="s">
        <v>4366</v>
      </c>
      <c r="R31" s="91"/>
      <c r="S31" s="91">
        <v>26179</v>
      </c>
      <c r="T31" s="146" t="s">
        <v>4268</v>
      </c>
      <c r="U31" s="134" t="s">
        <v>785</v>
      </c>
      <c r="V31" s="218">
        <f t="shared" ref="V31" si="11">Y31/8</f>
        <v>0.34244791666666669</v>
      </c>
      <c r="W31" t="s">
        <v>4151</v>
      </c>
      <c r="X31" s="3" t="s">
        <v>4269</v>
      </c>
      <c r="Y31" s="217">
        <f t="shared" ref="Y31" si="12">SUM(Z31:AE31)</f>
        <v>2.7395833333333335</v>
      </c>
      <c r="AE31">
        <v>2.7395833333333335</v>
      </c>
      <c r="AF31" s="3">
        <f t="shared" ref="AF31" si="13">Y31*86400/1000000</f>
        <v>0.23669999999999999</v>
      </c>
    </row>
    <row r="32" spans="14:33" ht="14.65" thickBot="1">
      <c r="Z32" s="3" t="s">
        <v>764</v>
      </c>
      <c r="AA32" s="3" t="s">
        <v>765</v>
      </c>
      <c r="AB32" s="3" t="s">
        <v>766</v>
      </c>
      <c r="AC32" s="3" t="s">
        <v>767</v>
      </c>
      <c r="AD32" s="3" t="s">
        <v>768</v>
      </c>
      <c r="AE32" s="3" t="s">
        <v>769</v>
      </c>
      <c r="AF32" s="3"/>
    </row>
    <row r="33" spans="1:43" ht="14.25">
      <c r="U33" s="215" t="s">
        <v>812</v>
      </c>
      <c r="V33" s="135">
        <v>197375</v>
      </c>
      <c r="Z33" s="3" t="s">
        <v>12</v>
      </c>
      <c r="AA33" s="3" t="s">
        <v>773</v>
      </c>
      <c r="AB33" s="4" t="s">
        <v>774</v>
      </c>
      <c r="AC33" s="3" t="s">
        <v>775</v>
      </c>
      <c r="AD33" s="3" t="s">
        <v>776</v>
      </c>
      <c r="AE33" s="3" t="s">
        <v>777</v>
      </c>
      <c r="AF33" s="3" t="s">
        <v>778</v>
      </c>
    </row>
    <row r="34" spans="1:43" ht="14.25">
      <c r="P34" s="224" t="s">
        <v>813</v>
      </c>
      <c r="Q34" s="224" t="s">
        <v>814</v>
      </c>
      <c r="R34" s="225">
        <v>606262016</v>
      </c>
      <c r="S34" s="224">
        <v>8</v>
      </c>
      <c r="T34" s="224" t="s">
        <v>373</v>
      </c>
      <c r="U34" s="224" t="s">
        <v>815</v>
      </c>
      <c r="V34" s="224" t="s">
        <v>816</v>
      </c>
      <c r="W34" s="224" t="s">
        <v>817</v>
      </c>
      <c r="X34" s="224" t="s">
        <v>818</v>
      </c>
      <c r="Y34" s="226"/>
      <c r="Z34" s="227"/>
    </row>
    <row r="35" spans="1:43" ht="14.25">
      <c r="O35" s="17" t="s">
        <v>819</v>
      </c>
      <c r="P35" s="224" t="s">
        <v>820</v>
      </c>
      <c r="Q35" s="224" t="s">
        <v>821</v>
      </c>
      <c r="R35" s="225">
        <v>606473516</v>
      </c>
      <c r="S35" s="224">
        <v>7</v>
      </c>
      <c r="T35" s="224" t="s">
        <v>373</v>
      </c>
      <c r="U35" s="224" t="s">
        <v>822</v>
      </c>
      <c r="V35" s="224" t="s">
        <v>816</v>
      </c>
      <c r="W35" s="224" t="s">
        <v>817</v>
      </c>
      <c r="X35" s="224" t="s">
        <v>823</v>
      </c>
      <c r="Y35" s="227"/>
    </row>
    <row r="36" spans="1:43" ht="14.25">
      <c r="P36" s="224" t="s">
        <v>824</v>
      </c>
      <c r="Q36" s="224" t="s">
        <v>825</v>
      </c>
      <c r="R36" s="224">
        <v>606480128</v>
      </c>
      <c r="S36" s="224">
        <v>0</v>
      </c>
      <c r="T36" s="224" t="s">
        <v>826</v>
      </c>
      <c r="U36" s="224" t="s">
        <v>827</v>
      </c>
      <c r="V36" s="224" t="s">
        <v>828</v>
      </c>
      <c r="W36" s="224"/>
      <c r="X36" s="224" t="s">
        <v>829</v>
      </c>
      <c r="Y36" s="227"/>
    </row>
    <row r="37" spans="1:43" ht="14.25">
      <c r="P37">
        <f>R36-R35</f>
        <v>6612</v>
      </c>
      <c r="R37">
        <v>589335049</v>
      </c>
      <c r="S37">
        <v>589362052</v>
      </c>
      <c r="T37">
        <f>S37-R37</f>
        <v>27003</v>
      </c>
      <c r="U37">
        <v>110684</v>
      </c>
      <c r="V37">
        <f>U37/T37</f>
        <v>4.0989519682998186</v>
      </c>
    </row>
    <row r="38" spans="1:43" ht="14.25">
      <c r="M38">
        <f>(20+16/24)*38.9*86400/1000000</f>
        <v>69.45984</v>
      </c>
      <c r="P38" s="225" t="s">
        <v>830</v>
      </c>
      <c r="Q38" s="225" t="s">
        <v>831</v>
      </c>
      <c r="R38" s="225">
        <v>606482128</v>
      </c>
      <c r="S38" s="225">
        <v>1</v>
      </c>
      <c r="T38" s="225" t="s">
        <v>373</v>
      </c>
      <c r="U38" s="225" t="s">
        <v>832</v>
      </c>
      <c r="V38" s="225" t="s">
        <v>833</v>
      </c>
      <c r="W38" s="225"/>
      <c r="X38" s="225" t="s">
        <v>834</v>
      </c>
      <c r="AD38">
        <f>11000000/500</f>
        <v>22000</v>
      </c>
      <c r="AE38">
        <f>AD38/3600</f>
        <v>6.1111111111111107</v>
      </c>
      <c r="AG38" t="s">
        <v>634</v>
      </c>
    </row>
    <row r="39" spans="1:43" ht="14.25">
      <c r="O39" s="3"/>
      <c r="P39" s="59">
        <v>25096</v>
      </c>
      <c r="Q39" s="55"/>
      <c r="R39" s="55"/>
      <c r="S39" s="56"/>
      <c r="T39" s="3"/>
      <c r="U39" s="95">
        <f>V33</f>
        <v>197375</v>
      </c>
      <c r="V39" s="93"/>
      <c r="W39" s="139" t="s">
        <v>62</v>
      </c>
      <c r="X39" s="140">
        <v>2.70622E-5</v>
      </c>
      <c r="Y39" s="3"/>
      <c r="Z39" s="5"/>
      <c r="AA39" s="5"/>
      <c r="AB39" s="5" t="s">
        <v>835</v>
      </c>
      <c r="AC39" s="5"/>
      <c r="AD39" s="5"/>
      <c r="AE39">
        <f>11000000/500</f>
        <v>22000</v>
      </c>
      <c r="AF39">
        <f>AE39/3600</f>
        <v>6.1111111111111107</v>
      </c>
      <c r="AH39" t="s">
        <v>636</v>
      </c>
      <c r="AI39" t="s">
        <v>836</v>
      </c>
    </row>
    <row r="40" spans="1:43" ht="14.25">
      <c r="O40" s="3"/>
      <c r="P40" s="73" t="s">
        <v>837</v>
      </c>
      <c r="Q40" s="72" t="s">
        <v>65</v>
      </c>
      <c r="R40" s="73" t="s">
        <v>66</v>
      </c>
      <c r="S40" s="73" t="s">
        <v>67</v>
      </c>
      <c r="T40" s="74" t="s">
        <v>68</v>
      </c>
      <c r="U40" s="3" t="s">
        <v>176</v>
      </c>
      <c r="V40" s="74" t="s">
        <v>265</v>
      </c>
      <c r="W40" s="73" t="s">
        <v>266</v>
      </c>
      <c r="X40" s="73" t="s">
        <v>70</v>
      </c>
      <c r="Y40" s="3"/>
      <c r="Z40" s="5"/>
      <c r="AA40" s="5" t="s">
        <v>838</v>
      </c>
      <c r="AB40" s="97" t="s">
        <v>839</v>
      </c>
      <c r="AC40" s="97" t="s">
        <v>840</v>
      </c>
      <c r="AD40" t="s">
        <v>841</v>
      </c>
      <c r="AE40" t="s">
        <v>841</v>
      </c>
      <c r="AH40" t="s">
        <v>637</v>
      </c>
      <c r="AJ40" s="227">
        <f>AJ41+AJ43+AJ44</f>
        <v>31.701153000000001</v>
      </c>
    </row>
    <row r="41" spans="1:43" ht="15.75">
      <c r="L41" s="226" t="s">
        <v>842</v>
      </c>
      <c r="M41" s="226" t="s">
        <v>843</v>
      </c>
      <c r="N41" s="227" t="s">
        <v>844</v>
      </c>
      <c r="O41" s="228" t="s">
        <v>845</v>
      </c>
      <c r="P41" s="179" t="s">
        <v>846</v>
      </c>
      <c r="Q41" s="212">
        <f>R34-20</f>
        <v>606261996</v>
      </c>
      <c r="R41" s="212">
        <f>R35</f>
        <v>606473516</v>
      </c>
      <c r="S41" s="104">
        <f>R41-Q41</f>
        <v>211520</v>
      </c>
      <c r="T41" s="104">
        <f>S41*$V$9</f>
        <v>808006.4</v>
      </c>
      <c r="U41" s="3">
        <v>0</v>
      </c>
      <c r="V41" s="142">
        <f>T41+U41*$V$33</f>
        <v>808006.4</v>
      </c>
      <c r="W41" s="97">
        <f>Y41*1000000/8</f>
        <v>1085211.75</v>
      </c>
      <c r="X41" s="105">
        <f>W41-V41</f>
        <v>277205.34999999998</v>
      </c>
      <c r="Y41" s="189">
        <f>8.681694</f>
        <v>8.6816940000000002</v>
      </c>
      <c r="Z41" s="189"/>
      <c r="AA41" s="229">
        <v>344216</v>
      </c>
      <c r="AB41" s="230">
        <f>S41*$S$9</f>
        <v>294226.40092592593</v>
      </c>
      <c r="AC41" s="231">
        <f>AB41*8/1000000</f>
        <v>2.3538112074074076</v>
      </c>
      <c r="AD41" s="229">
        <f>AB41+AB42</f>
        <v>1088101.4009259259</v>
      </c>
      <c r="AE41" s="229">
        <f>AC41+AC42</f>
        <v>8.704811207407408</v>
      </c>
      <c r="AF41" s="178" t="s">
        <v>847</v>
      </c>
      <c r="AG41" s="228" t="s">
        <v>845</v>
      </c>
      <c r="AH41" s="232">
        <f>X41*8/1000000</f>
        <v>2.2176427999999997</v>
      </c>
      <c r="AI41" s="232">
        <f>V41*8/1000000</f>
        <v>6.4640512000000001</v>
      </c>
      <c r="AJ41" s="227">
        <v>8.6816940000000002</v>
      </c>
      <c r="AK41" t="s">
        <v>847</v>
      </c>
      <c r="AL41" t="s">
        <v>848</v>
      </c>
      <c r="AM41">
        <v>0.80020999999999998</v>
      </c>
      <c r="AN41">
        <v>6</v>
      </c>
      <c r="AO41">
        <v>1.786772</v>
      </c>
      <c r="AP41">
        <v>0.98655599999999999</v>
      </c>
      <c r="AQ41">
        <v>8.6816940000000002</v>
      </c>
    </row>
    <row r="42" spans="1:43" ht="15.75">
      <c r="K42" s="226" t="s">
        <v>849</v>
      </c>
      <c r="L42" s="226" t="s">
        <v>843</v>
      </c>
      <c r="M42" s="226" t="s">
        <v>850</v>
      </c>
      <c r="N42" s="227">
        <v>5.58</v>
      </c>
      <c r="O42" s="228"/>
      <c r="P42" s="179" t="s">
        <v>846</v>
      </c>
      <c r="Q42" s="212">
        <f>R41-1</f>
        <v>606473515</v>
      </c>
      <c r="R42" s="212">
        <f>R36</f>
        <v>606480128</v>
      </c>
      <c r="S42" s="104">
        <f>R42-Q42</f>
        <v>6613</v>
      </c>
      <c r="T42" s="104">
        <f>N42*1000000/8</f>
        <v>697500</v>
      </c>
      <c r="U42" s="3">
        <v>0</v>
      </c>
      <c r="V42" s="142">
        <f>T42+U42*$V$33</f>
        <v>697500</v>
      </c>
      <c r="W42" s="97">
        <f>X41</f>
        <v>277205.34999999998</v>
      </c>
      <c r="X42" s="105">
        <f>W42-V42</f>
        <v>-420294.65</v>
      </c>
      <c r="Y42" s="189"/>
      <c r="Z42" s="189"/>
      <c r="AA42" s="229">
        <v>677415</v>
      </c>
      <c r="AB42" s="233">
        <f>AC42*1000000/8</f>
        <v>793875</v>
      </c>
      <c r="AC42" s="234">
        <v>6.351</v>
      </c>
      <c r="AD42" s="229">
        <f>AB42+AB41-W41</f>
        <v>2889.6509259259328</v>
      </c>
      <c r="AE42" s="229">
        <f>AC42+AC41-Y41</f>
        <v>2.3117207407407747E-2</v>
      </c>
      <c r="AF42" s="178"/>
      <c r="AG42" s="228"/>
      <c r="AH42" s="232"/>
      <c r="AI42" s="232"/>
      <c r="AJ42" s="227"/>
    </row>
    <row r="43" spans="1:43" ht="15.75">
      <c r="K43" s="226" t="s">
        <v>851</v>
      </c>
      <c r="L43" s="226" t="s">
        <v>850</v>
      </c>
      <c r="M43" s="226" t="s">
        <v>852</v>
      </c>
      <c r="N43" s="227"/>
      <c r="O43" s="228" t="s">
        <v>853</v>
      </c>
      <c r="P43" s="179" t="s">
        <v>854</v>
      </c>
      <c r="Q43" s="212">
        <f>R42-1</f>
        <v>606480127</v>
      </c>
      <c r="R43" s="143">
        <f>((W43)/$V$9)+Q43</f>
        <v>606884641.65314138</v>
      </c>
      <c r="S43" s="104">
        <f>R43-Q43</f>
        <v>404514.65314137936</v>
      </c>
      <c r="T43" s="104">
        <f>S43*$V$9</f>
        <v>1545245.975000069</v>
      </c>
      <c r="U43" s="3">
        <v>0</v>
      </c>
      <c r="V43" s="142">
        <f>T43+U43*$V$33</f>
        <v>1545245.975000069</v>
      </c>
      <c r="W43" s="97">
        <f>Y43*1000000/8+X42</f>
        <v>1545245.9750000001</v>
      </c>
      <c r="X43" s="105">
        <f>W43-V43</f>
        <v>-6.891787052154541E-8</v>
      </c>
      <c r="Y43" s="189">
        <f>AJ43</f>
        <v>15.724325</v>
      </c>
      <c r="Z43" s="189"/>
      <c r="AA43" s="229">
        <v>647088</v>
      </c>
      <c r="AB43" s="235">
        <f>S43*$S$9</f>
        <v>562683.86211983429</v>
      </c>
      <c r="AC43" s="236">
        <f>AB43*8/1000000</f>
        <v>4.5014708969586739</v>
      </c>
      <c r="AD43" s="229">
        <f>AB43-V43</f>
        <v>-982562.11288023472</v>
      </c>
      <c r="AE43" s="229">
        <f>AD43*8/1000000</f>
        <v>-7.8604969030418781</v>
      </c>
      <c r="AF43" s="178" t="str">
        <f>AK43</f>
        <v>TRK_112_1</v>
      </c>
      <c r="AG43" s="228" t="s">
        <v>853</v>
      </c>
      <c r="AH43" s="232">
        <f>X43*8/1000000</f>
        <v>-5.5134296417236325E-13</v>
      </c>
      <c r="AI43" s="232">
        <f>V43*8/1000000</f>
        <v>12.361967800000553</v>
      </c>
      <c r="AJ43" s="227">
        <v>15.724325</v>
      </c>
      <c r="AK43" t="s">
        <v>855</v>
      </c>
      <c r="AL43" t="s">
        <v>856</v>
      </c>
      <c r="AM43">
        <v>0.23064999999999999</v>
      </c>
      <c r="AN43">
        <v>6</v>
      </c>
      <c r="AO43">
        <v>2.0175109999999998</v>
      </c>
      <c r="AP43">
        <v>1.7868550000000001</v>
      </c>
      <c r="AQ43">
        <v>15.724325</v>
      </c>
    </row>
    <row r="44" spans="1:43" ht="15.75">
      <c r="L44" s="226" t="s">
        <v>852</v>
      </c>
      <c r="M44" s="226" t="s">
        <v>857</v>
      </c>
      <c r="N44" s="227"/>
      <c r="O44" s="228" t="s">
        <v>858</v>
      </c>
      <c r="P44" s="179" t="s">
        <v>859</v>
      </c>
      <c r="Q44" s="237">
        <f>R43-1</f>
        <v>606884640.65314138</v>
      </c>
      <c r="R44" s="143">
        <f>((W44)/$V$9)+Q44</f>
        <v>607123355.77094245</v>
      </c>
      <c r="S44" s="104">
        <f>R44-Q44</f>
        <v>238715.11780107021</v>
      </c>
      <c r="T44" s="104">
        <f>S44*$V$9</f>
        <v>911891.75000008813</v>
      </c>
      <c r="U44" s="3">
        <v>0</v>
      </c>
      <c r="V44" s="142">
        <f>T44+U44*$V$33</f>
        <v>911891.75000008813</v>
      </c>
      <c r="W44" s="97">
        <f>Y44*1000000/8</f>
        <v>911891.75</v>
      </c>
      <c r="X44" s="105">
        <f>W44-V44</f>
        <v>-8.8126398622989655E-8</v>
      </c>
      <c r="Y44" s="189">
        <f>AJ44</f>
        <v>7.295134</v>
      </c>
      <c r="Z44" s="189"/>
      <c r="AA44" s="229">
        <v>323548</v>
      </c>
      <c r="AB44" s="235">
        <f>S44*$S$9</f>
        <v>332055.07733177627</v>
      </c>
      <c r="AC44" s="236">
        <f>AB44*8/1000000</f>
        <v>2.65644061865421</v>
      </c>
      <c r="AD44" s="229">
        <f>AB44-V44</f>
        <v>-579836.67266831186</v>
      </c>
      <c r="AE44" s="229">
        <f>AC44-Y44</f>
        <v>-4.6386933813457905</v>
      </c>
      <c r="AF44" s="178" t="str">
        <f>AK44</f>
        <v>TRK_112_2</v>
      </c>
      <c r="AG44" s="228" t="s">
        <v>858</v>
      </c>
      <c r="AH44" s="232">
        <f>X44*8/1000000</f>
        <v>-7.0501118898391721E-13</v>
      </c>
      <c r="AI44" s="232">
        <f>V44*8/1000000</f>
        <v>7.2951340000007052</v>
      </c>
      <c r="AJ44" s="227">
        <v>7.295134</v>
      </c>
      <c r="AK44" t="s">
        <v>860</v>
      </c>
      <c r="AL44" t="s">
        <v>861</v>
      </c>
      <c r="AM44">
        <v>0.23527999999999999</v>
      </c>
      <c r="AN44">
        <v>2</v>
      </c>
      <c r="AO44">
        <v>1.0642739999999999</v>
      </c>
      <c r="AP44">
        <v>0.82899199999999995</v>
      </c>
      <c r="AQ44">
        <v>7.295134</v>
      </c>
    </row>
    <row r="45" spans="1:43" ht="14.25">
      <c r="M45" s="3"/>
      <c r="N45" s="3"/>
      <c r="P45" s="3"/>
      <c r="T45" s="4"/>
      <c r="U45" s="3"/>
      <c r="V45" s="3"/>
      <c r="X45" s="3"/>
      <c r="Y45" s="3"/>
      <c r="Z45" s="5"/>
      <c r="AB45" s="3" t="s">
        <v>862</v>
      </c>
      <c r="AC45" s="3"/>
      <c r="AD45" s="97"/>
      <c r="AE45" s="97"/>
      <c r="AH45" s="232"/>
      <c r="AI45" s="232"/>
    </row>
    <row r="46" spans="1:43" ht="14.25">
      <c r="L46" s="3"/>
      <c r="M46" s="3"/>
      <c r="N46" s="3"/>
      <c r="P46" s="81" t="s">
        <v>863</v>
      </c>
      <c r="Q46" s="81" t="s">
        <v>864</v>
      </c>
      <c r="R46" s="81">
        <v>606263216</v>
      </c>
      <c r="S46" s="81">
        <v>7</v>
      </c>
      <c r="T46" s="81" t="s">
        <v>373</v>
      </c>
      <c r="U46" s="81" t="s">
        <v>865</v>
      </c>
      <c r="V46" s="81" t="s">
        <v>866</v>
      </c>
      <c r="W46" s="81" t="s">
        <v>867</v>
      </c>
      <c r="X46" s="81" t="s">
        <v>868</v>
      </c>
      <c r="Y46" s="238"/>
      <c r="Z46" s="239"/>
      <c r="AA46" s="3" t="s">
        <v>869</v>
      </c>
      <c r="AB46" s="3" t="s">
        <v>870</v>
      </c>
      <c r="AC46" s="3" t="s">
        <v>871</v>
      </c>
      <c r="AD46" s="238"/>
      <c r="AE46" s="238"/>
      <c r="AH46" s="232"/>
      <c r="AI46" s="232"/>
    </row>
    <row r="47" spans="1:43" ht="15.75">
      <c r="A47" s="238" t="s">
        <v>872</v>
      </c>
      <c r="B47" s="238"/>
      <c r="C47" s="238"/>
      <c r="D47" s="238"/>
      <c r="E47" s="238"/>
      <c r="F47" s="238"/>
      <c r="G47" s="238"/>
      <c r="H47" s="238"/>
      <c r="I47" s="238"/>
      <c r="J47" s="238"/>
      <c r="K47" s="238"/>
      <c r="L47" s="238" t="s">
        <v>873</v>
      </c>
      <c r="M47" s="238" t="s">
        <v>874</v>
      </c>
      <c r="N47" s="238"/>
      <c r="O47" s="192" t="s">
        <v>875</v>
      </c>
      <c r="P47" s="179" t="s">
        <v>876</v>
      </c>
      <c r="Q47" s="240">
        <f>R46-20</f>
        <v>606263196</v>
      </c>
      <c r="R47" s="143">
        <f>((W47-U47*$V$33)/$V$10)+Q47</f>
        <v>606535975.99367166</v>
      </c>
      <c r="S47" s="104">
        <f>R47-Q47</f>
        <v>272779.99367165565</v>
      </c>
      <c r="T47" s="104">
        <f>S47*$V$10</f>
        <v>1324552.8750002775</v>
      </c>
      <c r="U47" s="3">
        <v>1</v>
      </c>
      <c r="V47" s="142">
        <f>T47+U47*$V$33</f>
        <v>1521927.8750002775</v>
      </c>
      <c r="W47" s="97">
        <f>Y47*1000000/8</f>
        <v>1521927.875</v>
      </c>
      <c r="X47" s="105">
        <f>W47-V47</f>
        <v>-2.775341272354126E-7</v>
      </c>
      <c r="Y47" s="189">
        <f>AJ47</f>
        <v>12.175423</v>
      </c>
      <c r="Z47" s="189"/>
      <c r="AA47" s="229">
        <v>1614636</v>
      </c>
      <c r="AB47" s="235">
        <f>AA47-T47</f>
        <v>290083.12499972247</v>
      </c>
      <c r="AC47" s="241">
        <f>(AB47/8)/1000000</f>
        <v>3.6260390624965305E-2</v>
      </c>
      <c r="AD47" s="229"/>
      <c r="AE47" s="229"/>
      <c r="AF47" s="178" t="str">
        <f>AK47</f>
        <v>TRK_113_1</v>
      </c>
      <c r="AG47" s="192" t="s">
        <v>875</v>
      </c>
      <c r="AH47" s="232">
        <f>X47*8/1000000</f>
        <v>-2.2202730178833006E-12</v>
      </c>
      <c r="AI47" s="232">
        <f>V47*8/1000000</f>
        <v>12.175423000002221</v>
      </c>
      <c r="AJ47" s="242">
        <v>12.175423</v>
      </c>
      <c r="AK47" t="s">
        <v>877</v>
      </c>
      <c r="AL47" t="s">
        <v>878</v>
      </c>
      <c r="AM47">
        <v>0.23605000000000001</v>
      </c>
      <c r="AN47">
        <v>6</v>
      </c>
      <c r="AO47">
        <v>1.6196269999999999</v>
      </c>
      <c r="AP47">
        <v>1.3835710000000001</v>
      </c>
      <c r="AQ47">
        <v>12.175423</v>
      </c>
    </row>
    <row r="48" spans="1:43" ht="15.75">
      <c r="L48" s="238" t="str">
        <f>M47</f>
        <v>99/20:14</v>
      </c>
      <c r="M48" s="238" t="s">
        <v>879</v>
      </c>
      <c r="N48" s="238"/>
      <c r="O48" s="192" t="s">
        <v>880</v>
      </c>
      <c r="P48" s="179" t="s">
        <v>571</v>
      </c>
      <c r="Q48" s="237">
        <f>R47-1</f>
        <v>606535974.99367166</v>
      </c>
      <c r="R48" s="143">
        <f>((W48-U48*$V$33)/$V$10)+Q48</f>
        <v>606937249.54652727</v>
      </c>
      <c r="S48" s="104">
        <f>R48-Q48</f>
        <v>401274.55285561085</v>
      </c>
      <c r="T48" s="104">
        <f>S48*$V$10</f>
        <v>1948491.0000002645</v>
      </c>
      <c r="U48" s="3">
        <v>0</v>
      </c>
      <c r="V48" s="142">
        <f>T48+U48*$V$33</f>
        <v>1948491.0000002645</v>
      </c>
      <c r="W48" s="97">
        <f>Y48*1000000/8</f>
        <v>1948491</v>
      </c>
      <c r="X48" s="105">
        <f>W48-V48</f>
        <v>-2.644956111907959E-7</v>
      </c>
      <c r="Y48" s="189">
        <f>AJ48</f>
        <v>15.587928</v>
      </c>
      <c r="Z48" s="189"/>
      <c r="AA48" s="229">
        <v>2057144</v>
      </c>
      <c r="AB48" s="235">
        <f>AA48-T48</f>
        <v>108652.9999997355</v>
      </c>
      <c r="AC48" s="241">
        <f>(AB48/8)/1000000</f>
        <v>1.3581624999966938E-2</v>
      </c>
      <c r="AD48" s="229"/>
      <c r="AE48" s="229"/>
      <c r="AF48" s="178" t="str">
        <f>AK48</f>
        <v>TRK_114_1_</v>
      </c>
      <c r="AG48" s="192" t="s">
        <v>880</v>
      </c>
      <c r="AH48" s="232">
        <f>X48*8/1000000</f>
        <v>-2.1159648895263673E-12</v>
      </c>
      <c r="AI48" s="232">
        <f>V48*8/1000000</f>
        <v>15.587928000002115</v>
      </c>
      <c r="AJ48" s="242">
        <v>15.587928</v>
      </c>
      <c r="AK48" t="s">
        <v>881</v>
      </c>
      <c r="AL48" t="s">
        <v>882</v>
      </c>
      <c r="AM48">
        <v>0.40827999999999998</v>
      </c>
      <c r="AN48">
        <v>6</v>
      </c>
      <c r="AO48">
        <v>2.1796410000000002</v>
      </c>
      <c r="AP48">
        <v>1.771355</v>
      </c>
      <c r="AQ48">
        <v>15.587928</v>
      </c>
    </row>
    <row r="49" spans="12:45" ht="15.75">
      <c r="L49" s="238" t="str">
        <f>M48</f>
        <v>104/11:33</v>
      </c>
      <c r="M49" s="238" t="s">
        <v>883</v>
      </c>
      <c r="N49" s="238"/>
      <c r="O49" s="192" t="s">
        <v>884</v>
      </c>
      <c r="P49" s="179" t="s">
        <v>885</v>
      </c>
      <c r="Q49" s="237">
        <f>R48-1</f>
        <v>606937248.54652727</v>
      </c>
      <c r="R49" s="143">
        <f>((W49-U49*$V$33)/$V$10)+Q49</f>
        <v>607165734.06575108</v>
      </c>
      <c r="S49" s="104">
        <f>R49-Q49</f>
        <v>228485.51922380924</v>
      </c>
      <c r="T49" s="104">
        <f>S49*$V$10</f>
        <v>1109469.7499997593</v>
      </c>
      <c r="U49" s="3">
        <v>0</v>
      </c>
      <c r="V49" s="142">
        <f>T49+U49*$V$33</f>
        <v>1109469.7499997593</v>
      </c>
      <c r="W49" s="97">
        <f>Y49*1000000/8</f>
        <v>1109469.75</v>
      </c>
      <c r="X49" s="105">
        <f>W49-V49</f>
        <v>2.407468855381012E-7</v>
      </c>
      <c r="Y49" s="189">
        <f>AJ49</f>
        <v>8.8757579999999994</v>
      </c>
      <c r="Z49" s="189"/>
      <c r="AA49" s="229">
        <v>1157806</v>
      </c>
      <c r="AB49" s="235">
        <f>AA49-T49</f>
        <v>48336.250000240747</v>
      </c>
      <c r="AC49" s="241">
        <f>(AB49/8)/1000000</f>
        <v>6.0420312500300936E-3</v>
      </c>
      <c r="AD49" s="229"/>
      <c r="AE49" s="229"/>
      <c r="AF49" s="178" t="str">
        <f>AK49</f>
        <v>TRK_115_1</v>
      </c>
      <c r="AG49" s="192" t="s">
        <v>884</v>
      </c>
      <c r="AH49" s="232">
        <f>X49*8/1000000</f>
        <v>1.9259750843048095E-12</v>
      </c>
      <c r="AI49" s="232">
        <f>V49*8/1000000</f>
        <v>8.8757579999980738</v>
      </c>
      <c r="AJ49" s="242">
        <v>8.8757579999999994</v>
      </c>
      <c r="AK49" t="s">
        <v>886</v>
      </c>
      <c r="AL49" t="s">
        <v>887</v>
      </c>
      <c r="AM49">
        <v>0.25274000000000002</v>
      </c>
      <c r="AN49">
        <v>0</v>
      </c>
      <c r="AO49">
        <v>1.2613490000000001</v>
      </c>
      <c r="AP49">
        <v>1.0086090000000001</v>
      </c>
      <c r="AQ49">
        <v>8.8757579999999994</v>
      </c>
    </row>
    <row r="50" spans="12:45" ht="14.25">
      <c r="L50" s="3"/>
      <c r="M50" s="3"/>
      <c r="N50" s="3"/>
      <c r="AA50" s="3"/>
      <c r="AD50" s="3"/>
      <c r="AE50" s="3"/>
      <c r="AH50" s="232"/>
      <c r="AI50" s="232"/>
      <c r="AJ50">
        <f>SUM(AJ47:AJ49)</f>
        <v>36.639108999999998</v>
      </c>
    </row>
    <row r="51" spans="12:45" ht="15.75">
      <c r="L51" s="226" t="s">
        <v>857</v>
      </c>
      <c r="M51" s="226" t="s">
        <v>888</v>
      </c>
      <c r="N51" s="227"/>
      <c r="O51" s="228" t="s">
        <v>889</v>
      </c>
      <c r="P51" s="179" t="s">
        <v>890</v>
      </c>
      <c r="Q51" s="237">
        <f>R44-1</f>
        <v>607123354.77094245</v>
      </c>
      <c r="R51" s="143">
        <f>((W51)/$V$9)+Q51</f>
        <v>607164814.48952889</v>
      </c>
      <c r="S51" s="104">
        <f>R51-Q51</f>
        <v>41459.718586444855</v>
      </c>
      <c r="T51" s="104">
        <f>S51*$V$9</f>
        <v>158376.12500021933</v>
      </c>
      <c r="U51" s="3">
        <v>0</v>
      </c>
      <c r="V51" s="142">
        <f>T51+U51*$V$33</f>
        <v>158376.12500021933</v>
      </c>
      <c r="W51" s="97">
        <f>Y51*1000000/8</f>
        <v>158376.125</v>
      </c>
      <c r="X51" s="105">
        <f>W51-V51</f>
        <v>-2.1932646632194519E-7</v>
      </c>
      <c r="Y51" s="189">
        <f>AJ51</f>
        <v>1.2670090000000001</v>
      </c>
      <c r="Z51" s="189"/>
      <c r="AA51" s="229"/>
      <c r="AB51" s="235">
        <f>S51*$S$9</f>
        <v>57670.876432920704</v>
      </c>
      <c r="AC51" s="236">
        <f>AB51*8/1000000</f>
        <v>0.46136701146336562</v>
      </c>
      <c r="AD51" s="235">
        <f>AB51-V51</f>
        <v>-100705.24856729862</v>
      </c>
      <c r="AE51" s="229">
        <f>AC51-Y51</f>
        <v>-0.80564198853663438</v>
      </c>
      <c r="AF51" s="178" t="str">
        <f>AK51</f>
        <v>TRK_118_1</v>
      </c>
      <c r="AG51" s="228" t="s">
        <v>889</v>
      </c>
      <c r="AH51" s="232">
        <f>X51*8/1000000</f>
        <v>-1.7546117305755616E-12</v>
      </c>
      <c r="AI51" s="232">
        <f>V51*8/1000000</f>
        <v>1.2670090000017546</v>
      </c>
      <c r="AJ51" s="227">
        <v>1.2670090000000001</v>
      </c>
      <c r="AK51" t="s">
        <v>891</v>
      </c>
      <c r="AL51" t="s">
        <v>892</v>
      </c>
      <c r="AM51">
        <v>0.65856000000000003</v>
      </c>
      <c r="AN51">
        <v>2</v>
      </c>
      <c r="AO51">
        <v>0.80254000000000003</v>
      </c>
      <c r="AP51">
        <v>0.14397799999999999</v>
      </c>
      <c r="AQ51">
        <v>1.2670090000000001</v>
      </c>
    </row>
    <row r="52" spans="12:45" ht="14.25">
      <c r="L52" s="3"/>
      <c r="M52" s="3" t="s">
        <v>893</v>
      </c>
      <c r="N52" s="3"/>
      <c r="O52" s="3"/>
      <c r="Y52">
        <f>SUM(Y41:Y51)</f>
        <v>69.607270999999997</v>
      </c>
      <c r="AB52" s="243">
        <f>AC51+AC44+AC43+AC42+AC41</f>
        <v>16.324089734483657</v>
      </c>
      <c r="AC52" s="3"/>
      <c r="AD52" s="3"/>
      <c r="AG52" s="219"/>
      <c r="AH52" s="219"/>
    </row>
    <row r="53" spans="12:45" ht="14.25">
      <c r="L53" s="3"/>
      <c r="M53" s="3"/>
      <c r="N53" s="3"/>
      <c r="O53" s="3"/>
      <c r="Y53">
        <f>Y51+Y44+Y43+Y41</f>
        <v>32.968162</v>
      </c>
      <c r="Z53" s="239">
        <f>Y49+Y48+Y47</f>
        <v>36.639108999999998</v>
      </c>
      <c r="AB53" t="s">
        <v>894</v>
      </c>
      <c r="AC53" s="3"/>
      <c r="AD53" s="3"/>
      <c r="AG53" s="219"/>
      <c r="AH53" s="219"/>
    </row>
    <row r="54" spans="12:45" ht="14.25">
      <c r="L54" s="3"/>
      <c r="M54" s="3"/>
      <c r="N54" s="3"/>
      <c r="O54" s="3"/>
      <c r="Y54" s="3" t="s">
        <v>895</v>
      </c>
      <c r="Z54" s="3" t="s">
        <v>896</v>
      </c>
      <c r="AA54" s="3"/>
      <c r="AB54" s="3"/>
      <c r="AC54" s="3"/>
      <c r="AD54" s="3"/>
      <c r="AG54" s="219"/>
      <c r="AH54" s="219"/>
      <c r="AK54" s="244" t="s">
        <v>897</v>
      </c>
      <c r="AL54" s="244" t="s">
        <v>898</v>
      </c>
      <c r="AM54" s="244">
        <v>14.73</v>
      </c>
      <c r="AN54" s="244">
        <v>-5.43</v>
      </c>
      <c r="AO54" s="244">
        <v>-5.43</v>
      </c>
      <c r="AR54" s="3">
        <v>16.2</v>
      </c>
    </row>
    <row r="55" spans="12:45" ht="14.25">
      <c r="L55" s="93" t="s">
        <v>899</v>
      </c>
      <c r="M55" s="3"/>
      <c r="N55" s="3"/>
      <c r="O55" s="3"/>
      <c r="AC55" s="3"/>
      <c r="AD55" s="3"/>
      <c r="AG55" s="219"/>
      <c r="AH55" s="219"/>
      <c r="AK55" s="244" t="s">
        <v>900</v>
      </c>
      <c r="AL55" s="244" t="s">
        <v>901</v>
      </c>
      <c r="AM55" s="244">
        <v>3.7</v>
      </c>
      <c r="AN55" s="244">
        <v>3.7</v>
      </c>
      <c r="AO55" s="244">
        <v>-1.73</v>
      </c>
      <c r="AR55" s="3">
        <v>4.07</v>
      </c>
    </row>
    <row r="56" spans="12:45" ht="14.25">
      <c r="L56" s="93" t="s">
        <v>902</v>
      </c>
      <c r="M56" s="3"/>
      <c r="N56" s="3"/>
      <c r="O56" s="3"/>
      <c r="AC56" s="3"/>
      <c r="AD56" s="3"/>
      <c r="AG56" s="219"/>
      <c r="AH56" s="219"/>
      <c r="AK56" s="244" t="s">
        <v>903</v>
      </c>
      <c r="AL56" s="244" t="s">
        <v>904</v>
      </c>
      <c r="AM56" s="244">
        <v>4.3099999999999996</v>
      </c>
      <c r="AN56" s="244">
        <v>-2.41</v>
      </c>
      <c r="AO56" s="244">
        <v>-4.1399999999999997</v>
      </c>
      <c r="AR56" s="3">
        <v>4.74</v>
      </c>
    </row>
    <row r="57" spans="12:45" ht="14.25">
      <c r="O57" s="3"/>
      <c r="AC57" s="3"/>
      <c r="AD57" s="3"/>
      <c r="AG57" s="219"/>
      <c r="AH57" s="219"/>
      <c r="AK57" s="244" t="s">
        <v>905</v>
      </c>
      <c r="AL57" s="244" t="s">
        <v>906</v>
      </c>
      <c r="AM57" s="244">
        <v>4.42</v>
      </c>
      <c r="AN57" s="244">
        <v>1.46</v>
      </c>
      <c r="AO57" s="244">
        <v>-2.68</v>
      </c>
      <c r="AR57" s="3">
        <v>4.87</v>
      </c>
    </row>
    <row r="58" spans="12:45" ht="14.25">
      <c r="P58" s="81" t="s">
        <v>907</v>
      </c>
      <c r="Q58" s="81" t="s">
        <v>908</v>
      </c>
      <c r="R58" s="81">
        <v>608130222</v>
      </c>
      <c r="S58" s="81">
        <v>1</v>
      </c>
      <c r="T58" s="81" t="s">
        <v>373</v>
      </c>
      <c r="U58" s="81" t="s">
        <v>909</v>
      </c>
      <c r="V58" s="81" t="s">
        <v>382</v>
      </c>
      <c r="W58" s="81"/>
      <c r="X58" s="81" t="s">
        <v>910</v>
      </c>
      <c r="AC58" s="3"/>
      <c r="AD58" s="3"/>
      <c r="AG58" s="219"/>
      <c r="AH58" s="219"/>
      <c r="AK58" s="245" t="s">
        <v>911</v>
      </c>
      <c r="AL58" s="246" t="s">
        <v>912</v>
      </c>
      <c r="AM58" s="244">
        <v>11.87</v>
      </c>
      <c r="AN58" s="244">
        <v>9.11</v>
      </c>
      <c r="AO58" s="246">
        <v>6.43</v>
      </c>
      <c r="AP58">
        <f>AO58</f>
        <v>6.43</v>
      </c>
      <c r="AR58" s="247">
        <v>13.04</v>
      </c>
    </row>
    <row r="59" spans="12:45" ht="14.25">
      <c r="X59" t="s">
        <v>913</v>
      </c>
      <c r="AC59" s="3"/>
      <c r="AD59" s="3"/>
      <c r="AG59" s="219"/>
      <c r="AH59" s="219"/>
      <c r="AK59" s="245" t="s">
        <v>914</v>
      </c>
      <c r="AL59" s="246" t="s">
        <v>915</v>
      </c>
      <c r="AM59" s="244">
        <v>11.16</v>
      </c>
      <c r="AN59" s="244">
        <v>11.16</v>
      </c>
      <c r="AO59" s="246">
        <v>11.16</v>
      </c>
      <c r="AP59" s="248">
        <f>AP58+AO59</f>
        <v>17.59</v>
      </c>
      <c r="AR59" s="3">
        <v>12.28</v>
      </c>
    </row>
    <row r="60" spans="12:45" ht="14.25">
      <c r="X60" t="s">
        <v>916</v>
      </c>
      <c r="AC60" s="3"/>
      <c r="AD60" s="3"/>
      <c r="AE60" s="3"/>
      <c r="AH60" s="219"/>
      <c r="AI60" s="219"/>
      <c r="AL60" s="244" t="s">
        <v>917</v>
      </c>
      <c r="AM60" s="244" t="s">
        <v>918</v>
      </c>
      <c r="AN60" s="244">
        <v>0</v>
      </c>
      <c r="AO60" s="244">
        <v>0</v>
      </c>
      <c r="AP60" s="249">
        <v>0</v>
      </c>
      <c r="AS60" s="3"/>
    </row>
    <row r="61" spans="12:45" ht="14.25">
      <c r="P61" s="59">
        <v>25118</v>
      </c>
      <c r="Q61" s="55"/>
      <c r="R61" s="55"/>
      <c r="S61" s="56"/>
      <c r="T61" s="3"/>
      <c r="U61" s="95">
        <f>Q50</f>
        <v>0</v>
      </c>
      <c r="V61" s="93"/>
      <c r="W61" s="139"/>
      <c r="X61" s="140"/>
      <c r="Y61" s="3"/>
      <c r="Z61" s="5"/>
      <c r="AA61" s="5"/>
      <c r="AB61" s="5"/>
      <c r="AC61" s="97"/>
      <c r="AD61" s="97"/>
      <c r="AE61" s="97"/>
      <c r="AH61" t="s">
        <v>919</v>
      </c>
      <c r="AI61" t="s">
        <v>836</v>
      </c>
      <c r="AL61" s="244" t="s">
        <v>920</v>
      </c>
      <c r="AM61" s="244" t="s">
        <v>921</v>
      </c>
      <c r="AN61" s="244">
        <v>0</v>
      </c>
      <c r="AO61" s="244">
        <v>0</v>
      </c>
      <c r="AP61" s="249">
        <v>0</v>
      </c>
      <c r="AS61" s="3"/>
    </row>
    <row r="62" spans="12:45" ht="14.25">
      <c r="P62" s="73" t="s">
        <v>837</v>
      </c>
      <c r="Q62" s="72" t="s">
        <v>65</v>
      </c>
      <c r="R62" s="73" t="s">
        <v>66</v>
      </c>
      <c r="S62" s="73" t="s">
        <v>67</v>
      </c>
      <c r="T62" s="74" t="s">
        <v>68</v>
      </c>
      <c r="U62" s="3" t="s">
        <v>176</v>
      </c>
      <c r="V62" s="74" t="s">
        <v>265</v>
      </c>
      <c r="W62" s="73" t="s">
        <v>266</v>
      </c>
      <c r="X62" s="73" t="s">
        <v>70</v>
      </c>
      <c r="Y62" s="3"/>
      <c r="Z62" s="5"/>
      <c r="AA62" s="97" t="s">
        <v>839</v>
      </c>
      <c r="AB62" s="97" t="s">
        <v>840</v>
      </c>
      <c r="AC62" t="s">
        <v>922</v>
      </c>
      <c r="AD62" t="s">
        <v>923</v>
      </c>
      <c r="AH62" t="s">
        <v>637</v>
      </c>
      <c r="AJ62" s="227"/>
      <c r="AL62" s="246" t="s">
        <v>924</v>
      </c>
      <c r="AM62" s="245" t="s">
        <v>925</v>
      </c>
      <c r="AN62" s="244">
        <v>3.19</v>
      </c>
      <c r="AO62" s="244">
        <v>3.19</v>
      </c>
      <c r="AP62" s="246">
        <v>3.19</v>
      </c>
      <c r="AQ62">
        <f>AP59+AP62</f>
        <v>20.78</v>
      </c>
      <c r="AS62" s="3">
        <v>3.5</v>
      </c>
    </row>
    <row r="63" spans="12:45" ht="14.25">
      <c r="P63" s="224" t="s">
        <v>926</v>
      </c>
      <c r="Q63" s="224" t="s">
        <v>927</v>
      </c>
      <c r="R63" s="224">
        <v>607931101</v>
      </c>
      <c r="S63" s="224">
        <v>1</v>
      </c>
      <c r="T63" s="224" t="s">
        <v>373</v>
      </c>
      <c r="U63" s="224" t="s">
        <v>928</v>
      </c>
      <c r="V63" s="224" t="s">
        <v>833</v>
      </c>
      <c r="W63" s="224"/>
      <c r="X63" s="224" t="s">
        <v>929</v>
      </c>
      <c r="Y63" s="227"/>
      <c r="Z63" s="227"/>
      <c r="AA63" s="227"/>
      <c r="AB63" s="227"/>
      <c r="AC63" s="226"/>
      <c r="AD63" s="226"/>
      <c r="AE63" s="226"/>
      <c r="AF63" s="227"/>
      <c r="AL63" s="250" t="s">
        <v>930</v>
      </c>
      <c r="AM63" s="250" t="s">
        <v>931</v>
      </c>
      <c r="AN63" s="244">
        <v>6.36</v>
      </c>
      <c r="AO63" s="244">
        <v>6.36</v>
      </c>
      <c r="AP63" s="251">
        <v>6.36</v>
      </c>
      <c r="AQ63">
        <f>AQ62+AP63</f>
        <v>27.14</v>
      </c>
      <c r="AS63" s="3">
        <v>6.99</v>
      </c>
    </row>
    <row r="64" spans="12:45" ht="15.75">
      <c r="L64" s="226" t="s">
        <v>932</v>
      </c>
      <c r="M64" s="226" t="s">
        <v>933</v>
      </c>
      <c r="N64" s="252" t="s">
        <v>934</v>
      </c>
      <c r="O64" s="226"/>
      <c r="P64" s="179" t="s">
        <v>935</v>
      </c>
      <c r="Q64" s="237">
        <f>R51-1</f>
        <v>607164813.48952889</v>
      </c>
      <c r="R64" s="240">
        <f>R63+20</f>
        <v>607931121</v>
      </c>
      <c r="S64" s="104">
        <f>R64-Q64</f>
        <v>766307.51047110558</v>
      </c>
      <c r="T64" s="104">
        <f>S64*$V$9</f>
        <v>2927294.6899996232</v>
      </c>
      <c r="U64" s="3">
        <v>0</v>
      </c>
      <c r="V64" s="142">
        <f>T64+U64*$V$33</f>
        <v>2927294.6899996232</v>
      </c>
      <c r="W64" s="97">
        <f>Y64*1000000/8</f>
        <v>2857250.0000000005</v>
      </c>
      <c r="X64" s="105">
        <f>W64-V64</f>
        <v>-70044.689999622758</v>
      </c>
      <c r="Y64" s="253">
        <f>1.1*(AO58+AO59+AP62)</f>
        <v>22.858000000000004</v>
      </c>
      <c r="Z64" s="189" t="s">
        <v>936</v>
      </c>
      <c r="AA64" s="235">
        <f>S64*$S$9</f>
        <v>1065941.2859702141</v>
      </c>
      <c r="AB64" s="236">
        <f>AA64*8/1000000</f>
        <v>8.5275302877617118</v>
      </c>
      <c r="AC64" s="235">
        <f>AA64-V64</f>
        <v>-1861353.4040294092</v>
      </c>
      <c r="AD64" s="229">
        <f>AB64-Y64</f>
        <v>-14.330469712238292</v>
      </c>
      <c r="AE64" s="229"/>
      <c r="AF64" s="178" t="s">
        <v>937</v>
      </c>
      <c r="AG64" s="228" t="s">
        <v>938</v>
      </c>
      <c r="AH64" s="232">
        <f>X64*8/1000000</f>
        <v>-0.56035751999698202</v>
      </c>
      <c r="AI64" s="232">
        <f>V64*8/1000000</f>
        <v>23.418357519996984</v>
      </c>
      <c r="AJ64" s="242"/>
      <c r="AL64" s="250" t="s">
        <v>939</v>
      </c>
      <c r="AM64" s="250" t="s">
        <v>940</v>
      </c>
      <c r="AN64" s="244">
        <v>8.57</v>
      </c>
      <c r="AO64" s="244">
        <v>8.57</v>
      </c>
      <c r="AP64" s="251">
        <v>8.57</v>
      </c>
      <c r="AQ64">
        <f>AQ63+AP64</f>
        <v>35.71</v>
      </c>
      <c r="AS64" s="3">
        <v>9.43</v>
      </c>
    </row>
    <row r="65" spans="2:47" ht="14.25">
      <c r="C65" s="254" t="s">
        <v>941</v>
      </c>
      <c r="D65" s="254" t="s">
        <v>942</v>
      </c>
      <c r="E65" s="254" t="s">
        <v>766</v>
      </c>
      <c r="F65" s="254" t="s">
        <v>764</v>
      </c>
      <c r="G65" s="254" t="s">
        <v>765</v>
      </c>
      <c r="H65" s="254" t="s">
        <v>768</v>
      </c>
      <c r="I65" s="254" t="s">
        <v>769</v>
      </c>
      <c r="J65" s="254" t="s">
        <v>943</v>
      </c>
      <c r="P65" s="81" t="s">
        <v>944</v>
      </c>
      <c r="Q65" s="81" t="s">
        <v>945</v>
      </c>
      <c r="R65" s="81">
        <v>607931322</v>
      </c>
      <c r="S65" s="81">
        <v>1</v>
      </c>
      <c r="T65" s="81" t="s">
        <v>373</v>
      </c>
      <c r="U65" s="81" t="s">
        <v>928</v>
      </c>
      <c r="V65" s="81" t="s">
        <v>382</v>
      </c>
      <c r="W65" s="81"/>
      <c r="X65" s="81" t="s">
        <v>946</v>
      </c>
      <c r="Y65" s="239"/>
      <c r="Z65" s="239"/>
      <c r="AA65" s="239"/>
      <c r="AB65" s="239"/>
      <c r="AC65" s="238"/>
      <c r="AD65" s="238"/>
      <c r="AE65" s="238"/>
      <c r="AH65" s="232"/>
      <c r="AI65" s="232"/>
      <c r="AL65" s="244" t="s">
        <v>947</v>
      </c>
      <c r="AM65" s="244" t="s">
        <v>948</v>
      </c>
      <c r="AN65" s="244">
        <v>0</v>
      </c>
      <c r="AO65" s="244">
        <v>0</v>
      </c>
      <c r="AP65" s="249">
        <v>0</v>
      </c>
      <c r="AS65" s="3"/>
    </row>
    <row r="66" spans="2:47" ht="15.75">
      <c r="B66">
        <v>102</v>
      </c>
      <c r="C66">
        <v>101</v>
      </c>
      <c r="E66" t="s">
        <v>766</v>
      </c>
      <c r="F66" t="s">
        <v>764</v>
      </c>
      <c r="G66" t="s">
        <v>765</v>
      </c>
      <c r="H66" t="s">
        <v>768</v>
      </c>
      <c r="L66" s="238" t="s">
        <v>883</v>
      </c>
      <c r="M66" s="238" t="s">
        <v>949</v>
      </c>
      <c r="N66" s="255" t="s">
        <v>950</v>
      </c>
      <c r="O66" s="238"/>
      <c r="P66" s="179" t="s">
        <v>951</v>
      </c>
      <c r="Q66" s="237">
        <f>R49-1</f>
        <v>607165733.06575108</v>
      </c>
      <c r="R66" s="240">
        <f>R65+20</f>
        <v>607931342</v>
      </c>
      <c r="S66" s="104">
        <f>R66-Q66</f>
        <v>765608.93424892426</v>
      </c>
      <c r="T66" s="104">
        <f>S66*$V$10</f>
        <v>3717609.5700257518</v>
      </c>
      <c r="U66" s="3">
        <v>0</v>
      </c>
      <c r="V66" s="142">
        <f>T66+U66*$V$33</f>
        <v>3717609.5700257518</v>
      </c>
      <c r="W66" s="97">
        <f>Y66*1000000/8+X64</f>
        <v>5179705.3100003786</v>
      </c>
      <c r="X66" s="105">
        <f>W66-V66</f>
        <v>1462095.7399746268</v>
      </c>
      <c r="Y66" s="256">
        <f>1.1*(AP63+AP64+AP69+AP70)</f>
        <v>41.998000000000005</v>
      </c>
      <c r="Z66" s="189" t="s">
        <v>952</v>
      </c>
      <c r="AA66" s="229">
        <v>1654428</v>
      </c>
      <c r="AB66" s="235">
        <f>AA66-T66</f>
        <v>-2063181.5700257518</v>
      </c>
      <c r="AC66" s="241">
        <f>(AB66/8)/1000000</f>
        <v>-0.25789769625321896</v>
      </c>
      <c r="AD66" s="241"/>
      <c r="AE66" s="229"/>
      <c r="AF66" s="178" t="s">
        <v>953</v>
      </c>
      <c r="AG66" s="192" t="s">
        <v>954</v>
      </c>
      <c r="AH66" s="232">
        <f>X66*8/1000000</f>
        <v>11.696765919797015</v>
      </c>
      <c r="AI66" s="232">
        <f>V66*8/1000000</f>
        <v>29.740876560206015</v>
      </c>
      <c r="AL66" s="244" t="s">
        <v>955</v>
      </c>
      <c r="AM66" s="244" t="s">
        <v>956</v>
      </c>
      <c r="AN66" s="244">
        <v>0</v>
      </c>
      <c r="AO66" s="244">
        <v>0</v>
      </c>
      <c r="AP66" s="249">
        <v>0</v>
      </c>
      <c r="AS66" s="3"/>
    </row>
    <row r="67" spans="2:47" ht="14.25">
      <c r="P67" s="81" t="s">
        <v>957</v>
      </c>
      <c r="Q67" s="81" t="s">
        <v>958</v>
      </c>
      <c r="R67" s="81">
        <v>607961216</v>
      </c>
      <c r="S67" s="81">
        <v>7</v>
      </c>
      <c r="T67" s="81" t="s">
        <v>373</v>
      </c>
      <c r="U67" s="81" t="s">
        <v>959</v>
      </c>
      <c r="V67" s="81" t="s">
        <v>866</v>
      </c>
      <c r="W67" s="81" t="s">
        <v>867</v>
      </c>
      <c r="X67" s="81" t="s">
        <v>960</v>
      </c>
      <c r="Y67" s="239"/>
      <c r="Z67" s="239"/>
      <c r="AA67" s="239"/>
      <c r="AB67" s="239"/>
      <c r="AC67" s="238"/>
      <c r="AD67" s="238"/>
      <c r="AE67" s="238"/>
      <c r="AH67" s="232"/>
      <c r="AI67" s="232"/>
      <c r="AL67" s="244" t="s">
        <v>961</v>
      </c>
      <c r="AM67" s="244" t="s">
        <v>962</v>
      </c>
      <c r="AN67" s="244">
        <v>0</v>
      </c>
      <c r="AO67" s="244">
        <v>0</v>
      </c>
      <c r="AP67" s="249">
        <v>0</v>
      </c>
      <c r="AS67" s="3"/>
    </row>
    <row r="68" spans="2:47" ht="15.75">
      <c r="B68">
        <v>102</v>
      </c>
      <c r="C68">
        <v>101</v>
      </c>
      <c r="E68" t="s">
        <v>766</v>
      </c>
      <c r="F68" t="s">
        <v>764</v>
      </c>
      <c r="G68" t="s">
        <v>765</v>
      </c>
      <c r="H68" t="s">
        <v>768</v>
      </c>
      <c r="L68" s="238" t="s">
        <v>963</v>
      </c>
      <c r="M68" s="257" t="s">
        <v>964</v>
      </c>
      <c r="N68" s="255" t="s">
        <v>965</v>
      </c>
      <c r="O68" s="238"/>
      <c r="P68" s="179" t="s">
        <v>951</v>
      </c>
      <c r="Q68" s="240">
        <f>R67-20</f>
        <v>607961196</v>
      </c>
      <c r="R68" s="104">
        <f>((W68-U68*$V$33)/$V$10)+Q68</f>
        <v>608221654.09265757</v>
      </c>
      <c r="S68" s="104">
        <f>R68-Q68</f>
        <v>260458.09265756607</v>
      </c>
      <c r="T68" s="104">
        <f>S68*$V$10</f>
        <v>1264720.7399745442</v>
      </c>
      <c r="U68" s="3">
        <v>1</v>
      </c>
      <c r="V68" s="142">
        <f>T68+U68*$V$33</f>
        <v>1462095.7399745442</v>
      </c>
      <c r="W68" s="97">
        <f>X66</f>
        <v>1462095.7399746268</v>
      </c>
      <c r="X68" s="105">
        <f>W68-V68</f>
        <v>8.2654878497123718E-8</v>
      </c>
      <c r="Y68" t="s">
        <v>966</v>
      </c>
      <c r="AA68" s="229">
        <v>334035</v>
      </c>
      <c r="AB68" s="235">
        <f>AA68-T68</f>
        <v>-930685.73997454415</v>
      </c>
      <c r="AC68" s="241">
        <f>(AB68/8)/1000000</f>
        <v>-0.11633571749681802</v>
      </c>
      <c r="AD68" s="241"/>
      <c r="AE68" s="3"/>
      <c r="AF68">
        <f>15*60*4.8624</f>
        <v>4376.16</v>
      </c>
      <c r="AG68" t="s">
        <v>173</v>
      </c>
      <c r="AH68" s="232">
        <f>X68*8/1000000</f>
        <v>6.6123902797698976E-13</v>
      </c>
      <c r="AI68" s="232">
        <f>V68*8/1000000</f>
        <v>11.696765919796354</v>
      </c>
      <c r="AL68" s="244" t="s">
        <v>967</v>
      </c>
      <c r="AM68" s="244" t="s">
        <v>968</v>
      </c>
      <c r="AN68" s="244">
        <v>0</v>
      </c>
      <c r="AO68" s="244">
        <v>0</v>
      </c>
      <c r="AP68" s="249">
        <v>0</v>
      </c>
      <c r="AS68" s="3"/>
    </row>
    <row r="69" spans="2:47" ht="14.25">
      <c r="L69" s="17" t="s">
        <v>969</v>
      </c>
      <c r="M69" t="s">
        <v>970</v>
      </c>
      <c r="N69" t="s">
        <v>971</v>
      </c>
      <c r="P69" s="224" t="s">
        <v>972</v>
      </c>
      <c r="Q69" s="224" t="s">
        <v>973</v>
      </c>
      <c r="R69" s="224">
        <v>607960737</v>
      </c>
      <c r="S69" s="224">
        <v>7</v>
      </c>
      <c r="T69" s="224" t="s">
        <v>373</v>
      </c>
      <c r="U69" s="224" t="s">
        <v>974</v>
      </c>
      <c r="V69" s="224" t="s">
        <v>816</v>
      </c>
      <c r="W69" s="224" t="s">
        <v>817</v>
      </c>
      <c r="X69" s="224" t="s">
        <v>975</v>
      </c>
      <c r="Y69" s="227"/>
      <c r="Z69" s="227"/>
      <c r="AA69" s="227"/>
      <c r="AB69" s="3"/>
      <c r="AC69" s="3"/>
      <c r="AD69" s="3"/>
      <c r="AE69" s="3"/>
      <c r="AF69" s="3"/>
      <c r="AH69" s="232"/>
      <c r="AI69" s="232"/>
      <c r="AL69" s="250" t="s">
        <v>976</v>
      </c>
      <c r="AM69" s="250" t="s">
        <v>977</v>
      </c>
      <c r="AN69" s="244">
        <v>6.03</v>
      </c>
      <c r="AO69" s="244">
        <v>6.03</v>
      </c>
      <c r="AP69" s="251">
        <v>6.03</v>
      </c>
      <c r="AQ69">
        <f>AQ64+AP69</f>
        <v>41.74</v>
      </c>
      <c r="AS69" s="3">
        <v>6.63</v>
      </c>
    </row>
    <row r="70" spans="2:47" ht="15.75">
      <c r="L70" s="226" t="s">
        <v>978</v>
      </c>
      <c r="M70" s="226" t="s">
        <v>979</v>
      </c>
      <c r="N70" s="227" t="s">
        <v>980</v>
      </c>
      <c r="O70" s="226"/>
      <c r="P70" s="179" t="s">
        <v>112</v>
      </c>
      <c r="Q70" s="240">
        <f>R69-20</f>
        <v>607960717</v>
      </c>
      <c r="R70" s="240">
        <f>R72+20</f>
        <v>608535921</v>
      </c>
      <c r="S70" s="104">
        <f>R70-Q70</f>
        <v>575204</v>
      </c>
      <c r="T70" s="104">
        <f>S70*$V$9</f>
        <v>2197279.2799999998</v>
      </c>
      <c r="U70" s="3">
        <v>0</v>
      </c>
      <c r="V70" s="142">
        <f>T70+U70*$V$33</f>
        <v>2197279.2799999998</v>
      </c>
      <c r="W70" s="97">
        <f>Y70*1000000/8</f>
        <v>3121250.0000000005</v>
      </c>
      <c r="X70" s="105">
        <f>W70-V70</f>
        <v>923970.72000000067</v>
      </c>
      <c r="Y70" s="258">
        <f>1.1*(AP71+AP72+AP73)</f>
        <v>24.970000000000002</v>
      </c>
      <c r="Z70" s="189" t="s">
        <v>981</v>
      </c>
      <c r="AA70" s="235">
        <f>S70*$S$9</f>
        <v>800114.42283564818</v>
      </c>
      <c r="AB70" s="236">
        <f>AA70*8/1000000</f>
        <v>6.4009153826851852</v>
      </c>
      <c r="AC70" s="235">
        <f>AA70-V70</f>
        <v>-1397164.8571643517</v>
      </c>
      <c r="AD70" s="229">
        <f>AB70-Y70</f>
        <v>-18.569084617314818</v>
      </c>
      <c r="AE70" s="229"/>
      <c r="AF70" t="s">
        <v>580</v>
      </c>
      <c r="AG70" s="227" t="s">
        <v>982</v>
      </c>
      <c r="AH70" s="232">
        <f>X70*8/1000000</f>
        <v>7.3917657600000055</v>
      </c>
      <c r="AI70" s="232">
        <f>V70*8/1000000</f>
        <v>17.578234239999997</v>
      </c>
      <c r="AL70" s="250" t="s">
        <v>983</v>
      </c>
      <c r="AM70" s="250" t="s">
        <v>984</v>
      </c>
      <c r="AN70" s="244">
        <v>17.22</v>
      </c>
      <c r="AO70" s="244">
        <v>17.22</v>
      </c>
      <c r="AP70" s="251">
        <v>17.22</v>
      </c>
      <c r="AQ70">
        <f>AQ69+AP70</f>
        <v>58.96</v>
      </c>
      <c r="AS70" s="3">
        <v>18.940000000000001</v>
      </c>
    </row>
    <row r="71" spans="2:47" ht="14.25">
      <c r="O71" s="17" t="s">
        <v>985</v>
      </c>
      <c r="P71" s="225" t="s">
        <v>986</v>
      </c>
      <c r="Q71" s="225" t="s">
        <v>987</v>
      </c>
      <c r="R71" s="225">
        <v>608622301</v>
      </c>
      <c r="S71" s="225">
        <v>1</v>
      </c>
      <c r="T71" s="225" t="s">
        <v>373</v>
      </c>
      <c r="U71" s="225" t="s">
        <v>988</v>
      </c>
      <c r="V71" s="225" t="s">
        <v>833</v>
      </c>
      <c r="W71" s="225"/>
      <c r="X71" s="225" t="s">
        <v>989</v>
      </c>
      <c r="Y71">
        <f>(Y70+Y66+Y64)*0.9</f>
        <v>80.843400000000003</v>
      </c>
      <c r="AC71" s="3"/>
      <c r="AD71" s="3"/>
      <c r="AE71" s="3"/>
      <c r="AH71" s="232"/>
      <c r="AI71" s="232"/>
      <c r="AL71" s="259" t="s">
        <v>990</v>
      </c>
      <c r="AM71" s="259" t="s">
        <v>991</v>
      </c>
      <c r="AN71" s="244">
        <v>8.7799999999999994</v>
      </c>
      <c r="AO71" s="244">
        <v>8.7799999999999994</v>
      </c>
      <c r="AP71" s="260">
        <v>8.7799999999999994</v>
      </c>
      <c r="AQ71">
        <f>AQ70+AP71</f>
        <v>67.739999999999995</v>
      </c>
      <c r="AS71" s="3">
        <v>9.66</v>
      </c>
    </row>
    <row r="72" spans="2:47" ht="14.25">
      <c r="O72" s="17" t="s">
        <v>992</v>
      </c>
      <c r="P72" s="225" t="s">
        <v>993</v>
      </c>
      <c r="Q72" s="225" t="s">
        <v>994</v>
      </c>
      <c r="R72" s="261">
        <f>R71-86400</f>
        <v>608535901</v>
      </c>
      <c r="S72" s="225">
        <v>1</v>
      </c>
      <c r="T72" s="225" t="s">
        <v>373</v>
      </c>
      <c r="U72" s="225" t="s">
        <v>988</v>
      </c>
      <c r="V72" s="225" t="s">
        <v>833</v>
      </c>
      <c r="W72" s="225"/>
      <c r="X72" s="225" t="s">
        <v>989</v>
      </c>
      <c r="Y72" s="227"/>
      <c r="Z72" s="227"/>
      <c r="AA72" s="227"/>
      <c r="AB72" s="227"/>
      <c r="AC72" s="226"/>
      <c r="AD72" s="226"/>
      <c r="AE72" s="226"/>
      <c r="AF72" s="227"/>
      <c r="AH72" s="232"/>
      <c r="AI72" s="232"/>
      <c r="AL72" s="259" t="s">
        <v>995</v>
      </c>
      <c r="AM72" s="259" t="s">
        <v>996</v>
      </c>
      <c r="AN72" s="244">
        <v>6.38</v>
      </c>
      <c r="AO72" s="244">
        <v>6.38</v>
      </c>
      <c r="AP72" s="260">
        <v>6.38</v>
      </c>
      <c r="AQ72">
        <f>AQ71+AP72</f>
        <v>74.11999999999999</v>
      </c>
      <c r="AS72" s="3">
        <v>7.01</v>
      </c>
    </row>
    <row r="73" spans="2:47" ht="14.25">
      <c r="O73" s="17" t="s">
        <v>997</v>
      </c>
      <c r="P73" s="225" t="s">
        <v>998</v>
      </c>
      <c r="Q73" s="225" t="s">
        <v>999</v>
      </c>
      <c r="R73" s="225">
        <v>608651936</v>
      </c>
      <c r="S73" s="225">
        <v>7</v>
      </c>
      <c r="T73" s="225" t="s">
        <v>373</v>
      </c>
      <c r="U73" s="225" t="s">
        <v>1000</v>
      </c>
      <c r="V73" s="225" t="s">
        <v>816</v>
      </c>
      <c r="W73" s="225" t="s">
        <v>817</v>
      </c>
      <c r="X73" s="225" t="s">
        <v>1001</v>
      </c>
      <c r="Y73" s="227"/>
      <c r="Z73" s="227"/>
      <c r="AA73" s="227"/>
      <c r="AB73" s="227"/>
      <c r="AC73" s="226"/>
      <c r="AD73" s="226"/>
      <c r="AE73" s="226"/>
      <c r="AF73" s="227"/>
      <c r="AH73" s="232"/>
      <c r="AI73" s="232"/>
      <c r="AL73" s="259" t="s">
        <v>1002</v>
      </c>
      <c r="AM73" s="259" t="s">
        <v>1003</v>
      </c>
      <c r="AN73" s="244">
        <v>7.54</v>
      </c>
      <c r="AO73" s="244">
        <v>7.54</v>
      </c>
      <c r="AP73" s="260">
        <v>7.54</v>
      </c>
      <c r="AQ73">
        <f>AQ72+AP73</f>
        <v>81.66</v>
      </c>
      <c r="AR73">
        <f>AQ73/2</f>
        <v>40.83</v>
      </c>
      <c r="AS73" s="3">
        <v>8.3000000000000007</v>
      </c>
    </row>
    <row r="74" spans="2:47" ht="14.25">
      <c r="O74" s="17" t="s">
        <v>992</v>
      </c>
      <c r="P74" s="225" t="s">
        <v>998</v>
      </c>
      <c r="Q74" s="225" t="s">
        <v>1004</v>
      </c>
      <c r="R74" s="261">
        <f>R73-86400</f>
        <v>608565536</v>
      </c>
      <c r="S74" s="225">
        <v>7</v>
      </c>
      <c r="T74" s="225" t="s">
        <v>373</v>
      </c>
      <c r="U74" s="225" t="s">
        <v>1000</v>
      </c>
      <c r="V74" s="225" t="s">
        <v>816</v>
      </c>
      <c r="W74" s="225" t="s">
        <v>817</v>
      </c>
      <c r="X74" s="225" t="s">
        <v>1001</v>
      </c>
      <c r="Y74" s="227"/>
      <c r="Z74" s="227"/>
      <c r="AA74" s="227"/>
      <c r="AB74" s="227"/>
      <c r="AC74" s="226"/>
      <c r="AD74" s="226"/>
      <c r="AE74" s="226"/>
      <c r="AF74" s="227"/>
      <c r="AH74" s="232"/>
      <c r="AI74" s="232"/>
    </row>
    <row r="75" spans="2:47" ht="15.75">
      <c r="L75" s="226" t="s">
        <v>4375</v>
      </c>
      <c r="M75" s="226" t="s">
        <v>1006</v>
      </c>
      <c r="N75" s="227" t="s">
        <v>1007</v>
      </c>
      <c r="O75" s="226"/>
      <c r="P75" s="179" t="s">
        <v>112</v>
      </c>
      <c r="Q75" s="240">
        <f>R74-20</f>
        <v>608565516</v>
      </c>
      <c r="R75" s="143">
        <f>((W75)/$V$9)+Q75</f>
        <v>608807393.15183246</v>
      </c>
      <c r="S75" s="104">
        <f>R75-Q75</f>
        <v>241877.15183246136</v>
      </c>
      <c r="T75" s="104">
        <f>S75*$V$9</f>
        <v>923970.7200000023</v>
      </c>
      <c r="U75" s="3">
        <v>0</v>
      </c>
      <c r="V75" s="142">
        <f>T75+U75*$V$33</f>
        <v>923970.7200000023</v>
      </c>
      <c r="W75" s="97">
        <f>X70</f>
        <v>923970.72000000067</v>
      </c>
      <c r="X75" s="105">
        <f>W75-V75</f>
        <v>-1.6298145055770874E-9</v>
      </c>
      <c r="Y75">
        <f>SUM(Y64:Y70)</f>
        <v>89.826000000000008</v>
      </c>
      <c r="AA75" s="235">
        <f>S75*$S$9</f>
        <v>336453.49777741509</v>
      </c>
      <c r="AB75" s="236">
        <f>AA75*8/1000000</f>
        <v>2.6916279822193205</v>
      </c>
      <c r="AC75" s="235">
        <f>AA75-V75</f>
        <v>-587517.22222258721</v>
      </c>
      <c r="AD75" s="229">
        <f>AB75-Y75</f>
        <v>-87.134372017780692</v>
      </c>
      <c r="AE75" s="229"/>
      <c r="AG75" s="227" t="s">
        <v>1008</v>
      </c>
      <c r="AH75" s="232">
        <f>X75*8/1000000</f>
        <v>-1.3038516044616699E-14</v>
      </c>
      <c r="AI75" s="232">
        <f>V75*8/1000000</f>
        <v>7.3917657600000188</v>
      </c>
      <c r="AU75" s="3"/>
    </row>
    <row r="76" spans="2:47" ht="14.25">
      <c r="Z76" s="238">
        <f>Y66</f>
        <v>41.998000000000005</v>
      </c>
      <c r="AB76" s="243">
        <f>AB75+AB70+AB64</f>
        <v>17.620073652666218</v>
      </c>
      <c r="AC76" s="3"/>
      <c r="AD76" s="3"/>
      <c r="AE76" s="3"/>
      <c r="AH76" s="232"/>
      <c r="AI76" s="232"/>
    </row>
    <row r="77" spans="2:47" ht="14.25">
      <c r="X77" t="s">
        <v>913</v>
      </c>
      <c r="AB77" t="s">
        <v>894</v>
      </c>
      <c r="AC77" s="3"/>
      <c r="AD77" s="3"/>
      <c r="AE77" s="3"/>
      <c r="AH77" s="232"/>
      <c r="AI77" s="232"/>
    </row>
    <row r="78" spans="2:47" ht="14.25">
      <c r="P78" t="s">
        <v>1009</v>
      </c>
      <c r="X78" t="s">
        <v>1010</v>
      </c>
      <c r="AC78" s="3"/>
      <c r="AD78" s="3"/>
      <c r="AE78" s="3"/>
      <c r="AH78" s="232"/>
      <c r="AI78" s="232"/>
    </row>
    <row r="79" spans="2:47" ht="14.25">
      <c r="P79" s="81" t="s">
        <v>907</v>
      </c>
      <c r="Q79" s="81" t="s">
        <v>908</v>
      </c>
      <c r="R79" s="81">
        <v>608130222</v>
      </c>
      <c r="S79" s="81">
        <v>1</v>
      </c>
      <c r="T79" s="81" t="s">
        <v>373</v>
      </c>
      <c r="U79" s="81" t="s">
        <v>909</v>
      </c>
      <c r="V79" s="81" t="s">
        <v>382</v>
      </c>
      <c r="W79" s="81"/>
      <c r="X79" s="81" t="s">
        <v>910</v>
      </c>
      <c r="Y79" s="239"/>
      <c r="Z79" s="239"/>
      <c r="AA79" s="239"/>
      <c r="AB79" s="239"/>
      <c r="AC79" s="238"/>
      <c r="AD79" s="238"/>
      <c r="AE79" s="238"/>
      <c r="AH79" s="232"/>
      <c r="AI79" s="232"/>
    </row>
    <row r="80" spans="2:47" ht="14.25">
      <c r="P80" s="81" t="s">
        <v>1011</v>
      </c>
      <c r="Q80" s="81" t="s">
        <v>1012</v>
      </c>
      <c r="R80" s="81">
        <v>608131016</v>
      </c>
      <c r="S80" s="81">
        <v>7</v>
      </c>
      <c r="T80" s="81" t="s">
        <v>373</v>
      </c>
      <c r="U80" s="81" t="s">
        <v>1013</v>
      </c>
      <c r="V80" s="81" t="s">
        <v>866</v>
      </c>
      <c r="W80" s="81" t="s">
        <v>867</v>
      </c>
      <c r="X80" s="81" t="s">
        <v>1014</v>
      </c>
      <c r="Y80" s="239"/>
      <c r="Z80" s="239"/>
      <c r="AA80" s="239"/>
      <c r="AB80" s="239"/>
      <c r="AC80" s="238"/>
      <c r="AD80" s="238"/>
      <c r="AE80" s="238"/>
      <c r="AH80" s="232"/>
      <c r="AI80" s="232"/>
    </row>
    <row r="81" spans="1:43" ht="14.25">
      <c r="P81" s="59">
        <v>25139</v>
      </c>
      <c r="Q81" s="55"/>
      <c r="R81" s="55"/>
      <c r="S81" s="56"/>
      <c r="T81" s="3"/>
      <c r="U81" s="95"/>
      <c r="V81" s="93"/>
      <c r="W81" s="139"/>
      <c r="X81" s="140"/>
      <c r="AC81" s="3" t="s">
        <v>862</v>
      </c>
      <c r="AD81" s="3"/>
      <c r="AE81" s="3"/>
      <c r="AN81" s="3"/>
    </row>
    <row r="82" spans="1:43" ht="14.25">
      <c r="L82" t="s">
        <v>1015</v>
      </c>
      <c r="P82" s="73" t="s">
        <v>837</v>
      </c>
      <c r="Q82" s="72" t="s">
        <v>65</v>
      </c>
      <c r="R82" s="73" t="s">
        <v>66</v>
      </c>
      <c r="S82" s="73" t="s">
        <v>67</v>
      </c>
      <c r="T82" s="74" t="s">
        <v>68</v>
      </c>
      <c r="U82" s="3" t="s">
        <v>176</v>
      </c>
      <c r="V82" s="74" t="s">
        <v>265</v>
      </c>
      <c r="W82" s="73" t="s">
        <v>266</v>
      </c>
      <c r="X82" s="73" t="s">
        <v>70</v>
      </c>
      <c r="AB82" s="3" t="s">
        <v>869</v>
      </c>
      <c r="AC82" s="3" t="s">
        <v>870</v>
      </c>
      <c r="AD82" s="3" t="s">
        <v>871</v>
      </c>
      <c r="AE82" s="3"/>
      <c r="AN82" s="4"/>
    </row>
    <row r="83" spans="1:43" ht="14.25">
      <c r="C83" s="254" t="s">
        <v>941</v>
      </c>
      <c r="D83" s="254" t="s">
        <v>942</v>
      </c>
      <c r="E83" s="254" t="s">
        <v>766</v>
      </c>
      <c r="F83" s="254" t="s">
        <v>764</v>
      </c>
      <c r="G83" s="254" t="s">
        <v>765</v>
      </c>
      <c r="H83" s="254" t="s">
        <v>768</v>
      </c>
      <c r="I83" s="254" t="s">
        <v>769</v>
      </c>
      <c r="J83" s="254" t="s">
        <v>943</v>
      </c>
      <c r="L83" t="s">
        <v>1016</v>
      </c>
      <c r="P83" s="83" t="s">
        <v>1017</v>
      </c>
      <c r="Q83" s="83" t="s">
        <v>1018</v>
      </c>
      <c r="R83" s="83">
        <v>608536122</v>
      </c>
      <c r="S83" s="83">
        <v>1</v>
      </c>
      <c r="T83" s="83" t="s">
        <v>373</v>
      </c>
      <c r="U83" s="83" t="s">
        <v>1019</v>
      </c>
      <c r="V83" s="83" t="s">
        <v>382</v>
      </c>
      <c r="W83" s="83"/>
      <c r="X83" s="83" t="s">
        <v>1020</v>
      </c>
      <c r="Y83" s="239"/>
      <c r="Z83" s="239"/>
      <c r="AA83" s="239"/>
      <c r="AB83" s="239"/>
      <c r="AC83" s="238"/>
      <c r="AD83" s="238"/>
      <c r="AE83" s="238"/>
      <c r="AH83" t="s">
        <v>1021</v>
      </c>
      <c r="AI83" t="s">
        <v>836</v>
      </c>
      <c r="AL83" s="262" t="s">
        <v>1022</v>
      </c>
      <c r="AM83" s="262" t="s">
        <v>1023</v>
      </c>
      <c r="AN83" s="262" t="s">
        <v>1024</v>
      </c>
      <c r="AO83" s="262" t="s">
        <v>1025</v>
      </c>
      <c r="AP83" s="262" t="s">
        <v>1026</v>
      </c>
    </row>
    <row r="84" spans="1:43" ht="15.75">
      <c r="B84">
        <v>102</v>
      </c>
      <c r="C84">
        <v>101</v>
      </c>
      <c r="E84" t="s">
        <v>766</v>
      </c>
      <c r="F84" t="s">
        <v>764</v>
      </c>
      <c r="G84" t="s">
        <v>765</v>
      </c>
      <c r="H84" t="s">
        <v>768</v>
      </c>
      <c r="L84" s="238" t="s">
        <v>964</v>
      </c>
      <c r="M84" s="238" t="s">
        <v>1027</v>
      </c>
      <c r="N84" s="255" t="s">
        <v>167</v>
      </c>
      <c r="O84" s="263" t="s">
        <v>1028</v>
      </c>
      <c r="P84" s="179" t="s">
        <v>120</v>
      </c>
      <c r="Q84" s="264">
        <f>R68-1</f>
        <v>608221653.09265757</v>
      </c>
      <c r="R84" s="265">
        <f>R83+20</f>
        <v>608536142</v>
      </c>
      <c r="S84" s="104">
        <f>R84-Q84</f>
        <v>314488.90734243393</v>
      </c>
      <c r="T84" s="104">
        <f>S84*$V$10</f>
        <v>1527081.1497910847</v>
      </c>
      <c r="U84" s="3">
        <v>1</v>
      </c>
      <c r="V84" s="142">
        <f>T84+U84*$V$33</f>
        <v>1724456.1497910847</v>
      </c>
      <c r="W84" s="97">
        <f>Y84*1000000/8</f>
        <v>2076250</v>
      </c>
      <c r="X84" s="266">
        <f>W84-V84</f>
        <v>351793.8502089153</v>
      </c>
      <c r="Y84" s="256">
        <f>1.1*AN84</f>
        <v>16.61</v>
      </c>
      <c r="Z84" s="189"/>
      <c r="AA84" s="189"/>
      <c r="AB84" s="229">
        <v>1612718</v>
      </c>
      <c r="AC84" s="229">
        <f>AB84-V84</f>
        <v>-111738.1497910847</v>
      </c>
      <c r="AD84" s="267">
        <f>AC84*8/1000000</f>
        <v>-0.89390519832867754</v>
      </c>
      <c r="AE84" s="241">
        <f>AC84/AB84</f>
        <v>-6.9285609629882408E-2</v>
      </c>
      <c r="AF84" s="178" t="s">
        <v>1029</v>
      </c>
      <c r="AG84" s="192" t="s">
        <v>1028</v>
      </c>
      <c r="AH84" s="232">
        <f>X84*8/1000000</f>
        <v>2.8143508016713223</v>
      </c>
      <c r="AI84" s="232">
        <f>V84*8/1000000</f>
        <v>13.795649198328677</v>
      </c>
      <c r="AL84" s="268" t="s">
        <v>1030</v>
      </c>
      <c r="AM84" s="268" t="s">
        <v>1031</v>
      </c>
      <c r="AN84" s="268">
        <v>15.1</v>
      </c>
      <c r="AO84" s="268">
        <v>15.1</v>
      </c>
      <c r="AP84" s="268">
        <v>15.1</v>
      </c>
      <c r="AQ84">
        <f>AP84</f>
        <v>15.1</v>
      </c>
    </row>
    <row r="85" spans="1:43" ht="14.25">
      <c r="M85" s="3"/>
      <c r="P85" s="83" t="s">
        <v>1032</v>
      </c>
      <c r="Q85" s="83" t="s">
        <v>1033</v>
      </c>
      <c r="R85" s="83">
        <v>608566017</v>
      </c>
      <c r="S85" s="83">
        <v>7</v>
      </c>
      <c r="T85" s="83" t="s">
        <v>373</v>
      </c>
      <c r="U85" s="83" t="s">
        <v>1034</v>
      </c>
      <c r="V85" s="83" t="s">
        <v>866</v>
      </c>
      <c r="W85" s="83" t="s">
        <v>867</v>
      </c>
      <c r="X85" s="83" t="s">
        <v>1035</v>
      </c>
      <c r="Y85" s="239"/>
      <c r="Z85" s="239"/>
      <c r="AA85" s="239"/>
      <c r="AB85" s="257"/>
      <c r="AC85" s="238"/>
      <c r="AD85" s="238"/>
      <c r="AE85" s="269"/>
      <c r="AH85" s="232"/>
      <c r="AI85" s="232"/>
    </row>
    <row r="86" spans="1:43" ht="15.75">
      <c r="A86" s="255" t="s">
        <v>872</v>
      </c>
      <c r="B86">
        <v>102</v>
      </c>
      <c r="C86">
        <v>101</v>
      </c>
      <c r="E86" t="s">
        <v>766</v>
      </c>
      <c r="F86" t="s">
        <v>764</v>
      </c>
      <c r="G86" t="s">
        <v>765</v>
      </c>
      <c r="H86" t="s">
        <v>768</v>
      </c>
      <c r="I86" s="255"/>
      <c r="J86" s="255"/>
      <c r="K86" s="255"/>
      <c r="L86" s="257" t="s">
        <v>1036</v>
      </c>
      <c r="M86" s="257" t="s">
        <v>1037</v>
      </c>
      <c r="N86" s="255"/>
      <c r="O86" s="263" t="s">
        <v>1028</v>
      </c>
      <c r="P86" s="179" t="s">
        <v>120</v>
      </c>
      <c r="Q86" s="270">
        <f>R85+20</f>
        <v>608566037</v>
      </c>
      <c r="R86" s="143">
        <f t="shared" ref="R86:R91" si="14">((W86-U86*$V$33)/$V$10)+Q86</f>
        <v>608597838.20158112</v>
      </c>
      <c r="S86" s="104">
        <f t="shared" ref="S86:S91" si="15">R86-Q86</f>
        <v>31801.201581120491</v>
      </c>
      <c r="T86" s="104">
        <f t="shared" ref="T86:T91" si="16">S86*$V$10</f>
        <v>154418.85020878428</v>
      </c>
      <c r="U86" s="3">
        <v>1</v>
      </c>
      <c r="V86" s="142">
        <f t="shared" ref="V86:V91" si="17">T86+U86*$V$33</f>
        <v>351793.85020878428</v>
      </c>
      <c r="W86" s="97">
        <f>X84</f>
        <v>351793.8502089153</v>
      </c>
      <c r="X86" s="266">
        <f t="shared" ref="X86:X91" si="18">W86-V86</f>
        <v>1.3102544471621513E-7</v>
      </c>
      <c r="AB86" s="229">
        <v>334134</v>
      </c>
      <c r="AC86" s="229">
        <f t="shared" ref="AC86:AC91" si="19">AB86-V86</f>
        <v>-17659.850208784279</v>
      </c>
      <c r="AD86" s="267">
        <f t="shared" ref="AD86:AD91" si="20">AC86*8/1000000</f>
        <v>-0.14127880167027423</v>
      </c>
      <c r="AE86" s="241">
        <f t="shared" ref="AE86:AE91" si="21">AC86/AB86</f>
        <v>-5.2852598684313114E-2</v>
      </c>
      <c r="AF86" s="178" t="s">
        <v>1029</v>
      </c>
      <c r="AG86" s="192" t="s">
        <v>1028</v>
      </c>
      <c r="AH86" s="232">
        <f t="shared" ref="AH86:AH91" si="22">X86*8/1000000</f>
        <v>1.0482035577297211E-12</v>
      </c>
      <c r="AI86" s="232">
        <f t="shared" ref="AI86:AI91" si="23">V86*8/1000000</f>
        <v>2.8143508016702743</v>
      </c>
    </row>
    <row r="87" spans="1:43" ht="15.75">
      <c r="B87">
        <v>102</v>
      </c>
      <c r="C87">
        <v>101</v>
      </c>
      <c r="E87" t="s">
        <v>766</v>
      </c>
      <c r="F87" t="s">
        <v>764</v>
      </c>
      <c r="G87" t="s">
        <v>765</v>
      </c>
      <c r="H87" t="s">
        <v>768</v>
      </c>
      <c r="L87" s="257" t="s">
        <v>1037</v>
      </c>
      <c r="M87" s="257" t="s">
        <v>1038</v>
      </c>
      <c r="O87" s="263" t="s">
        <v>1039</v>
      </c>
      <c r="P87" s="179" t="s">
        <v>1040</v>
      </c>
      <c r="Q87" s="264">
        <f>R86-1</f>
        <v>608597837.20158112</v>
      </c>
      <c r="R87" s="143">
        <f t="shared" si="14"/>
        <v>608806816.02288961</v>
      </c>
      <c r="S87" s="104">
        <f t="shared" si="15"/>
        <v>208978.82130849361</v>
      </c>
      <c r="T87" s="104">
        <f t="shared" si="16"/>
        <v>1014750.0000000803</v>
      </c>
      <c r="U87" s="3">
        <v>0</v>
      </c>
      <c r="V87" s="142">
        <f t="shared" si="17"/>
        <v>1014750.0000000803</v>
      </c>
      <c r="W87" s="97">
        <f>Y87*1000000/8</f>
        <v>1014750</v>
      </c>
      <c r="X87" s="266">
        <f t="shared" si="18"/>
        <v>-8.0326572060585022E-8</v>
      </c>
      <c r="Y87" s="256">
        <f>1.1*AN87</f>
        <v>8.1180000000000003</v>
      </c>
      <c r="Z87" s="189"/>
      <c r="AA87" s="189"/>
      <c r="AB87" s="229">
        <v>1116266</v>
      </c>
      <c r="AC87" s="229">
        <f t="shared" si="19"/>
        <v>101515.99999991967</v>
      </c>
      <c r="AD87" s="267">
        <f t="shared" si="20"/>
        <v>0.81212799999935736</v>
      </c>
      <c r="AE87" s="241">
        <f t="shared" si="21"/>
        <v>9.0942481451481705E-2</v>
      </c>
      <c r="AF87" s="178" t="s">
        <v>1041</v>
      </c>
      <c r="AG87" s="192" t="s">
        <v>1039</v>
      </c>
      <c r="AH87" s="232">
        <f t="shared" si="22"/>
        <v>-6.4261257648468014E-13</v>
      </c>
      <c r="AI87" s="232">
        <f t="shared" si="23"/>
        <v>8.1180000000006434</v>
      </c>
      <c r="AJ87" s="3"/>
      <c r="AK87" s="3"/>
      <c r="AL87" s="268" t="s">
        <v>1042</v>
      </c>
      <c r="AM87" s="268" t="s">
        <v>1043</v>
      </c>
      <c r="AN87" s="268">
        <v>7.38</v>
      </c>
      <c r="AO87" s="268">
        <v>7.38</v>
      </c>
      <c r="AP87" s="268">
        <v>7.38</v>
      </c>
      <c r="AQ87" s="271">
        <f>AQ84+AP87</f>
        <v>22.48</v>
      </c>
    </row>
    <row r="88" spans="1:43" ht="15.75">
      <c r="B88">
        <v>102</v>
      </c>
      <c r="C88">
        <v>101</v>
      </c>
      <c r="E88" t="s">
        <v>766</v>
      </c>
      <c r="F88" t="s">
        <v>764</v>
      </c>
      <c r="G88" t="s">
        <v>765</v>
      </c>
      <c r="H88" t="s">
        <v>768</v>
      </c>
      <c r="L88" s="257" t="s">
        <v>1038</v>
      </c>
      <c r="M88" s="257" t="s">
        <v>1044</v>
      </c>
      <c r="O88" s="263" t="s">
        <v>1045</v>
      </c>
      <c r="P88" s="179" t="s">
        <v>1046</v>
      </c>
      <c r="Q88" s="264">
        <f>R87-1</f>
        <v>608806815.02288961</v>
      </c>
      <c r="R88" s="143">
        <f t="shared" si="14"/>
        <v>608968221.4295913</v>
      </c>
      <c r="S88" s="104">
        <f t="shared" si="15"/>
        <v>161406.406701684</v>
      </c>
      <c r="T88" s="104">
        <f t="shared" si="16"/>
        <v>783750.00000007136</v>
      </c>
      <c r="U88" s="3">
        <v>0</v>
      </c>
      <c r="V88" s="142">
        <f t="shared" si="17"/>
        <v>783750.00000007136</v>
      </c>
      <c r="W88" s="97">
        <f>Y88*1000000/8</f>
        <v>783750</v>
      </c>
      <c r="X88" s="266">
        <f t="shared" si="18"/>
        <v>-7.1362592279911041E-8</v>
      </c>
      <c r="Y88" s="256">
        <f>1.1*AN88</f>
        <v>6.2700000000000005</v>
      </c>
      <c r="Z88" s="189"/>
      <c r="AA88" s="189"/>
      <c r="AB88" s="229">
        <v>862324</v>
      </c>
      <c r="AC88" s="229">
        <f t="shared" si="19"/>
        <v>78573.999999928637</v>
      </c>
      <c r="AD88" s="267">
        <f t="shared" si="20"/>
        <v>0.62859199999942905</v>
      </c>
      <c r="AE88" s="241">
        <f t="shared" si="21"/>
        <v>9.1118883389455285E-2</v>
      </c>
      <c r="AF88" s="178" t="s">
        <v>1047</v>
      </c>
      <c r="AG88" s="192" t="s">
        <v>1045</v>
      </c>
      <c r="AH88" s="232">
        <f t="shared" si="22"/>
        <v>-5.7090073823928837E-13</v>
      </c>
      <c r="AI88" s="232">
        <f t="shared" si="23"/>
        <v>6.2700000000005707</v>
      </c>
      <c r="AL88" s="268" t="s">
        <v>1048</v>
      </c>
      <c r="AM88" s="268" t="s">
        <v>1049</v>
      </c>
      <c r="AN88" s="268">
        <v>5.7</v>
      </c>
      <c r="AO88" s="268">
        <v>5.7</v>
      </c>
      <c r="AP88" s="268">
        <v>5.7</v>
      </c>
      <c r="AQ88" s="271">
        <f>AQ87+AP88</f>
        <v>28.18</v>
      </c>
    </row>
    <row r="89" spans="1:43" ht="15.75">
      <c r="B89">
        <v>102</v>
      </c>
      <c r="C89">
        <v>101</v>
      </c>
      <c r="E89" t="s">
        <v>766</v>
      </c>
      <c r="F89" t="s">
        <v>764</v>
      </c>
      <c r="G89" t="s">
        <v>765</v>
      </c>
      <c r="H89" t="s">
        <v>768</v>
      </c>
      <c r="L89" s="257" t="s">
        <v>1044</v>
      </c>
      <c r="M89" s="257" t="s">
        <v>1050</v>
      </c>
      <c r="O89" s="263" t="s">
        <v>1051</v>
      </c>
      <c r="P89" s="179" t="s">
        <v>1052</v>
      </c>
      <c r="Q89" s="264">
        <f>R88-1</f>
        <v>608968220.4295913</v>
      </c>
      <c r="R89" s="143">
        <f t="shared" si="14"/>
        <v>609242044.98271501</v>
      </c>
      <c r="S89" s="104">
        <f t="shared" si="15"/>
        <v>273824.55312371254</v>
      </c>
      <c r="T89" s="104">
        <f t="shared" si="16"/>
        <v>1329625.0000000165</v>
      </c>
      <c r="U89" s="3">
        <v>0</v>
      </c>
      <c r="V89" s="142">
        <f t="shared" si="17"/>
        <v>1329625.0000000165</v>
      </c>
      <c r="W89" s="97">
        <f>Y89*1000000/8</f>
        <v>1329625</v>
      </c>
      <c r="X89" s="266">
        <f t="shared" si="18"/>
        <v>-1.6530975699424744E-8</v>
      </c>
      <c r="Y89" s="256">
        <f>1.1*AN89</f>
        <v>10.637</v>
      </c>
      <c r="Z89" s="189"/>
      <c r="AA89" s="189"/>
      <c r="AB89" s="229">
        <v>1414898</v>
      </c>
      <c r="AC89" s="229">
        <f t="shared" si="19"/>
        <v>85272.999999983469</v>
      </c>
      <c r="AD89" s="267">
        <f t="shared" si="20"/>
        <v>0.68218399999986779</v>
      </c>
      <c r="AE89" s="241">
        <f t="shared" si="21"/>
        <v>6.0267948643636125E-2</v>
      </c>
      <c r="AF89" s="178" t="s">
        <v>1053</v>
      </c>
      <c r="AG89" s="192" t="s">
        <v>1051</v>
      </c>
      <c r="AH89" s="232">
        <f t="shared" si="22"/>
        <v>-1.3224780559539796E-13</v>
      </c>
      <c r="AI89" s="232">
        <f t="shared" si="23"/>
        <v>10.637000000000132</v>
      </c>
      <c r="AL89" s="268" t="s">
        <v>1054</v>
      </c>
      <c r="AM89" s="268" t="s">
        <v>1055</v>
      </c>
      <c r="AN89" s="268">
        <v>9.67</v>
      </c>
      <c r="AO89" s="268">
        <v>9.67</v>
      </c>
      <c r="AP89" s="268">
        <v>9.67</v>
      </c>
      <c r="AQ89" s="271">
        <f>AQ88+AP89</f>
        <v>37.85</v>
      </c>
    </row>
    <row r="90" spans="1:43" ht="15.75">
      <c r="B90">
        <v>102</v>
      </c>
      <c r="C90">
        <v>101</v>
      </c>
      <c r="E90" t="s">
        <v>766</v>
      </c>
      <c r="F90" t="s">
        <v>764</v>
      </c>
      <c r="G90" t="s">
        <v>765</v>
      </c>
      <c r="H90" t="s">
        <v>768</v>
      </c>
      <c r="L90" s="257" t="s">
        <v>1050</v>
      </c>
      <c r="M90" s="257" t="s">
        <v>1056</v>
      </c>
      <c r="N90" s="91"/>
      <c r="O90" s="263" t="s">
        <v>1057</v>
      </c>
      <c r="P90" s="179" t="s">
        <v>1058</v>
      </c>
      <c r="Q90" s="264">
        <f>R89-1</f>
        <v>609242043.98271501</v>
      </c>
      <c r="R90" s="143">
        <f t="shared" si="14"/>
        <v>609420723.7066251</v>
      </c>
      <c r="S90" s="104">
        <f t="shared" si="15"/>
        <v>178679.72391009331</v>
      </c>
      <c r="T90" s="104">
        <f t="shared" si="16"/>
        <v>867624.99999999884</v>
      </c>
      <c r="U90" s="3">
        <v>0</v>
      </c>
      <c r="V90" s="142">
        <f t="shared" si="17"/>
        <v>867624.99999999884</v>
      </c>
      <c r="W90" s="97">
        <f>Y90*1000000/8</f>
        <v>867625</v>
      </c>
      <c r="X90" s="266">
        <f t="shared" si="18"/>
        <v>1.1641532182693481E-9</v>
      </c>
      <c r="Y90" s="256">
        <f>1.1*AN90</f>
        <v>6.9409999999999998</v>
      </c>
      <c r="Z90" s="189"/>
      <c r="AA90" s="189"/>
      <c r="AB90" s="229">
        <v>924952</v>
      </c>
      <c r="AC90" s="229">
        <f t="shared" si="19"/>
        <v>57327.000000001164</v>
      </c>
      <c r="AD90" s="267">
        <f t="shared" si="20"/>
        <v>0.45861600000000929</v>
      </c>
      <c r="AE90" s="241">
        <f t="shared" si="21"/>
        <v>6.1978351309042161E-2</v>
      </c>
      <c r="AF90" s="178" t="s">
        <v>1059</v>
      </c>
      <c r="AG90" s="192" t="s">
        <v>1057</v>
      </c>
      <c r="AH90" s="232">
        <f t="shared" si="22"/>
        <v>9.3132257461547859E-15</v>
      </c>
      <c r="AI90" s="232">
        <f t="shared" si="23"/>
        <v>6.940999999999991</v>
      </c>
      <c r="AL90" s="268" t="s">
        <v>1060</v>
      </c>
      <c r="AM90" s="268" t="s">
        <v>1061</v>
      </c>
      <c r="AN90" s="268">
        <v>6.31</v>
      </c>
      <c r="AO90" s="268">
        <v>6.31</v>
      </c>
      <c r="AP90" s="268">
        <v>6.31</v>
      </c>
      <c r="AQ90" s="271">
        <f>AQ89+AP90</f>
        <v>44.160000000000004</v>
      </c>
    </row>
    <row r="91" spans="1:43" ht="15.75">
      <c r="B91">
        <v>102</v>
      </c>
      <c r="C91">
        <v>101</v>
      </c>
      <c r="E91" t="s">
        <v>766</v>
      </c>
      <c r="F91" t="s">
        <v>764</v>
      </c>
      <c r="G91" t="s">
        <v>765</v>
      </c>
      <c r="H91" t="s">
        <v>768</v>
      </c>
      <c r="L91" s="257" t="s">
        <v>1056</v>
      </c>
      <c r="M91" s="257" t="s">
        <v>1062</v>
      </c>
      <c r="N91" s="91"/>
      <c r="O91" s="263" t="s">
        <v>1063</v>
      </c>
      <c r="P91" s="179" t="s">
        <v>1064</v>
      </c>
      <c r="Q91" s="264">
        <f>R90-1</f>
        <v>609420722.7066251</v>
      </c>
      <c r="R91" s="143">
        <f t="shared" si="14"/>
        <v>609625453.99091506</v>
      </c>
      <c r="S91" s="104">
        <f t="shared" si="15"/>
        <v>204731.28428995609</v>
      </c>
      <c r="T91" s="104">
        <f t="shared" si="16"/>
        <v>994124.99999972805</v>
      </c>
      <c r="U91" s="3">
        <v>0</v>
      </c>
      <c r="V91" s="142">
        <f t="shared" si="17"/>
        <v>994124.99999972805</v>
      </c>
      <c r="W91" s="97">
        <f>Y91*1000000/8</f>
        <v>994125.00000000012</v>
      </c>
      <c r="X91" s="266">
        <f t="shared" si="18"/>
        <v>2.7206260710954666E-7</v>
      </c>
      <c r="Y91" s="256">
        <f>1.1*AN91</f>
        <v>7.9530000000000012</v>
      </c>
      <c r="Z91" s="272">
        <f>SUM(Y84:Y91)</f>
        <v>56.529000000000011</v>
      </c>
      <c r="AA91" s="229"/>
      <c r="AB91" s="229">
        <v>1063706</v>
      </c>
      <c r="AC91" s="229">
        <f t="shared" si="19"/>
        <v>69581.000000271946</v>
      </c>
      <c r="AD91" s="267">
        <f t="shared" si="20"/>
        <v>0.55664800000217562</v>
      </c>
      <c r="AE91" s="241">
        <f t="shared" si="21"/>
        <v>6.5413751544385335E-2</v>
      </c>
      <c r="AF91" s="178" t="s">
        <v>1065</v>
      </c>
      <c r="AG91" s="192" t="s">
        <v>1063</v>
      </c>
      <c r="AH91" s="232">
        <f t="shared" si="22"/>
        <v>2.1765008568763734E-12</v>
      </c>
      <c r="AI91" s="232">
        <f t="shared" si="23"/>
        <v>7.9529999999978243</v>
      </c>
      <c r="AL91" s="268" t="s">
        <v>1066</v>
      </c>
      <c r="AM91" s="268" t="s">
        <v>1067</v>
      </c>
      <c r="AN91" s="268">
        <v>7.23</v>
      </c>
      <c r="AO91" s="268">
        <v>7.23</v>
      </c>
      <c r="AP91" s="268">
        <v>7.23</v>
      </c>
      <c r="AQ91" s="271">
        <f>AQ90+AP91</f>
        <v>51.39</v>
      </c>
    </row>
    <row r="92" spans="1:43" ht="14.25">
      <c r="V92">
        <f>23*0.96</f>
        <v>22.08</v>
      </c>
      <c r="W92">
        <f>86400*V92</f>
        <v>1907711.9999999998</v>
      </c>
      <c r="Z92" s="238">
        <f>Y82</f>
        <v>0</v>
      </c>
      <c r="AB92" s="243">
        <f>AB91+AB86+AB80</f>
        <v>1397840</v>
      </c>
      <c r="AC92" s="3"/>
      <c r="AD92" s="3">
        <f>SUM(AD84:AD91)</f>
        <v>2.1029840000018876</v>
      </c>
      <c r="AE92" s="3"/>
      <c r="AH92" s="232"/>
      <c r="AI92" s="232"/>
    </row>
    <row r="93" spans="1:43" ht="14.25">
      <c r="O93" t="s">
        <v>1068</v>
      </c>
      <c r="Q93" s="3">
        <v>590138632</v>
      </c>
      <c r="Y93" s="3"/>
      <c r="Z93" s="5"/>
      <c r="AA93" s="5"/>
      <c r="AB93" s="5"/>
      <c r="AC93" s="97"/>
      <c r="AD93" s="97"/>
      <c r="AE93" s="97"/>
      <c r="AH93" s="232"/>
      <c r="AI93" s="232"/>
    </row>
    <row r="94" spans="1:43" ht="14.25">
      <c r="M94" t="s">
        <v>1069</v>
      </c>
      <c r="P94" s="224" t="s">
        <v>1070</v>
      </c>
      <c r="Q94" s="224" t="s">
        <v>1071</v>
      </c>
      <c r="R94" s="224">
        <v>590207401</v>
      </c>
      <c r="S94" s="224">
        <v>1</v>
      </c>
      <c r="T94" s="224" t="s">
        <v>373</v>
      </c>
      <c r="U94" s="224" t="s">
        <v>1072</v>
      </c>
      <c r="V94" s="224" t="s">
        <v>833</v>
      </c>
      <c r="W94" s="224"/>
      <c r="X94" s="224" t="s">
        <v>1073</v>
      </c>
      <c r="Y94" s="227"/>
      <c r="AC94" s="3"/>
      <c r="AD94" s="3"/>
      <c r="AE94" s="3"/>
      <c r="AH94" s="232"/>
      <c r="AI94" s="232"/>
    </row>
    <row r="95" spans="1:43" ht="15.75">
      <c r="L95" s="273" t="s">
        <v>4374</v>
      </c>
      <c r="M95" s="273" t="s">
        <v>1075</v>
      </c>
      <c r="N95" s="252" t="s">
        <v>167</v>
      </c>
      <c r="O95" s="192" t="s">
        <v>1076</v>
      </c>
      <c r="P95" s="61" t="s">
        <v>82</v>
      </c>
      <c r="Q95" s="264">
        <f>Q93-3</f>
        <v>590138629</v>
      </c>
      <c r="R95" s="270">
        <f>R94+20</f>
        <v>590207421</v>
      </c>
      <c r="S95" s="104">
        <f>R95-Q95</f>
        <v>68792</v>
      </c>
      <c r="T95" s="104">
        <f>S95*$W$9</f>
        <v>253437.51089120371</v>
      </c>
      <c r="U95" s="3">
        <v>0</v>
      </c>
      <c r="V95" s="142">
        <f>T95+U95*$W$9</f>
        <v>253437.51089120371</v>
      </c>
      <c r="W95" s="97">
        <f>Y95*1000000/8</f>
        <v>396000</v>
      </c>
      <c r="X95" s="266">
        <f>W95-V95</f>
        <v>142562.48910879629</v>
      </c>
      <c r="Y95" s="256">
        <f>1.1*AN95</f>
        <v>3.1680000000000001</v>
      </c>
      <c r="Z95" s="189"/>
      <c r="AA95" s="189"/>
      <c r="AB95" s="229">
        <v>283727</v>
      </c>
      <c r="AC95" s="229">
        <f>AB95-W95</f>
        <v>-112273</v>
      </c>
      <c r="AD95" s="229">
        <f>AC95*8/1000000</f>
        <v>-0.89818399999999998</v>
      </c>
      <c r="AE95" s="229"/>
      <c r="AF95" s="178" t="s">
        <v>1077</v>
      </c>
      <c r="AG95" s="192" t="s">
        <v>1076</v>
      </c>
      <c r="AH95" s="232">
        <f>X95*8/1000000</f>
        <v>1.1404999128703703</v>
      </c>
      <c r="AI95" s="232">
        <f>V95*8/1000000</f>
        <v>2.0275000871296296</v>
      </c>
      <c r="AL95" s="274" t="s">
        <v>1078</v>
      </c>
      <c r="AM95" s="274" t="s">
        <v>1079</v>
      </c>
      <c r="AN95" s="274">
        <v>2.88</v>
      </c>
      <c r="AO95" s="274">
        <v>2.88</v>
      </c>
      <c r="AP95" s="274">
        <v>2.88</v>
      </c>
      <c r="AQ95" s="227">
        <f>AP95</f>
        <v>2.88</v>
      </c>
    </row>
    <row r="96" spans="1:43" ht="14.25">
      <c r="O96" t="s">
        <v>204</v>
      </c>
      <c r="P96" s="225" t="s">
        <v>1080</v>
      </c>
      <c r="Q96" s="225" t="s">
        <v>1081</v>
      </c>
      <c r="R96" s="225">
        <v>590247116</v>
      </c>
      <c r="S96" s="225">
        <v>7</v>
      </c>
      <c r="T96" s="225" t="s">
        <v>373</v>
      </c>
      <c r="U96" s="225" t="s">
        <v>1082</v>
      </c>
      <c r="V96" s="224" t="s">
        <v>816</v>
      </c>
      <c r="W96" s="225" t="s">
        <v>817</v>
      </c>
      <c r="X96" s="225" t="s">
        <v>1083</v>
      </c>
      <c r="Y96" s="227"/>
      <c r="Z96" s="227"/>
      <c r="AA96" s="227"/>
      <c r="AB96" s="227"/>
      <c r="AC96" s="226"/>
      <c r="AD96" s="226"/>
      <c r="AE96" s="226"/>
      <c r="AG96" t="s">
        <v>204</v>
      </c>
      <c r="AH96" s="232"/>
      <c r="AI96" s="232"/>
    </row>
    <row r="97" spans="1:43" ht="15.75">
      <c r="A97" s="252" t="s">
        <v>872</v>
      </c>
      <c r="B97" s="252"/>
      <c r="C97" s="252"/>
      <c r="D97" s="252"/>
      <c r="E97" s="252"/>
      <c r="F97" s="252"/>
      <c r="G97" s="252"/>
      <c r="H97" s="252"/>
      <c r="I97" s="252"/>
      <c r="J97" s="252"/>
      <c r="K97" s="252"/>
      <c r="L97" s="273" t="s">
        <v>1084</v>
      </c>
      <c r="M97" s="273" t="s">
        <v>1085</v>
      </c>
      <c r="N97" t="s">
        <v>4372</v>
      </c>
      <c r="O97" s="192" t="s">
        <v>1076</v>
      </c>
      <c r="P97" s="179" t="s">
        <v>82</v>
      </c>
      <c r="Q97" s="270">
        <f>R96-20</f>
        <v>590247096</v>
      </c>
      <c r="R97" s="143">
        <f t="shared" ref="R97:R102" si="24">((W97)/$W$9)+Q97</f>
        <v>590285792.5556767</v>
      </c>
      <c r="S97" s="104">
        <f t="shared" ref="S97:S102" si="25">R97-Q97</f>
        <v>38696.555676698685</v>
      </c>
      <c r="T97" s="104">
        <f t="shared" ref="T97:T102" si="26">S97*$W$9</f>
        <v>142562.48910869568</v>
      </c>
      <c r="U97" s="3">
        <v>0</v>
      </c>
      <c r="V97" s="142">
        <f t="shared" ref="V97:V102" si="27">T97+U97*$V$33</f>
        <v>142562.48910869568</v>
      </c>
      <c r="W97" s="97">
        <f>X95</f>
        <v>142562.48910879629</v>
      </c>
      <c r="X97" s="266">
        <f t="shared" ref="X97:X102" si="28">W97-V97</f>
        <v>1.0061194188892841E-7</v>
      </c>
      <c r="AB97" s="229">
        <v>191209</v>
      </c>
      <c r="AC97" s="229">
        <f t="shared" ref="AC97:AC102" si="29">AB97-W97</f>
        <v>48646.51089120371</v>
      </c>
      <c r="AD97" s="229">
        <f t="shared" ref="AD97:AD102" si="30">AC97*8/1000000</f>
        <v>0.3891720871296297</v>
      </c>
      <c r="AE97" s="229"/>
      <c r="AH97" s="232">
        <f t="shared" ref="AH97:AH102" si="31">X97*8/1000000</f>
        <v>8.0489553511142731E-13</v>
      </c>
      <c r="AI97" s="232">
        <f t="shared" ref="AI97:AI102" si="32">V97*8/1000000</f>
        <v>1.1404999128695654</v>
      </c>
    </row>
    <row r="98" spans="1:43" ht="15.75">
      <c r="L98" s="273" t="s">
        <v>1085</v>
      </c>
      <c r="M98" s="273" t="s">
        <v>1086</v>
      </c>
      <c r="O98" s="192" t="s">
        <v>1087</v>
      </c>
      <c r="P98" s="179" t="s">
        <v>1088</v>
      </c>
      <c r="Q98" s="264">
        <f>R97-3</f>
        <v>590285789.5556767</v>
      </c>
      <c r="R98" s="143">
        <f t="shared" si="24"/>
        <v>590669090.75942671</v>
      </c>
      <c r="S98" s="104">
        <f t="shared" si="25"/>
        <v>383301.20375001431</v>
      </c>
      <c r="T98" s="104">
        <f t="shared" si="26"/>
        <v>1412125.0000000836</v>
      </c>
      <c r="U98" s="3">
        <v>0</v>
      </c>
      <c r="V98" s="142">
        <f t="shared" si="27"/>
        <v>1412125.0000000836</v>
      </c>
      <c r="W98" s="97">
        <f>Y98*1000000/8</f>
        <v>1412125</v>
      </c>
      <c r="X98" s="266">
        <f t="shared" si="28"/>
        <v>-8.3586201071739197E-8</v>
      </c>
      <c r="Y98" s="256">
        <f>1.1*AN98</f>
        <v>11.297000000000001</v>
      </c>
      <c r="Z98" s="189"/>
      <c r="AA98" s="189"/>
      <c r="AB98" s="229">
        <v>1411117</v>
      </c>
      <c r="AC98" s="229">
        <f t="shared" si="29"/>
        <v>-1008</v>
      </c>
      <c r="AD98" s="229">
        <f t="shared" si="30"/>
        <v>-8.064E-3</v>
      </c>
      <c r="AE98" s="229"/>
      <c r="AF98" s="178" t="s">
        <v>1089</v>
      </c>
      <c r="AG98" s="192" t="s">
        <v>1087</v>
      </c>
      <c r="AH98" s="232">
        <f t="shared" si="31"/>
        <v>-6.6868960857391357E-13</v>
      </c>
      <c r="AI98" s="232">
        <f t="shared" si="32"/>
        <v>11.297000000000669</v>
      </c>
      <c r="AL98" s="274" t="s">
        <v>1090</v>
      </c>
      <c r="AM98" s="274" t="s">
        <v>1091</v>
      </c>
      <c r="AN98" s="274">
        <v>10.27</v>
      </c>
      <c r="AO98" s="274">
        <v>10.27</v>
      </c>
      <c r="AP98" s="274">
        <v>10.27</v>
      </c>
      <c r="AQ98" s="227">
        <f>AQ95+AP98</f>
        <v>13.149999999999999</v>
      </c>
    </row>
    <row r="99" spans="1:43" ht="15.75">
      <c r="L99" s="273" t="s">
        <v>1086</v>
      </c>
      <c r="M99" s="273" t="s">
        <v>1092</v>
      </c>
      <c r="O99" s="192" t="s">
        <v>1093</v>
      </c>
      <c r="P99" s="179" t="s">
        <v>162</v>
      </c>
      <c r="Q99" s="264">
        <f>R98-3</f>
        <v>590669087.75942671</v>
      </c>
      <c r="R99" s="143">
        <f t="shared" si="24"/>
        <v>591454351.37450945</v>
      </c>
      <c r="S99" s="104">
        <f t="shared" si="25"/>
        <v>785263.61508274078</v>
      </c>
      <c r="T99" s="104">
        <f t="shared" si="26"/>
        <v>2892999.9999999725</v>
      </c>
      <c r="U99" s="3">
        <v>0</v>
      </c>
      <c r="V99" s="142">
        <f t="shared" si="27"/>
        <v>2892999.9999999725</v>
      </c>
      <c r="W99" s="97">
        <f>Y99*1000000/8</f>
        <v>2893000.0000000005</v>
      </c>
      <c r="X99" s="266">
        <f t="shared" si="28"/>
        <v>2.7939677238464355E-8</v>
      </c>
      <c r="Y99" s="256">
        <f>1.1*AN99</f>
        <v>23.144000000000002</v>
      </c>
      <c r="Z99" s="189"/>
      <c r="AA99" s="189"/>
      <c r="AB99" s="229">
        <v>2901234</v>
      </c>
      <c r="AC99" s="229">
        <f t="shared" si="29"/>
        <v>8233.9999999995343</v>
      </c>
      <c r="AD99" s="229">
        <f t="shared" si="30"/>
        <v>6.5871999999996281E-2</v>
      </c>
      <c r="AE99" s="229"/>
      <c r="AF99" s="178" t="s">
        <v>1094</v>
      </c>
      <c r="AG99" s="192" t="s">
        <v>1093</v>
      </c>
      <c r="AH99" s="232">
        <f t="shared" si="31"/>
        <v>2.2351741790771485E-13</v>
      </c>
      <c r="AI99" s="232">
        <f t="shared" si="32"/>
        <v>23.143999999999782</v>
      </c>
      <c r="AL99" s="274" t="s">
        <v>1095</v>
      </c>
      <c r="AM99" s="274" t="s">
        <v>1096</v>
      </c>
      <c r="AN99" s="274">
        <v>21.04</v>
      </c>
      <c r="AO99" s="274">
        <v>21.04</v>
      </c>
      <c r="AP99" s="274">
        <v>21.04</v>
      </c>
      <c r="AQ99" s="227">
        <f>AQ98+AP99</f>
        <v>34.19</v>
      </c>
    </row>
    <row r="100" spans="1:43" ht="15.75">
      <c r="L100" s="273" t="s">
        <v>1092</v>
      </c>
      <c r="M100" s="273" t="s">
        <v>1097</v>
      </c>
      <c r="N100" s="91"/>
      <c r="O100" s="192" t="s">
        <v>1098</v>
      </c>
      <c r="P100" s="179" t="s">
        <v>1099</v>
      </c>
      <c r="Q100" s="264">
        <f>R99-3</f>
        <v>591454348.37450945</v>
      </c>
      <c r="R100" s="143">
        <f t="shared" si="24"/>
        <v>591795102.02497077</v>
      </c>
      <c r="S100" s="104">
        <f t="shared" si="25"/>
        <v>340753.65046131611</v>
      </c>
      <c r="T100" s="104">
        <f t="shared" si="26"/>
        <v>1255375.000000105</v>
      </c>
      <c r="U100" s="3">
        <v>0</v>
      </c>
      <c r="V100" s="142">
        <f t="shared" si="27"/>
        <v>1255375.000000105</v>
      </c>
      <c r="W100" s="97">
        <f>Y100*1000000/8</f>
        <v>1255375.0000000002</v>
      </c>
      <c r="X100" s="266">
        <f t="shared" si="28"/>
        <v>-1.0477378964424133E-7</v>
      </c>
      <c r="Y100" s="256">
        <f>1.1*AN100</f>
        <v>10.043000000000001</v>
      </c>
      <c r="Z100" s="189"/>
      <c r="AA100" s="189"/>
      <c r="AB100" s="229">
        <v>1259168</v>
      </c>
      <c r="AC100" s="229">
        <f t="shared" si="29"/>
        <v>3792.9999999997672</v>
      </c>
      <c r="AD100" s="229">
        <f t="shared" si="30"/>
        <v>3.0343999999998136E-2</v>
      </c>
      <c r="AE100" s="229"/>
      <c r="AF100" s="178" t="s">
        <v>1100</v>
      </c>
      <c r="AG100" s="192" t="s">
        <v>1098</v>
      </c>
      <c r="AH100" s="232">
        <f t="shared" si="31"/>
        <v>-8.3819031715393064E-13</v>
      </c>
      <c r="AI100" s="232">
        <f t="shared" si="32"/>
        <v>10.043000000000839</v>
      </c>
      <c r="AL100" s="274" t="s">
        <v>1101</v>
      </c>
      <c r="AM100" s="274" t="s">
        <v>1102</v>
      </c>
      <c r="AN100" s="274">
        <v>9.1300000000000008</v>
      </c>
      <c r="AO100" s="274">
        <v>9.1300000000000008</v>
      </c>
      <c r="AP100" s="274">
        <v>9.1300000000000008</v>
      </c>
      <c r="AQ100" s="227">
        <f>AQ99+AP100</f>
        <v>43.32</v>
      </c>
    </row>
    <row r="101" spans="1:43" ht="15.75">
      <c r="L101" s="226" t="s">
        <v>1097</v>
      </c>
      <c r="M101" s="226" t="s">
        <v>1103</v>
      </c>
      <c r="O101" s="192" t="s">
        <v>1104</v>
      </c>
      <c r="P101" s="179" t="s">
        <v>1105</v>
      </c>
      <c r="Q101" s="237">
        <f>R100-3</f>
        <v>591795099.02497077</v>
      </c>
      <c r="R101" s="104">
        <f t="shared" si="24"/>
        <v>592042173.41336656</v>
      </c>
      <c r="S101" s="104">
        <f t="shared" si="25"/>
        <v>247074.38839578629</v>
      </c>
      <c r="T101" s="104">
        <f t="shared" si="26"/>
        <v>910249.9999999213</v>
      </c>
      <c r="U101" s="3">
        <v>0</v>
      </c>
      <c r="V101" s="97">
        <f t="shared" si="27"/>
        <v>910249.9999999213</v>
      </c>
      <c r="W101" s="97">
        <f>Y101*1000000/8</f>
        <v>910250.00000000012</v>
      </c>
      <c r="X101" s="266">
        <f t="shared" si="28"/>
        <v>7.8813172876834869E-8</v>
      </c>
      <c r="Y101" s="256">
        <f>1.1*AN101</f>
        <v>7.2820000000000009</v>
      </c>
      <c r="Z101" s="189"/>
      <c r="AA101" s="189"/>
      <c r="AB101" s="229">
        <v>915898</v>
      </c>
      <c r="AC101" s="229">
        <f t="shared" si="29"/>
        <v>5647.9999999998836</v>
      </c>
      <c r="AD101" s="229">
        <f t="shared" si="30"/>
        <v>4.5183999999999072E-2</v>
      </c>
      <c r="AE101" s="229"/>
      <c r="AF101" s="178" t="s">
        <v>1106</v>
      </c>
      <c r="AG101" s="192" t="s">
        <v>1104</v>
      </c>
      <c r="AH101" s="232">
        <f t="shared" si="31"/>
        <v>6.3050538301467893E-13</v>
      </c>
      <c r="AI101" s="232">
        <f t="shared" si="32"/>
        <v>7.2819999999993703</v>
      </c>
      <c r="AL101" s="274" t="s">
        <v>1107</v>
      </c>
      <c r="AM101" s="274" t="s">
        <v>1108</v>
      </c>
      <c r="AN101" s="274">
        <v>6.62</v>
      </c>
      <c r="AO101" s="274">
        <v>6.62</v>
      </c>
      <c r="AP101" s="274">
        <v>6.62</v>
      </c>
      <c r="AQ101" s="227">
        <f>AQ100+AP101</f>
        <v>49.94</v>
      </c>
    </row>
    <row r="102" spans="1:43" ht="15.75">
      <c r="L102" s="226" t="s">
        <v>1103</v>
      </c>
      <c r="M102" s="226" t="s">
        <v>1109</v>
      </c>
      <c r="O102" s="192" t="s">
        <v>1110</v>
      </c>
      <c r="P102" s="179" t="s">
        <v>1111</v>
      </c>
      <c r="Q102" s="237">
        <f>R101-3</f>
        <v>592042170.41336656</v>
      </c>
      <c r="R102" s="104">
        <f t="shared" si="24"/>
        <v>592432562.87599802</v>
      </c>
      <c r="S102" s="104">
        <f t="shared" si="25"/>
        <v>390392.462631464</v>
      </c>
      <c r="T102" s="104">
        <f t="shared" si="26"/>
        <v>1438250.0000000799</v>
      </c>
      <c r="U102" s="3">
        <v>0</v>
      </c>
      <c r="V102" s="97">
        <f t="shared" si="27"/>
        <v>1438250.0000000799</v>
      </c>
      <c r="W102" s="97">
        <f>Y102*1000000/8</f>
        <v>1438250.0000000002</v>
      </c>
      <c r="X102" s="266">
        <f t="shared" si="28"/>
        <v>-7.9628080129623413E-8</v>
      </c>
      <c r="Y102" s="256">
        <f>1.1*AN102</f>
        <v>11.506000000000002</v>
      </c>
      <c r="Z102" s="275">
        <f>SUM(Y95:Y102)</f>
        <v>66.440000000000012</v>
      </c>
      <c r="AA102" s="229"/>
      <c r="AB102" s="229">
        <v>1436041</v>
      </c>
      <c r="AC102" s="229">
        <f t="shared" si="29"/>
        <v>-2209.0000000002328</v>
      </c>
      <c r="AD102" s="229">
        <f t="shared" si="30"/>
        <v>-1.7672000000001863E-2</v>
      </c>
      <c r="AE102" s="229"/>
      <c r="AF102" s="178" t="s">
        <v>1112</v>
      </c>
      <c r="AG102" s="192" t="s">
        <v>1110</v>
      </c>
      <c r="AH102" s="232">
        <f t="shared" si="31"/>
        <v>-6.3702464103698734E-13</v>
      </c>
      <c r="AI102" s="232">
        <f t="shared" si="32"/>
        <v>11.50600000000064</v>
      </c>
      <c r="AL102" s="274" t="s">
        <v>1113</v>
      </c>
      <c r="AM102" s="274" t="s">
        <v>1114</v>
      </c>
      <c r="AN102" s="274">
        <v>10.46</v>
      </c>
      <c r="AO102" s="274">
        <v>10.46</v>
      </c>
      <c r="AP102" s="274">
        <v>10.46</v>
      </c>
      <c r="AQ102" s="227">
        <f>AQ101+AP102</f>
        <v>60.4</v>
      </c>
    </row>
    <row r="103" spans="1:43" ht="14.25">
      <c r="P103" s="73" t="s">
        <v>837</v>
      </c>
      <c r="Q103" s="72" t="s">
        <v>65</v>
      </c>
      <c r="R103" s="73" t="s">
        <v>66</v>
      </c>
      <c r="S103" s="73" t="s">
        <v>67</v>
      </c>
      <c r="T103" s="74" t="s">
        <v>68</v>
      </c>
      <c r="U103" s="3" t="s">
        <v>176</v>
      </c>
      <c r="V103" s="74" t="s">
        <v>265</v>
      </c>
      <c r="W103" s="73" t="s">
        <v>266</v>
      </c>
      <c r="X103" s="73" t="s">
        <v>70</v>
      </c>
      <c r="Y103" s="73" t="s">
        <v>1115</v>
      </c>
      <c r="AC103" s="3"/>
      <c r="AD103" s="3">
        <f>SUM(AD95:AD102)</f>
        <v>-0.39334791287037862</v>
      </c>
      <c r="AE103" s="3"/>
      <c r="AH103" s="232"/>
      <c r="AI103" s="232"/>
    </row>
    <row r="104" spans="1:43" ht="15.75">
      <c r="P104" s="179" t="s">
        <v>1116</v>
      </c>
      <c r="Q104" s="237">
        <f>R102-3</f>
        <v>592432559.87599802</v>
      </c>
      <c r="R104" s="104">
        <f>((W104)/$W$9)+Q104</f>
        <v>592883201.30270076</v>
      </c>
      <c r="S104" s="104">
        <f>R104-Q104</f>
        <v>450641.42670273781</v>
      </c>
      <c r="T104" s="104">
        <f>S104*$W$9</f>
        <v>1660214.0000000391</v>
      </c>
      <c r="U104" s="3">
        <v>0</v>
      </c>
      <c r="V104" s="97">
        <f>T104+U104*$V$33</f>
        <v>1660214.0000000391</v>
      </c>
      <c r="W104" s="97">
        <f>982562+579837+100705-2890</f>
        <v>1660214</v>
      </c>
      <c r="X104" s="266">
        <f>W104-V104</f>
        <v>-3.9115548133850098E-8</v>
      </c>
      <c r="Y104" s="256">
        <f>W104*8/1000000</f>
        <v>13.281712000000001</v>
      </c>
      <c r="Z104" t="s">
        <v>1117</v>
      </c>
      <c r="AC104" s="3" t="s">
        <v>870</v>
      </c>
      <c r="AD104" s="3"/>
      <c r="AE104" s="3"/>
      <c r="AH104" s="232">
        <f>X104*8/1000000</f>
        <v>-3.1292438507080076E-13</v>
      </c>
      <c r="AI104" s="232">
        <f>V104*8/1000000</f>
        <v>13.281712000000313</v>
      </c>
    </row>
    <row r="105" spans="1:43" ht="14.25">
      <c r="AC105" s="3"/>
      <c r="AH105" s="232"/>
      <c r="AI105" s="232"/>
      <c r="AJ105" s="276"/>
      <c r="AK105" s="276"/>
      <c r="AL105" s="276"/>
      <c r="AM105" s="276"/>
      <c r="AN105" s="276"/>
    </row>
    <row r="106" spans="1:43" ht="14.25">
      <c r="AC106" s="3"/>
      <c r="AI106" s="276"/>
      <c r="AJ106" s="276"/>
      <c r="AK106" s="276"/>
      <c r="AL106" s="276"/>
      <c r="AM106" s="276"/>
    </row>
    <row r="107" spans="1:43" ht="14.25">
      <c r="AA107" s="239"/>
      <c r="AC107" s="3"/>
      <c r="AI107" s="276"/>
      <c r="AJ107" s="276"/>
      <c r="AK107" s="276"/>
      <c r="AL107" s="276"/>
      <c r="AM107" s="276"/>
    </row>
    <row r="108" spans="1:43" ht="14.25">
      <c r="AG108" s="276"/>
      <c r="AH108" s="276"/>
      <c r="AI108" s="276"/>
      <c r="AJ108" s="276"/>
      <c r="AK108" s="276"/>
    </row>
    <row r="110" spans="1:43" ht="14.25">
      <c r="AK110" s="244"/>
      <c r="AL110" s="244"/>
      <c r="AM110" s="244"/>
      <c r="AN110" s="244"/>
      <c r="AO110" s="244"/>
    </row>
    <row r="111" spans="1:43" ht="14.25">
      <c r="AK111" s="244"/>
      <c r="AL111" s="244"/>
      <c r="AM111" s="244"/>
      <c r="AN111" s="244"/>
      <c r="AO111" s="244"/>
    </row>
    <row r="112" spans="1:43" ht="14.25">
      <c r="AK112" s="244"/>
      <c r="AL112" s="244"/>
      <c r="AM112" s="244"/>
      <c r="AN112" s="244"/>
      <c r="AO112" s="244"/>
    </row>
    <row r="113" spans="2:48" ht="14.25">
      <c r="AK113" s="244"/>
      <c r="AL113" s="244"/>
      <c r="AM113" s="244"/>
      <c r="AN113" s="244"/>
      <c r="AO113" s="244"/>
    </row>
    <row r="114" spans="2:48" ht="14.25">
      <c r="P114" s="81" t="s">
        <v>1118</v>
      </c>
      <c r="Q114" s="81" t="s">
        <v>1119</v>
      </c>
      <c r="R114" s="81">
        <v>611744576</v>
      </c>
      <c r="S114" s="81">
        <v>7</v>
      </c>
      <c r="T114" s="81" t="s">
        <v>373</v>
      </c>
      <c r="U114" s="81" t="s">
        <v>1120</v>
      </c>
      <c r="V114" s="81" t="s">
        <v>866</v>
      </c>
      <c r="W114" s="81" t="s">
        <v>867</v>
      </c>
      <c r="X114" s="81" t="s">
        <v>1121</v>
      </c>
      <c r="Y114" s="239"/>
      <c r="Z114" s="239"/>
      <c r="AA114" s="239"/>
      <c r="AK114" s="244"/>
      <c r="AL114" s="244"/>
      <c r="AM114" s="244"/>
      <c r="AN114" s="244"/>
      <c r="AO114" s="244"/>
    </row>
    <row r="115" spans="2:48" ht="14.25">
      <c r="P115" s="81" t="s">
        <v>1122</v>
      </c>
      <c r="Q115" s="81" t="s">
        <v>1123</v>
      </c>
      <c r="R115" s="81">
        <v>611746916</v>
      </c>
      <c r="S115" s="81">
        <v>0</v>
      </c>
      <c r="T115" s="81" t="s">
        <v>1124</v>
      </c>
      <c r="U115" s="81" t="s">
        <v>1125</v>
      </c>
      <c r="V115" s="81" t="s">
        <v>1126</v>
      </c>
      <c r="W115" s="81"/>
      <c r="X115" s="81" t="s">
        <v>1121</v>
      </c>
      <c r="Y115" s="239"/>
      <c r="Z115" s="239"/>
      <c r="AA115" s="239"/>
      <c r="AG115" s="276"/>
      <c r="AH115" s="276"/>
      <c r="AI115" s="276"/>
      <c r="AJ115" s="276"/>
      <c r="AK115" s="244"/>
      <c r="AL115" s="244"/>
      <c r="AM115" s="244"/>
      <c r="AN115" s="244"/>
      <c r="AO115" s="244"/>
    </row>
    <row r="116" spans="2:48" ht="14.25">
      <c r="AK116" s="244"/>
      <c r="AL116" s="244"/>
      <c r="AM116" s="244"/>
      <c r="AN116" s="244"/>
      <c r="AO116" s="244"/>
    </row>
    <row r="117" spans="2:48" ht="14.25">
      <c r="P117" s="81" t="s">
        <v>1127</v>
      </c>
      <c r="Q117" s="81" t="s">
        <v>1128</v>
      </c>
      <c r="R117" s="81">
        <v>611791076</v>
      </c>
      <c r="S117" s="81">
        <v>0</v>
      </c>
      <c r="T117" s="81" t="s">
        <v>1124</v>
      </c>
      <c r="U117" s="81" t="s">
        <v>1129</v>
      </c>
      <c r="V117" s="81" t="s">
        <v>1130</v>
      </c>
      <c r="W117" s="81"/>
      <c r="X117" s="81"/>
      <c r="AK117" s="244"/>
      <c r="AL117" s="244"/>
      <c r="AM117" s="244"/>
      <c r="AN117" s="244"/>
      <c r="AO117" s="244"/>
    </row>
    <row r="118" spans="2:48" ht="14.25">
      <c r="P118" s="81" t="s">
        <v>1127</v>
      </c>
      <c r="Q118" s="81" t="s">
        <v>1128</v>
      </c>
      <c r="R118" s="81">
        <v>611791076</v>
      </c>
      <c r="S118" s="81">
        <v>0</v>
      </c>
      <c r="T118" s="81" t="s">
        <v>1124</v>
      </c>
      <c r="U118" s="81" t="s">
        <v>1129</v>
      </c>
      <c r="V118" s="81" t="s">
        <v>1131</v>
      </c>
      <c r="W118" s="81" t="s">
        <v>1132</v>
      </c>
      <c r="X118" s="81"/>
      <c r="AK118" s="244"/>
      <c r="AL118" s="244"/>
      <c r="AM118" s="244"/>
      <c r="AN118" s="244"/>
      <c r="AO118" s="244"/>
    </row>
    <row r="119" spans="2:48" ht="14.25">
      <c r="P119" s="81" t="s">
        <v>1127</v>
      </c>
      <c r="Q119" s="81" t="s">
        <v>1128</v>
      </c>
      <c r="R119" s="81">
        <v>611791076</v>
      </c>
      <c r="S119" s="81">
        <v>0</v>
      </c>
      <c r="T119" s="81" t="s">
        <v>1124</v>
      </c>
      <c r="U119" s="81" t="s">
        <v>1129</v>
      </c>
      <c r="V119" s="81" t="s">
        <v>1133</v>
      </c>
      <c r="W119" s="81"/>
      <c r="X119" s="81"/>
      <c r="AB119" t="s">
        <v>1134</v>
      </c>
      <c r="AK119" s="244"/>
      <c r="AL119" s="244"/>
      <c r="AM119" s="244"/>
      <c r="AN119" s="244"/>
      <c r="AO119" s="244"/>
    </row>
    <row r="120" spans="2:48" ht="14.25">
      <c r="X120" t="s">
        <v>913</v>
      </c>
      <c r="AK120" s="244"/>
      <c r="AL120" s="244"/>
      <c r="AM120" s="244"/>
      <c r="AN120" s="244"/>
      <c r="AO120" s="244"/>
    </row>
    <row r="121" spans="2:48" ht="14.25">
      <c r="P121" s="59">
        <v>25159</v>
      </c>
      <c r="T121" s="3"/>
      <c r="V121" s="93"/>
      <c r="X121" t="s">
        <v>1010</v>
      </c>
      <c r="AK121" s="244"/>
      <c r="AL121" s="244"/>
      <c r="AM121" s="244"/>
      <c r="AN121" s="244"/>
      <c r="AO121" s="244"/>
    </row>
    <row r="122" spans="2:48" ht="14.25">
      <c r="P122" s="73" t="s">
        <v>837</v>
      </c>
      <c r="Q122" s="72" t="s">
        <v>65</v>
      </c>
      <c r="R122" s="73" t="s">
        <v>66</v>
      </c>
      <c r="S122" s="73" t="s">
        <v>67</v>
      </c>
      <c r="T122" s="74" t="s">
        <v>68</v>
      </c>
      <c r="U122" s="3" t="s">
        <v>176</v>
      </c>
      <c r="V122" s="74" t="s">
        <v>265</v>
      </c>
      <c r="W122" s="73" t="s">
        <v>266</v>
      </c>
      <c r="X122" s="73" t="s">
        <v>70</v>
      </c>
      <c r="AC122" t="s">
        <v>862</v>
      </c>
      <c r="AK122" s="244"/>
      <c r="AL122" s="244"/>
      <c r="AM122" s="244"/>
      <c r="AN122" s="244"/>
      <c r="AO122" s="244"/>
    </row>
    <row r="123" spans="2:48" ht="14.25">
      <c r="C123" s="254" t="s">
        <v>941</v>
      </c>
      <c r="D123" s="254" t="s">
        <v>942</v>
      </c>
      <c r="E123" s="254" t="s">
        <v>766</v>
      </c>
      <c r="F123" s="254" t="s">
        <v>764</v>
      </c>
      <c r="G123" s="254" t="s">
        <v>765</v>
      </c>
      <c r="H123" s="254" t="s">
        <v>768</v>
      </c>
      <c r="I123" s="254" t="s">
        <v>769</v>
      </c>
      <c r="J123" s="254" t="s">
        <v>943</v>
      </c>
      <c r="L123" t="s">
        <v>1135</v>
      </c>
      <c r="P123" s="81" t="s">
        <v>1136</v>
      </c>
      <c r="Q123" s="81" t="s">
        <v>1137</v>
      </c>
      <c r="R123" s="81">
        <v>609911802</v>
      </c>
      <c r="S123" s="81">
        <v>1</v>
      </c>
      <c r="T123" s="81" t="s">
        <v>373</v>
      </c>
      <c r="U123" s="81" t="s">
        <v>909</v>
      </c>
      <c r="V123" s="81" t="s">
        <v>382</v>
      </c>
      <c r="W123" s="81"/>
      <c r="X123" s="81" t="s">
        <v>1138</v>
      </c>
      <c r="Y123" s="239"/>
      <c r="Z123" s="239"/>
      <c r="AB123" s="3" t="s">
        <v>1139</v>
      </c>
      <c r="AC123" s="3" t="s">
        <v>870</v>
      </c>
      <c r="AH123" t="s">
        <v>1021</v>
      </c>
      <c r="AI123" t="s">
        <v>836</v>
      </c>
      <c r="AM123" s="244"/>
      <c r="AN123" s="244"/>
      <c r="AO123" s="244"/>
      <c r="AP123" s="244"/>
    </row>
    <row r="124" spans="2:48" ht="15.75">
      <c r="B124">
        <v>102</v>
      </c>
      <c r="C124">
        <v>101</v>
      </c>
      <c r="E124" t="s">
        <v>766</v>
      </c>
      <c r="F124" t="s">
        <v>764</v>
      </c>
      <c r="G124" t="s">
        <v>765</v>
      </c>
      <c r="L124" s="257" t="s">
        <v>1062</v>
      </c>
      <c r="M124" s="257" t="s">
        <v>1140</v>
      </c>
      <c r="N124" s="91"/>
      <c r="O124" s="263" t="str">
        <f>AG124</f>
        <v>160/16:16</v>
      </c>
      <c r="P124" s="179" t="s">
        <v>90</v>
      </c>
      <c r="Q124" s="264">
        <f>R91-1</f>
        <v>609625452.99091506</v>
      </c>
      <c r="R124" s="265">
        <f>R123+20</f>
        <v>609911822</v>
      </c>
      <c r="S124" s="104">
        <f>R124-Q124</f>
        <v>286369.00908493996</v>
      </c>
      <c r="T124" s="104">
        <f>S124*$V$13</f>
        <v>1082666.264182217</v>
      </c>
      <c r="U124" s="3">
        <v>0</v>
      </c>
      <c r="V124" s="142">
        <f>T124+U124*$V$33</f>
        <v>1082666.264182217</v>
      </c>
      <c r="W124" s="97">
        <f>Y124*1000000/8</f>
        <v>1236125.0000000002</v>
      </c>
      <c r="X124" s="266">
        <f>W124-V124</f>
        <v>153458.73581778328</v>
      </c>
      <c r="Y124" s="256">
        <f>1.1*AL124</f>
        <v>9.8890000000000011</v>
      </c>
      <c r="Z124" s="272">
        <f>SUM(Y116:Y124)</f>
        <v>9.8890000000000011</v>
      </c>
      <c r="AA124" s="229"/>
      <c r="AB124" s="229">
        <v>1242139</v>
      </c>
      <c r="AC124" s="229">
        <f>AB124-T124</f>
        <v>159472.73581778305</v>
      </c>
      <c r="AD124" s="277">
        <f>AC124*8/1000000</f>
        <v>1.2757818865422643</v>
      </c>
      <c r="AE124" s="241">
        <f>AC124/AB124</f>
        <v>0.1283855798890326</v>
      </c>
      <c r="AF124" s="178" t="s">
        <v>1141</v>
      </c>
      <c r="AG124" s="192" t="s">
        <v>1142</v>
      </c>
      <c r="AH124" s="232">
        <f>X124*8/1000000</f>
        <v>1.2276698865422662</v>
      </c>
      <c r="AI124" s="232">
        <f>V124*8/1000000</f>
        <v>8.6613301134577352</v>
      </c>
      <c r="AJ124" s="249" t="s">
        <v>1143</v>
      </c>
      <c r="AK124" s="244" t="s">
        <v>1144</v>
      </c>
      <c r="AL124" s="244">
        <v>8.99</v>
      </c>
      <c r="AM124" s="244">
        <v>8.99</v>
      </c>
      <c r="AN124" s="244">
        <v>8.99</v>
      </c>
      <c r="AP124" s="244"/>
      <c r="AQ124" s="244"/>
      <c r="AR124" s="244"/>
      <c r="AS124" s="244"/>
      <c r="AT124" s="244"/>
      <c r="AU124" s="244"/>
      <c r="AV124" s="244"/>
    </row>
    <row r="125" spans="2:48" ht="14.25">
      <c r="P125" s="81" t="s">
        <v>1145</v>
      </c>
      <c r="Q125" s="83" t="s">
        <v>1146</v>
      </c>
      <c r="R125" s="81">
        <v>609912716</v>
      </c>
      <c r="S125" s="81">
        <v>7</v>
      </c>
      <c r="T125" s="81" t="s">
        <v>373</v>
      </c>
      <c r="U125" s="81" t="s">
        <v>1120</v>
      </c>
      <c r="V125" s="81" t="s">
        <v>866</v>
      </c>
      <c r="W125" s="81" t="s">
        <v>867</v>
      </c>
      <c r="X125" s="81" t="s">
        <v>1147</v>
      </c>
      <c r="Y125" s="239"/>
      <c r="Z125" s="239"/>
      <c r="AA125" s="238"/>
      <c r="AB125" s="238"/>
      <c r="AC125" s="3" t="s">
        <v>1148</v>
      </c>
      <c r="AD125" s="278"/>
      <c r="AK125" s="244"/>
      <c r="AL125" s="244"/>
      <c r="AM125" s="244"/>
      <c r="AO125" s="244"/>
      <c r="AP125" s="244"/>
    </row>
    <row r="126" spans="2:48" ht="14.25">
      <c r="N126" s="91"/>
      <c r="P126" s="81" t="s">
        <v>1149</v>
      </c>
      <c r="Q126" s="81" t="s">
        <v>1150</v>
      </c>
      <c r="R126" s="81">
        <v>609914566</v>
      </c>
      <c r="S126" s="81">
        <v>0</v>
      </c>
      <c r="T126" s="81" t="s">
        <v>1124</v>
      </c>
      <c r="U126" s="81" t="s">
        <v>1151</v>
      </c>
      <c r="V126" s="81" t="s">
        <v>1152</v>
      </c>
      <c r="W126" s="81"/>
      <c r="X126" s="81" t="s">
        <v>1147</v>
      </c>
      <c r="Y126" s="239"/>
      <c r="Z126" s="239"/>
      <c r="AA126" s="239"/>
      <c r="AB126" s="238"/>
      <c r="AC126" s="3" t="s">
        <v>1153</v>
      </c>
      <c r="AD126" s="278"/>
      <c r="AI126" s="249"/>
      <c r="AJ126" s="244"/>
      <c r="AK126" s="244"/>
      <c r="AL126" s="244"/>
      <c r="AM126" s="244"/>
      <c r="AP126" s="244"/>
      <c r="AQ126" s="244"/>
      <c r="AR126" s="244"/>
      <c r="AS126" s="244"/>
      <c r="AT126" s="244"/>
      <c r="AU126" s="244"/>
    </row>
    <row r="127" spans="2:48" ht="14.25">
      <c r="P127" s="81" t="s">
        <v>1154</v>
      </c>
      <c r="Q127" s="81" t="s">
        <v>1155</v>
      </c>
      <c r="R127" s="81">
        <v>609914569</v>
      </c>
      <c r="S127" s="81">
        <v>0</v>
      </c>
      <c r="T127" s="81" t="s">
        <v>1124</v>
      </c>
      <c r="U127" s="81" t="s">
        <v>1151</v>
      </c>
      <c r="V127" s="81" t="s">
        <v>1156</v>
      </c>
      <c r="W127" s="81"/>
      <c r="X127" s="81" t="s">
        <v>1147</v>
      </c>
      <c r="Y127" s="239"/>
      <c r="Z127" s="239"/>
      <c r="AA127" s="239"/>
      <c r="AB127" s="238"/>
      <c r="AC127" s="3" t="s">
        <v>1157</v>
      </c>
      <c r="AD127" s="278"/>
    </row>
    <row r="128" spans="2:48" ht="14.25">
      <c r="P128" s="81" t="s">
        <v>1158</v>
      </c>
      <c r="Q128" s="81" t="s">
        <v>1159</v>
      </c>
      <c r="R128" s="81">
        <v>609914572</v>
      </c>
      <c r="S128" s="81">
        <v>0</v>
      </c>
      <c r="T128" s="81" t="s">
        <v>1124</v>
      </c>
      <c r="U128" s="81" t="s">
        <v>1151</v>
      </c>
      <c r="V128" s="81" t="s">
        <v>1160</v>
      </c>
      <c r="W128" s="81"/>
      <c r="X128" s="81" t="s">
        <v>1147</v>
      </c>
      <c r="Y128" s="239"/>
      <c r="Z128" s="239"/>
      <c r="AA128" s="239"/>
      <c r="AB128" s="238"/>
      <c r="AC128" s="3" t="s">
        <v>1161</v>
      </c>
      <c r="AD128" s="278"/>
      <c r="AE128" s="278"/>
    </row>
    <row r="129" spans="1:40" ht="14.25">
      <c r="P129" s="81" t="s">
        <v>1162</v>
      </c>
      <c r="Q129" s="81" t="s">
        <v>1163</v>
      </c>
      <c r="R129" s="81">
        <v>609914575</v>
      </c>
      <c r="S129" s="81">
        <v>0</v>
      </c>
      <c r="T129" s="81" t="s">
        <v>1124</v>
      </c>
      <c r="U129" s="81" t="s">
        <v>1151</v>
      </c>
      <c r="V129" s="81" t="s">
        <v>1164</v>
      </c>
      <c r="W129" s="81"/>
      <c r="X129" s="81" t="s">
        <v>1147</v>
      </c>
      <c r="Y129" s="239"/>
      <c r="Z129" s="239"/>
      <c r="AA129" s="239"/>
      <c r="AB129" s="238"/>
      <c r="AC129" s="3" t="s">
        <v>1165</v>
      </c>
      <c r="AD129" s="278">
        <f>SUM(AD131:AD138)</f>
        <v>6.8930581134568474</v>
      </c>
      <c r="AE129" s="278"/>
    </row>
    <row r="130" spans="1:40" ht="14.25">
      <c r="L130" t="s">
        <v>1166</v>
      </c>
      <c r="P130" s="81" t="s">
        <v>1167</v>
      </c>
      <c r="Q130" s="81" t="s">
        <v>1168</v>
      </c>
      <c r="R130" s="81">
        <v>609915176</v>
      </c>
      <c r="S130" s="81">
        <v>0</v>
      </c>
      <c r="T130" s="81" t="s">
        <v>1124</v>
      </c>
      <c r="U130" s="81" t="s">
        <v>1125</v>
      </c>
      <c r="V130" s="81" t="s">
        <v>1169</v>
      </c>
      <c r="W130" s="81"/>
      <c r="X130" s="81" t="s">
        <v>1147</v>
      </c>
      <c r="Y130" s="239"/>
      <c r="Z130" s="239"/>
      <c r="AA130" s="239"/>
      <c r="AB130" s="238"/>
      <c r="AC130" t="s">
        <v>1170</v>
      </c>
      <c r="AD130" s="278"/>
      <c r="AE130" s="278"/>
    </row>
    <row r="131" spans="1:40" ht="15.75">
      <c r="A131" t="s">
        <v>872</v>
      </c>
      <c r="B131">
        <v>102</v>
      </c>
      <c r="C131">
        <v>101</v>
      </c>
      <c r="E131" t="s">
        <v>766</v>
      </c>
      <c r="F131" t="s">
        <v>764</v>
      </c>
      <c r="G131" t="s">
        <v>765</v>
      </c>
      <c r="L131" s="257" t="s">
        <v>1171</v>
      </c>
      <c r="M131" s="257" t="s">
        <v>1172</v>
      </c>
      <c r="N131" s="91"/>
      <c r="P131" s="179" t="s">
        <v>90</v>
      </c>
      <c r="Q131" s="279">
        <f>R125-20</f>
        <v>609912696</v>
      </c>
      <c r="R131" s="143">
        <f t="shared" ref="R131:R138" si="33">((W131-U131*$V$33)/$V$13)+Q131</f>
        <v>609953286.37171972</v>
      </c>
      <c r="S131" s="104">
        <f t="shared" ref="S131:S138" si="34">R131-Q131</f>
        <v>40590.371719717979</v>
      </c>
      <c r="T131" s="104">
        <f t="shared" ref="T131:T138" si="35">S131*$V$13</f>
        <v>153458.73581774277</v>
      </c>
      <c r="U131" s="3">
        <v>0</v>
      </c>
      <c r="V131" s="142">
        <f>T131+U131*$V$33+$V$33</f>
        <v>350833.73581774277</v>
      </c>
      <c r="W131" s="389">
        <f>X124</f>
        <v>153458.73581778328</v>
      </c>
      <c r="X131" s="266">
        <f t="shared" ref="X131:X138" si="36">W131-V131</f>
        <v>-197374.99999995949</v>
      </c>
      <c r="AB131" s="229">
        <v>306124</v>
      </c>
      <c r="AC131" s="229">
        <f>AB131-W131</f>
        <v>152665.26418221672</v>
      </c>
      <c r="AD131" s="277">
        <f t="shared" ref="AD131:AD138" si="37">AC131*8/1000000</f>
        <v>1.2213221134577337</v>
      </c>
      <c r="AE131" s="241">
        <f t="shared" ref="AE131:AE137" si="38">AC131/AB131</f>
        <v>0.49870400289495997</v>
      </c>
      <c r="AF131" t="s">
        <v>1173</v>
      </c>
      <c r="AH131" t="s">
        <v>1174</v>
      </c>
      <c r="AI131" t="e">
        <f>V130*8/1000000</f>
        <v>#VALUE!</v>
      </c>
    </row>
    <row r="132" spans="1:40" ht="15.75">
      <c r="B132">
        <v>102</v>
      </c>
      <c r="C132">
        <v>101</v>
      </c>
      <c r="E132" t="s">
        <v>766</v>
      </c>
      <c r="F132" t="s">
        <v>764</v>
      </c>
      <c r="G132" t="s">
        <v>765</v>
      </c>
      <c r="L132" s="257" t="str">
        <f t="shared" ref="L132:L138" si="39">M131</f>
        <v>139/09:36</v>
      </c>
      <c r="M132" s="257" t="s">
        <v>1175</v>
      </c>
      <c r="O132" s="263" t="str">
        <f t="shared" ref="O132:O138" si="40">AG132</f>
        <v>161/15:11</v>
      </c>
      <c r="P132" s="179" t="s">
        <v>602</v>
      </c>
      <c r="Q132" s="264">
        <f t="shared" ref="Q132:Q138" si="41">R131-1</f>
        <v>609953285.37171972</v>
      </c>
      <c r="R132" s="143">
        <f t="shared" si="33"/>
        <v>610156754.68403363</v>
      </c>
      <c r="S132" s="104">
        <f t="shared" si="34"/>
        <v>203469.3123139143</v>
      </c>
      <c r="T132" s="104">
        <f t="shared" si="35"/>
        <v>769250.00000014075</v>
      </c>
      <c r="U132" s="3">
        <v>0</v>
      </c>
      <c r="V132" s="142">
        <f t="shared" ref="V132:V138" si="42">T132+U132*$V$33</f>
        <v>769250.00000014075</v>
      </c>
      <c r="W132" s="97">
        <f>Y132*1000000/8+X131</f>
        <v>769250.00000004063</v>
      </c>
      <c r="X132" s="266">
        <f t="shared" si="36"/>
        <v>-1.0011717677116394E-7</v>
      </c>
      <c r="Y132" s="256">
        <f t="shared" ref="Y132:Y138" si="43">1.1*AL132</f>
        <v>7.7330000000000005</v>
      </c>
      <c r="Z132" s="272">
        <f>Z124+Y132</f>
        <v>17.622</v>
      </c>
      <c r="AA132" s="229"/>
      <c r="AB132" s="229">
        <v>873308</v>
      </c>
      <c r="AC132" s="229">
        <f t="shared" ref="AC132:AC138" si="44">AB132-T132</f>
        <v>104057.99999985925</v>
      </c>
      <c r="AD132" s="277">
        <f t="shared" si="37"/>
        <v>0.83246399999887399</v>
      </c>
      <c r="AE132" s="241">
        <f t="shared" si="38"/>
        <v>0.11915383805010289</v>
      </c>
      <c r="AF132" s="178" t="s">
        <v>603</v>
      </c>
      <c r="AG132" s="192" t="s">
        <v>1176</v>
      </c>
      <c r="AH132" s="281">
        <f>X131*8/1000000</f>
        <v>-1.578999999999676</v>
      </c>
      <c r="AI132" s="232">
        <f>V131*8/1000000</f>
        <v>2.8066698865419419</v>
      </c>
      <c r="AJ132" s="249" t="s">
        <v>1177</v>
      </c>
      <c r="AK132" s="244" t="s">
        <v>1178</v>
      </c>
      <c r="AL132" s="244">
        <v>7.03</v>
      </c>
      <c r="AM132" s="244">
        <v>7.03</v>
      </c>
      <c r="AN132" s="244">
        <v>7.03</v>
      </c>
    </row>
    <row r="133" spans="1:40" ht="15.75">
      <c r="B133">
        <v>102</v>
      </c>
      <c r="C133">
        <v>101</v>
      </c>
      <c r="E133" t="s">
        <v>766</v>
      </c>
      <c r="F133" t="s">
        <v>764</v>
      </c>
      <c r="G133" t="s">
        <v>765</v>
      </c>
      <c r="L133" s="257" t="str">
        <f t="shared" si="39"/>
        <v>141/18:07</v>
      </c>
      <c r="M133" s="257" t="s">
        <v>1179</v>
      </c>
      <c r="O133" s="263" t="str">
        <f t="shared" si="40"/>
        <v>162/01:06</v>
      </c>
      <c r="P133" s="179" t="s">
        <v>91</v>
      </c>
      <c r="Q133" s="264">
        <f t="shared" si="41"/>
        <v>610156753.68403363</v>
      </c>
      <c r="R133" s="143">
        <f t="shared" si="33"/>
        <v>610410247.21954072</v>
      </c>
      <c r="S133" s="104">
        <f t="shared" si="34"/>
        <v>253493.53550708294</v>
      </c>
      <c r="T133" s="104">
        <f t="shared" si="35"/>
        <v>958375.00000005704</v>
      </c>
      <c r="U133" s="3">
        <v>0</v>
      </c>
      <c r="V133" s="142">
        <f t="shared" si="42"/>
        <v>958375.00000005704</v>
      </c>
      <c r="W133" s="97">
        <f t="shared" ref="W133:W138" si="45">Y133*1000000/8</f>
        <v>958375.00000000012</v>
      </c>
      <c r="X133" s="266">
        <f t="shared" si="36"/>
        <v>-5.6927092373371124E-8</v>
      </c>
      <c r="Y133" s="256">
        <f t="shared" si="43"/>
        <v>7.6670000000000007</v>
      </c>
      <c r="Z133" s="272">
        <f t="shared" ref="Z133:Z138" si="46">Y133+Z132</f>
        <v>25.289000000000001</v>
      </c>
      <c r="AA133" s="229"/>
      <c r="AB133" s="229">
        <v>1092116</v>
      </c>
      <c r="AC133" s="229">
        <f t="shared" si="44"/>
        <v>133740.99999994296</v>
      </c>
      <c r="AD133" s="277">
        <f t="shared" si="37"/>
        <v>1.0699279999995437</v>
      </c>
      <c r="AE133" s="241">
        <f t="shared" si="38"/>
        <v>0.1224604346057955</v>
      </c>
      <c r="AF133" s="178" t="s">
        <v>1180</v>
      </c>
      <c r="AG133" s="192" t="s">
        <v>1181</v>
      </c>
      <c r="AH133" s="232">
        <f>X132*8/1000000</f>
        <v>-8.009374141693115E-13</v>
      </c>
      <c r="AI133" s="232">
        <f>V132*8/1000000</f>
        <v>6.1540000000011261</v>
      </c>
      <c r="AJ133" s="244" t="s">
        <v>1182</v>
      </c>
      <c r="AK133" s="244" t="s">
        <v>1183</v>
      </c>
      <c r="AL133" s="244">
        <v>6.97</v>
      </c>
      <c r="AM133" s="244">
        <v>6.97</v>
      </c>
      <c r="AN133" s="244">
        <v>6.97</v>
      </c>
    </row>
    <row r="134" spans="1:40" ht="15.75">
      <c r="B134">
        <v>102</v>
      </c>
      <c r="C134">
        <v>101</v>
      </c>
      <c r="E134" t="s">
        <v>766</v>
      </c>
      <c r="F134" t="s">
        <v>764</v>
      </c>
      <c r="G134" t="s">
        <v>765</v>
      </c>
      <c r="L134" s="257" t="str">
        <f t="shared" si="39"/>
        <v>144/16:32</v>
      </c>
      <c r="M134" s="257" t="s">
        <v>1184</v>
      </c>
      <c r="O134" s="263" t="str">
        <f t="shared" si="40"/>
        <v>162/17:01</v>
      </c>
      <c r="P134" s="179" t="s">
        <v>1185</v>
      </c>
      <c r="Q134" s="264">
        <f t="shared" si="41"/>
        <v>610410246.21954072</v>
      </c>
      <c r="R134" s="143">
        <f t="shared" si="33"/>
        <v>610650283.13981998</v>
      </c>
      <c r="S134" s="104">
        <f t="shared" si="34"/>
        <v>240036.92027926445</v>
      </c>
      <c r="T134" s="104">
        <f t="shared" si="35"/>
        <v>907499.99999990535</v>
      </c>
      <c r="U134" s="3">
        <v>0</v>
      </c>
      <c r="V134" s="142">
        <f t="shared" si="42"/>
        <v>907499.99999990535</v>
      </c>
      <c r="W134" s="97">
        <f t="shared" si="45"/>
        <v>907500</v>
      </c>
      <c r="X134" s="266">
        <f t="shared" si="36"/>
        <v>9.4645656645298004E-8</v>
      </c>
      <c r="Y134" s="256">
        <f t="shared" si="43"/>
        <v>7.26</v>
      </c>
      <c r="Z134" s="272">
        <f t="shared" si="46"/>
        <v>32.548999999999999</v>
      </c>
      <c r="AA134" s="229"/>
      <c r="AB134" s="229">
        <v>1024638</v>
      </c>
      <c r="AC134" s="229">
        <f t="shared" si="44"/>
        <v>117138.00000009465</v>
      </c>
      <c r="AD134" s="277">
        <f t="shared" si="37"/>
        <v>0.93710400000075722</v>
      </c>
      <c r="AE134" s="241">
        <f t="shared" si="38"/>
        <v>0.1143213505648772</v>
      </c>
      <c r="AF134" s="178" t="s">
        <v>1186</v>
      </c>
      <c r="AG134" s="192" t="s">
        <v>1187</v>
      </c>
      <c r="AH134" s="232">
        <f>X133*8/1000000</f>
        <v>-4.5541673898696896E-13</v>
      </c>
      <c r="AI134" s="232">
        <f>V133*8/1000000</f>
        <v>7.6670000000004563</v>
      </c>
      <c r="AJ134" s="244" t="s">
        <v>1188</v>
      </c>
      <c r="AK134" s="244" t="s">
        <v>1189</v>
      </c>
      <c r="AL134" s="244">
        <v>6.6</v>
      </c>
      <c r="AM134" s="244">
        <v>6.6</v>
      </c>
      <c r="AN134" s="244">
        <v>6.6</v>
      </c>
    </row>
    <row r="135" spans="1:40" ht="15.75">
      <c r="B135">
        <v>102</v>
      </c>
      <c r="C135">
        <v>101</v>
      </c>
      <c r="E135" t="s">
        <v>766</v>
      </c>
      <c r="F135" t="s">
        <v>764</v>
      </c>
      <c r="G135" t="s">
        <v>765</v>
      </c>
      <c r="L135" s="257" t="str">
        <f t="shared" si="39"/>
        <v>147/11:13</v>
      </c>
      <c r="M135" s="257" t="s">
        <v>1190</v>
      </c>
      <c r="O135" s="263" t="str">
        <f t="shared" si="40"/>
        <v>164/00:56</v>
      </c>
      <c r="P135" s="179" t="s">
        <v>1191</v>
      </c>
      <c r="Q135" s="264">
        <f t="shared" si="41"/>
        <v>610650282.13981998</v>
      </c>
      <c r="R135" s="143">
        <f t="shared" si="33"/>
        <v>610784848.29209781</v>
      </c>
      <c r="S135" s="104">
        <f t="shared" si="34"/>
        <v>134566.15227782726</v>
      </c>
      <c r="T135" s="104">
        <f t="shared" si="35"/>
        <v>508750.00000016543</v>
      </c>
      <c r="U135" s="3">
        <v>0</v>
      </c>
      <c r="V135" s="142">
        <f t="shared" si="42"/>
        <v>508750.00000016543</v>
      </c>
      <c r="W135" s="97">
        <f t="shared" si="45"/>
        <v>508750.00000000006</v>
      </c>
      <c r="X135" s="266">
        <f t="shared" si="36"/>
        <v>-1.653679646551609E-7</v>
      </c>
      <c r="Y135" s="256">
        <f t="shared" si="43"/>
        <v>4.07</v>
      </c>
      <c r="Z135" s="272">
        <f t="shared" si="46"/>
        <v>36.619</v>
      </c>
      <c r="AA135" s="229"/>
      <c r="AB135" s="229">
        <v>574838</v>
      </c>
      <c r="AC135" s="229">
        <f t="shared" si="44"/>
        <v>66087.999999834574</v>
      </c>
      <c r="AD135" s="277">
        <f t="shared" si="37"/>
        <v>0.52870399999867657</v>
      </c>
      <c r="AE135" s="241">
        <f t="shared" si="38"/>
        <v>0.11496804317013588</v>
      </c>
      <c r="AF135" s="178" t="s">
        <v>1192</v>
      </c>
      <c r="AG135" s="192" t="s">
        <v>1193</v>
      </c>
      <c r="AH135" s="232">
        <f>X134*8/1000000</f>
        <v>7.5716525316238406E-13</v>
      </c>
      <c r="AI135" s="232">
        <f>V134*8/1000000</f>
        <v>7.2599999999992431</v>
      </c>
      <c r="AJ135" s="244" t="s">
        <v>1194</v>
      </c>
      <c r="AK135" s="244" t="s">
        <v>1195</v>
      </c>
      <c r="AL135" s="244">
        <v>3.7</v>
      </c>
      <c r="AM135" s="244">
        <v>3.7</v>
      </c>
      <c r="AN135" s="244">
        <v>3.7</v>
      </c>
    </row>
    <row r="136" spans="1:40" ht="15.75">
      <c r="B136">
        <v>102</v>
      </c>
      <c r="C136">
        <v>101</v>
      </c>
      <c r="E136" t="s">
        <v>766</v>
      </c>
      <c r="F136" t="s">
        <v>764</v>
      </c>
      <c r="G136" t="s">
        <v>765</v>
      </c>
      <c r="L136" s="257" t="str">
        <f t="shared" si="39"/>
        <v>149/00:35</v>
      </c>
      <c r="M136" s="257" t="s">
        <v>1196</v>
      </c>
      <c r="O136" s="263" t="str">
        <f t="shared" si="40"/>
        <v>166/15:41</v>
      </c>
      <c r="P136" s="179" t="s">
        <v>1197</v>
      </c>
      <c r="Q136" s="264">
        <f t="shared" si="41"/>
        <v>610784847.29209781</v>
      </c>
      <c r="R136" s="143">
        <f t="shared" si="33"/>
        <v>611216550.05629706</v>
      </c>
      <c r="S136" s="104">
        <f t="shared" si="34"/>
        <v>431702.7641992569</v>
      </c>
      <c r="T136" s="104">
        <f t="shared" si="35"/>
        <v>1632124.9999999595</v>
      </c>
      <c r="U136" s="3">
        <v>0</v>
      </c>
      <c r="V136" s="142">
        <f t="shared" si="42"/>
        <v>1632124.9999999595</v>
      </c>
      <c r="W136" s="97">
        <f t="shared" si="45"/>
        <v>1632125</v>
      </c>
      <c r="X136" s="266">
        <f t="shared" si="36"/>
        <v>4.0512531995773315E-8</v>
      </c>
      <c r="Y136" s="282">
        <f t="shared" si="43"/>
        <v>13.057</v>
      </c>
      <c r="Z136" s="272">
        <f t="shared" si="46"/>
        <v>49.676000000000002</v>
      </c>
      <c r="AA136" s="229"/>
      <c r="AB136" s="229">
        <v>1838628</v>
      </c>
      <c r="AC136" s="229">
        <f t="shared" si="44"/>
        <v>206503.00000004051</v>
      </c>
      <c r="AD136" s="277">
        <f t="shared" si="37"/>
        <v>1.6520240000003241</v>
      </c>
      <c r="AE136" s="241">
        <f t="shared" si="38"/>
        <v>0.11231363821286335</v>
      </c>
      <c r="AF136" s="178" t="s">
        <v>1198</v>
      </c>
      <c r="AG136" s="192" t="s">
        <v>1199</v>
      </c>
      <c r="AH136" s="232">
        <f>X136*8/1000000</f>
        <v>3.2410025596618653E-13</v>
      </c>
      <c r="AI136" s="232">
        <f>V136*8/1000000</f>
        <v>13.056999999999675</v>
      </c>
      <c r="AJ136" s="244" t="s">
        <v>1200</v>
      </c>
      <c r="AK136" s="244" t="s">
        <v>1201</v>
      </c>
      <c r="AL136" s="244">
        <v>11.87</v>
      </c>
      <c r="AM136" s="244">
        <v>11.87</v>
      </c>
      <c r="AN136" s="244">
        <v>11.87</v>
      </c>
    </row>
    <row r="137" spans="1:40" ht="15.75">
      <c r="B137">
        <v>102</v>
      </c>
      <c r="C137">
        <v>101</v>
      </c>
      <c r="E137" t="s">
        <v>766</v>
      </c>
      <c r="F137" t="s">
        <v>764</v>
      </c>
      <c r="G137" t="s">
        <v>765</v>
      </c>
      <c r="L137" s="257" t="str">
        <f t="shared" si="39"/>
        <v>154/00:30</v>
      </c>
      <c r="M137" s="257" t="s">
        <v>1202</v>
      </c>
      <c r="O137" s="263" t="str">
        <f t="shared" si="40"/>
        <v>167/15:51</v>
      </c>
      <c r="P137" s="179" t="s">
        <v>101</v>
      </c>
      <c r="Q137" s="264">
        <f t="shared" si="41"/>
        <v>611216549.05629706</v>
      </c>
      <c r="R137" s="143">
        <f t="shared" si="33"/>
        <v>611398758.90032721</v>
      </c>
      <c r="S137" s="104">
        <f t="shared" si="34"/>
        <v>182209.84403014183</v>
      </c>
      <c r="T137" s="104">
        <f t="shared" si="35"/>
        <v>688874.99999982573</v>
      </c>
      <c r="U137" s="3">
        <v>0</v>
      </c>
      <c r="V137" s="142">
        <f t="shared" si="42"/>
        <v>688874.99999982573</v>
      </c>
      <c r="W137" s="97">
        <f t="shared" si="45"/>
        <v>688875</v>
      </c>
      <c r="X137" s="266">
        <f t="shared" si="36"/>
        <v>1.7427373677492142E-7</v>
      </c>
      <c r="Y137" s="282">
        <f t="shared" si="43"/>
        <v>5.5110000000000001</v>
      </c>
      <c r="Z137" s="272">
        <f t="shared" si="46"/>
        <v>55.187000000000005</v>
      </c>
      <c r="AA137" s="229"/>
      <c r="AB137" s="229">
        <v>770314</v>
      </c>
      <c r="AC137" s="229">
        <f t="shared" si="44"/>
        <v>81439.000000174274</v>
      </c>
      <c r="AD137" s="277">
        <f t="shared" si="37"/>
        <v>0.6515120000013942</v>
      </c>
      <c r="AE137" s="241">
        <f t="shared" si="38"/>
        <v>0.10572182252974018</v>
      </c>
      <c r="AF137" s="178" t="s">
        <v>1203</v>
      </c>
      <c r="AG137" s="192" t="s">
        <v>1204</v>
      </c>
      <c r="AH137" s="232">
        <f>X137*8/1000000</f>
        <v>1.3941898941993714E-12</v>
      </c>
      <c r="AI137" s="232">
        <f>V137*8/1000000</f>
        <v>5.5109999999986057</v>
      </c>
      <c r="AJ137" s="244" t="s">
        <v>1205</v>
      </c>
      <c r="AK137" s="244" t="s">
        <v>1206</v>
      </c>
      <c r="AL137" s="244">
        <v>5.01</v>
      </c>
      <c r="AM137" s="244">
        <v>5.01</v>
      </c>
      <c r="AN137" s="244">
        <v>5.01</v>
      </c>
    </row>
    <row r="138" spans="1:40" ht="15.75">
      <c r="B138">
        <v>102</v>
      </c>
      <c r="C138">
        <v>101</v>
      </c>
      <c r="E138" t="s">
        <v>766</v>
      </c>
      <c r="F138" t="s">
        <v>764</v>
      </c>
      <c r="G138" t="s">
        <v>765</v>
      </c>
      <c r="L138" s="257" t="str">
        <f t="shared" si="39"/>
        <v>156/03:07</v>
      </c>
      <c r="M138" s="257" t="s">
        <v>1207</v>
      </c>
      <c r="O138" s="263" t="str">
        <f t="shared" si="40"/>
        <v>168/15:51</v>
      </c>
      <c r="P138" s="179" t="s">
        <v>1208</v>
      </c>
      <c r="Q138" s="264">
        <f t="shared" si="41"/>
        <v>611398757.90032721</v>
      </c>
      <c r="R138" s="143">
        <f t="shared" si="33"/>
        <v>611652251.43583429</v>
      </c>
      <c r="S138" s="104">
        <f t="shared" si="34"/>
        <v>253493.53550708294</v>
      </c>
      <c r="T138" s="104">
        <f t="shared" si="35"/>
        <v>958375.00000005704</v>
      </c>
      <c r="U138" s="3">
        <v>0</v>
      </c>
      <c r="V138" s="142">
        <f t="shared" si="42"/>
        <v>958375.00000005704</v>
      </c>
      <c r="W138" s="97">
        <f t="shared" si="45"/>
        <v>958375.00000000012</v>
      </c>
      <c r="X138" s="266">
        <f t="shared" si="36"/>
        <v>-5.6927092373371124E-8</v>
      </c>
      <c r="Y138" s="282">
        <f t="shared" si="43"/>
        <v>7.6670000000000007</v>
      </c>
      <c r="Z138" s="272">
        <f t="shared" si="46"/>
        <v>62.854000000000006</v>
      </c>
      <c r="AA138" s="229"/>
      <c r="AB138" s="229">
        <v>958375</v>
      </c>
      <c r="AC138" s="229">
        <f t="shared" si="44"/>
        <v>-5.7043507695198059E-8</v>
      </c>
      <c r="AD138" s="277">
        <f t="shared" si="37"/>
        <v>-4.5634806156158446E-13</v>
      </c>
      <c r="AE138" s="241"/>
      <c r="AF138" s="178" t="s">
        <v>1209</v>
      </c>
      <c r="AG138" s="192" t="s">
        <v>1210</v>
      </c>
      <c r="AH138" s="232">
        <f>X138*8/1000000</f>
        <v>-4.5541673898696896E-13</v>
      </c>
      <c r="AI138" s="232">
        <f>V138*8/1000000</f>
        <v>7.6670000000004563</v>
      </c>
      <c r="AJ138" s="244" t="s">
        <v>1211</v>
      </c>
      <c r="AK138" s="244" t="s">
        <v>1212</v>
      </c>
      <c r="AL138" s="244">
        <v>6.97</v>
      </c>
      <c r="AM138" s="244">
        <v>6.97</v>
      </c>
      <c r="AN138" s="244">
        <v>6.97</v>
      </c>
    </row>
    <row r="139" spans="1:40" ht="15.75">
      <c r="L139" s="283"/>
      <c r="M139" s="284"/>
      <c r="N139" s="284"/>
      <c r="O139" s="285" t="s">
        <v>1213</v>
      </c>
      <c r="P139" s="81" t="s">
        <v>1214</v>
      </c>
      <c r="Q139" s="81" t="s">
        <v>1215</v>
      </c>
      <c r="R139" s="81">
        <v>611744022</v>
      </c>
      <c r="S139" s="81">
        <v>1</v>
      </c>
      <c r="T139" s="81" t="s">
        <v>373</v>
      </c>
      <c r="U139" s="81" t="s">
        <v>1216</v>
      </c>
      <c r="V139" s="81" t="s">
        <v>382</v>
      </c>
      <c r="W139" s="81"/>
      <c r="X139" s="81" t="s">
        <v>1217</v>
      </c>
      <c r="Y139" s="286"/>
      <c r="Z139" s="286"/>
      <c r="AA139" s="238"/>
      <c r="AB139" s="229"/>
      <c r="AC139" s="229"/>
      <c r="AD139" s="278"/>
      <c r="AE139" s="278"/>
      <c r="AF139" s="178"/>
      <c r="AG139" s="192"/>
      <c r="AH139" s="232"/>
      <c r="AI139" s="232"/>
      <c r="AJ139" s="244"/>
      <c r="AK139" s="244"/>
      <c r="AL139" s="244">
        <v>4.93</v>
      </c>
      <c r="AM139" s="244">
        <v>4.93</v>
      </c>
      <c r="AN139" s="244">
        <v>4.93</v>
      </c>
    </row>
    <row r="140" spans="1:40" ht="15.75">
      <c r="B140">
        <v>102</v>
      </c>
      <c r="C140">
        <v>101</v>
      </c>
      <c r="E140" t="s">
        <v>766</v>
      </c>
      <c r="F140" t="s">
        <v>764</v>
      </c>
      <c r="G140" t="s">
        <v>765</v>
      </c>
      <c r="L140" s="257" t="str">
        <f>M138</f>
        <v>159/01:32</v>
      </c>
      <c r="M140" s="287" t="s">
        <v>1218</v>
      </c>
      <c r="N140" t="s">
        <v>167</v>
      </c>
      <c r="O140" s="263" t="str">
        <f>AG140</f>
        <v>169/01:21</v>
      </c>
      <c r="P140" s="179" t="s">
        <v>104</v>
      </c>
      <c r="Q140" s="264">
        <f>R138-1</f>
        <v>611652250.43583429</v>
      </c>
      <c r="R140" s="212">
        <f>R139+20</f>
        <v>611744042</v>
      </c>
      <c r="S140" s="104">
        <f>R140-Q140</f>
        <v>91791.564165711403</v>
      </c>
      <c r="T140" s="104">
        <f>S140*$V$13</f>
        <v>347033.46628285473</v>
      </c>
      <c r="U140" s="3">
        <v>0</v>
      </c>
      <c r="V140" s="142">
        <f>T140+U140*$V$33</f>
        <v>347033.46628285473</v>
      </c>
      <c r="W140" s="97">
        <f>Y140*1000000/8</f>
        <v>677875</v>
      </c>
      <c r="X140" s="266">
        <f>W140-V140</f>
        <v>330841.53371714527</v>
      </c>
      <c r="Y140" s="282">
        <f>1.1*AL140</f>
        <v>5.423</v>
      </c>
      <c r="Z140" s="288">
        <f>Y140+Z138</f>
        <v>68.277000000000001</v>
      </c>
      <c r="AA140" s="229"/>
      <c r="AB140" s="229"/>
      <c r="AC140" s="229">
        <f>AB140-T140</f>
        <v>-347033.46628285473</v>
      </c>
      <c r="AD140" s="277">
        <f>AC140*8/1000000</f>
        <v>-2.776267730262838</v>
      </c>
      <c r="AE140" s="277"/>
      <c r="AF140" s="178" t="s">
        <v>607</v>
      </c>
      <c r="AG140" s="192" t="s">
        <v>1219</v>
      </c>
      <c r="AH140" s="232">
        <f>X140*8/1000000</f>
        <v>2.646732269737162</v>
      </c>
      <c r="AI140" s="232">
        <f>V140*8/1000000</f>
        <v>2.776267730262838</v>
      </c>
      <c r="AJ140" s="244" t="s">
        <v>1220</v>
      </c>
      <c r="AK140" s="244" t="s">
        <v>1221</v>
      </c>
      <c r="AL140" s="244">
        <v>4.93</v>
      </c>
      <c r="AM140" s="244">
        <v>4.93</v>
      </c>
      <c r="AN140" s="244">
        <v>4.93</v>
      </c>
    </row>
    <row r="141" spans="1:40" ht="15.75">
      <c r="L141" s="283"/>
      <c r="M141" s="284"/>
      <c r="N141" s="284"/>
      <c r="O141" s="285" t="s">
        <v>1222</v>
      </c>
      <c r="P141" s="81" t="s">
        <v>1118</v>
      </c>
      <c r="Q141" s="81" t="s">
        <v>1119</v>
      </c>
      <c r="R141" s="81">
        <v>611744576</v>
      </c>
      <c r="S141" s="81">
        <v>7</v>
      </c>
      <c r="T141" s="81" t="s">
        <v>373</v>
      </c>
      <c r="U141" s="81" t="s">
        <v>1120</v>
      </c>
      <c r="V141" s="81" t="s">
        <v>866</v>
      </c>
      <c r="W141" s="81" t="s">
        <v>867</v>
      </c>
      <c r="X141" s="81" t="s">
        <v>1121</v>
      </c>
      <c r="Y141" s="286"/>
      <c r="Z141" s="286"/>
      <c r="AA141" s="239"/>
      <c r="AB141" s="229"/>
      <c r="AC141" s="229"/>
      <c r="AD141" s="278"/>
      <c r="AE141" s="278"/>
      <c r="AF141" s="178"/>
      <c r="AG141" s="192"/>
      <c r="AH141" s="232"/>
      <c r="AI141" s="232"/>
      <c r="AJ141" s="244"/>
      <c r="AK141" s="244"/>
      <c r="AL141" s="244"/>
      <c r="AM141" s="244"/>
    </row>
    <row r="142" spans="1:40" ht="15.75">
      <c r="A142" s="17"/>
      <c r="B142">
        <v>102</v>
      </c>
      <c r="C142">
        <v>103</v>
      </c>
      <c r="D142">
        <v>110</v>
      </c>
      <c r="E142" t="s">
        <v>766</v>
      </c>
      <c r="F142" t="s">
        <v>764</v>
      </c>
      <c r="G142" t="s">
        <v>765</v>
      </c>
      <c r="H142" s="17"/>
      <c r="I142" s="17"/>
      <c r="J142" s="17"/>
      <c r="K142" s="17" t="s">
        <v>872</v>
      </c>
      <c r="L142" s="257" t="s">
        <v>1223</v>
      </c>
      <c r="M142" s="257" t="s">
        <v>1224</v>
      </c>
      <c r="P142" s="179" t="s">
        <v>104</v>
      </c>
      <c r="Q142" s="279">
        <f>R141-20</f>
        <v>611744556</v>
      </c>
      <c r="R142" s="143">
        <f>((W142-U142*$V$33)/$V$12)+Q142</f>
        <v>611851610.92407358</v>
      </c>
      <c r="S142" s="104">
        <f t="shared" ref="S142:S152" si="47">R142-Q142</f>
        <v>107054.92407357693</v>
      </c>
      <c r="T142" s="104">
        <f>S142*$V$12</f>
        <v>330841.53371706873</v>
      </c>
      <c r="U142" s="3">
        <v>0</v>
      </c>
      <c r="V142" s="142">
        <f t="shared" ref="V142:V152" si="48">T142+U142*$V$33</f>
        <v>330841.53371706873</v>
      </c>
      <c r="W142" s="97">
        <f>X140</f>
        <v>330841.53371714527</v>
      </c>
      <c r="X142" s="266">
        <f t="shared" ref="X142:X152" si="49">W142-V142</f>
        <v>7.6543074101209641E-8</v>
      </c>
      <c r="Y142" s="282"/>
      <c r="Z142" s="289"/>
      <c r="AA142" s="229"/>
      <c r="AB142" s="229"/>
      <c r="AC142" s="229">
        <f t="shared" ref="AC142:AC152" si="50">AB142-T142</f>
        <v>-330841.53371706873</v>
      </c>
      <c r="AD142" s="277">
        <f t="shared" ref="AD142:AD152" si="51">AC142*8/1000000</f>
        <v>-2.6467322697365496</v>
      </c>
      <c r="AE142" s="277"/>
      <c r="AF142" s="178"/>
      <c r="AG142" s="192"/>
      <c r="AH142" s="232">
        <f t="shared" ref="AH142:AH152" si="52">X142*8/1000000</f>
        <v>6.1234459280967711E-13</v>
      </c>
      <c r="AI142" s="232">
        <f t="shared" ref="AI142:AI152" si="53">V142*8/1000000</f>
        <v>2.6467322697365496</v>
      </c>
      <c r="AJ142" s="244"/>
      <c r="AK142" s="244"/>
      <c r="AL142" s="244"/>
      <c r="AM142" s="244"/>
    </row>
    <row r="143" spans="1:40" ht="15.75">
      <c r="B143">
        <v>102</v>
      </c>
      <c r="C143">
        <v>103</v>
      </c>
      <c r="D143">
        <v>110</v>
      </c>
      <c r="E143" t="s">
        <v>766</v>
      </c>
      <c r="F143" t="s">
        <v>764</v>
      </c>
      <c r="G143" t="s">
        <v>765</v>
      </c>
      <c r="L143" s="257" t="str">
        <f>M142</f>
        <v>161/08:55</v>
      </c>
      <c r="M143" s="257" t="s">
        <v>1225</v>
      </c>
      <c r="O143" s="263" t="str">
        <f>AG143</f>
        <v>169/22:11</v>
      </c>
      <c r="P143" s="179" t="s">
        <v>1226</v>
      </c>
      <c r="Q143" s="264">
        <f>R142-1</f>
        <v>611851609.92407358</v>
      </c>
      <c r="R143" s="143">
        <f>((W143-U143*$V$33)/$V$12)+Q143</f>
        <v>612349038.95054173</v>
      </c>
      <c r="S143" s="104">
        <f t="shared" si="47"/>
        <v>497429.02646815777</v>
      </c>
      <c r="T143" s="104">
        <f>S143*$V$12</f>
        <v>1537250.0000000705</v>
      </c>
      <c r="U143" s="3">
        <v>0</v>
      </c>
      <c r="V143" s="142">
        <f t="shared" si="48"/>
        <v>1537250.0000000705</v>
      </c>
      <c r="W143" s="97">
        <f>Y143*1000000/8</f>
        <v>1537250</v>
      </c>
      <c r="X143" s="266">
        <f t="shared" si="49"/>
        <v>-7.0547685027122498E-8</v>
      </c>
      <c r="Y143" s="282">
        <f>1.1*AL143</f>
        <v>12.298</v>
      </c>
      <c r="Z143" s="288">
        <f>Z140+Y143</f>
        <v>80.575000000000003</v>
      </c>
      <c r="AA143" s="229"/>
      <c r="AB143" s="229"/>
      <c r="AC143" s="229">
        <f t="shared" si="50"/>
        <v>-1537250.0000000705</v>
      </c>
      <c r="AD143" s="277">
        <f t="shared" si="51"/>
        <v>-12.298000000000565</v>
      </c>
      <c r="AE143" s="277"/>
      <c r="AF143" s="178" t="s">
        <v>1227</v>
      </c>
      <c r="AG143" s="192" t="s">
        <v>1228</v>
      </c>
      <c r="AH143" s="232">
        <f t="shared" si="52"/>
        <v>-5.6438148021697997E-13</v>
      </c>
      <c r="AI143" s="232">
        <f t="shared" si="53"/>
        <v>12.298000000000565</v>
      </c>
      <c r="AJ143" s="244" t="s">
        <v>1229</v>
      </c>
      <c r="AK143" s="244" t="s">
        <v>1230</v>
      </c>
      <c r="AL143" s="244">
        <v>11.18</v>
      </c>
      <c r="AM143" s="244">
        <v>11.18</v>
      </c>
      <c r="AN143" s="244">
        <v>11.18</v>
      </c>
    </row>
    <row r="144" spans="1:40" ht="15.75">
      <c r="B144">
        <v>102</v>
      </c>
      <c r="C144">
        <v>103</v>
      </c>
      <c r="D144">
        <v>110</v>
      </c>
      <c r="E144" t="s">
        <v>766</v>
      </c>
      <c r="F144" t="s">
        <v>764</v>
      </c>
      <c r="G144" t="s">
        <v>765</v>
      </c>
      <c r="L144" s="257" t="str">
        <f>M143</f>
        <v>167/03:05</v>
      </c>
      <c r="M144" s="257" t="s">
        <v>1231</v>
      </c>
      <c r="O144" s="263" t="str">
        <f>AG144</f>
        <v>170/16:06</v>
      </c>
      <c r="P144" s="179" t="s">
        <v>1232</v>
      </c>
      <c r="Q144" s="264">
        <f>R143-1</f>
        <v>612349037.95054173</v>
      </c>
      <c r="R144" s="212">
        <v>612647515</v>
      </c>
      <c r="S144" s="104">
        <f t="shared" si="47"/>
        <v>298477.0494582653</v>
      </c>
      <c r="T144" s="104">
        <f>S144*$V$12</f>
        <v>922410.67542348371</v>
      </c>
      <c r="U144" s="3">
        <v>0</v>
      </c>
      <c r="V144" s="142">
        <f t="shared" si="48"/>
        <v>922410.67542348371</v>
      </c>
      <c r="W144" s="97">
        <f>Y144*1000000/8</f>
        <v>2965875.0000000005</v>
      </c>
      <c r="X144" s="266">
        <f t="shared" si="49"/>
        <v>2043464.3245765166</v>
      </c>
      <c r="Y144" s="282">
        <f>1.1*AL144</f>
        <v>23.727000000000004</v>
      </c>
      <c r="Z144" s="288">
        <f>Z143+AA144</f>
        <v>87.954285403387871</v>
      </c>
      <c r="AA144" s="229">
        <f>AI144</f>
        <v>7.3792854033878701</v>
      </c>
      <c r="AB144" s="229"/>
      <c r="AC144" s="229">
        <f t="shared" si="50"/>
        <v>-922410.67542348371</v>
      </c>
      <c r="AD144" s="277">
        <f t="shared" si="51"/>
        <v>-7.3792854033878701</v>
      </c>
      <c r="AE144" s="277"/>
      <c r="AF144" t="s">
        <v>1233</v>
      </c>
      <c r="AG144" s="192" t="s">
        <v>1234</v>
      </c>
      <c r="AH144" s="232">
        <f t="shared" si="52"/>
        <v>16.347714596612132</v>
      </c>
      <c r="AI144" s="232">
        <f t="shared" si="53"/>
        <v>7.3792854033878701</v>
      </c>
      <c r="AJ144" s="244" t="s">
        <v>1235</v>
      </c>
      <c r="AK144" s="244" t="s">
        <v>1236</v>
      </c>
      <c r="AL144" s="244">
        <v>21.57</v>
      </c>
      <c r="AM144" s="244">
        <v>21.57</v>
      </c>
      <c r="AN144" s="244"/>
    </row>
    <row r="145" spans="1:57" ht="15.75">
      <c r="L145" s="226" t="s">
        <v>1109</v>
      </c>
      <c r="M145" s="226" t="s">
        <v>1237</v>
      </c>
      <c r="O145" s="192"/>
      <c r="P145" s="179" t="s">
        <v>1232</v>
      </c>
      <c r="Q145" s="237">
        <f>R102-3</f>
        <v>592432559.87599802</v>
      </c>
      <c r="R145" s="104">
        <f t="shared" ref="R145:R151" si="54">((W145)/$X$9)+Q145</f>
        <v>592985455.41489768</v>
      </c>
      <c r="S145" s="104">
        <f t="shared" si="47"/>
        <v>552895.53889966011</v>
      </c>
      <c r="T145" s="104">
        <f t="shared" ref="T145:T151" si="55">S145*$X$9</f>
        <v>2043464.3245764237</v>
      </c>
      <c r="U145" s="3">
        <v>0</v>
      </c>
      <c r="V145" s="97">
        <f t="shared" si="48"/>
        <v>2043464.3245764237</v>
      </c>
      <c r="W145" s="97">
        <f>X144</f>
        <v>2043464.3245765166</v>
      </c>
      <c r="X145" s="266">
        <f t="shared" si="49"/>
        <v>9.2899426817893982E-8</v>
      </c>
      <c r="Z145" s="290">
        <f>W145*8/1000000</f>
        <v>16.347714596612132</v>
      </c>
      <c r="AA145" s="290"/>
      <c r="AB145" s="229"/>
      <c r="AC145" s="229">
        <f t="shared" si="50"/>
        <v>-2043464.3245764237</v>
      </c>
      <c r="AD145" s="277">
        <f t="shared" si="51"/>
        <v>-16.347714596611389</v>
      </c>
      <c r="AE145" s="277"/>
      <c r="AH145" s="232">
        <f t="shared" si="52"/>
        <v>7.4319541454315185E-13</v>
      </c>
      <c r="AI145" s="232">
        <f t="shared" si="53"/>
        <v>16.347714596611389</v>
      </c>
    </row>
    <row r="146" spans="1:57" ht="15.75">
      <c r="L146" s="226" t="str">
        <f t="shared" ref="L146:L151" si="56">M145</f>
        <v>309/00:19</v>
      </c>
      <c r="M146" s="226" t="s">
        <v>1238</v>
      </c>
      <c r="O146" s="263" t="str">
        <f t="shared" ref="O146:O152" si="57">AG146</f>
        <v>173/15:36</v>
      </c>
      <c r="P146" s="179" t="s">
        <v>1239</v>
      </c>
      <c r="Q146" s="237">
        <f t="shared" ref="Q146:Q151" si="58">R145-3</f>
        <v>592985452.41489768</v>
      </c>
      <c r="R146" s="104">
        <f t="shared" si="54"/>
        <v>593579957.39755702</v>
      </c>
      <c r="S146" s="104">
        <f t="shared" si="47"/>
        <v>594504.9826593399</v>
      </c>
      <c r="T146" s="104">
        <f t="shared" si="55"/>
        <v>2197250.0000000154</v>
      </c>
      <c r="U146" s="3">
        <v>0</v>
      </c>
      <c r="V146" s="97">
        <f t="shared" si="48"/>
        <v>2197250.0000000154</v>
      </c>
      <c r="W146" s="97">
        <f t="shared" ref="W146:W152" si="59">Y146*1000000/8</f>
        <v>2197250.0000000005</v>
      </c>
      <c r="X146" s="266">
        <f t="shared" si="49"/>
        <v>-1.4901161193847656E-8</v>
      </c>
      <c r="Y146" s="282">
        <f t="shared" ref="Y146:Y151" si="60">1.1*AL146</f>
        <v>17.578000000000003</v>
      </c>
      <c r="Z146" s="290">
        <f>Z145+Y146</f>
        <v>33.925714596612139</v>
      </c>
      <c r="AA146" s="229"/>
      <c r="AB146" s="229"/>
      <c r="AC146" s="229">
        <f t="shared" si="50"/>
        <v>-2197250.0000000154</v>
      </c>
      <c r="AD146" s="277">
        <f t="shared" si="51"/>
        <v>-17.578000000000124</v>
      </c>
      <c r="AE146" s="277"/>
      <c r="AF146" s="178" t="s">
        <v>1240</v>
      </c>
      <c r="AG146" s="192" t="s">
        <v>1241</v>
      </c>
      <c r="AH146" s="232">
        <f t="shared" si="52"/>
        <v>-1.1920928955078124E-13</v>
      </c>
      <c r="AI146" s="232">
        <f t="shared" si="53"/>
        <v>17.578000000000124</v>
      </c>
      <c r="AJ146" s="244" t="s">
        <v>1242</v>
      </c>
      <c r="AK146" s="244" t="s">
        <v>1243</v>
      </c>
      <c r="AL146" s="244">
        <v>15.98</v>
      </c>
      <c r="AM146" s="244">
        <v>15.98</v>
      </c>
      <c r="AN146" s="244">
        <v>15.98</v>
      </c>
    </row>
    <row r="147" spans="1:57" ht="15.75">
      <c r="L147" s="226" t="str">
        <f t="shared" si="56"/>
        <v>315/21:27</v>
      </c>
      <c r="M147" s="226" t="s">
        <v>1244</v>
      </c>
      <c r="O147" s="263" t="str">
        <f t="shared" si="57"/>
        <v>174/15:46</v>
      </c>
      <c r="P147" s="179" t="s">
        <v>1245</v>
      </c>
      <c r="Q147" s="237">
        <f t="shared" si="58"/>
        <v>593579954.39755702</v>
      </c>
      <c r="R147" s="104">
        <f t="shared" si="54"/>
        <v>593841863.97690129</v>
      </c>
      <c r="S147" s="104">
        <f t="shared" si="47"/>
        <v>261909.57934427261</v>
      </c>
      <c r="T147" s="104">
        <f t="shared" si="55"/>
        <v>967999.99999994272</v>
      </c>
      <c r="U147" s="3">
        <v>0</v>
      </c>
      <c r="V147" s="97">
        <f t="shared" si="48"/>
        <v>967999.99999994272</v>
      </c>
      <c r="W147" s="97">
        <f t="shared" si="59"/>
        <v>968000.00000000012</v>
      </c>
      <c r="X147" s="266">
        <f t="shared" si="49"/>
        <v>5.7392753660678864E-8</v>
      </c>
      <c r="Y147" s="282">
        <f t="shared" si="60"/>
        <v>7.7440000000000007</v>
      </c>
      <c r="Z147" s="290">
        <f>Z146+Y147</f>
        <v>41.669714596612138</v>
      </c>
      <c r="AA147" s="229"/>
      <c r="AB147" s="229"/>
      <c r="AC147" s="229">
        <f t="shared" si="50"/>
        <v>-967999.99999994272</v>
      </c>
      <c r="AD147" s="277">
        <f t="shared" si="51"/>
        <v>-7.7439999999995415</v>
      </c>
      <c r="AE147" s="277"/>
      <c r="AF147" s="178" t="s">
        <v>1246</v>
      </c>
      <c r="AG147" s="192" t="s">
        <v>1247</v>
      </c>
      <c r="AH147" s="232">
        <f t="shared" si="52"/>
        <v>4.5914202928543086E-13</v>
      </c>
      <c r="AI147" s="232">
        <f t="shared" si="53"/>
        <v>7.7439999999995415</v>
      </c>
      <c r="AJ147" s="244" t="s">
        <v>1248</v>
      </c>
      <c r="AK147" s="244" t="s">
        <v>1249</v>
      </c>
      <c r="AL147" s="244">
        <v>7.04</v>
      </c>
      <c r="AM147" s="244">
        <v>7.04</v>
      </c>
      <c r="AN147" s="244">
        <v>7.04</v>
      </c>
    </row>
    <row r="148" spans="1:57" ht="15.75">
      <c r="A148" s="17"/>
      <c r="B148" s="17"/>
      <c r="C148" s="17"/>
      <c r="D148" s="17"/>
      <c r="E148" s="17"/>
      <c r="F148" s="17"/>
      <c r="G148" s="17"/>
      <c r="H148" s="17"/>
      <c r="I148" s="17"/>
      <c r="J148" s="17"/>
      <c r="K148" s="17"/>
      <c r="L148" s="226" t="str">
        <f t="shared" si="56"/>
        <v>318/22:12</v>
      </c>
      <c r="M148" s="226" t="s">
        <v>1250</v>
      </c>
      <c r="O148" s="263" t="str">
        <f t="shared" si="57"/>
        <v>175/23:26</v>
      </c>
      <c r="P148" s="179" t="s">
        <v>1251</v>
      </c>
      <c r="Q148" s="237">
        <f t="shared" si="58"/>
        <v>593841860.97690129</v>
      </c>
      <c r="R148" s="104">
        <f t="shared" si="54"/>
        <v>594108978.98538029</v>
      </c>
      <c r="S148" s="104">
        <f t="shared" si="47"/>
        <v>267118.00847899914</v>
      </c>
      <c r="T148" s="104">
        <f t="shared" si="55"/>
        <v>987250.00000008673</v>
      </c>
      <c r="U148" s="3">
        <v>0</v>
      </c>
      <c r="V148" s="97">
        <f t="shared" si="48"/>
        <v>987250.00000008673</v>
      </c>
      <c r="W148" s="97">
        <f t="shared" si="59"/>
        <v>987250.00000000012</v>
      </c>
      <c r="X148" s="266">
        <f t="shared" si="49"/>
        <v>-8.6612999439239502E-8</v>
      </c>
      <c r="Y148" s="282">
        <f t="shared" si="60"/>
        <v>7.8980000000000006</v>
      </c>
      <c r="Z148" s="290">
        <f>Z147+Y148</f>
        <v>49.567714596612142</v>
      </c>
      <c r="AA148" s="229"/>
      <c r="AB148" s="229"/>
      <c r="AC148" s="229">
        <f t="shared" si="50"/>
        <v>-987250.00000008673</v>
      </c>
      <c r="AD148" s="277">
        <f t="shared" si="51"/>
        <v>-7.8980000000006942</v>
      </c>
      <c r="AE148" s="277"/>
      <c r="AF148" s="178" t="s">
        <v>1252</v>
      </c>
      <c r="AG148" s="192" t="s">
        <v>1253</v>
      </c>
      <c r="AH148" s="232">
        <f t="shared" si="52"/>
        <v>-6.92903995513916E-13</v>
      </c>
      <c r="AI148" s="232">
        <f t="shared" si="53"/>
        <v>7.8980000000006942</v>
      </c>
      <c r="AJ148" s="244" t="s">
        <v>1254</v>
      </c>
      <c r="AK148" s="244" t="s">
        <v>1255</v>
      </c>
      <c r="AL148" s="244">
        <v>7.18</v>
      </c>
      <c r="AM148" s="244">
        <v>7.18</v>
      </c>
      <c r="AN148" s="244">
        <v>7.18</v>
      </c>
    </row>
    <row r="149" spans="1:57" ht="15.75">
      <c r="L149" s="226" t="str">
        <f t="shared" si="56"/>
        <v>322/00:24</v>
      </c>
      <c r="M149" s="226" t="s">
        <v>1256</v>
      </c>
      <c r="O149" s="263" t="str">
        <f t="shared" si="57"/>
        <v>177/00:06</v>
      </c>
      <c r="P149" s="179" t="s">
        <v>1257</v>
      </c>
      <c r="Q149" s="237">
        <f t="shared" si="58"/>
        <v>594108975.98538029</v>
      </c>
      <c r="R149" s="104">
        <f t="shared" si="54"/>
        <v>594325497.82512236</v>
      </c>
      <c r="S149" s="104">
        <f t="shared" si="47"/>
        <v>216521.83974206448</v>
      </c>
      <c r="T149" s="104">
        <f t="shared" si="55"/>
        <v>800250.00000019802</v>
      </c>
      <c r="U149" s="3">
        <v>0</v>
      </c>
      <c r="V149" s="97">
        <f t="shared" si="48"/>
        <v>800250.00000019802</v>
      </c>
      <c r="W149" s="97">
        <f t="shared" si="59"/>
        <v>800250.00000000012</v>
      </c>
      <c r="X149" s="266">
        <f t="shared" si="49"/>
        <v>-1.9790604710578918E-7</v>
      </c>
      <c r="Y149" s="282">
        <f t="shared" si="60"/>
        <v>6.402000000000001</v>
      </c>
      <c r="Z149" s="290">
        <f>Z148+Y149</f>
        <v>55.969714596612143</v>
      </c>
      <c r="AA149" s="229"/>
      <c r="AB149" s="229"/>
      <c r="AC149" s="229">
        <f t="shared" si="50"/>
        <v>-800250.00000019802</v>
      </c>
      <c r="AD149" s="277">
        <f t="shared" si="51"/>
        <v>-6.4020000000015838</v>
      </c>
      <c r="AE149" s="277"/>
      <c r="AF149" s="178" t="s">
        <v>1258</v>
      </c>
      <c r="AG149" s="192" t="s">
        <v>1259</v>
      </c>
      <c r="AH149" s="232">
        <f t="shared" si="52"/>
        <v>-1.5832483768463134E-12</v>
      </c>
      <c r="AI149" s="232">
        <f t="shared" si="53"/>
        <v>6.4020000000015838</v>
      </c>
      <c r="AJ149" s="244" t="s">
        <v>1260</v>
      </c>
      <c r="AK149" s="244" t="s">
        <v>1261</v>
      </c>
      <c r="AL149" s="244">
        <v>5.82</v>
      </c>
      <c r="AM149" s="244">
        <v>5.82</v>
      </c>
      <c r="AN149" s="244">
        <v>5.82</v>
      </c>
    </row>
    <row r="150" spans="1:57" ht="15.75">
      <c r="L150" s="226" t="str">
        <f t="shared" si="56"/>
        <v>324/12:33</v>
      </c>
      <c r="M150" s="226" t="s">
        <v>1262</v>
      </c>
      <c r="O150" s="263" t="str">
        <f t="shared" si="57"/>
        <v>177/17:16</v>
      </c>
      <c r="P150" s="179" t="s">
        <v>1263</v>
      </c>
      <c r="Q150" s="237">
        <f t="shared" si="58"/>
        <v>594325494.82512236</v>
      </c>
      <c r="R150" s="104">
        <f t="shared" si="54"/>
        <v>594930416.66605103</v>
      </c>
      <c r="S150" s="104">
        <f t="shared" si="47"/>
        <v>604921.84092867374</v>
      </c>
      <c r="T150" s="104">
        <f t="shared" si="55"/>
        <v>2235749.9999998626</v>
      </c>
      <c r="U150" s="3">
        <v>0</v>
      </c>
      <c r="V150" s="97">
        <f t="shared" si="48"/>
        <v>2235749.9999998626</v>
      </c>
      <c r="W150" s="97">
        <f t="shared" si="59"/>
        <v>2235750.0000000005</v>
      </c>
      <c r="X150" s="266">
        <f t="shared" si="49"/>
        <v>1.3783574104309082E-7</v>
      </c>
      <c r="Y150" s="282">
        <f t="shared" si="60"/>
        <v>17.886000000000003</v>
      </c>
      <c r="Z150" s="290">
        <f>Y150+Z149</f>
        <v>73.855714596612145</v>
      </c>
      <c r="AA150" s="290"/>
      <c r="AB150" s="229"/>
      <c r="AC150" s="229">
        <f t="shared" si="50"/>
        <v>-2235749.9999998626</v>
      </c>
      <c r="AD150" s="277">
        <f t="shared" si="51"/>
        <v>-17.885999999998901</v>
      </c>
      <c r="AE150" s="277"/>
      <c r="AF150" s="178" t="s">
        <v>1264</v>
      </c>
      <c r="AG150" s="192" t="s">
        <v>1265</v>
      </c>
      <c r="AH150" s="232">
        <f t="shared" si="52"/>
        <v>1.1026859283447265E-12</v>
      </c>
      <c r="AI150" s="232">
        <f t="shared" si="53"/>
        <v>17.885999999998901</v>
      </c>
      <c r="AJ150" s="244" t="s">
        <v>1266</v>
      </c>
      <c r="AK150" s="244" t="s">
        <v>1267</v>
      </c>
      <c r="AL150" s="244">
        <v>16.260000000000002</v>
      </c>
      <c r="AM150" s="244">
        <v>16.260000000000002</v>
      </c>
      <c r="AN150" s="244">
        <v>16.260000000000002</v>
      </c>
    </row>
    <row r="151" spans="1:57" ht="15.75">
      <c r="L151" s="226" t="str">
        <f t="shared" si="56"/>
        <v>331/12:35</v>
      </c>
      <c r="M151" s="226" t="s">
        <v>1268</v>
      </c>
      <c r="O151" s="263" t="str">
        <f t="shared" si="57"/>
        <v>179/13:51</v>
      </c>
      <c r="P151" s="179" t="s">
        <v>1269</v>
      </c>
      <c r="Q151" s="237">
        <f t="shared" si="58"/>
        <v>594930413.66605103</v>
      </c>
      <c r="R151" s="104">
        <f t="shared" si="54"/>
        <v>595490319.7980299</v>
      </c>
      <c r="S151" s="104">
        <f t="shared" si="47"/>
        <v>559906.13197886944</v>
      </c>
      <c r="T151" s="104">
        <f t="shared" si="55"/>
        <v>2069374.9999998449</v>
      </c>
      <c r="U151" s="3">
        <v>0</v>
      </c>
      <c r="V151" s="97">
        <f t="shared" si="48"/>
        <v>2069374.9999998449</v>
      </c>
      <c r="W151" s="97">
        <f t="shared" si="59"/>
        <v>2069375.0000000005</v>
      </c>
      <c r="X151" s="266">
        <f t="shared" si="49"/>
        <v>1.5553086996078491E-7</v>
      </c>
      <c r="Y151" s="282">
        <f t="shared" si="60"/>
        <v>16.555000000000003</v>
      </c>
      <c r="Z151" s="290">
        <f>Y151+Z150</f>
        <v>90.410714596612152</v>
      </c>
      <c r="AA151" s="290"/>
      <c r="AB151" s="229"/>
      <c r="AC151" s="229">
        <f t="shared" si="50"/>
        <v>-2069374.9999998449</v>
      </c>
      <c r="AD151" s="277">
        <f t="shared" si="51"/>
        <v>-16.55499999999876</v>
      </c>
      <c r="AE151" s="277"/>
      <c r="AF151" s="178" t="s">
        <v>1270</v>
      </c>
      <c r="AG151" s="192" t="s">
        <v>1271</v>
      </c>
      <c r="AH151" s="232">
        <f t="shared" si="52"/>
        <v>1.2442469596862792E-12</v>
      </c>
      <c r="AI151" s="232">
        <f t="shared" si="53"/>
        <v>16.55499999999876</v>
      </c>
      <c r="AJ151" s="244" t="s">
        <v>1272</v>
      </c>
      <c r="AK151" s="244" t="s">
        <v>1273</v>
      </c>
      <c r="AL151" s="244">
        <v>15.05</v>
      </c>
      <c r="AM151" s="244">
        <v>15.05</v>
      </c>
      <c r="AN151" s="244">
        <v>15.05</v>
      </c>
    </row>
    <row r="152" spans="1:57" ht="15.75">
      <c r="L152" s="257" t="s">
        <v>1231</v>
      </c>
      <c r="M152" s="257" t="s">
        <v>1274</v>
      </c>
      <c r="O152" s="263" t="str">
        <f t="shared" si="57"/>
        <v>180/16:16</v>
      </c>
      <c r="P152" s="179" t="s">
        <v>1275</v>
      </c>
      <c r="Q152" s="237">
        <f>R144-1</f>
        <v>612647514</v>
      </c>
      <c r="R152" s="104">
        <f>((W152-U152*$V$33)/$V$12)+Q152</f>
        <v>613358508.26144552</v>
      </c>
      <c r="S152" s="104">
        <f t="shared" si="47"/>
        <v>710994.26144552231</v>
      </c>
      <c r="T152" s="104">
        <f>S152*$V$12</f>
        <v>2197250.0000000396</v>
      </c>
      <c r="U152" s="3">
        <v>0</v>
      </c>
      <c r="V152" s="142">
        <f t="shared" si="48"/>
        <v>2197250.0000000396</v>
      </c>
      <c r="W152" s="97">
        <f t="shared" si="59"/>
        <v>2197250.0000000005</v>
      </c>
      <c r="X152" s="266">
        <f t="shared" si="49"/>
        <v>-3.9115548133850098E-8</v>
      </c>
      <c r="Y152" s="282">
        <f>1.1*AL146</f>
        <v>17.578000000000003</v>
      </c>
      <c r="Z152" s="272">
        <f>Z144+Y152</f>
        <v>105.53228540338787</v>
      </c>
      <c r="AA152" s="229">
        <f>Z152-Z140</f>
        <v>37.255285403387873</v>
      </c>
      <c r="AB152" s="229"/>
      <c r="AC152" s="229">
        <f t="shared" si="50"/>
        <v>-2197250.0000000396</v>
      </c>
      <c r="AD152" s="277">
        <f t="shared" si="51"/>
        <v>-17.578000000000316</v>
      </c>
      <c r="AE152" s="277"/>
      <c r="AF152" s="178" t="s">
        <v>1276</v>
      </c>
      <c r="AG152" s="192" t="s">
        <v>1277</v>
      </c>
      <c r="AH152" s="232">
        <f t="shared" si="52"/>
        <v>-3.1292438507080076E-13</v>
      </c>
      <c r="AI152" s="232">
        <f t="shared" si="53"/>
        <v>17.578000000000316</v>
      </c>
      <c r="AJ152" s="244" t="s">
        <v>1278</v>
      </c>
      <c r="AK152" s="244" t="s">
        <v>1279</v>
      </c>
      <c r="AL152" s="244">
        <v>16.260000000000002</v>
      </c>
      <c r="AM152" s="244">
        <v>16.260000000000002</v>
      </c>
      <c r="AN152" s="244">
        <v>16.260000000000002</v>
      </c>
    </row>
    <row r="153" spans="1:57" ht="14.25">
      <c r="X153" s="232"/>
      <c r="Z153" s="3"/>
      <c r="AH153" s="232"/>
      <c r="AI153" s="232"/>
      <c r="AN153">
        <f>SUM(AM124:AM152)</f>
        <v>183.34</v>
      </c>
    </row>
    <row r="154" spans="1:57" ht="14.25">
      <c r="L154" s="226" t="s">
        <v>1268</v>
      </c>
      <c r="M154" s="226" t="s">
        <v>1280</v>
      </c>
      <c r="P154" t="s">
        <v>1281</v>
      </c>
      <c r="Q154" s="237">
        <f>R151-3</f>
        <v>595490316.7980299</v>
      </c>
      <c r="R154" s="104">
        <f>((W154)/$X$9)+Q154</f>
        <v>595690536.93099976</v>
      </c>
      <c r="S154" s="104">
        <f>R154-Q154</f>
        <v>200220.13296985626</v>
      </c>
      <c r="T154" s="104">
        <f>S154*$X$9</f>
        <v>740000.00000018196</v>
      </c>
      <c r="U154" s="3">
        <v>0</v>
      </c>
      <c r="V154" s="97">
        <f>T154+U154*$V$33</f>
        <v>740000.00000018196</v>
      </c>
      <c r="W154" s="97">
        <v>740000</v>
      </c>
      <c r="X154" s="266">
        <f>W154-V154</f>
        <v>-1.8195714801549911E-7</v>
      </c>
      <c r="Z154" s="3"/>
      <c r="AA154" t="s">
        <v>204</v>
      </c>
      <c r="AH154" s="232">
        <f>X154*8/1000000</f>
        <v>-1.4556571841239929E-12</v>
      </c>
      <c r="AI154" s="232">
        <f>V154*8/1000000</f>
        <v>5.9200000000014557</v>
      </c>
      <c r="AJ154" s="244"/>
    </row>
    <row r="155" spans="1:57" ht="15.75">
      <c r="L155" s="226" t="s">
        <v>1280</v>
      </c>
      <c r="M155" s="226" t="s">
        <v>1282</v>
      </c>
      <c r="O155" s="263" t="s">
        <v>1283</v>
      </c>
      <c r="P155" t="s">
        <v>1284</v>
      </c>
      <c r="Q155" s="237">
        <f>R154-3</f>
        <v>595690533.93099976</v>
      </c>
      <c r="R155" s="104">
        <f>((W155)/$X$9)+Q155</f>
        <v>596272254.58760118</v>
      </c>
      <c r="S155" s="104">
        <f>R155-Q155</f>
        <v>581720.65660142899</v>
      </c>
      <c r="T155" s="104">
        <f>S155*$X$9</f>
        <v>2149999.9999998617</v>
      </c>
      <c r="U155" s="3">
        <v>0</v>
      </c>
      <c r="V155" s="97">
        <f>T155+U155*$V$33</f>
        <v>2149999.9999998617</v>
      </c>
      <c r="W155" s="97">
        <v>2150000</v>
      </c>
      <c r="X155" s="266">
        <f>W155-V155</f>
        <v>1.3830140233039856E-7</v>
      </c>
      <c r="AB155" s="229">
        <v>2153619</v>
      </c>
      <c r="AC155" s="229"/>
      <c r="AH155" s="232">
        <f>X155*8/1000000</f>
        <v>1.1064112186431885E-12</v>
      </c>
      <c r="AI155" s="232">
        <f>V155*8/1000000</f>
        <v>17.199999999998894</v>
      </c>
      <c r="AQ155" s="91"/>
      <c r="AY155" s="91"/>
      <c r="AZ155" s="91"/>
      <c r="BA155" s="91"/>
      <c r="BB155" s="91"/>
      <c r="BC155" s="91"/>
      <c r="BD155" s="91"/>
      <c r="BE155" s="91"/>
    </row>
    <row r="156" spans="1:57" ht="14.25">
      <c r="AG156" s="232"/>
      <c r="AH156" s="232">
        <f>AI155+AI154</f>
        <v>23.120000000000349</v>
      </c>
      <c r="AV156" s="91"/>
      <c r="AW156" s="91"/>
    </row>
    <row r="157" spans="1:57" ht="14.25">
      <c r="L157" t="s">
        <v>4049</v>
      </c>
      <c r="M157">
        <f>2000000/3600</f>
        <v>555.55555555555554</v>
      </c>
      <c r="N157" t="s">
        <v>4044</v>
      </c>
      <c r="O157">
        <v>27</v>
      </c>
      <c r="P157">
        <f>O157*3600*M157</f>
        <v>54000000</v>
      </c>
      <c r="Q157" t="s">
        <v>4047</v>
      </c>
      <c r="S157" t="s">
        <v>4048</v>
      </c>
      <c r="U157" s="3">
        <v>27</v>
      </c>
      <c r="AE157" s="232"/>
      <c r="AF157" s="232"/>
    </row>
    <row r="158" spans="1:57" ht="14.25">
      <c r="M158" t="s">
        <v>4045</v>
      </c>
      <c r="N158" t="s">
        <v>4046</v>
      </c>
      <c r="S158">
        <f>190/30</f>
        <v>6.333333333333333</v>
      </c>
      <c r="T158">
        <f>40000/30</f>
        <v>1333.3333333333333</v>
      </c>
      <c r="U158">
        <f>190/8</f>
        <v>23.75</v>
      </c>
      <c r="X158" t="s">
        <v>913</v>
      </c>
    </row>
    <row r="159" spans="1:57" ht="14.25">
      <c r="C159" s="291" t="s">
        <v>941</v>
      </c>
      <c r="D159" s="291" t="s">
        <v>942</v>
      </c>
      <c r="E159" s="291" t="s">
        <v>766</v>
      </c>
      <c r="F159" s="291" t="s">
        <v>764</v>
      </c>
      <c r="G159" s="291" t="s">
        <v>765</v>
      </c>
      <c r="H159" s="291" t="s">
        <v>768</v>
      </c>
      <c r="I159" s="291" t="s">
        <v>769</v>
      </c>
      <c r="J159" s="291" t="s">
        <v>943</v>
      </c>
      <c r="K159" s="291" t="s">
        <v>1540</v>
      </c>
      <c r="P159" s="59">
        <v>25181</v>
      </c>
      <c r="T159" s="3"/>
      <c r="V159" s="93"/>
      <c r="X159" t="s">
        <v>1010</v>
      </c>
    </row>
    <row r="160" spans="1:57" ht="14.25">
      <c r="C160" s="3"/>
      <c r="D160" s="3"/>
      <c r="E160" s="3"/>
      <c r="F160" s="3"/>
      <c r="G160" s="3"/>
      <c r="H160" s="3"/>
      <c r="I160" s="3"/>
      <c r="J160" s="3"/>
      <c r="P160" s="73" t="s">
        <v>837</v>
      </c>
      <c r="Q160" s="72" t="s">
        <v>65</v>
      </c>
      <c r="R160" s="73" t="s">
        <v>66</v>
      </c>
      <c r="S160" s="73" t="s">
        <v>67</v>
      </c>
      <c r="T160" s="74" t="s">
        <v>68</v>
      </c>
      <c r="U160" s="3" t="s">
        <v>176</v>
      </c>
      <c r="V160" s="74" t="s">
        <v>265</v>
      </c>
      <c r="W160" s="73" t="s">
        <v>266</v>
      </c>
      <c r="X160" s="73" t="s">
        <v>70</v>
      </c>
      <c r="Y160" s="73"/>
      <c r="Z160" s="73"/>
    </row>
    <row r="161" spans="1:45" ht="14.25">
      <c r="C161" s="3"/>
      <c r="D161" s="3"/>
      <c r="E161" s="3"/>
      <c r="F161" s="3"/>
      <c r="G161" s="3"/>
      <c r="H161" s="3"/>
      <c r="I161" s="3"/>
      <c r="J161" s="3"/>
      <c r="P161" s="81" t="s">
        <v>1285</v>
      </c>
      <c r="Q161" s="81" t="s">
        <v>1286</v>
      </c>
      <c r="R161" s="81">
        <v>613555316</v>
      </c>
      <c r="S161" s="81">
        <v>0</v>
      </c>
      <c r="T161" s="81" t="s">
        <v>1124</v>
      </c>
      <c r="U161" s="81" t="s">
        <v>1287</v>
      </c>
      <c r="V161" s="81" t="s">
        <v>1288</v>
      </c>
      <c r="W161" s="81"/>
      <c r="X161" s="81" t="s">
        <v>1289</v>
      </c>
      <c r="Y161" s="81"/>
      <c r="Z161" s="81"/>
    </row>
    <row r="162" spans="1:45" ht="14.25">
      <c r="C162" s="3"/>
      <c r="D162" s="3"/>
      <c r="E162" s="3"/>
      <c r="F162" s="3"/>
      <c r="G162" s="3"/>
      <c r="H162" s="3"/>
      <c r="I162" s="3"/>
      <c r="J162" s="3"/>
      <c r="O162" s="292" t="s">
        <v>1290</v>
      </c>
      <c r="P162" s="79" t="s">
        <v>1291</v>
      </c>
      <c r="Q162" s="293" t="s">
        <v>1292</v>
      </c>
      <c r="R162" s="294">
        <v>613555366</v>
      </c>
      <c r="S162" s="79">
        <v>0</v>
      </c>
      <c r="T162" s="79" t="s">
        <v>1124</v>
      </c>
      <c r="U162" s="79" t="s">
        <v>1293</v>
      </c>
      <c r="V162" s="79" t="s">
        <v>1294</v>
      </c>
      <c r="Y162" s="317" t="s">
        <v>1541</v>
      </c>
      <c r="Z162" s="317" t="s">
        <v>1542</v>
      </c>
      <c r="AJ162" t="s">
        <v>1021</v>
      </c>
      <c r="AK162" t="s">
        <v>836</v>
      </c>
      <c r="AN162" s="244"/>
      <c r="AO162" s="244"/>
      <c r="AP162" s="244"/>
      <c r="AQ162" s="244"/>
      <c r="AR162" s="244"/>
      <c r="AS162" s="91"/>
    </row>
    <row r="163" spans="1:45" ht="15.75">
      <c r="A163" t="s">
        <v>204</v>
      </c>
      <c r="C163" s="3">
        <v>103</v>
      </c>
      <c r="D163" s="3">
        <v>110</v>
      </c>
      <c r="E163" s="3" t="s">
        <v>766</v>
      </c>
      <c r="F163" s="3" t="s">
        <v>764</v>
      </c>
      <c r="G163" s="3" t="s">
        <v>765</v>
      </c>
      <c r="H163" s="3"/>
      <c r="I163" s="3"/>
      <c r="J163" s="3"/>
      <c r="L163" s="257" t="s">
        <v>1274</v>
      </c>
      <c r="M163" s="295" t="s">
        <v>1296</v>
      </c>
      <c r="O163" s="263" t="str">
        <f>AI163</f>
        <v>182/15:36</v>
      </c>
      <c r="P163" s="179" t="str">
        <f>MID(AL163,11,5)</f>
        <v>182_1</v>
      </c>
      <c r="Q163" s="237">
        <f>R152-1</f>
        <v>613358507.26144552</v>
      </c>
      <c r="R163" s="296">
        <f>R162</f>
        <v>613555366</v>
      </c>
      <c r="S163" s="104">
        <f>R163-Q163</f>
        <v>196858.73855447769</v>
      </c>
      <c r="T163" s="104">
        <f>S163*$V$12</f>
        <v>608370.4000780835</v>
      </c>
      <c r="U163" s="3">
        <v>0</v>
      </c>
      <c r="V163" s="142">
        <f>T163+U163*$V$33</f>
        <v>608370.4000780835</v>
      </c>
      <c r="W163" s="97">
        <f>AA163*1000000/8</f>
        <v>1001000.0000000001</v>
      </c>
      <c r="X163" s="266">
        <f>W163-V163</f>
        <v>392629.59992191661</v>
      </c>
      <c r="Y163" s="318">
        <f>S163*$V$23+U163*$V$33</f>
        <v>646715.13301579049</v>
      </c>
      <c r="Z163" s="319">
        <f>(Y163/V163-1)</f>
        <v>6.3028597270323283E-2</v>
      </c>
      <c r="AA163" s="256">
        <f>1.1*AP163</f>
        <v>8.0080000000000009</v>
      </c>
      <c r="AB163" s="229"/>
      <c r="AC163" s="229"/>
      <c r="AD163" s="297">
        <f>AK163</f>
        <v>4.8669632006246681</v>
      </c>
      <c r="AE163" s="277"/>
      <c r="AF163" s="277"/>
      <c r="AG163" s="241"/>
      <c r="AH163" s="178" t="str">
        <f>MID(AL163,7,9)</f>
        <v>TRK_182_1</v>
      </c>
      <c r="AI163" s="192" t="s">
        <v>1297</v>
      </c>
      <c r="AJ163" s="232">
        <f>X163*8/1000000</f>
        <v>3.1410367993753328</v>
      </c>
      <c r="AK163" s="232">
        <f>V163*8/1000000</f>
        <v>4.8669632006246681</v>
      </c>
      <c r="AL163" s="276" t="s">
        <v>1298</v>
      </c>
      <c r="AM163" s="276" t="s">
        <v>1299</v>
      </c>
      <c r="AN163" s="276">
        <v>7.28</v>
      </c>
      <c r="AO163" s="276">
        <v>7.28</v>
      </c>
      <c r="AP163" s="276">
        <v>7.28</v>
      </c>
      <c r="AQ163" s="244"/>
      <c r="AR163" s="244">
        <f>SUM(AT124:AT161)</f>
        <v>0</v>
      </c>
    </row>
    <row r="164" spans="1:45" ht="15.75">
      <c r="A164" t="s">
        <v>1300</v>
      </c>
      <c r="C164" s="3">
        <v>103</v>
      </c>
      <c r="D164" s="3">
        <v>110</v>
      </c>
      <c r="E164" s="3" t="s">
        <v>766</v>
      </c>
      <c r="F164" s="3" t="s">
        <v>764</v>
      </c>
      <c r="G164" s="3" t="s">
        <v>765</v>
      </c>
      <c r="H164" s="3"/>
      <c r="I164" s="3"/>
      <c r="J164" s="3"/>
      <c r="L164" s="295" t="s">
        <v>1296</v>
      </c>
      <c r="M164" s="298" t="s">
        <v>1301</v>
      </c>
      <c r="O164" s="292" t="s">
        <v>1302</v>
      </c>
      <c r="P164" s="179"/>
      <c r="Q164" s="299">
        <f>R163-1</f>
        <v>613555365</v>
      </c>
      <c r="R164" s="300">
        <f>R165</f>
        <v>613559216</v>
      </c>
      <c r="S164" s="104">
        <f>R164-Q164</f>
        <v>3851</v>
      </c>
      <c r="T164" s="104">
        <f>S164*$V$15</f>
        <v>6668.6483333333099</v>
      </c>
      <c r="U164" s="3">
        <v>0</v>
      </c>
      <c r="V164" s="142">
        <f>T164+U164*$V$33</f>
        <v>6668.6483333333099</v>
      </c>
      <c r="W164" s="142">
        <f>X163</f>
        <v>392629.59992191661</v>
      </c>
      <c r="X164" s="266">
        <f>W164-V164</f>
        <v>385960.9515885833</v>
      </c>
      <c r="Y164" s="318">
        <f>S164*$V$24+U164*$V$33</f>
        <v>6784.445763888868</v>
      </c>
      <c r="Z164" s="319">
        <f>(Y164/V164-1)</f>
        <v>1.7364452999679703E-2</v>
      </c>
      <c r="AA164" s="256"/>
      <c r="AB164" s="229"/>
      <c r="AC164" s="229"/>
      <c r="AD164" s="297">
        <f>AD163+AK164</f>
        <v>4.920312387291335</v>
      </c>
      <c r="AE164" s="277"/>
      <c r="AF164" s="277"/>
      <c r="AG164" s="241"/>
      <c r="AJ164" s="232">
        <f>X164*8/1000000</f>
        <v>3.0876876127086663</v>
      </c>
      <c r="AK164" s="232">
        <f>V164*8/1000000</f>
        <v>5.3349186666666479E-2</v>
      </c>
    </row>
    <row r="165" spans="1:45" ht="15.75">
      <c r="A165" s="284" t="s">
        <v>1303</v>
      </c>
      <c r="B165" s="284"/>
      <c r="C165" s="283"/>
      <c r="D165" s="283"/>
      <c r="E165" s="283"/>
      <c r="F165" s="283"/>
      <c r="G165" s="283"/>
      <c r="H165" s="283"/>
      <c r="I165" s="283"/>
      <c r="J165" s="283"/>
      <c r="O165" s="292" t="s">
        <v>1304</v>
      </c>
      <c r="P165" s="83" t="s">
        <v>1305</v>
      </c>
      <c r="Q165" s="301" t="s">
        <v>1306</v>
      </c>
      <c r="R165" s="301">
        <f>613558916+300</f>
        <v>613559216</v>
      </c>
      <c r="S165" s="83">
        <v>8</v>
      </c>
      <c r="T165" s="83" t="s">
        <v>373</v>
      </c>
      <c r="U165" s="83" t="s">
        <v>1013</v>
      </c>
      <c r="V165" s="83"/>
      <c r="W165" s="83"/>
      <c r="X165" s="83" t="s">
        <v>1307</v>
      </c>
      <c r="Y165" s="83"/>
      <c r="Z165" s="83"/>
      <c r="AA165" s="91"/>
      <c r="AB165" s="91"/>
      <c r="AD165" s="278"/>
      <c r="AE165" s="277"/>
      <c r="AF165" s="277"/>
      <c r="AG165" s="302"/>
      <c r="AJ165" s="232"/>
      <c r="AK165" s="232"/>
    </row>
    <row r="166" spans="1:45" ht="15.75">
      <c r="A166" t="s">
        <v>1308</v>
      </c>
      <c r="C166" s="3"/>
      <c r="D166" s="3"/>
      <c r="E166" s="3"/>
      <c r="F166" s="3"/>
      <c r="G166" s="3">
        <v>3.1</v>
      </c>
      <c r="H166" s="3"/>
      <c r="I166" s="3" t="s">
        <v>769</v>
      </c>
      <c r="J166" s="3"/>
      <c r="K166" s="17" t="s">
        <v>1309</v>
      </c>
      <c r="L166" s="257" t="s">
        <v>1223</v>
      </c>
      <c r="M166" s="257" t="s">
        <v>1310</v>
      </c>
      <c r="N166" t="s">
        <v>1311</v>
      </c>
      <c r="P166" s="179"/>
      <c r="Q166" s="303">
        <f>Q142</f>
        <v>611744556</v>
      </c>
      <c r="R166" s="104">
        <f>((W166-U166*$V$33)/$V$14)+Q166</f>
        <v>612295255.66091263</v>
      </c>
      <c r="S166" s="104">
        <f t="shared" ref="S166:S192" si="61">R166-Q166</f>
        <v>550699.66091263294</v>
      </c>
      <c r="T166" s="104">
        <f>S166*$V$14</f>
        <v>188585.95158857069</v>
      </c>
      <c r="U166" s="3">
        <v>1</v>
      </c>
      <c r="V166" s="142">
        <f t="shared" ref="V166:V192" si="62">T166+U166*$V$33</f>
        <v>385960.95158857072</v>
      </c>
      <c r="W166" s="97">
        <f>X164</f>
        <v>385960.9515885833</v>
      </c>
      <c r="X166" s="304">
        <f t="shared" ref="X166:X192" si="63">W166-V166</f>
        <v>1.257285475730896E-8</v>
      </c>
      <c r="Y166" s="318">
        <f>S166*$V$25+U166*$V$33</f>
        <v>399585.03174135741</v>
      </c>
      <c r="Z166" s="319">
        <f>(Y166/V166-1)</f>
        <v>3.5299115355352795E-2</v>
      </c>
      <c r="AA166" s="256"/>
      <c r="AB166" s="229"/>
      <c r="AC166" s="229"/>
      <c r="AD166" s="297">
        <f>AD164+AK166</f>
        <v>8.0079999999999014</v>
      </c>
      <c r="AE166" s="277"/>
      <c r="AF166" s="277"/>
      <c r="AG166" s="241"/>
      <c r="AJ166" s="232">
        <f t="shared" ref="AJ166:AJ192" si="64">X166*8/1000000</f>
        <v>1.0058283805847168E-13</v>
      </c>
      <c r="AK166" s="232">
        <f t="shared" ref="AK166:AK192" si="65">V166*8/1000000</f>
        <v>3.087687612708566</v>
      </c>
    </row>
    <row r="167" spans="1:45" ht="15.75">
      <c r="A167" t="s">
        <v>1312</v>
      </c>
      <c r="C167" s="3"/>
      <c r="D167" s="3"/>
      <c r="E167" s="3"/>
      <c r="F167" s="3"/>
      <c r="G167">
        <v>3.5</v>
      </c>
      <c r="H167" s="3"/>
      <c r="I167" s="3" t="s">
        <v>769</v>
      </c>
      <c r="J167" s="3"/>
      <c r="L167" s="257" t="s">
        <v>1310</v>
      </c>
      <c r="M167" s="257" t="s">
        <v>1301</v>
      </c>
      <c r="N167">
        <v>431523</v>
      </c>
      <c r="O167" s="263" t="str">
        <f>AI167</f>
        <v>183/14:46</v>
      </c>
      <c r="P167" s="179" t="str">
        <f>MID(AL167,11,5)</f>
        <v>183_1</v>
      </c>
      <c r="Q167" s="237">
        <f>R166-1</f>
        <v>612295254.66091263</v>
      </c>
      <c r="R167" s="305">
        <f>R165</f>
        <v>613559216</v>
      </c>
      <c r="S167" s="104">
        <f t="shared" si="61"/>
        <v>1263961.3390873671</v>
      </c>
      <c r="T167" s="104">
        <f>S167*$V$14</f>
        <v>432840.92731767852</v>
      </c>
      <c r="U167" s="3">
        <v>0</v>
      </c>
      <c r="V167" s="142">
        <f t="shared" si="62"/>
        <v>432840.92731767852</v>
      </c>
      <c r="W167" s="97">
        <f>AA167*1000000/8</f>
        <v>1197625.0000000002</v>
      </c>
      <c r="X167" s="266">
        <f t="shared" si="63"/>
        <v>764784.07268232177</v>
      </c>
      <c r="Y167" s="318">
        <f>S167*$V$25+U167*$V$33</f>
        <v>464110.80419614259</v>
      </c>
      <c r="Z167" s="319">
        <f>(Y167/V167-1)</f>
        <v>7.2243346007605957E-2</v>
      </c>
      <c r="AA167" s="256">
        <f>1.1*AP167</f>
        <v>9.5810000000000013</v>
      </c>
      <c r="AB167" s="229"/>
      <c r="AC167" s="229"/>
      <c r="AD167" s="297">
        <f>AD166+AK167</f>
        <v>11.47072741854133</v>
      </c>
      <c r="AE167" s="277"/>
      <c r="AF167" s="277"/>
      <c r="AG167" s="241"/>
      <c r="AH167" s="178" t="str">
        <f>MID(AL167,7,9)</f>
        <v>TRK_183_1</v>
      </c>
      <c r="AI167" s="192" t="s">
        <v>1313</v>
      </c>
      <c r="AJ167" s="232">
        <f t="shared" si="64"/>
        <v>6.1182725814585739</v>
      </c>
      <c r="AK167" s="232">
        <f t="shared" si="65"/>
        <v>3.4627274185414283</v>
      </c>
      <c r="AL167" s="276" t="s">
        <v>1314</v>
      </c>
      <c r="AM167" s="276" t="s">
        <v>1315</v>
      </c>
      <c r="AN167" s="276">
        <v>8.7100000000000009</v>
      </c>
      <c r="AO167" s="276">
        <v>8.7100000000000009</v>
      </c>
      <c r="AP167" s="276">
        <v>8.7100000000000009</v>
      </c>
    </row>
    <row r="168" spans="1:45" ht="15.75">
      <c r="A168" t="s">
        <v>1316</v>
      </c>
      <c r="D168" s="3"/>
      <c r="E168" s="3" t="s">
        <v>766</v>
      </c>
      <c r="F168" s="3" t="s">
        <v>764</v>
      </c>
      <c r="G168" s="3"/>
      <c r="H168" s="3" t="s">
        <v>768</v>
      </c>
      <c r="I168" s="3" t="s">
        <v>769</v>
      </c>
      <c r="J168" s="3"/>
      <c r="L168" s="257" t="s">
        <v>1301</v>
      </c>
      <c r="M168" s="257" t="s">
        <v>1317</v>
      </c>
      <c r="O168" s="263"/>
      <c r="P168" s="179" t="str">
        <f>MID(AL168,11,5)</f>
        <v/>
      </c>
      <c r="Q168" s="306">
        <f>R167-1</f>
        <v>613559215</v>
      </c>
      <c r="R168" s="307">
        <v>613766276</v>
      </c>
      <c r="S168" s="104">
        <f t="shared" si="61"/>
        <v>207061</v>
      </c>
      <c r="T168" s="104">
        <f>S168*$V$17</f>
        <v>439979.46133680444</v>
      </c>
      <c r="U168" s="3">
        <v>0</v>
      </c>
      <c r="V168" s="142">
        <f t="shared" si="62"/>
        <v>439979.46133680444</v>
      </c>
      <c r="W168" s="280">
        <f>X167</f>
        <v>764784.07268232177</v>
      </c>
      <c r="X168" s="266">
        <f t="shared" si="63"/>
        <v>324804.61134551733</v>
      </c>
      <c r="Y168" s="318">
        <f>S168*$V$26+U168*$V$33</f>
        <v>448936.52716435055</v>
      </c>
      <c r="Z168" s="319">
        <f>(Y168/V168-1)</f>
        <v>2.03579180726563E-2</v>
      </c>
      <c r="AA168" s="256"/>
      <c r="AB168" s="229"/>
      <c r="AC168" s="229"/>
      <c r="AD168" s="297">
        <f>AD167+AK168</f>
        <v>14.990563109235765</v>
      </c>
      <c r="AE168" s="277"/>
      <c r="AF168" s="277"/>
      <c r="AG168" s="241"/>
      <c r="AH168" s="178"/>
      <c r="AI168" s="192"/>
      <c r="AJ168" s="232">
        <f t="shared" si="64"/>
        <v>2.5984368907641389</v>
      </c>
      <c r="AK168" s="232">
        <f t="shared" si="65"/>
        <v>3.5198356906944355</v>
      </c>
      <c r="AL168" s="276"/>
      <c r="AM168" s="276"/>
      <c r="AN168" s="276"/>
      <c r="AO168" s="276"/>
      <c r="AP168" s="276"/>
    </row>
    <row r="169" spans="1:45" ht="15.75">
      <c r="A169" t="s">
        <v>1318</v>
      </c>
      <c r="D169" s="3"/>
      <c r="E169" s="3"/>
      <c r="F169" s="3"/>
      <c r="G169" s="3"/>
      <c r="H169" s="3"/>
      <c r="I169" s="3"/>
      <c r="J169" s="3" t="s">
        <v>943</v>
      </c>
      <c r="K169" s="3" t="s">
        <v>1540</v>
      </c>
      <c r="L169" s="226" t="s">
        <v>1282</v>
      </c>
      <c r="M169" s="226" t="s">
        <v>1319</v>
      </c>
      <c r="O169" s="263"/>
      <c r="P169" s="179"/>
      <c r="Q169" s="237">
        <f>R155-3</f>
        <v>596272251.58760118</v>
      </c>
      <c r="R169" s="104">
        <f t="shared" ref="R169:R186" si="66">((W169)/$X$9)+Q169</f>
        <v>596360133.23959148</v>
      </c>
      <c r="S169" s="104">
        <f t="shared" si="61"/>
        <v>87881.651990294456</v>
      </c>
      <c r="T169" s="104">
        <f t="shared" ref="T169:T186" si="67">S169*$X$9</f>
        <v>324804.61134557688</v>
      </c>
      <c r="U169" s="3">
        <v>0</v>
      </c>
      <c r="V169" s="97">
        <f t="shared" si="62"/>
        <v>324804.61134557688</v>
      </c>
      <c r="W169" s="280">
        <f>X168</f>
        <v>324804.61134551733</v>
      </c>
      <c r="X169" s="266">
        <f t="shared" si="63"/>
        <v>-5.9546437114477158E-8</v>
      </c>
      <c r="Y169" s="266"/>
      <c r="Z169" s="266"/>
      <c r="AA169" s="256"/>
      <c r="AB169" s="229"/>
      <c r="AC169" s="308">
        <f>AK169</f>
        <v>2.5984368907646149</v>
      </c>
      <c r="AD169" s="277"/>
      <c r="AE169" s="277"/>
      <c r="AF169" s="277"/>
      <c r="AG169" s="277"/>
      <c r="AH169" s="178"/>
      <c r="AI169" s="192"/>
      <c r="AJ169" s="232">
        <f t="shared" si="64"/>
        <v>-4.7637149691581728E-13</v>
      </c>
      <c r="AK169" s="232">
        <f t="shared" si="65"/>
        <v>2.5984368907646149</v>
      </c>
      <c r="AL169" s="276"/>
      <c r="AM169" s="276"/>
      <c r="AN169" s="276"/>
      <c r="AO169" s="276"/>
      <c r="AP169" s="276"/>
    </row>
    <row r="170" spans="1:45" ht="15.75">
      <c r="C170" s="3"/>
      <c r="D170" s="3"/>
      <c r="E170" s="3"/>
      <c r="F170" s="3"/>
      <c r="G170" s="3"/>
      <c r="H170" s="3"/>
      <c r="I170" s="3"/>
      <c r="J170" s="3" t="s">
        <v>943</v>
      </c>
      <c r="K170" s="3" t="s">
        <v>1540</v>
      </c>
      <c r="L170" s="226" t="s">
        <v>1319</v>
      </c>
      <c r="M170" s="226" t="s">
        <v>1320</v>
      </c>
      <c r="O170" s="263" t="str">
        <f t="shared" ref="O170:O191" si="68">AI170</f>
        <v>183/23:16</v>
      </c>
      <c r="P170" s="179" t="str">
        <f t="shared" ref="P170:P192" si="69">MID(AL170,11,5)</f>
        <v>183_2</v>
      </c>
      <c r="Q170" s="237">
        <f t="shared" ref="Q170:Q186" si="70">R169-3</f>
        <v>596360130.23959148</v>
      </c>
      <c r="R170" s="104">
        <f t="shared" si="66"/>
        <v>596666311.46658063</v>
      </c>
      <c r="S170" s="104">
        <f t="shared" si="61"/>
        <v>306181.22698915005</v>
      </c>
      <c r="T170" s="104">
        <f t="shared" si="67"/>
        <v>1131625.0000000657</v>
      </c>
      <c r="U170" s="3">
        <v>0</v>
      </c>
      <c r="V170" s="97">
        <f t="shared" si="62"/>
        <v>1131625.0000000657</v>
      </c>
      <c r="W170" s="97">
        <f t="shared" ref="W170:W191" si="71">AA170*1000000/8</f>
        <v>1131625</v>
      </c>
      <c r="X170" s="266">
        <f t="shared" si="63"/>
        <v>-6.5658241510391235E-8</v>
      </c>
      <c r="Y170" s="266"/>
      <c r="Z170" s="266"/>
      <c r="AA170" s="256">
        <f t="shared" ref="AA170:AA191" si="72">1.1*AP170</f>
        <v>9.0530000000000008</v>
      </c>
      <c r="AB170" s="229"/>
      <c r="AC170" s="308">
        <f t="shared" ref="AC170:AC186" si="73">AC169+AK170</f>
        <v>11.65143689076514</v>
      </c>
      <c r="AD170" s="277"/>
      <c r="AE170" s="277"/>
      <c r="AF170" s="277"/>
      <c r="AG170" s="277"/>
      <c r="AH170" s="178" t="str">
        <f t="shared" ref="AH170:AH191" si="74">MID(AL170,7,9)</f>
        <v>TRK_183_2</v>
      </c>
      <c r="AI170" s="192" t="s">
        <v>1321</v>
      </c>
      <c r="AJ170" s="232">
        <f t="shared" si="64"/>
        <v>-5.2526593208312993E-13</v>
      </c>
      <c r="AK170" s="232">
        <f t="shared" si="65"/>
        <v>9.0530000000005248</v>
      </c>
      <c r="AL170" s="276" t="s">
        <v>1322</v>
      </c>
      <c r="AM170" s="276" t="s">
        <v>1323</v>
      </c>
      <c r="AN170" s="276">
        <v>8.23</v>
      </c>
      <c r="AO170" s="276">
        <v>8.23</v>
      </c>
      <c r="AP170" s="276">
        <v>8.23</v>
      </c>
    </row>
    <row r="171" spans="1:45" ht="15.75">
      <c r="C171" s="3"/>
      <c r="D171" s="3"/>
      <c r="E171" s="3"/>
      <c r="F171" s="3"/>
      <c r="G171" s="3"/>
      <c r="H171" s="3"/>
      <c r="I171" s="3"/>
      <c r="J171" s="3" t="s">
        <v>943</v>
      </c>
      <c r="K171" s="3" t="s">
        <v>1540</v>
      </c>
      <c r="L171" s="226" t="s">
        <v>1320</v>
      </c>
      <c r="M171" s="226" t="s">
        <v>1324</v>
      </c>
      <c r="O171" s="263" t="str">
        <f t="shared" si="68"/>
        <v>184/21:41</v>
      </c>
      <c r="P171" s="179" t="str">
        <f t="shared" si="69"/>
        <v>184_2</v>
      </c>
      <c r="Q171" s="237">
        <f t="shared" si="70"/>
        <v>596666308.46658063</v>
      </c>
      <c r="R171" s="104">
        <f t="shared" si="66"/>
        <v>597034618.8125335</v>
      </c>
      <c r="S171" s="104">
        <f t="shared" si="61"/>
        <v>368310.34595286846</v>
      </c>
      <c r="T171" s="104">
        <f t="shared" si="67"/>
        <v>1361249.9999998643</v>
      </c>
      <c r="U171" s="3">
        <v>0</v>
      </c>
      <c r="V171" s="97">
        <f t="shared" si="62"/>
        <v>1361249.9999998643</v>
      </c>
      <c r="W171" s="97">
        <f t="shared" si="71"/>
        <v>1361250</v>
      </c>
      <c r="X171" s="266">
        <f t="shared" si="63"/>
        <v>1.3574026525020599E-7</v>
      </c>
      <c r="Y171" s="266"/>
      <c r="Z171" s="266"/>
      <c r="AA171" s="256">
        <f t="shared" si="72"/>
        <v>10.89</v>
      </c>
      <c r="AB171" s="229"/>
      <c r="AC171" s="308">
        <f t="shared" si="73"/>
        <v>22.541436890764054</v>
      </c>
      <c r="AD171" s="277"/>
      <c r="AE171" s="277"/>
      <c r="AF171" s="277"/>
      <c r="AG171" s="277"/>
      <c r="AH171" s="178" t="str">
        <f t="shared" si="74"/>
        <v>TRK_184_2</v>
      </c>
      <c r="AI171" s="192" t="s">
        <v>1325</v>
      </c>
      <c r="AJ171" s="232">
        <f t="shared" si="64"/>
        <v>1.0859221220016479E-12</v>
      </c>
      <c r="AK171" s="232">
        <f t="shared" si="65"/>
        <v>10.889999999998913</v>
      </c>
      <c r="AL171" s="276" t="s">
        <v>1326</v>
      </c>
      <c r="AM171" s="276" t="s">
        <v>1327</v>
      </c>
      <c r="AN171" s="276">
        <v>9.9</v>
      </c>
      <c r="AO171" s="276">
        <v>9.9</v>
      </c>
      <c r="AP171" s="276">
        <v>9.9</v>
      </c>
    </row>
    <row r="172" spans="1:45" ht="15.75">
      <c r="C172" s="3"/>
      <c r="D172" s="3"/>
      <c r="E172" s="3"/>
      <c r="F172" s="3"/>
      <c r="G172" s="3"/>
      <c r="H172" s="3"/>
      <c r="I172" s="3"/>
      <c r="J172" s="3" t="s">
        <v>943</v>
      </c>
      <c r="K172" s="3" t="s">
        <v>1540</v>
      </c>
      <c r="L172" s="226" t="s">
        <v>1324</v>
      </c>
      <c r="M172" s="226" t="s">
        <v>1328</v>
      </c>
      <c r="O172" s="263" t="str">
        <f t="shared" si="68"/>
        <v>185/16:36</v>
      </c>
      <c r="P172" s="179" t="str">
        <f t="shared" si="69"/>
        <v>185_1</v>
      </c>
      <c r="Q172" s="237">
        <f t="shared" si="70"/>
        <v>597034615.8125335</v>
      </c>
      <c r="R172" s="104">
        <f t="shared" si="66"/>
        <v>597147341.10023427</v>
      </c>
      <c r="S172" s="104">
        <f t="shared" si="61"/>
        <v>112725.28770077229</v>
      </c>
      <c r="T172" s="104">
        <f t="shared" si="67"/>
        <v>416625.00000012806</v>
      </c>
      <c r="U172" s="3">
        <v>0</v>
      </c>
      <c r="V172" s="97">
        <f t="shared" si="62"/>
        <v>416625.00000012806</v>
      </c>
      <c r="W172" s="97">
        <f t="shared" si="71"/>
        <v>416625</v>
      </c>
      <c r="X172" s="266">
        <f t="shared" si="63"/>
        <v>-1.280568540096283E-7</v>
      </c>
      <c r="Y172" s="266"/>
      <c r="Z172" s="266"/>
      <c r="AA172" s="256">
        <f t="shared" si="72"/>
        <v>3.3330000000000002</v>
      </c>
      <c r="AB172" s="229"/>
      <c r="AC172" s="308">
        <f t="shared" si="73"/>
        <v>25.874436890765079</v>
      </c>
      <c r="AD172" s="277"/>
      <c r="AE172" s="277"/>
      <c r="AF172" s="277"/>
      <c r="AG172" s="277"/>
      <c r="AH172" s="178" t="str">
        <f t="shared" si="74"/>
        <v>TRK_185_1</v>
      </c>
      <c r="AI172" s="192" t="s">
        <v>1329</v>
      </c>
      <c r="AJ172" s="232">
        <f t="shared" si="64"/>
        <v>-1.0244548320770264E-12</v>
      </c>
      <c r="AK172" s="232">
        <f t="shared" si="65"/>
        <v>3.3330000000010243</v>
      </c>
      <c r="AL172" s="276" t="s">
        <v>1330</v>
      </c>
      <c r="AM172" s="276" t="s">
        <v>1331</v>
      </c>
      <c r="AN172" s="276">
        <v>3.03</v>
      </c>
      <c r="AO172" s="276">
        <v>3.03</v>
      </c>
      <c r="AP172" s="276">
        <v>3.03</v>
      </c>
    </row>
    <row r="173" spans="1:45" ht="15.75">
      <c r="C173" s="3"/>
      <c r="D173" s="3"/>
      <c r="E173" s="3"/>
      <c r="F173" s="3"/>
      <c r="G173" s="3"/>
      <c r="H173" s="3"/>
      <c r="I173" s="3"/>
      <c r="J173" s="3" t="s">
        <v>943</v>
      </c>
      <c r="K173" s="3" t="s">
        <v>1540</v>
      </c>
      <c r="L173" s="226" t="s">
        <v>1328</v>
      </c>
      <c r="M173" s="226" t="s">
        <v>1332</v>
      </c>
      <c r="O173" s="263" t="str">
        <f t="shared" si="68"/>
        <v>186/16:36</v>
      </c>
      <c r="P173" s="179" t="str">
        <f t="shared" si="69"/>
        <v>186_1</v>
      </c>
      <c r="Q173" s="237">
        <f t="shared" si="70"/>
        <v>597147338.10023427</v>
      </c>
      <c r="R173" s="104">
        <f t="shared" si="66"/>
        <v>597267131.97033203</v>
      </c>
      <c r="S173" s="104">
        <f t="shared" si="61"/>
        <v>119793.87009775639</v>
      </c>
      <c r="T173" s="104">
        <f t="shared" si="67"/>
        <v>442749.99999978853</v>
      </c>
      <c r="U173" s="3">
        <v>0</v>
      </c>
      <c r="V173" s="97">
        <f t="shared" si="62"/>
        <v>442749.99999978853</v>
      </c>
      <c r="W173" s="97">
        <f t="shared" si="71"/>
        <v>442750.00000000012</v>
      </c>
      <c r="X173" s="266">
        <f t="shared" si="63"/>
        <v>2.1158484742045403E-7</v>
      </c>
      <c r="Y173" s="266"/>
      <c r="Z173" s="266"/>
      <c r="AA173" s="256">
        <f t="shared" si="72"/>
        <v>3.5420000000000007</v>
      </c>
      <c r="AB173" s="229"/>
      <c r="AC173" s="308">
        <f t="shared" si="73"/>
        <v>29.416436890763386</v>
      </c>
      <c r="AD173" s="277"/>
      <c r="AE173" s="277"/>
      <c r="AF173" s="277"/>
      <c r="AG173" s="277"/>
      <c r="AH173" s="178" t="str">
        <f t="shared" si="74"/>
        <v>TRK_186_1</v>
      </c>
      <c r="AI173" s="192" t="s">
        <v>1333</v>
      </c>
      <c r="AJ173" s="232">
        <f t="shared" si="64"/>
        <v>1.6926787793636323E-12</v>
      </c>
      <c r="AK173" s="232">
        <f t="shared" si="65"/>
        <v>3.5419999999983083</v>
      </c>
      <c r="AL173" s="276" t="s">
        <v>1334</v>
      </c>
      <c r="AM173" s="276" t="s">
        <v>1335</v>
      </c>
      <c r="AN173" s="276">
        <v>3.22</v>
      </c>
      <c r="AO173" s="276">
        <v>3.22</v>
      </c>
      <c r="AP173" s="276">
        <v>3.22</v>
      </c>
    </row>
    <row r="174" spans="1:45" ht="15.75">
      <c r="C174" s="3"/>
      <c r="D174" s="3"/>
      <c r="E174" s="3"/>
      <c r="F174" s="3"/>
      <c r="G174" s="3"/>
      <c r="H174" s="3"/>
      <c r="I174" s="3"/>
      <c r="J174" s="3" t="s">
        <v>943</v>
      </c>
      <c r="K174" s="3" t="s">
        <v>1540</v>
      </c>
      <c r="L174" s="226" t="s">
        <v>1332</v>
      </c>
      <c r="M174" s="226" t="s">
        <v>1336</v>
      </c>
      <c r="O174" s="263" t="str">
        <f t="shared" si="68"/>
        <v>186/22:56</v>
      </c>
      <c r="P174" s="179" t="str">
        <f t="shared" si="69"/>
        <v>186_2</v>
      </c>
      <c r="Q174" s="237">
        <f t="shared" si="70"/>
        <v>597267128.97033203</v>
      </c>
      <c r="R174" s="104">
        <f t="shared" si="66"/>
        <v>597572938.16666865</v>
      </c>
      <c r="S174" s="104">
        <f t="shared" si="61"/>
        <v>305809.19633662701</v>
      </c>
      <c r="T174" s="104">
        <f t="shared" si="67"/>
        <v>1130249.999999898</v>
      </c>
      <c r="U174" s="3">
        <v>0</v>
      </c>
      <c r="V174" s="97">
        <f t="shared" si="62"/>
        <v>1130249.999999898</v>
      </c>
      <c r="W174" s="97">
        <f t="shared" si="71"/>
        <v>1130250.0000000002</v>
      </c>
      <c r="X174" s="266">
        <f t="shared" si="63"/>
        <v>1.0221265256404877E-7</v>
      </c>
      <c r="Y174" s="266"/>
      <c r="Z174" s="266"/>
      <c r="AA174" s="256">
        <f t="shared" si="72"/>
        <v>9.0420000000000016</v>
      </c>
      <c r="AB174" s="229"/>
      <c r="AC174" s="308">
        <f t="shared" si="73"/>
        <v>38.45843689076257</v>
      </c>
      <c r="AD174" s="277"/>
      <c r="AE174" s="277"/>
      <c r="AF174" s="277"/>
      <c r="AG174" s="277"/>
      <c r="AH174" s="178" t="str">
        <f t="shared" si="74"/>
        <v>TRK_186_2</v>
      </c>
      <c r="AI174" s="192" t="s">
        <v>1337</v>
      </c>
      <c r="AJ174" s="232">
        <f t="shared" si="64"/>
        <v>8.1770122051239012E-13</v>
      </c>
      <c r="AK174" s="232">
        <f t="shared" si="65"/>
        <v>9.0419999999991845</v>
      </c>
      <c r="AL174" s="276" t="s">
        <v>1338</v>
      </c>
      <c r="AM174" s="276" t="s">
        <v>1339</v>
      </c>
      <c r="AN174" s="276">
        <v>8.2200000000000006</v>
      </c>
      <c r="AO174" s="276">
        <v>8.2200000000000006</v>
      </c>
      <c r="AP174" s="276">
        <v>8.2200000000000006</v>
      </c>
    </row>
    <row r="175" spans="1:45" ht="15.75">
      <c r="C175" s="3"/>
      <c r="D175" s="3"/>
      <c r="E175" s="3"/>
      <c r="F175" s="3"/>
      <c r="G175" s="3"/>
      <c r="H175" s="3"/>
      <c r="I175" s="3"/>
      <c r="J175" s="3" t="s">
        <v>943</v>
      </c>
      <c r="K175" s="3" t="s">
        <v>1540</v>
      </c>
      <c r="L175" s="226" t="s">
        <v>1336</v>
      </c>
      <c r="M175" s="226" t="s">
        <v>1340</v>
      </c>
      <c r="O175" s="263" t="str">
        <f t="shared" si="68"/>
        <v>187/13:21</v>
      </c>
      <c r="P175" s="179" t="str">
        <f t="shared" si="69"/>
        <v>187_1</v>
      </c>
      <c r="Q175" s="237">
        <f t="shared" si="70"/>
        <v>597572935.16666865</v>
      </c>
      <c r="R175" s="104">
        <f t="shared" si="66"/>
        <v>597943849.72718894</v>
      </c>
      <c r="S175" s="104">
        <f t="shared" si="61"/>
        <v>370914.56052029133</v>
      </c>
      <c r="T175" s="104">
        <f t="shared" si="67"/>
        <v>1370875.0000001567</v>
      </c>
      <c r="U175" s="3">
        <v>0</v>
      </c>
      <c r="V175" s="97">
        <f t="shared" si="62"/>
        <v>1370875.0000001567</v>
      </c>
      <c r="W175" s="97">
        <f t="shared" si="71"/>
        <v>1370875.0000000002</v>
      </c>
      <c r="X175" s="266">
        <f t="shared" si="63"/>
        <v>-1.5646219253540039E-7</v>
      </c>
      <c r="Y175" s="266"/>
      <c r="Z175" s="266"/>
      <c r="AA175" s="256">
        <f t="shared" si="72"/>
        <v>10.967000000000002</v>
      </c>
      <c r="AB175" s="229"/>
      <c r="AC175" s="308">
        <f t="shared" si="73"/>
        <v>49.42543689076382</v>
      </c>
      <c r="AD175" s="277"/>
      <c r="AE175" s="277"/>
      <c r="AF175" s="277"/>
      <c r="AG175" s="277"/>
      <c r="AH175" s="178" t="str">
        <f t="shared" si="74"/>
        <v>TRK_187_1</v>
      </c>
      <c r="AI175" s="192" t="s">
        <v>1341</v>
      </c>
      <c r="AJ175" s="232">
        <f t="shared" si="64"/>
        <v>-1.2516975402832031E-12</v>
      </c>
      <c r="AK175" s="232">
        <f t="shared" si="65"/>
        <v>10.967000000001253</v>
      </c>
      <c r="AL175" s="276" t="s">
        <v>1342</v>
      </c>
      <c r="AM175" s="276" t="s">
        <v>1343</v>
      </c>
      <c r="AN175" s="276">
        <v>9.9700000000000006</v>
      </c>
      <c r="AO175" s="276">
        <v>9.9700000000000006</v>
      </c>
      <c r="AP175" s="276">
        <v>9.9700000000000006</v>
      </c>
    </row>
    <row r="176" spans="1:45" ht="15.75">
      <c r="C176" s="3"/>
      <c r="D176" s="3"/>
      <c r="E176" s="3"/>
      <c r="F176" s="3"/>
      <c r="G176" s="3"/>
      <c r="H176" s="3"/>
      <c r="I176" s="3"/>
      <c r="J176" s="3" t="s">
        <v>943</v>
      </c>
      <c r="K176" s="3" t="s">
        <v>1540</v>
      </c>
      <c r="L176" s="226" t="s">
        <v>1340</v>
      </c>
      <c r="M176" s="226" t="s">
        <v>1344</v>
      </c>
      <c r="O176" s="263" t="str">
        <f t="shared" si="68"/>
        <v>189/12:16</v>
      </c>
      <c r="P176" s="179" t="str">
        <f t="shared" si="69"/>
        <v>189_1</v>
      </c>
      <c r="Q176" s="237">
        <f t="shared" si="70"/>
        <v>597943846.72718894</v>
      </c>
      <c r="R176" s="104">
        <f t="shared" si="66"/>
        <v>598228822.2069869</v>
      </c>
      <c r="S176" s="104">
        <f t="shared" si="61"/>
        <v>284975.47979795933</v>
      </c>
      <c r="T176" s="104">
        <f t="shared" si="67"/>
        <v>1053250.000000203</v>
      </c>
      <c r="U176" s="3">
        <v>0</v>
      </c>
      <c r="V176" s="97">
        <f t="shared" si="62"/>
        <v>1053250.000000203</v>
      </c>
      <c r="W176" s="97">
        <f t="shared" si="71"/>
        <v>1053250</v>
      </c>
      <c r="X176" s="266">
        <f t="shared" si="63"/>
        <v>-2.0302832126617432E-7</v>
      </c>
      <c r="Y176" s="266"/>
      <c r="Z176" s="266"/>
      <c r="AA176" s="256">
        <f t="shared" si="72"/>
        <v>8.4260000000000002</v>
      </c>
      <c r="AB176" s="229"/>
      <c r="AC176" s="308">
        <f t="shared" si="73"/>
        <v>57.851436890765441</v>
      </c>
      <c r="AD176" s="277"/>
      <c r="AE176" s="277"/>
      <c r="AF176" s="277"/>
      <c r="AG176" s="277"/>
      <c r="AH176" s="178" t="str">
        <f t="shared" si="74"/>
        <v>TRK_189_1</v>
      </c>
      <c r="AI176" s="192" t="s">
        <v>1345</v>
      </c>
      <c r="AJ176" s="232">
        <f t="shared" si="64"/>
        <v>-1.6242265701293946E-12</v>
      </c>
      <c r="AK176" s="232">
        <f t="shared" si="65"/>
        <v>8.4260000000016237</v>
      </c>
      <c r="AL176" s="276" t="s">
        <v>1346</v>
      </c>
      <c r="AM176" s="276" t="s">
        <v>1347</v>
      </c>
      <c r="AN176" s="276">
        <v>7.66</v>
      </c>
      <c r="AO176" s="276">
        <v>7.66</v>
      </c>
      <c r="AP176" s="276">
        <v>7.66</v>
      </c>
    </row>
    <row r="177" spans="1:42" ht="15.75">
      <c r="C177" s="3"/>
      <c r="D177" s="3"/>
      <c r="E177" s="3"/>
      <c r="F177" s="3"/>
      <c r="G177" s="3"/>
      <c r="H177" s="3"/>
      <c r="I177" s="3"/>
      <c r="J177" s="3" t="s">
        <v>943</v>
      </c>
      <c r="K177" s="3" t="s">
        <v>1540</v>
      </c>
      <c r="L177" s="226" t="s">
        <v>4376</v>
      </c>
      <c r="M177" s="226" t="s">
        <v>1348</v>
      </c>
      <c r="O177" s="263" t="str">
        <f t="shared" si="68"/>
        <v>190/20:06</v>
      </c>
      <c r="P177" s="179" t="str">
        <f t="shared" si="69"/>
        <v>190_1</v>
      </c>
      <c r="Q177" s="237">
        <f t="shared" si="70"/>
        <v>598228819.2069869</v>
      </c>
      <c r="R177" s="104">
        <f t="shared" si="66"/>
        <v>598699065.95171869</v>
      </c>
      <c r="S177" s="104">
        <f t="shared" si="61"/>
        <v>470246.74473178387</v>
      </c>
      <c r="T177" s="104">
        <f t="shared" si="67"/>
        <v>1737999.9999999772</v>
      </c>
      <c r="U177" s="3">
        <v>0</v>
      </c>
      <c r="V177" s="97">
        <f t="shared" si="62"/>
        <v>1737999.9999999772</v>
      </c>
      <c r="W177" s="97">
        <f t="shared" si="71"/>
        <v>1738000.0000000002</v>
      </c>
      <c r="X177" s="266">
        <f t="shared" si="63"/>
        <v>2.3050233721733093E-8</v>
      </c>
      <c r="Y177" s="266"/>
      <c r="Z177" s="266"/>
      <c r="AA177" s="256">
        <f t="shared" si="72"/>
        <v>13.904000000000002</v>
      </c>
      <c r="AB177" s="229"/>
      <c r="AC177" s="308">
        <f t="shared" si="73"/>
        <v>71.755436890765253</v>
      </c>
      <c r="AD177" s="277"/>
      <c r="AE177" s="277"/>
      <c r="AF177" s="277"/>
      <c r="AG177" s="277"/>
      <c r="AH177" s="178" t="str">
        <f t="shared" si="74"/>
        <v>TRK_190_1</v>
      </c>
      <c r="AI177" s="192" t="s">
        <v>1349</v>
      </c>
      <c r="AJ177" s="232">
        <f t="shared" si="64"/>
        <v>1.8440186977386473E-13</v>
      </c>
      <c r="AK177" s="232">
        <f t="shared" si="65"/>
        <v>13.903999999999817</v>
      </c>
      <c r="AL177" s="276" t="s">
        <v>1350</v>
      </c>
      <c r="AM177" s="276" t="s">
        <v>1351</v>
      </c>
      <c r="AN177" s="276">
        <v>12.64</v>
      </c>
      <c r="AO177" s="276">
        <v>12.64</v>
      </c>
      <c r="AP177" s="276">
        <v>12.64</v>
      </c>
    </row>
    <row r="178" spans="1:42" ht="15.75">
      <c r="C178" s="3"/>
      <c r="D178" s="3"/>
      <c r="E178" s="3"/>
      <c r="F178" s="3"/>
      <c r="G178" s="3"/>
      <c r="H178" s="3"/>
      <c r="I178" s="3"/>
      <c r="J178" s="3" t="s">
        <v>943</v>
      </c>
      <c r="K178" s="3" t="s">
        <v>1540</v>
      </c>
      <c r="L178" s="226" t="s">
        <v>1348</v>
      </c>
      <c r="M178" s="226" t="s">
        <v>1352</v>
      </c>
      <c r="O178" s="263" t="str">
        <f t="shared" si="68"/>
        <v>191/12:11</v>
      </c>
      <c r="P178" s="179" t="str">
        <f t="shared" si="69"/>
        <v>191_1</v>
      </c>
      <c r="Q178" s="237">
        <f t="shared" si="70"/>
        <v>598699062.95171869</v>
      </c>
      <c r="R178" s="104">
        <f t="shared" si="66"/>
        <v>599169681.72710299</v>
      </c>
      <c r="S178" s="104">
        <f t="shared" si="61"/>
        <v>470618.77538430691</v>
      </c>
      <c r="T178" s="104">
        <f t="shared" si="67"/>
        <v>1739375.0000001448</v>
      </c>
      <c r="U178" s="3">
        <v>0</v>
      </c>
      <c r="V178" s="97">
        <f t="shared" si="62"/>
        <v>1739375.0000001448</v>
      </c>
      <c r="W178" s="97">
        <f t="shared" si="71"/>
        <v>1739375</v>
      </c>
      <c r="X178" s="266">
        <f t="shared" si="63"/>
        <v>-1.4482066035270691E-7</v>
      </c>
      <c r="Y178" s="266"/>
      <c r="Z178" s="266"/>
      <c r="AA178" s="256">
        <f t="shared" si="72"/>
        <v>13.915000000000001</v>
      </c>
      <c r="AB178" s="229"/>
      <c r="AC178" s="308">
        <f t="shared" si="73"/>
        <v>85.67043689076641</v>
      </c>
      <c r="AD178" s="277"/>
      <c r="AE178" s="277"/>
      <c r="AF178" s="277"/>
      <c r="AG178" s="277"/>
      <c r="AH178" s="178" t="str">
        <f t="shared" si="74"/>
        <v>TRK_191_1</v>
      </c>
      <c r="AI178" s="192" t="s">
        <v>1353</v>
      </c>
      <c r="AJ178" s="232">
        <f t="shared" si="64"/>
        <v>-1.1585652828216554E-12</v>
      </c>
      <c r="AK178" s="232">
        <f t="shared" si="65"/>
        <v>13.915000000001159</v>
      </c>
      <c r="AL178" s="276" t="s">
        <v>1354</v>
      </c>
      <c r="AM178" s="276" t="s">
        <v>1355</v>
      </c>
      <c r="AN178" s="276">
        <v>12.65</v>
      </c>
      <c r="AO178" s="276">
        <v>12.65</v>
      </c>
      <c r="AP178" s="276">
        <v>12.65</v>
      </c>
    </row>
    <row r="179" spans="1:42" ht="15.75">
      <c r="C179" s="3"/>
      <c r="D179" s="3"/>
      <c r="E179" s="3"/>
      <c r="F179" s="3"/>
      <c r="G179" s="3"/>
      <c r="H179" s="3"/>
      <c r="I179" s="3"/>
      <c r="J179" s="3" t="s">
        <v>943</v>
      </c>
      <c r="K179" s="3" t="s">
        <v>1540</v>
      </c>
      <c r="L179" s="226" t="s">
        <v>1352</v>
      </c>
      <c r="M179" s="226" t="s">
        <v>1356</v>
      </c>
      <c r="O179" s="263" t="str">
        <f t="shared" si="68"/>
        <v>192/12:06</v>
      </c>
      <c r="P179" s="179" t="str">
        <f t="shared" si="69"/>
        <v>192_2</v>
      </c>
      <c r="Q179" s="237">
        <f t="shared" si="70"/>
        <v>599169678.72710299</v>
      </c>
      <c r="R179" s="104">
        <f t="shared" si="66"/>
        <v>599478464.16865945</v>
      </c>
      <c r="S179" s="104">
        <f t="shared" si="61"/>
        <v>308785.4415564537</v>
      </c>
      <c r="T179" s="104">
        <f t="shared" si="67"/>
        <v>1141249.9999999173</v>
      </c>
      <c r="U179" s="3">
        <v>0</v>
      </c>
      <c r="V179" s="97">
        <f t="shared" si="62"/>
        <v>1141249.9999999173</v>
      </c>
      <c r="W179" s="97">
        <f t="shared" si="71"/>
        <v>1141250</v>
      </c>
      <c r="X179" s="266">
        <f t="shared" si="63"/>
        <v>8.2654878497123718E-8</v>
      </c>
      <c r="Y179" s="266"/>
      <c r="Z179" s="266"/>
      <c r="AA179" s="256">
        <f t="shared" si="72"/>
        <v>9.1300000000000008</v>
      </c>
      <c r="AB179" s="229"/>
      <c r="AC179" s="308">
        <f t="shared" si="73"/>
        <v>94.800436890765752</v>
      </c>
      <c r="AD179" s="277"/>
      <c r="AE179" s="277"/>
      <c r="AF179" s="277"/>
      <c r="AG179" s="277"/>
      <c r="AH179" s="178" t="str">
        <f t="shared" si="74"/>
        <v>TRK_192_2</v>
      </c>
      <c r="AI179" s="192" t="s">
        <v>1357</v>
      </c>
      <c r="AJ179" s="232">
        <f t="shared" si="64"/>
        <v>6.6123902797698976E-13</v>
      </c>
      <c r="AK179" s="232">
        <f t="shared" si="65"/>
        <v>9.1299999999993382</v>
      </c>
      <c r="AL179" s="276" t="s">
        <v>1358</v>
      </c>
      <c r="AM179" s="276" t="s">
        <v>1359</v>
      </c>
      <c r="AN179" s="276">
        <v>8.3000000000000007</v>
      </c>
      <c r="AO179" s="276">
        <v>8.3000000000000007</v>
      </c>
      <c r="AP179" s="276">
        <v>8.3000000000000007</v>
      </c>
    </row>
    <row r="180" spans="1:42" ht="15.75">
      <c r="C180" s="3"/>
      <c r="D180" s="3"/>
      <c r="E180" s="3"/>
      <c r="F180" s="3"/>
      <c r="G180" s="3"/>
      <c r="H180" s="3"/>
      <c r="I180" s="3"/>
      <c r="J180" s="3" t="s">
        <v>943</v>
      </c>
      <c r="K180" s="3" t="s">
        <v>1540</v>
      </c>
      <c r="L180" s="226" t="s">
        <v>1356</v>
      </c>
      <c r="M180" s="226" t="s">
        <v>1360</v>
      </c>
      <c r="O180" s="263" t="str">
        <f t="shared" si="68"/>
        <v>193/13:50</v>
      </c>
      <c r="P180" s="179" t="str">
        <f t="shared" si="69"/>
        <v>193_1</v>
      </c>
      <c r="Q180" s="237">
        <f t="shared" si="70"/>
        <v>599478461.16865945</v>
      </c>
      <c r="R180" s="104">
        <f t="shared" si="66"/>
        <v>600150720.55768657</v>
      </c>
      <c r="S180" s="104">
        <f t="shared" si="61"/>
        <v>672259.38902711868</v>
      </c>
      <c r="T180" s="104">
        <f t="shared" si="67"/>
        <v>2484624.9999998054</v>
      </c>
      <c r="U180" s="3">
        <v>0</v>
      </c>
      <c r="V180" s="97">
        <f t="shared" si="62"/>
        <v>2484624.9999998054</v>
      </c>
      <c r="W180" s="97">
        <f t="shared" si="71"/>
        <v>2484625.0000000005</v>
      </c>
      <c r="X180" s="266">
        <f t="shared" si="63"/>
        <v>1.9511207938194275E-7</v>
      </c>
      <c r="Y180" s="266"/>
      <c r="Z180" s="266"/>
      <c r="AA180" s="256">
        <f t="shared" si="72"/>
        <v>19.877000000000002</v>
      </c>
      <c r="AB180" s="229"/>
      <c r="AC180" s="308">
        <f t="shared" si="73"/>
        <v>114.6774368907642</v>
      </c>
      <c r="AD180" s="277"/>
      <c r="AE180" s="277"/>
      <c r="AF180" s="277"/>
      <c r="AG180" s="277"/>
      <c r="AH180" s="178" t="str">
        <f t="shared" si="74"/>
        <v>TRK_193_1</v>
      </c>
      <c r="AI180" s="192" t="s">
        <v>1361</v>
      </c>
      <c r="AJ180" s="232">
        <f t="shared" si="64"/>
        <v>1.560896635055542E-12</v>
      </c>
      <c r="AK180" s="232">
        <f t="shared" si="65"/>
        <v>19.876999999998443</v>
      </c>
      <c r="AL180" s="276" t="s">
        <v>1362</v>
      </c>
      <c r="AM180" s="276" t="s">
        <v>1363</v>
      </c>
      <c r="AN180" s="276">
        <v>18.07</v>
      </c>
      <c r="AO180" s="276">
        <v>18.07</v>
      </c>
      <c r="AP180" s="276">
        <v>18.07</v>
      </c>
    </row>
    <row r="181" spans="1:42" ht="15.75">
      <c r="C181" s="3"/>
      <c r="D181" s="3"/>
      <c r="E181" s="3"/>
      <c r="F181" s="3"/>
      <c r="G181" s="3"/>
      <c r="H181" s="3"/>
      <c r="I181" s="3"/>
      <c r="J181" s="3" t="s">
        <v>943</v>
      </c>
      <c r="K181" s="3" t="s">
        <v>1540</v>
      </c>
      <c r="L181" s="226" t="s">
        <v>1360</v>
      </c>
      <c r="M181" s="226" t="s">
        <v>1364</v>
      </c>
      <c r="O181" s="263" t="str">
        <f t="shared" si="68"/>
        <v>194/16:20</v>
      </c>
      <c r="P181" s="179" t="str">
        <f t="shared" si="69"/>
        <v>194_2</v>
      </c>
      <c r="Q181" s="237">
        <f t="shared" si="70"/>
        <v>600150717.55768657</v>
      </c>
      <c r="R181" s="104">
        <f t="shared" si="66"/>
        <v>600221403.38165736</v>
      </c>
      <c r="S181" s="104">
        <f t="shared" si="61"/>
        <v>70685.823970794678</v>
      </c>
      <c r="T181" s="104">
        <f t="shared" si="67"/>
        <v>261250.00000012974</v>
      </c>
      <c r="U181" s="3">
        <v>0</v>
      </c>
      <c r="V181" s="97">
        <f t="shared" si="62"/>
        <v>261250.00000012974</v>
      </c>
      <c r="W181" s="97">
        <f t="shared" si="71"/>
        <v>261249.99999999997</v>
      </c>
      <c r="X181" s="266">
        <f t="shared" si="63"/>
        <v>-1.2977398000657558E-7</v>
      </c>
      <c r="Y181" s="266"/>
      <c r="Z181" s="266"/>
      <c r="AA181" s="256">
        <f t="shared" si="72"/>
        <v>2.09</v>
      </c>
      <c r="AB181" s="229"/>
      <c r="AC181" s="308">
        <f t="shared" si="73"/>
        <v>116.76743689076524</v>
      </c>
      <c r="AD181" s="277"/>
      <c r="AE181" s="277"/>
      <c r="AF181" s="277"/>
      <c r="AG181" s="277"/>
      <c r="AH181" s="178" t="str">
        <f t="shared" si="74"/>
        <v>TRK_194_2</v>
      </c>
      <c r="AI181" s="192" t="s">
        <v>1365</v>
      </c>
      <c r="AJ181" s="232">
        <f t="shared" si="64"/>
        <v>-1.0381918400526047E-12</v>
      </c>
      <c r="AK181" s="232">
        <f t="shared" si="65"/>
        <v>2.0900000000010381</v>
      </c>
      <c r="AL181" s="276" t="s">
        <v>1366</v>
      </c>
      <c r="AM181" s="276" t="s">
        <v>1367</v>
      </c>
      <c r="AN181" s="276">
        <v>1.9</v>
      </c>
      <c r="AO181" s="276">
        <v>1.9</v>
      </c>
      <c r="AP181" s="276">
        <v>1.9</v>
      </c>
    </row>
    <row r="182" spans="1:42" ht="15.75">
      <c r="C182" s="3"/>
      <c r="D182" s="3"/>
      <c r="E182" s="3"/>
      <c r="F182" s="3"/>
      <c r="G182" s="3"/>
      <c r="H182" s="3"/>
      <c r="I182" s="3"/>
      <c r="J182" s="3" t="s">
        <v>943</v>
      </c>
      <c r="K182" s="3" t="s">
        <v>1540</v>
      </c>
      <c r="L182" s="226" t="s">
        <v>1364</v>
      </c>
      <c r="M182" s="226" t="s">
        <v>1368</v>
      </c>
      <c r="O182" s="263" t="str">
        <f t="shared" si="68"/>
        <v>194/22:50</v>
      </c>
      <c r="P182" s="179" t="str">
        <f t="shared" si="69"/>
        <v>194_3</v>
      </c>
      <c r="Q182" s="237">
        <f t="shared" si="70"/>
        <v>600221400.38165736</v>
      </c>
      <c r="R182" s="104">
        <f t="shared" si="66"/>
        <v>600487402.29817891</v>
      </c>
      <c r="S182" s="104">
        <f t="shared" si="61"/>
        <v>266001.91652154922</v>
      </c>
      <c r="T182" s="104">
        <f t="shared" si="67"/>
        <v>983125.00000002445</v>
      </c>
      <c r="U182" s="3">
        <v>0</v>
      </c>
      <c r="V182" s="97">
        <f t="shared" si="62"/>
        <v>983125.00000002445</v>
      </c>
      <c r="W182" s="97">
        <f t="shared" si="71"/>
        <v>983125.00000000012</v>
      </c>
      <c r="X182" s="266">
        <f t="shared" si="63"/>
        <v>-2.4330802261829376E-8</v>
      </c>
      <c r="Y182" s="266"/>
      <c r="Z182" s="266"/>
      <c r="AA182" s="256">
        <f t="shared" si="72"/>
        <v>7.8650000000000011</v>
      </c>
      <c r="AB182" s="229"/>
      <c r="AC182" s="308">
        <f t="shared" si="73"/>
        <v>124.63243689076543</v>
      </c>
      <c r="AD182" s="277"/>
      <c r="AE182" s="277"/>
      <c r="AF182" s="277"/>
      <c r="AG182" s="277"/>
      <c r="AH182" s="178" t="str">
        <f t="shared" si="74"/>
        <v>TRK_194_3</v>
      </c>
      <c r="AI182" s="192" t="s">
        <v>1369</v>
      </c>
      <c r="AJ182" s="232">
        <f t="shared" si="64"/>
        <v>-1.9464641809463502E-13</v>
      </c>
      <c r="AK182" s="232">
        <f t="shared" si="65"/>
        <v>7.8650000000001956</v>
      </c>
      <c r="AL182" s="276" t="s">
        <v>1370</v>
      </c>
      <c r="AM182" s="276" t="s">
        <v>1371</v>
      </c>
      <c r="AN182" s="276">
        <v>7.15</v>
      </c>
      <c r="AO182" s="276">
        <v>7.15</v>
      </c>
      <c r="AP182" s="276">
        <v>7.15</v>
      </c>
    </row>
    <row r="183" spans="1:42" ht="15.75">
      <c r="C183" s="3"/>
      <c r="D183" s="3"/>
      <c r="E183" s="3"/>
      <c r="F183" s="3"/>
      <c r="G183" s="3"/>
      <c r="H183" s="3"/>
      <c r="I183" s="3"/>
      <c r="J183" s="3" t="s">
        <v>943</v>
      </c>
      <c r="K183" s="3" t="s">
        <v>1540</v>
      </c>
      <c r="L183" s="226" t="s">
        <v>1368</v>
      </c>
      <c r="M183" s="226" t="s">
        <v>1372</v>
      </c>
      <c r="O183" s="263" t="str">
        <f t="shared" si="68"/>
        <v>195/15:30</v>
      </c>
      <c r="P183" s="179" t="str">
        <f t="shared" si="69"/>
        <v>195_1</v>
      </c>
      <c r="Q183" s="237">
        <f t="shared" si="70"/>
        <v>600487399.29817891</v>
      </c>
      <c r="R183" s="104">
        <f t="shared" si="66"/>
        <v>600627654.85416305</v>
      </c>
      <c r="S183" s="104">
        <f t="shared" si="61"/>
        <v>140255.55598413944</v>
      </c>
      <c r="T183" s="104">
        <f t="shared" si="67"/>
        <v>518375.00000019715</v>
      </c>
      <c r="U183" s="3">
        <v>0</v>
      </c>
      <c r="V183" s="97">
        <f t="shared" si="62"/>
        <v>518375.00000019715</v>
      </c>
      <c r="W183" s="97">
        <f t="shared" si="71"/>
        <v>518375.00000000006</v>
      </c>
      <c r="X183" s="266">
        <f t="shared" si="63"/>
        <v>-1.9709113985300064E-7</v>
      </c>
      <c r="Y183" s="266"/>
      <c r="Z183" s="266"/>
      <c r="AA183" s="256">
        <f t="shared" si="72"/>
        <v>4.1470000000000002</v>
      </c>
      <c r="AB183" s="229"/>
      <c r="AC183" s="308">
        <f t="shared" si="73"/>
        <v>128.77943689076702</v>
      </c>
      <c r="AD183" s="277"/>
      <c r="AE183" s="277"/>
      <c r="AF183" s="277"/>
      <c r="AG183" s="277"/>
      <c r="AH183" s="178" t="str">
        <f t="shared" si="74"/>
        <v>TRK_195_1</v>
      </c>
      <c r="AI183" s="192" t="s">
        <v>1373</v>
      </c>
      <c r="AJ183" s="232">
        <f t="shared" si="64"/>
        <v>-1.5767291188240052E-12</v>
      </c>
      <c r="AK183" s="232">
        <f t="shared" si="65"/>
        <v>4.1470000000015768</v>
      </c>
      <c r="AL183" s="276" t="s">
        <v>1374</v>
      </c>
      <c r="AM183" s="276" t="s">
        <v>1375</v>
      </c>
      <c r="AN183" s="276">
        <v>3.77</v>
      </c>
      <c r="AO183" s="276">
        <v>3.77</v>
      </c>
      <c r="AP183" s="276">
        <v>3.77</v>
      </c>
    </row>
    <row r="184" spans="1:42" ht="15.75">
      <c r="C184" s="3"/>
      <c r="D184" s="3"/>
      <c r="E184" s="3"/>
      <c r="F184" s="3"/>
      <c r="G184" s="3"/>
      <c r="H184" s="3"/>
      <c r="I184" s="3"/>
      <c r="J184" s="3" t="s">
        <v>943</v>
      </c>
      <c r="K184" s="3" t="s">
        <v>1540</v>
      </c>
      <c r="L184" s="226" t="s">
        <v>1372</v>
      </c>
      <c r="M184" s="226" t="s">
        <v>1376</v>
      </c>
      <c r="O184" s="263" t="str">
        <f t="shared" si="68"/>
        <v>195/22:50</v>
      </c>
      <c r="P184" s="179" t="str">
        <f t="shared" si="69"/>
        <v>195_2</v>
      </c>
      <c r="Q184" s="237">
        <f t="shared" si="70"/>
        <v>600627651.85416305</v>
      </c>
      <c r="R184" s="104">
        <f t="shared" si="66"/>
        <v>600889189.40285492</v>
      </c>
      <c r="S184" s="104">
        <f t="shared" si="61"/>
        <v>261537.54869186878</v>
      </c>
      <c r="T184" s="104">
        <f t="shared" si="67"/>
        <v>966625.0000002156</v>
      </c>
      <c r="U184" s="3">
        <v>0</v>
      </c>
      <c r="V184" s="97">
        <f t="shared" si="62"/>
        <v>966625.0000002156</v>
      </c>
      <c r="W184" s="97">
        <f t="shared" si="71"/>
        <v>966625.00000000012</v>
      </c>
      <c r="X184" s="266">
        <f t="shared" si="63"/>
        <v>-2.1548476070165634E-7</v>
      </c>
      <c r="Y184" s="266"/>
      <c r="Z184" s="266"/>
      <c r="AA184" s="256">
        <f t="shared" si="72"/>
        <v>7.7330000000000005</v>
      </c>
      <c r="AB184" s="229"/>
      <c r="AC184" s="308">
        <f t="shared" si="73"/>
        <v>136.51243689076875</v>
      </c>
      <c r="AD184" s="277"/>
      <c r="AE184" s="277"/>
      <c r="AF184" s="277"/>
      <c r="AG184" s="277"/>
      <c r="AH184" s="178" t="str">
        <f t="shared" si="74"/>
        <v>TRK_195_2</v>
      </c>
      <c r="AI184" s="192" t="s">
        <v>1377</v>
      </c>
      <c r="AJ184" s="232">
        <f t="shared" si="64"/>
        <v>-1.7238780856132507E-12</v>
      </c>
      <c r="AK184" s="232">
        <f t="shared" si="65"/>
        <v>7.7330000000017245</v>
      </c>
      <c r="AL184" s="276" t="s">
        <v>1378</v>
      </c>
      <c r="AM184" s="276" t="s">
        <v>1379</v>
      </c>
      <c r="AN184" s="276">
        <v>7.03</v>
      </c>
      <c r="AO184" s="276">
        <v>7.03</v>
      </c>
      <c r="AP184" s="276">
        <v>7.03</v>
      </c>
    </row>
    <row r="185" spans="1:42" ht="15.75">
      <c r="C185" s="3"/>
      <c r="D185" s="3"/>
      <c r="E185" s="3"/>
      <c r="F185" s="3"/>
      <c r="G185" s="3"/>
      <c r="H185" s="3"/>
      <c r="I185" s="3"/>
      <c r="J185" s="3" t="s">
        <v>943</v>
      </c>
      <c r="K185" s="3" t="s">
        <v>1540</v>
      </c>
      <c r="L185" s="226" t="s">
        <v>1376</v>
      </c>
      <c r="M185" s="226" t="s">
        <v>1380</v>
      </c>
      <c r="O185" s="263" t="str">
        <f t="shared" si="68"/>
        <v>197/15:45</v>
      </c>
      <c r="P185" s="179" t="str">
        <f t="shared" si="69"/>
        <v>197_2</v>
      </c>
      <c r="Q185" s="237">
        <f t="shared" si="70"/>
        <v>600889186.40285492</v>
      </c>
      <c r="R185" s="104">
        <f t="shared" si="66"/>
        <v>600955779.88964844</v>
      </c>
      <c r="S185" s="104">
        <f t="shared" si="61"/>
        <v>66593.486793518066</v>
      </c>
      <c r="T185" s="104">
        <f t="shared" si="67"/>
        <v>246125.00000004802</v>
      </c>
      <c r="U185" s="3">
        <v>0</v>
      </c>
      <c r="V185" s="97">
        <f t="shared" si="62"/>
        <v>246125.00000004802</v>
      </c>
      <c r="W185" s="97">
        <f t="shared" si="71"/>
        <v>246125.00000000003</v>
      </c>
      <c r="X185" s="266">
        <f t="shared" si="63"/>
        <v>-4.7992216423153877E-8</v>
      </c>
      <c r="Y185" s="266"/>
      <c r="Z185" s="266"/>
      <c r="AA185" s="256">
        <f t="shared" si="72"/>
        <v>1.9690000000000003</v>
      </c>
      <c r="AB185" s="229"/>
      <c r="AC185" s="308">
        <f t="shared" si="73"/>
        <v>138.48143689076915</v>
      </c>
      <c r="AD185" s="277"/>
      <c r="AE185" s="277"/>
      <c r="AF185" s="277"/>
      <c r="AG185" s="277"/>
      <c r="AH185" s="178" t="str">
        <f t="shared" si="74"/>
        <v>TRK_197_2</v>
      </c>
      <c r="AI185" s="192" t="s">
        <v>1381</v>
      </c>
      <c r="AJ185" s="232">
        <f t="shared" si="64"/>
        <v>-3.8393773138523104E-13</v>
      </c>
      <c r="AK185" s="232">
        <f t="shared" si="65"/>
        <v>1.9690000000003842</v>
      </c>
      <c r="AL185" s="276" t="s">
        <v>1382</v>
      </c>
      <c r="AM185" s="276" t="s">
        <v>1383</v>
      </c>
      <c r="AN185" s="276">
        <v>1.79</v>
      </c>
      <c r="AO185" s="276">
        <v>1.79</v>
      </c>
      <c r="AP185" s="276">
        <v>1.79</v>
      </c>
    </row>
    <row r="186" spans="1:42" ht="15.75">
      <c r="C186" s="3"/>
      <c r="D186" s="3"/>
      <c r="E186" s="3"/>
      <c r="F186" s="3"/>
      <c r="G186" s="3"/>
      <c r="H186" s="3"/>
      <c r="I186" s="3"/>
      <c r="J186" s="3" t="s">
        <v>943</v>
      </c>
      <c r="K186" s="3" t="s">
        <v>1540</v>
      </c>
      <c r="L186" s="226" t="s">
        <v>1380</v>
      </c>
      <c r="M186" s="226" t="s">
        <v>1384</v>
      </c>
      <c r="O186" s="263" t="str">
        <f t="shared" si="68"/>
        <v>197/22:00</v>
      </c>
      <c r="P186" s="179" t="str">
        <f t="shared" si="69"/>
        <v>197_3</v>
      </c>
      <c r="Q186" s="237">
        <f t="shared" si="70"/>
        <v>600955776.88964844</v>
      </c>
      <c r="R186" s="104">
        <f t="shared" si="66"/>
        <v>601328551.60343111</v>
      </c>
      <c r="S186" s="104">
        <f t="shared" si="61"/>
        <v>372774.71378266811</v>
      </c>
      <c r="T186" s="104">
        <f t="shared" si="67"/>
        <v>1377750.0000001136</v>
      </c>
      <c r="U186" s="3">
        <v>0</v>
      </c>
      <c r="V186" s="97">
        <f t="shared" si="62"/>
        <v>1377750.0000001136</v>
      </c>
      <c r="W186" s="97">
        <f t="shared" si="71"/>
        <v>1377750</v>
      </c>
      <c r="X186" s="266">
        <f t="shared" si="63"/>
        <v>-1.1362135410308838E-7</v>
      </c>
      <c r="Y186" s="266"/>
      <c r="Z186" s="266"/>
      <c r="AA186" s="256">
        <f t="shared" si="72"/>
        <v>11.022</v>
      </c>
      <c r="AB186" s="229"/>
      <c r="AC186" s="308">
        <f t="shared" si="73"/>
        <v>149.50343689077005</v>
      </c>
      <c r="AD186" s="277"/>
      <c r="AE186" s="277"/>
      <c r="AF186" s="277"/>
      <c r="AG186" s="277"/>
      <c r="AH186" s="178" t="str">
        <f t="shared" si="74"/>
        <v>TRK_197_3</v>
      </c>
      <c r="AI186" s="192" t="s">
        <v>1385</v>
      </c>
      <c r="AJ186" s="232">
        <f t="shared" si="64"/>
        <v>-9.0897083282470701E-13</v>
      </c>
      <c r="AK186" s="232">
        <f t="shared" si="65"/>
        <v>11.02200000000091</v>
      </c>
      <c r="AL186" s="276" t="s">
        <v>1386</v>
      </c>
      <c r="AM186" s="276" t="s">
        <v>1387</v>
      </c>
      <c r="AN186" s="276">
        <v>10.02</v>
      </c>
      <c r="AO186" s="276">
        <v>10.02</v>
      </c>
      <c r="AP186" s="276">
        <v>10.02</v>
      </c>
    </row>
    <row r="187" spans="1:42" ht="15.75">
      <c r="A187" t="s">
        <v>1388</v>
      </c>
      <c r="C187" s="3"/>
      <c r="D187" s="3"/>
      <c r="E187" s="3"/>
      <c r="F187" s="3"/>
      <c r="G187" s="3"/>
      <c r="H187" s="3" t="s">
        <v>768</v>
      </c>
      <c r="I187" s="3"/>
      <c r="J187" s="3"/>
      <c r="L187" s="257" t="s">
        <v>1389</v>
      </c>
      <c r="M187" s="257" t="s">
        <v>1390</v>
      </c>
      <c r="O187" s="263" t="str">
        <f t="shared" si="68"/>
        <v>198/14:30</v>
      </c>
      <c r="P187" s="179" t="str">
        <f t="shared" si="69"/>
        <v>198_1</v>
      </c>
      <c r="Q187" s="264">
        <v>612597116</v>
      </c>
      <c r="R187" s="143">
        <f>((W187-U187*$V$33)/$V$20)+Q187</f>
        <v>612615336.37914693</v>
      </c>
      <c r="S187" s="104">
        <f t="shared" si="61"/>
        <v>18220.379146933556</v>
      </c>
      <c r="T187" s="104">
        <f>S187*$V$20</f>
        <v>961125.00000074506</v>
      </c>
      <c r="U187" s="3">
        <v>0</v>
      </c>
      <c r="V187" s="97">
        <f t="shared" si="62"/>
        <v>961125.00000074506</v>
      </c>
      <c r="W187" s="97">
        <f t="shared" si="71"/>
        <v>961125.00000000012</v>
      </c>
      <c r="X187" s="266">
        <f t="shared" si="63"/>
        <v>-7.4494164437055588E-7</v>
      </c>
      <c r="Y187" s="318">
        <f>S187*$V$27+U187*$V$33</f>
        <v>1009712.6777259004</v>
      </c>
      <c r="Z187" s="319">
        <f t="shared" ref="Z187:Z192" si="75">(Y187/V187-1)</f>
        <v>5.0552922590836546E-2</v>
      </c>
      <c r="AA187" s="256">
        <f t="shared" si="72"/>
        <v>7.6890000000000009</v>
      </c>
      <c r="AB187" s="229"/>
      <c r="AC187" s="229"/>
      <c r="AD187" s="297">
        <f>AD168+AK187</f>
        <v>22.679563109241727</v>
      </c>
      <c r="AE187" s="297"/>
      <c r="AF187" s="297"/>
      <c r="AG187" s="297"/>
      <c r="AH187" s="178" t="str">
        <f t="shared" si="74"/>
        <v>TRK_198_1</v>
      </c>
      <c r="AI187" s="192" t="s">
        <v>1391</v>
      </c>
      <c r="AJ187" s="232">
        <f t="shared" si="64"/>
        <v>-5.9595331549644472E-12</v>
      </c>
      <c r="AK187" s="232">
        <f t="shared" si="65"/>
        <v>7.6890000000059606</v>
      </c>
      <c r="AL187" s="276" t="s">
        <v>1392</v>
      </c>
      <c r="AM187" s="276" t="s">
        <v>1393</v>
      </c>
      <c r="AN187" s="276">
        <v>6.99</v>
      </c>
      <c r="AO187" s="276">
        <v>6.99</v>
      </c>
      <c r="AP187" s="276">
        <v>6.99</v>
      </c>
    </row>
    <row r="188" spans="1:42" ht="15.75">
      <c r="A188" t="s">
        <v>1388</v>
      </c>
      <c r="C188" s="3"/>
      <c r="D188" s="3"/>
      <c r="E188" s="3"/>
      <c r="F188" s="3"/>
      <c r="G188" s="3"/>
      <c r="H188" s="3" t="s">
        <v>768</v>
      </c>
      <c r="I188" s="3"/>
      <c r="J188" s="3"/>
      <c r="L188" s="257" t="s">
        <v>1390</v>
      </c>
      <c r="M188" s="257" t="s">
        <v>1394</v>
      </c>
      <c r="O188" s="263" t="str">
        <f t="shared" si="68"/>
        <v>198/22:25</v>
      </c>
      <c r="P188" s="179" t="str">
        <f t="shared" si="69"/>
        <v>198_2</v>
      </c>
      <c r="Q188" s="264">
        <f>R187-3</f>
        <v>612615333.37914693</v>
      </c>
      <c r="R188" s="143">
        <f>((W188-U188*$V$33)/$V$20)+Q188</f>
        <v>612634987.407583</v>
      </c>
      <c r="S188" s="104">
        <f t="shared" si="61"/>
        <v>19654.02843606472</v>
      </c>
      <c r="T188" s="104">
        <f>S188*$V$20</f>
        <v>1036750.000002414</v>
      </c>
      <c r="U188" s="3">
        <v>0</v>
      </c>
      <c r="V188" s="97">
        <f t="shared" si="62"/>
        <v>1036750.000002414</v>
      </c>
      <c r="W188" s="97">
        <f t="shared" si="71"/>
        <v>1036750.0000000001</v>
      </c>
      <c r="X188" s="266">
        <f t="shared" si="63"/>
        <v>-2.4138716980814934E-6</v>
      </c>
      <c r="Y188" s="318">
        <f>S188*$V$27+U188*$V$33</f>
        <v>1089160.7424985857</v>
      </c>
      <c r="Z188" s="319">
        <f t="shared" si="75"/>
        <v>5.0552922590836546E-2</v>
      </c>
      <c r="AA188" s="256">
        <f t="shared" si="72"/>
        <v>8.2940000000000005</v>
      </c>
      <c r="AB188" s="229"/>
      <c r="AC188" s="229"/>
      <c r="AD188" s="297">
        <f>AD187+AK188</f>
        <v>30.973563109261036</v>
      </c>
      <c r="AE188" s="297"/>
      <c r="AF188" s="297"/>
      <c r="AG188" s="297"/>
      <c r="AH188" s="178" t="str">
        <f t="shared" si="74"/>
        <v>TRK_198_2</v>
      </c>
      <c r="AI188" s="192" t="s">
        <v>1395</v>
      </c>
      <c r="AJ188" s="232">
        <f t="shared" si="64"/>
        <v>-1.9310973584651947E-11</v>
      </c>
      <c r="AK188" s="309">
        <f t="shared" si="65"/>
        <v>8.2940000000193113</v>
      </c>
      <c r="AL188" s="276" t="s">
        <v>1396</v>
      </c>
      <c r="AM188" s="276" t="s">
        <v>1397</v>
      </c>
      <c r="AN188" s="276">
        <v>7.54</v>
      </c>
      <c r="AO188" s="276">
        <v>7.54</v>
      </c>
      <c r="AP188" s="276">
        <v>7.54</v>
      </c>
    </row>
    <row r="189" spans="1:42" ht="15.75">
      <c r="A189" t="s">
        <v>1398</v>
      </c>
      <c r="C189" s="3"/>
      <c r="D189" s="3"/>
      <c r="E189" s="3" t="s">
        <v>766</v>
      </c>
      <c r="F189" s="3" t="s">
        <v>764</v>
      </c>
      <c r="G189" s="3"/>
      <c r="H189" s="3" t="s">
        <v>768</v>
      </c>
      <c r="I189" s="3" t="s">
        <v>769</v>
      </c>
      <c r="J189" s="3"/>
      <c r="L189" s="257" t="s">
        <v>1317</v>
      </c>
      <c r="M189" s="257" t="s">
        <v>1399</v>
      </c>
      <c r="O189" s="263" t="str">
        <f t="shared" si="68"/>
        <v>199/14:45</v>
      </c>
      <c r="P189" s="179" t="str">
        <f t="shared" si="69"/>
        <v>199_1</v>
      </c>
      <c r="Q189" s="237">
        <f>R168-1</f>
        <v>613766275</v>
      </c>
      <c r="R189" s="104">
        <f>((W189-U189*$V$33)/$V$17)+Q189</f>
        <v>614172004.08581376</v>
      </c>
      <c r="S189" s="104">
        <f t="shared" si="61"/>
        <v>405729.08581376076</v>
      </c>
      <c r="T189" s="104">
        <f>S189*$V$17</f>
        <v>862125.00000006065</v>
      </c>
      <c r="U189" s="3">
        <v>0</v>
      </c>
      <c r="V189" s="142">
        <f t="shared" si="62"/>
        <v>862125.00000006065</v>
      </c>
      <c r="W189" s="97">
        <f t="shared" si="71"/>
        <v>862125</v>
      </c>
      <c r="X189" s="266">
        <f t="shared" si="63"/>
        <v>-6.0652382671833038E-8</v>
      </c>
      <c r="Y189" s="318">
        <f>S189*$V$26+U189*$V$33</f>
        <v>879676.07011845079</v>
      </c>
      <c r="Z189" s="319">
        <f t="shared" si="75"/>
        <v>2.03579180726563E-2</v>
      </c>
      <c r="AA189" s="256">
        <f t="shared" si="72"/>
        <v>6.8970000000000002</v>
      </c>
      <c r="AB189" s="229"/>
      <c r="AC189" s="229"/>
      <c r="AD189" s="297">
        <f>AD188+AK189</f>
        <v>37.870563109261525</v>
      </c>
      <c r="AE189" s="297"/>
      <c r="AF189" s="297"/>
      <c r="AG189" s="297"/>
      <c r="AH189" s="178" t="str">
        <f t="shared" si="74"/>
        <v>TRK_199_1</v>
      </c>
      <c r="AI189" s="192" t="s">
        <v>1400</v>
      </c>
      <c r="AJ189" s="232">
        <f t="shared" si="64"/>
        <v>-4.8521906137466429E-13</v>
      </c>
      <c r="AK189" s="309">
        <f t="shared" si="65"/>
        <v>6.8970000000004852</v>
      </c>
      <c r="AL189" s="276" t="s">
        <v>1401</v>
      </c>
      <c r="AM189" s="276" t="s">
        <v>1402</v>
      </c>
      <c r="AN189" s="276">
        <v>6.27</v>
      </c>
      <c r="AO189" s="276">
        <v>6.27</v>
      </c>
      <c r="AP189" s="276">
        <v>6.27</v>
      </c>
    </row>
    <row r="190" spans="1:42" ht="15.75">
      <c r="A190" t="s">
        <v>1398</v>
      </c>
      <c r="C190" s="3"/>
      <c r="D190" s="3"/>
      <c r="E190" s="3" t="s">
        <v>766</v>
      </c>
      <c r="F190" s="3" t="s">
        <v>764</v>
      </c>
      <c r="G190" s="3"/>
      <c r="H190" s="3" t="s">
        <v>768</v>
      </c>
      <c r="I190" s="3" t="s">
        <v>769</v>
      </c>
      <c r="J190" s="3"/>
      <c r="L190" s="257" t="s">
        <v>1399</v>
      </c>
      <c r="M190" s="257" t="s">
        <v>1403</v>
      </c>
      <c r="O190" s="263" t="str">
        <f t="shared" si="68"/>
        <v>200/14:40</v>
      </c>
      <c r="P190" s="179" t="str">
        <f t="shared" si="69"/>
        <v>200_1</v>
      </c>
      <c r="Q190" s="237">
        <f>R189-1</f>
        <v>614172003.08581376</v>
      </c>
      <c r="R190" s="104">
        <f>((W190-U190*$V$33)/$V$17)+Q190</f>
        <v>615002874.13236058</v>
      </c>
      <c r="S190" s="104">
        <f t="shared" si="61"/>
        <v>830871.04654681683</v>
      </c>
      <c r="T190" s="104">
        <f>S190*$V$17</f>
        <v>1765500.0000000745</v>
      </c>
      <c r="U190" s="3">
        <v>0</v>
      </c>
      <c r="V190" s="142">
        <f t="shared" si="62"/>
        <v>1765500.0000000745</v>
      </c>
      <c r="W190" s="97">
        <f t="shared" si="71"/>
        <v>1765500</v>
      </c>
      <c r="X190" s="266">
        <f t="shared" si="63"/>
        <v>-7.4505805969238281E-8</v>
      </c>
      <c r="Y190" s="318">
        <f>S190*$V$26+U190*$V$33</f>
        <v>1801441.9043573509</v>
      </c>
      <c r="Z190" s="319">
        <f t="shared" si="75"/>
        <v>2.03579180726563E-2</v>
      </c>
      <c r="AA190" s="256">
        <f t="shared" si="72"/>
        <v>14.124000000000001</v>
      </c>
      <c r="AB190" s="229"/>
      <c r="AC190" s="229"/>
      <c r="AD190" s="297">
        <f>AD189+AK190</f>
        <v>51.994563109262117</v>
      </c>
      <c r="AE190" s="297"/>
      <c r="AF190" s="297"/>
      <c r="AG190" s="297"/>
      <c r="AH190" s="178" t="str">
        <f t="shared" si="74"/>
        <v>TRK_200_1</v>
      </c>
      <c r="AI190" s="192" t="s">
        <v>1404</v>
      </c>
      <c r="AJ190" s="232">
        <f t="shared" si="64"/>
        <v>-5.960464477539063E-13</v>
      </c>
      <c r="AK190" s="232">
        <f t="shared" si="65"/>
        <v>14.124000000000596</v>
      </c>
      <c r="AL190" s="276" t="s">
        <v>1405</v>
      </c>
      <c r="AM190" s="276" t="s">
        <v>1406</v>
      </c>
      <c r="AN190" s="276">
        <v>12.84</v>
      </c>
      <c r="AO190" s="276">
        <v>12.84</v>
      </c>
      <c r="AP190" s="276">
        <v>12.84</v>
      </c>
    </row>
    <row r="191" spans="1:42" ht="15.75">
      <c r="A191" t="s">
        <v>1398</v>
      </c>
      <c r="C191" s="3"/>
      <c r="D191" s="3"/>
      <c r="E191" s="3" t="s">
        <v>766</v>
      </c>
      <c r="F191" s="3" t="s">
        <v>764</v>
      </c>
      <c r="G191" s="3"/>
      <c r="H191" s="3" t="s">
        <v>768</v>
      </c>
      <c r="I191" s="3" t="s">
        <v>769</v>
      </c>
      <c r="J191" s="3"/>
      <c r="L191" s="257" t="s">
        <v>1403</v>
      </c>
      <c r="M191" s="257" t="s">
        <v>1407</v>
      </c>
      <c r="O191" s="263" t="str">
        <f t="shared" si="68"/>
        <v>201/18:40</v>
      </c>
      <c r="P191" s="179" t="str">
        <f t="shared" si="69"/>
        <v>201_1</v>
      </c>
      <c r="Q191" s="237">
        <f>R190-1</f>
        <v>615002873.13236058</v>
      </c>
      <c r="R191" s="307">
        <v>615335513</v>
      </c>
      <c r="S191" s="104">
        <f t="shared" si="61"/>
        <v>332639.86763942242</v>
      </c>
      <c r="T191" s="104">
        <f>S191*$V$17</f>
        <v>706819.2937498563</v>
      </c>
      <c r="U191" s="3">
        <v>0</v>
      </c>
      <c r="V191" s="142">
        <f t="shared" si="62"/>
        <v>706819.2937498563</v>
      </c>
      <c r="W191" s="97">
        <f t="shared" si="71"/>
        <v>1962125.0000000002</v>
      </c>
      <c r="X191" s="266">
        <f t="shared" si="63"/>
        <v>1255305.7062501439</v>
      </c>
      <c r="Y191" s="318">
        <f>S191*$V$26+U191*$V$33</f>
        <v>721208.66302418872</v>
      </c>
      <c r="Z191" s="319">
        <f t="shared" si="75"/>
        <v>2.03579180726563E-2</v>
      </c>
      <c r="AA191" s="256">
        <f t="shared" si="72"/>
        <v>15.697000000000001</v>
      </c>
      <c r="AB191" s="229"/>
      <c r="AC191" s="229"/>
      <c r="AD191" s="297">
        <f>AD190+AK191</f>
        <v>57.649117459260964</v>
      </c>
      <c r="AE191" s="297"/>
      <c r="AF191" s="297"/>
      <c r="AG191" s="297"/>
      <c r="AH191" s="178" t="str">
        <f t="shared" si="74"/>
        <v>TRK_201_1</v>
      </c>
      <c r="AI191" s="192" t="s">
        <v>1408</v>
      </c>
      <c r="AJ191" s="232">
        <f t="shared" si="64"/>
        <v>10.042445650001152</v>
      </c>
      <c r="AK191" s="232">
        <f t="shared" si="65"/>
        <v>5.6545543499988504</v>
      </c>
      <c r="AL191" s="276" t="s">
        <v>1409</v>
      </c>
      <c r="AM191" s="276" t="s">
        <v>1410</v>
      </c>
      <c r="AN191" s="276">
        <v>14.27</v>
      </c>
      <c r="AO191" s="276">
        <v>14.27</v>
      </c>
      <c r="AP191" s="276">
        <v>14.27</v>
      </c>
    </row>
    <row r="192" spans="1:42" ht="15.75">
      <c r="A192" t="s">
        <v>1411</v>
      </c>
      <c r="C192" s="3"/>
      <c r="D192" s="3"/>
      <c r="E192" s="3"/>
      <c r="F192" s="3"/>
      <c r="G192" s="3" t="s">
        <v>765</v>
      </c>
      <c r="H192" s="3"/>
      <c r="I192" s="3"/>
      <c r="J192" s="3"/>
      <c r="L192" s="257" t="s">
        <v>1301</v>
      </c>
      <c r="M192" s="257" t="s">
        <v>1412</v>
      </c>
      <c r="O192" s="263"/>
      <c r="P192" s="179" t="str">
        <f t="shared" si="69"/>
        <v/>
      </c>
      <c r="Q192" s="310">
        <f>Q168</f>
        <v>613559215</v>
      </c>
      <c r="R192" s="104">
        <f>((W192-U192*$V$33)/$V$18)+Q192</f>
        <v>614308973.7444849</v>
      </c>
      <c r="S192" s="104">
        <f t="shared" si="61"/>
        <v>749758.74448490143</v>
      </c>
      <c r="T192" s="104">
        <f>S192*$V$18</f>
        <v>1255305.7062501269</v>
      </c>
      <c r="U192" s="3">
        <v>0</v>
      </c>
      <c r="V192" s="142">
        <f t="shared" si="62"/>
        <v>1255305.7062501269</v>
      </c>
      <c r="W192" s="142">
        <f>X191</f>
        <v>1255305.7062501439</v>
      </c>
      <c r="X192" s="266">
        <f t="shared" si="63"/>
        <v>1.6996636986732483E-8</v>
      </c>
      <c r="Y192" s="318">
        <f>S192*$V$28+U192*$V$33</f>
        <v>1401345.9533638111</v>
      </c>
      <c r="Z192" s="319">
        <f t="shared" si="75"/>
        <v>0.11633839182483952</v>
      </c>
      <c r="AD192" s="297">
        <f>AD191+AK192</f>
        <v>67.691563109261978</v>
      </c>
      <c r="AE192" s="297"/>
      <c r="AF192" s="297"/>
      <c r="AG192" s="297"/>
      <c r="AJ192" s="232">
        <f t="shared" si="64"/>
        <v>1.3597309589385986E-13</v>
      </c>
      <c r="AK192" s="232">
        <f t="shared" si="65"/>
        <v>10.042445650001016</v>
      </c>
    </row>
    <row r="193" spans="1:44" ht="14.25">
      <c r="C193" s="3"/>
      <c r="D193" s="3"/>
      <c r="E193" s="3"/>
      <c r="F193" s="3"/>
      <c r="G193" s="3"/>
      <c r="H193" s="3"/>
      <c r="I193" s="3"/>
      <c r="J193" s="3"/>
      <c r="Y193" s="317">
        <f>SUM(Y163:Y192)-SUM(V163:V168)-SUM(V187:V192)</f>
        <v>407232.56431206875</v>
      </c>
      <c r="AA193" s="317">
        <f>Y193*8/1000000</f>
        <v>3.2578605144965498</v>
      </c>
      <c r="AB193" s="320" t="s">
        <v>1543</v>
      </c>
      <c r="AN193" t="s">
        <v>1413</v>
      </c>
      <c r="AQ193">
        <f>30.53+12.81+49.55-12.87</f>
        <v>80.02</v>
      </c>
    </row>
    <row r="194" spans="1:44" ht="15.75">
      <c r="C194" s="3"/>
      <c r="D194" s="3"/>
      <c r="E194" s="3"/>
      <c r="F194" s="3"/>
      <c r="G194" s="3"/>
      <c r="H194" s="3"/>
      <c r="I194" s="3"/>
      <c r="J194" s="3"/>
      <c r="O194" s="292" t="s">
        <v>1414</v>
      </c>
      <c r="P194" s="81" t="s">
        <v>1415</v>
      </c>
      <c r="Q194" s="81" t="s">
        <v>1416</v>
      </c>
      <c r="R194" s="81">
        <v>615338922</v>
      </c>
      <c r="S194" s="81">
        <v>1</v>
      </c>
      <c r="T194" s="81" t="s">
        <v>373</v>
      </c>
      <c r="U194" s="81" t="s">
        <v>1417</v>
      </c>
      <c r="V194" s="81" t="s">
        <v>382</v>
      </c>
      <c r="W194" s="81"/>
      <c r="X194" s="81" t="s">
        <v>1418</v>
      </c>
      <c r="Y194" s="81"/>
      <c r="Z194" s="81"/>
      <c r="AC194" s="229"/>
      <c r="AH194" s="178" t="str">
        <f>MID(AL194,7,9)</f>
        <v>TRK_202_1</v>
      </c>
      <c r="AI194" s="192" t="s">
        <v>1419</v>
      </c>
      <c r="AJ194" s="232"/>
      <c r="AK194" s="232"/>
      <c r="AL194" s="276" t="s">
        <v>1420</v>
      </c>
      <c r="AM194" s="276" t="s">
        <v>1421</v>
      </c>
      <c r="AN194" s="312">
        <v>30.53</v>
      </c>
      <c r="AO194" s="312">
        <v>-3.95</v>
      </c>
      <c r="AP194" s="312">
        <v>-3.95</v>
      </c>
      <c r="AQ194">
        <f>AP194+AN194</f>
        <v>26.580000000000002</v>
      </c>
      <c r="AR194">
        <f>AQ194</f>
        <v>26.580000000000002</v>
      </c>
    </row>
    <row r="195" spans="1:44" ht="15.75">
      <c r="C195" s="3"/>
      <c r="D195" s="3"/>
      <c r="E195" s="3"/>
      <c r="F195" s="3"/>
      <c r="G195" s="3"/>
      <c r="H195" s="3"/>
      <c r="I195" s="3"/>
      <c r="J195" s="3"/>
      <c r="K195" t="s">
        <v>1422</v>
      </c>
      <c r="AA195" s="253">
        <f>1.1*AP195</f>
        <v>-13.552000000000001</v>
      </c>
      <c r="AB195" s="229"/>
      <c r="AC195" s="229"/>
      <c r="AH195" s="178" t="str">
        <f>MID(AL195,7,9)</f>
        <v>TRK_203_2</v>
      </c>
      <c r="AI195" s="192" t="s">
        <v>1423</v>
      </c>
      <c r="AJ195" s="232">
        <f>X195*8/1000000</f>
        <v>0</v>
      </c>
      <c r="AK195" s="232">
        <f>V195*8/1000000</f>
        <v>0</v>
      </c>
      <c r="AL195" s="276" t="s">
        <v>1424</v>
      </c>
      <c r="AM195" s="276" t="s">
        <v>1425</v>
      </c>
      <c r="AN195" s="312">
        <v>12.81</v>
      </c>
      <c r="AO195" s="312">
        <v>-8.3699999999999992</v>
      </c>
      <c r="AP195" s="312">
        <v>-12.32</v>
      </c>
      <c r="AQ195">
        <f>AP195+AN195</f>
        <v>0.49000000000000021</v>
      </c>
      <c r="AR195">
        <f>AR194+AQ195</f>
        <v>27.07</v>
      </c>
    </row>
    <row r="196" spans="1:44" ht="15.75">
      <c r="A196" t="s">
        <v>1411</v>
      </c>
      <c r="C196" s="3"/>
      <c r="D196" s="3"/>
      <c r="E196" s="3"/>
      <c r="F196" s="3"/>
      <c r="G196" s="3" t="s">
        <v>765</v>
      </c>
      <c r="H196" s="3"/>
      <c r="I196" s="3"/>
      <c r="J196" s="3"/>
      <c r="L196" s="257" t="s">
        <v>1412</v>
      </c>
      <c r="M196" s="257" t="s">
        <v>1426</v>
      </c>
      <c r="O196" s="263" t="str">
        <f>AI196</f>
        <v>204/12:55</v>
      </c>
      <c r="P196" s="179" t="str">
        <f>MID(AL196,11,5)</f>
        <v>204_1</v>
      </c>
      <c r="Q196" s="237">
        <f>R192-1</f>
        <v>614308972.7444849</v>
      </c>
      <c r="R196" s="104">
        <f>((W196-U196*$V$33)/$V$18)+Q196</f>
        <v>615365919.91807222</v>
      </c>
      <c r="S196" s="104">
        <f>R196-Q196</f>
        <v>1056947.1735873222</v>
      </c>
      <c r="T196" s="104">
        <f>S196*$V$18</f>
        <v>1769625.0000000207</v>
      </c>
      <c r="U196" s="3">
        <v>0</v>
      </c>
      <c r="V196" s="142">
        <f>T196+U196*$V$33</f>
        <v>1769625.0000000207</v>
      </c>
      <c r="W196" s="97">
        <f>AA196*1000000/8</f>
        <v>1769625</v>
      </c>
      <c r="X196" s="266">
        <f>W196-V196</f>
        <v>-2.0721927285194397E-8</v>
      </c>
      <c r="Y196" s="266"/>
      <c r="Z196" s="266"/>
      <c r="AA196" s="256">
        <f>1.1*AP196</f>
        <v>14.157</v>
      </c>
      <c r="AB196" s="229"/>
      <c r="AC196" s="229"/>
      <c r="AD196" s="297">
        <f>AD192+AK196</f>
        <v>81.848563109262145</v>
      </c>
      <c r="AE196" s="297"/>
      <c r="AF196" s="297"/>
      <c r="AG196" s="297"/>
      <c r="AH196" s="178" t="str">
        <f>MID(AL196,7,9)</f>
        <v>TRK_204_1</v>
      </c>
      <c r="AI196" s="192" t="s">
        <v>1427</v>
      </c>
      <c r="AJ196" s="232">
        <f>X196*8/1000000</f>
        <v>-1.6577541828155517E-13</v>
      </c>
      <c r="AK196" s="232">
        <f>V196*8/1000000</f>
        <v>14.157000000000165</v>
      </c>
      <c r="AL196" s="276" t="s">
        <v>1428</v>
      </c>
      <c r="AM196" s="276" t="s">
        <v>1429</v>
      </c>
      <c r="AN196" s="312">
        <v>49.55</v>
      </c>
      <c r="AO196" s="312">
        <v>25.2</v>
      </c>
      <c r="AP196" s="312">
        <v>12.87</v>
      </c>
      <c r="AQ196">
        <f>AP196+AN196</f>
        <v>62.419999999999995</v>
      </c>
      <c r="AR196">
        <f>AR195+AQ196</f>
        <v>89.49</v>
      </c>
    </row>
    <row r="197" spans="1:44" ht="15.75">
      <c r="A197" t="s">
        <v>1318</v>
      </c>
      <c r="C197" s="3"/>
      <c r="D197" s="3"/>
      <c r="E197" s="3"/>
      <c r="F197" s="3"/>
      <c r="G197" s="3"/>
      <c r="H197" s="3"/>
      <c r="I197" s="3"/>
      <c r="J197" s="3" t="s">
        <v>943</v>
      </c>
      <c r="K197" s="3" t="s">
        <v>1540</v>
      </c>
      <c r="L197" s="226" t="s">
        <v>1384</v>
      </c>
      <c r="M197" s="226" t="s">
        <v>1430</v>
      </c>
      <c r="O197" s="263" t="str">
        <f>AI197</f>
        <v>206/11:24</v>
      </c>
      <c r="P197" s="179" t="str">
        <f>MID(AL197,11,5)</f>
        <v>206_1</v>
      </c>
      <c r="Q197" s="237">
        <f>R186-3</f>
        <v>601328548.60343111</v>
      </c>
      <c r="R197" s="104">
        <f>((W197)/$X$9)+Q197</f>
        <v>601729597.64680207</v>
      </c>
      <c r="S197" s="104">
        <f>R197-Q197</f>
        <v>401049.04337096214</v>
      </c>
      <c r="T197" s="104">
        <f>S197*$X$9</f>
        <v>1482250.0000000775</v>
      </c>
      <c r="U197" s="3">
        <v>0</v>
      </c>
      <c r="V197" s="97">
        <f>T197+U197*$V$33</f>
        <v>1482250.0000000775</v>
      </c>
      <c r="W197" s="97">
        <f>AA197*1000000/8</f>
        <v>1482250</v>
      </c>
      <c r="X197" s="266">
        <f>W197-V197</f>
        <v>-7.7532604336738586E-8</v>
      </c>
      <c r="Y197" s="266"/>
      <c r="Z197" s="266"/>
      <c r="AA197" s="256">
        <f>1.1*AP197</f>
        <v>11.858000000000001</v>
      </c>
      <c r="AB197" s="229"/>
      <c r="AC197" s="308">
        <f>AC186+AK197</f>
        <v>161.36143689077068</v>
      </c>
      <c r="AD197" s="297"/>
      <c r="AE197" s="297"/>
      <c r="AF197" s="297"/>
      <c r="AG197" s="297"/>
      <c r="AH197" s="178" t="str">
        <f>MID(AL197,7,9)</f>
        <v>TRK_206_1</v>
      </c>
      <c r="AI197" s="192" t="s">
        <v>1431</v>
      </c>
      <c r="AJ197" s="232">
        <f>X197*8/1000000</f>
        <v>-6.2026083469390872E-13</v>
      </c>
      <c r="AK197" s="232">
        <f>V197*8/1000000</f>
        <v>11.85800000000062</v>
      </c>
      <c r="AL197" s="276" t="s">
        <v>1432</v>
      </c>
      <c r="AM197" s="276" t="s">
        <v>1433</v>
      </c>
      <c r="AN197" s="276">
        <v>10.78</v>
      </c>
      <c r="AO197" s="276">
        <v>10.78</v>
      </c>
      <c r="AP197" s="276">
        <v>10.78</v>
      </c>
    </row>
    <row r="198" spans="1:44" ht="15.75">
      <c r="A198" t="s">
        <v>1318</v>
      </c>
      <c r="C198" s="3"/>
      <c r="D198" s="3"/>
      <c r="E198" s="3"/>
      <c r="F198" s="3"/>
      <c r="G198" s="3"/>
      <c r="H198" s="3"/>
      <c r="I198" s="3"/>
      <c r="J198" s="3" t="s">
        <v>943</v>
      </c>
      <c r="K198" s="3" t="s">
        <v>1540</v>
      </c>
      <c r="L198" s="226" t="s">
        <v>1430</v>
      </c>
      <c r="M198" s="226" t="s">
        <v>1434</v>
      </c>
      <c r="O198" s="263" t="str">
        <f>AI198</f>
        <v>207/15:24</v>
      </c>
      <c r="P198" s="179" t="str">
        <f>MID(AL198,11,5)</f>
        <v>207_1</v>
      </c>
      <c r="Q198" s="237">
        <f>R197-3</f>
        <v>601729594.64680207</v>
      </c>
      <c r="R198" s="104">
        <f>((W198)/$X$9)+Q198</f>
        <v>601814789.66621947</v>
      </c>
      <c r="S198" s="104">
        <f>R198-Q198</f>
        <v>85195.019417405128</v>
      </c>
      <c r="T198" s="104">
        <f>S198*$X$9</f>
        <v>314875.00000005896</v>
      </c>
      <c r="U198" s="3">
        <v>0</v>
      </c>
      <c r="V198" s="97">
        <f>T198+U198*$V$33</f>
        <v>314875.00000005896</v>
      </c>
      <c r="W198" s="97">
        <f>AA198*1000000/8</f>
        <v>314875</v>
      </c>
      <c r="X198" s="266">
        <f>W198-V198</f>
        <v>-5.8964360505342484E-8</v>
      </c>
      <c r="Y198" s="266"/>
      <c r="Z198" s="266"/>
      <c r="AA198" s="256">
        <f>1.1*AP198</f>
        <v>2.5190000000000001</v>
      </c>
      <c r="AB198" s="229"/>
      <c r="AC198" s="308">
        <f>AC197+AK198</f>
        <v>163.88043689077114</v>
      </c>
      <c r="AD198" s="297"/>
      <c r="AE198" s="297"/>
      <c r="AF198" s="297"/>
      <c r="AG198" s="297"/>
      <c r="AH198" s="178" t="str">
        <f>MID(AL198,7,9)</f>
        <v>TRK_207_1</v>
      </c>
      <c r="AI198" s="192" t="s">
        <v>1435</v>
      </c>
      <c r="AJ198" s="232">
        <f>X198*8/1000000</f>
        <v>-4.7171488404273987E-13</v>
      </c>
      <c r="AK198" s="232">
        <f>V198*8/1000000</f>
        <v>2.5190000000004718</v>
      </c>
      <c r="AL198" s="276" t="s">
        <v>1436</v>
      </c>
      <c r="AM198" s="276" t="s">
        <v>1437</v>
      </c>
      <c r="AN198" s="276">
        <v>2.29</v>
      </c>
      <c r="AO198" s="276">
        <v>2.29</v>
      </c>
      <c r="AP198" s="276">
        <v>2.29</v>
      </c>
    </row>
    <row r="199" spans="1:44" ht="14.25">
      <c r="C199" s="3"/>
      <c r="D199" s="3"/>
      <c r="E199" s="3"/>
      <c r="F199" s="3"/>
      <c r="G199" s="3"/>
      <c r="H199" s="3"/>
      <c r="I199" s="3"/>
      <c r="J199" s="3"/>
      <c r="AB199">
        <f>36+42+56+105+AD196</f>
        <v>320.84856310926216</v>
      </c>
      <c r="AC199">
        <f>37+82</f>
        <v>119</v>
      </c>
    </row>
    <row r="200" spans="1:44" ht="14.25">
      <c r="C200" s="3"/>
      <c r="D200" s="3"/>
      <c r="E200" s="3"/>
      <c r="F200" s="3"/>
      <c r="G200" s="3"/>
      <c r="H200" s="3"/>
      <c r="I200" s="3"/>
      <c r="J200" s="3"/>
      <c r="P200" s="81" t="s">
        <v>1438</v>
      </c>
      <c r="Q200" s="81" t="s">
        <v>1439</v>
      </c>
      <c r="R200" s="81">
        <v>615780416</v>
      </c>
      <c r="S200" s="81">
        <v>7</v>
      </c>
      <c r="T200" s="81" t="s">
        <v>373</v>
      </c>
      <c r="U200" s="81" t="s">
        <v>1440</v>
      </c>
      <c r="V200" s="81" t="s">
        <v>866</v>
      </c>
      <c r="W200" s="81" t="s">
        <v>867</v>
      </c>
      <c r="Z200" s="81" t="s">
        <v>1441</v>
      </c>
    </row>
    <row r="201" spans="1:44" ht="14.25">
      <c r="C201" s="3"/>
      <c r="D201" s="3"/>
      <c r="E201" s="3"/>
      <c r="F201" s="3"/>
      <c r="G201" s="3"/>
      <c r="H201" s="3"/>
      <c r="I201" s="3"/>
      <c r="J201" s="3"/>
      <c r="P201" s="81" t="s">
        <v>1442</v>
      </c>
      <c r="Q201" s="81" t="s">
        <v>1443</v>
      </c>
      <c r="R201" s="81">
        <v>615782106</v>
      </c>
      <c r="S201" s="81">
        <v>0</v>
      </c>
      <c r="T201" s="81" t="s">
        <v>1124</v>
      </c>
      <c r="U201" s="81" t="s">
        <v>1440</v>
      </c>
      <c r="V201" s="81" t="s">
        <v>1444</v>
      </c>
      <c r="W201" s="81"/>
      <c r="Z201" s="81" t="s">
        <v>1441</v>
      </c>
      <c r="AB201">
        <f>380*0.12</f>
        <v>45.6</v>
      </c>
    </row>
    <row r="202" spans="1:44" ht="14.25">
      <c r="C202" s="3"/>
      <c r="D202" s="3"/>
      <c r="E202" s="3"/>
      <c r="F202" s="3"/>
      <c r="G202" s="3"/>
      <c r="H202" s="3"/>
      <c r="I202" s="3"/>
      <c r="J202" s="3"/>
      <c r="P202" s="81" t="s">
        <v>1445</v>
      </c>
      <c r="Q202" s="81" t="s">
        <v>1446</v>
      </c>
      <c r="R202" s="81">
        <v>615782109</v>
      </c>
      <c r="S202" s="81">
        <v>0</v>
      </c>
      <c r="T202" s="81" t="s">
        <v>1124</v>
      </c>
      <c r="U202" s="81" t="s">
        <v>1440</v>
      </c>
      <c r="V202" s="81" t="s">
        <v>1447</v>
      </c>
      <c r="W202" s="81"/>
      <c r="Z202" s="81" t="s">
        <v>1441</v>
      </c>
    </row>
    <row r="203" spans="1:44" ht="14.25">
      <c r="C203" s="3"/>
      <c r="D203" s="3"/>
      <c r="E203" s="3"/>
      <c r="F203" s="3"/>
      <c r="G203" s="3"/>
      <c r="H203" s="3"/>
      <c r="I203" s="3"/>
      <c r="J203" s="3"/>
      <c r="P203" s="81" t="s">
        <v>1448</v>
      </c>
      <c r="Q203" s="81" t="s">
        <v>1449</v>
      </c>
      <c r="R203" s="81">
        <v>615782112</v>
      </c>
      <c r="S203" s="81">
        <v>0</v>
      </c>
      <c r="T203" s="81" t="s">
        <v>1124</v>
      </c>
      <c r="U203" s="81" t="s">
        <v>1450</v>
      </c>
      <c r="V203" s="81" t="s">
        <v>1160</v>
      </c>
      <c r="W203" s="81"/>
      <c r="Z203" s="81" t="s">
        <v>1441</v>
      </c>
    </row>
    <row r="204" spans="1:44" ht="14.25">
      <c r="P204" s="81" t="s">
        <v>1451</v>
      </c>
      <c r="Q204" s="81" t="s">
        <v>1452</v>
      </c>
      <c r="R204" s="81">
        <v>615782115</v>
      </c>
      <c r="S204" s="81">
        <v>0</v>
      </c>
      <c r="T204" s="81" t="s">
        <v>1124</v>
      </c>
      <c r="U204" s="81" t="s">
        <v>1450</v>
      </c>
      <c r="V204" s="81" t="s">
        <v>1164</v>
      </c>
      <c r="W204" s="81"/>
      <c r="Z204" s="81" t="s">
        <v>1441</v>
      </c>
    </row>
    <row r="205" spans="1:44" ht="14.25">
      <c r="AJ205" t="s">
        <v>1453</v>
      </c>
      <c r="AK205" t="s">
        <v>1454</v>
      </c>
      <c r="AL205" t="s">
        <v>1455</v>
      </c>
      <c r="AM205" t="s">
        <v>1456</v>
      </c>
      <c r="AN205" t="s">
        <v>1457</v>
      </c>
      <c r="AO205" t="s">
        <v>1458</v>
      </c>
      <c r="AP205" s="313" t="s">
        <v>1459</v>
      </c>
      <c r="AQ205" t="s">
        <v>1460</v>
      </c>
    </row>
    <row r="206" spans="1:44" ht="14.25">
      <c r="P206" s="59">
        <v>25207</v>
      </c>
      <c r="T206" s="3"/>
      <c r="V206" s="93"/>
      <c r="X206" t="s">
        <v>1010</v>
      </c>
      <c r="AP206" s="313"/>
    </row>
    <row r="207" spans="1:44" ht="14.25">
      <c r="P207" s="73" t="s">
        <v>837</v>
      </c>
      <c r="Q207" s="72" t="s">
        <v>65</v>
      </c>
      <c r="R207" s="73" t="s">
        <v>66</v>
      </c>
      <c r="S207" s="73" t="s">
        <v>67</v>
      </c>
      <c r="T207" s="74" t="s">
        <v>68</v>
      </c>
      <c r="U207" s="3" t="s">
        <v>176</v>
      </c>
      <c r="V207" s="74" t="s">
        <v>265</v>
      </c>
      <c r="W207" s="73" t="s">
        <v>266</v>
      </c>
      <c r="X207" s="73" t="s">
        <v>70</v>
      </c>
      <c r="AJ207" t="s">
        <v>1461</v>
      </c>
      <c r="AK207" t="s">
        <v>1462</v>
      </c>
      <c r="AL207">
        <v>2.7576000000000001</v>
      </c>
      <c r="AM207">
        <v>8</v>
      </c>
      <c r="AN207">
        <v>1.7008620000000001</v>
      </c>
      <c r="AO207">
        <v>0</v>
      </c>
      <c r="AP207" s="313"/>
      <c r="AQ207">
        <v>0</v>
      </c>
    </row>
    <row r="208" spans="1:44" ht="14.25">
      <c r="C208" s="291" t="s">
        <v>941</v>
      </c>
      <c r="D208" s="291" t="s">
        <v>942</v>
      </c>
      <c r="E208" s="291" t="s">
        <v>766</v>
      </c>
      <c r="F208" s="291" t="s">
        <v>764</v>
      </c>
      <c r="G208" s="291" t="s">
        <v>765</v>
      </c>
      <c r="H208" s="291" t="s">
        <v>768</v>
      </c>
      <c r="I208" s="291" t="s">
        <v>769</v>
      </c>
      <c r="J208" s="291" t="s">
        <v>943</v>
      </c>
      <c r="K208" s="291" t="s">
        <v>1540</v>
      </c>
      <c r="P208" s="224" t="s">
        <v>1463</v>
      </c>
      <c r="Q208" s="224" t="s">
        <v>1464</v>
      </c>
      <c r="R208" s="224">
        <v>615306116</v>
      </c>
      <c r="S208" s="224">
        <v>8</v>
      </c>
      <c r="T208" s="224" t="s">
        <v>373</v>
      </c>
      <c r="U208" s="224" t="s">
        <v>1465</v>
      </c>
      <c r="V208" s="224" t="s">
        <v>816</v>
      </c>
      <c r="W208" s="224" t="s">
        <v>817</v>
      </c>
      <c r="X208" s="224" t="s">
        <v>1466</v>
      </c>
      <c r="AJ208" t="s">
        <v>1467</v>
      </c>
      <c r="AK208" t="s">
        <v>1468</v>
      </c>
      <c r="AL208">
        <v>1.3248500000000001</v>
      </c>
      <c r="AM208">
        <v>2</v>
      </c>
      <c r="AN208">
        <v>0.84326100000000004</v>
      </c>
      <c r="AO208">
        <v>0</v>
      </c>
      <c r="AP208" s="313"/>
      <c r="AQ208">
        <v>0</v>
      </c>
    </row>
    <row r="209" spans="1:46" ht="14.25">
      <c r="P209" s="224" t="s">
        <v>1469</v>
      </c>
      <c r="Q209" s="224" t="s">
        <v>1470</v>
      </c>
      <c r="R209" s="224">
        <v>615312896</v>
      </c>
      <c r="S209" s="224">
        <v>0</v>
      </c>
      <c r="T209" s="224" t="s">
        <v>826</v>
      </c>
      <c r="U209" s="224" t="s">
        <v>1465</v>
      </c>
      <c r="V209" s="224" t="s">
        <v>1471</v>
      </c>
      <c r="W209" s="224"/>
      <c r="X209" s="224" t="s">
        <v>1472</v>
      </c>
      <c r="AP209" s="313"/>
    </row>
    <row r="210" spans="1:46" ht="14.25">
      <c r="P210" s="224" t="s">
        <v>1473</v>
      </c>
      <c r="Q210" s="224" t="s">
        <v>1474</v>
      </c>
      <c r="R210" s="224">
        <v>615338560</v>
      </c>
      <c r="S210" s="224">
        <v>0</v>
      </c>
      <c r="T210" s="224" t="s">
        <v>826</v>
      </c>
      <c r="U210" s="224" t="s">
        <v>1475</v>
      </c>
      <c r="V210" s="224" t="s">
        <v>828</v>
      </c>
      <c r="W210" s="224"/>
      <c r="X210" s="224" t="s">
        <v>1476</v>
      </c>
      <c r="AP210" s="313"/>
    </row>
    <row r="211" spans="1:46" ht="14.25">
      <c r="P211" s="224" t="s">
        <v>1477</v>
      </c>
      <c r="Q211" s="224" t="s">
        <v>1478</v>
      </c>
      <c r="R211" s="224">
        <v>615339001</v>
      </c>
      <c r="S211" s="224">
        <v>1</v>
      </c>
      <c r="T211" s="224" t="s">
        <v>373</v>
      </c>
      <c r="U211" s="224" t="s">
        <v>1475</v>
      </c>
      <c r="V211" s="224" t="s">
        <v>833</v>
      </c>
      <c r="W211" s="224"/>
      <c r="X211" s="224" t="s">
        <v>1476</v>
      </c>
      <c r="AP211" s="313"/>
    </row>
    <row r="212" spans="1:46" ht="14.25">
      <c r="AP212" s="313"/>
    </row>
    <row r="213" spans="1:46" ht="15.75">
      <c r="A213" t="s">
        <v>1318</v>
      </c>
      <c r="C213" s="3"/>
      <c r="D213" s="3"/>
      <c r="E213" s="3"/>
      <c r="F213" s="3"/>
      <c r="G213" s="3"/>
      <c r="H213" s="3"/>
      <c r="I213" s="3"/>
      <c r="J213" s="3" t="s">
        <v>943</v>
      </c>
      <c r="K213" s="3" t="s">
        <v>1540</v>
      </c>
      <c r="L213" s="226" t="s">
        <v>1434</v>
      </c>
      <c r="M213" s="226" t="s">
        <v>1479</v>
      </c>
      <c r="O213" s="263" t="str">
        <f>AI213</f>
        <v>209/22:54</v>
      </c>
      <c r="P213" s="179" t="str">
        <f>MID(AL213,5,5)</f>
        <v>209_2</v>
      </c>
      <c r="Q213" s="237">
        <f>R198-3</f>
        <v>601814786.66621947</v>
      </c>
      <c r="R213" s="104">
        <f>((W213)/$X$9)+Q213</f>
        <v>601824016.27321386</v>
      </c>
      <c r="S213" s="104">
        <f t="shared" ref="S213:S220" si="76">R213-Q213</f>
        <v>9229.6069943904877</v>
      </c>
      <c r="T213" s="104">
        <f>S213*$X$9</f>
        <v>34111.999999914609</v>
      </c>
      <c r="U213" s="3">
        <v>0</v>
      </c>
      <c r="V213" s="97">
        <f t="shared" ref="V213:V220" si="77">T213+U213*$V$33</f>
        <v>34111.999999914609</v>
      </c>
      <c r="W213" s="97">
        <f>AA213*1000000/8</f>
        <v>34112</v>
      </c>
      <c r="X213" s="266">
        <f t="shared" ref="X213:X220" si="78">W213-V213</f>
        <v>8.5390638560056686E-8</v>
      </c>
      <c r="Y213" s="266"/>
      <c r="Z213" s="266"/>
      <c r="AA213" s="256">
        <f>AR213</f>
        <v>0.27289600000000003</v>
      </c>
      <c r="AB213" s="229"/>
      <c r="AC213" s="308">
        <f>AA208+AK213</f>
        <v>0.27289599999931685</v>
      </c>
      <c r="AH213" s="178" t="str">
        <f>AL213</f>
        <v>TRK_209_2</v>
      </c>
      <c r="AI213" s="192" t="s">
        <v>1480</v>
      </c>
      <c r="AJ213" s="232">
        <f t="shared" ref="AJ213:AJ220" si="79">X213*8/1000000</f>
        <v>6.8312510848045349E-13</v>
      </c>
      <c r="AK213" s="232">
        <f t="shared" ref="AK213:AK220" si="80">V213*8/1000000</f>
        <v>0.27289599999931685</v>
      </c>
      <c r="AL213" t="s">
        <v>1481</v>
      </c>
      <c r="AM213" t="s">
        <v>1482</v>
      </c>
      <c r="AN213">
        <v>0.67269000000000001</v>
      </c>
      <c r="AO213">
        <v>9</v>
      </c>
      <c r="AP213">
        <v>0.70681099999999997</v>
      </c>
      <c r="AQ213">
        <v>3.4112000000000003E-2</v>
      </c>
      <c r="AR213" s="313">
        <f>AQ213*8</f>
        <v>0.27289600000000003</v>
      </c>
      <c r="AS213">
        <v>0.30018699999999998</v>
      </c>
      <c r="AT213">
        <f>AS213</f>
        <v>0.30018699999999998</v>
      </c>
    </row>
    <row r="214" spans="1:46" ht="15.75">
      <c r="A214" t="s">
        <v>1483</v>
      </c>
      <c r="C214" s="3"/>
      <c r="D214" s="3"/>
      <c r="E214" s="3"/>
      <c r="F214" s="3"/>
      <c r="G214" s="3"/>
      <c r="H214" s="3"/>
      <c r="I214" s="3"/>
      <c r="J214" s="3" t="s">
        <v>943</v>
      </c>
      <c r="K214" s="3" t="s">
        <v>1540</v>
      </c>
      <c r="L214" s="226" t="s">
        <v>1484</v>
      </c>
      <c r="M214" s="226" t="s">
        <v>1485</v>
      </c>
      <c r="N214" t="s">
        <v>1544</v>
      </c>
      <c r="O214" s="263" t="str">
        <f>AI214</f>
        <v>210/20:49</v>
      </c>
      <c r="P214" s="179" t="str">
        <f>MID(AL214,5,5)</f>
        <v>210_2</v>
      </c>
      <c r="Q214" s="237">
        <f>R208-20</f>
        <v>615306096</v>
      </c>
      <c r="R214" s="104">
        <f>R211+20</f>
        <v>615339021</v>
      </c>
      <c r="S214" s="104">
        <f t="shared" si="76"/>
        <v>32925</v>
      </c>
      <c r="T214" s="104">
        <f>W214</f>
        <v>845631</v>
      </c>
      <c r="U214" s="3">
        <v>0</v>
      </c>
      <c r="V214" s="97">
        <f t="shared" si="77"/>
        <v>845631</v>
      </c>
      <c r="W214" s="97">
        <f>AA214*1000000/8</f>
        <v>845631</v>
      </c>
      <c r="X214" s="266">
        <f t="shared" si="78"/>
        <v>0</v>
      </c>
      <c r="Y214" s="266"/>
      <c r="Z214" s="266"/>
      <c r="AA214" s="256">
        <f>AR214</f>
        <v>6.7650480000000002</v>
      </c>
      <c r="AB214" s="229"/>
      <c r="AC214" s="308">
        <f>AC213+AK214</f>
        <v>7.0379439999993174</v>
      </c>
      <c r="AH214" s="178" t="str">
        <f>AL214</f>
        <v>TRK_210_2</v>
      </c>
      <c r="AI214" s="192" t="s">
        <v>1486</v>
      </c>
      <c r="AJ214" s="232">
        <f t="shared" si="79"/>
        <v>0</v>
      </c>
      <c r="AK214" s="232">
        <f t="shared" si="80"/>
        <v>6.7650480000000002</v>
      </c>
      <c r="AL214" t="s">
        <v>1487</v>
      </c>
      <c r="AM214" t="s">
        <v>1488</v>
      </c>
      <c r="AN214">
        <v>0.55793000000000004</v>
      </c>
      <c r="AO214">
        <v>7</v>
      </c>
      <c r="AP214">
        <v>1.4035679999999999</v>
      </c>
      <c r="AQ214">
        <v>0.84563100000000002</v>
      </c>
      <c r="AR214" s="313">
        <f>AQ214*8</f>
        <v>6.7650480000000002</v>
      </c>
      <c r="AS214">
        <v>7.4415480000000001</v>
      </c>
      <c r="AT214">
        <f>AS214+AS213</f>
        <v>7.7417350000000003</v>
      </c>
    </row>
    <row r="215" spans="1:46" ht="15.75">
      <c r="A215" t="s">
        <v>1318</v>
      </c>
      <c r="C215" s="3"/>
      <c r="D215" s="3"/>
      <c r="E215" s="3"/>
      <c r="F215" s="3"/>
      <c r="G215" s="3"/>
      <c r="H215" s="3"/>
      <c r="I215" s="3"/>
      <c r="J215" s="3" t="s">
        <v>943</v>
      </c>
      <c r="K215" s="3" t="s">
        <v>1540</v>
      </c>
      <c r="L215" s="226" t="s">
        <v>1479</v>
      </c>
      <c r="M215" s="226" t="s">
        <v>1489</v>
      </c>
      <c r="O215" s="263" t="str">
        <f>AI215</f>
        <v>211/13:39</v>
      </c>
      <c r="P215" s="179" t="str">
        <f>MID(AL215,5,5)</f>
        <v>211_1</v>
      </c>
      <c r="Q215" s="237">
        <f>R213-3</f>
        <v>601824013.27321386</v>
      </c>
      <c r="R215" s="104">
        <f>((W215)/$X$9)+Q215</f>
        <v>602046790.36870468</v>
      </c>
      <c r="S215" s="104">
        <f t="shared" si="76"/>
        <v>222777.09549081326</v>
      </c>
      <c r="T215" s="104">
        <f>S215*$X$9</f>
        <v>823368.99999992386</v>
      </c>
      <c r="U215" s="3">
        <v>0</v>
      </c>
      <c r="V215" s="97">
        <f t="shared" si="77"/>
        <v>823368.99999992386</v>
      </c>
      <c r="W215" s="97">
        <f>AA215*1000000/8</f>
        <v>823369</v>
      </c>
      <c r="X215" s="266">
        <f t="shared" si="78"/>
        <v>7.6135620474815369E-8</v>
      </c>
      <c r="Y215" s="266"/>
      <c r="Z215" s="266"/>
      <c r="AA215" s="256">
        <f>AR215</f>
        <v>6.5869520000000001</v>
      </c>
      <c r="AB215" s="229"/>
      <c r="AC215" s="308">
        <f>AC214+AK215</f>
        <v>13.624895999998708</v>
      </c>
      <c r="AH215" s="178" t="str">
        <f>AL215</f>
        <v>TRK_211_1</v>
      </c>
      <c r="AI215" s="192" t="s">
        <v>1490</v>
      </c>
      <c r="AJ215" s="232">
        <f t="shared" si="79"/>
        <v>6.0908496379852291E-13</v>
      </c>
      <c r="AK215" s="232">
        <f t="shared" si="80"/>
        <v>6.5869519999993908</v>
      </c>
      <c r="AL215" t="s">
        <v>651</v>
      </c>
      <c r="AM215" t="s">
        <v>1491</v>
      </c>
      <c r="AN215">
        <v>0.24687999999999999</v>
      </c>
      <c r="AO215">
        <v>0</v>
      </c>
      <c r="AP215">
        <v>1.070249</v>
      </c>
      <c r="AQ215">
        <v>0.82336900000000002</v>
      </c>
      <c r="AR215" s="313">
        <f>AQ215*8</f>
        <v>6.5869520000000001</v>
      </c>
      <c r="AS215">
        <v>7.2456469999999999</v>
      </c>
      <c r="AT215">
        <f>AS215+AS214</f>
        <v>14.687194999999999</v>
      </c>
    </row>
    <row r="216" spans="1:46" ht="15.75">
      <c r="A216" t="s">
        <v>1318</v>
      </c>
      <c r="C216" s="3"/>
      <c r="D216" s="3"/>
      <c r="E216" s="3"/>
      <c r="F216" s="3"/>
      <c r="G216" s="3"/>
      <c r="H216" s="3"/>
      <c r="I216" s="3"/>
      <c r="J216" s="3" t="s">
        <v>943</v>
      </c>
      <c r="K216" s="3" t="s">
        <v>1540</v>
      </c>
      <c r="L216" s="226" t="s">
        <v>1489</v>
      </c>
      <c r="M216" s="226" t="s">
        <v>1492</v>
      </c>
      <c r="O216" s="263" t="str">
        <f>AI216</f>
        <v>212/08:19</v>
      </c>
      <c r="P216" s="179" t="str">
        <f>MID(AL216,5,5)</f>
        <v>212_1</v>
      </c>
      <c r="Q216" s="237">
        <f>R215-3</f>
        <v>602046787.36870468</v>
      </c>
      <c r="R216" s="104">
        <f>((W216)/$X$9)+Q216</f>
        <v>602076916.71076822</v>
      </c>
      <c r="S216" s="104">
        <f t="shared" si="76"/>
        <v>30129.342063546181</v>
      </c>
      <c r="T216" s="104">
        <f>S216*$X$9</f>
        <v>111356.0000001915</v>
      </c>
      <c r="U216" s="3">
        <v>0</v>
      </c>
      <c r="V216" s="97">
        <f t="shared" si="77"/>
        <v>111356.0000001915</v>
      </c>
      <c r="W216" s="97">
        <f>AA216*1000000/8</f>
        <v>111356</v>
      </c>
      <c r="X216" s="266">
        <f t="shared" si="78"/>
        <v>-1.9150320440530777E-7</v>
      </c>
      <c r="Y216" s="266"/>
      <c r="Z216" s="266"/>
      <c r="AA216" s="256">
        <f>AR216</f>
        <v>0.89084799999999997</v>
      </c>
      <c r="AB216" s="229"/>
      <c r="AC216" s="308">
        <f>AC215+AK216</f>
        <v>14.51574400000024</v>
      </c>
      <c r="AH216" s="178" t="str">
        <f>AL216</f>
        <v>TRK_212_1</v>
      </c>
      <c r="AI216" s="192" t="s">
        <v>1493</v>
      </c>
      <c r="AJ216" s="232">
        <f t="shared" si="79"/>
        <v>-1.5320256352424621E-12</v>
      </c>
      <c r="AK216" s="232">
        <f t="shared" si="80"/>
        <v>0.89084800000153208</v>
      </c>
      <c r="AL216" t="s">
        <v>1494</v>
      </c>
      <c r="AM216" t="s">
        <v>1495</v>
      </c>
      <c r="AN216">
        <v>0.26268999999999998</v>
      </c>
      <c r="AO216">
        <v>7</v>
      </c>
      <c r="AP216">
        <v>0.37405300000000002</v>
      </c>
      <c r="AQ216">
        <v>0.111356</v>
      </c>
      <c r="AR216" s="313">
        <f>AQ216*8</f>
        <v>0.89084799999999997</v>
      </c>
      <c r="AS216">
        <v>0.97992999999999997</v>
      </c>
      <c r="AT216">
        <f>AS216+AS215</f>
        <v>8.2255769999999995</v>
      </c>
    </row>
    <row r="217" spans="1:46" ht="15.75">
      <c r="A217" t="s">
        <v>1398</v>
      </c>
      <c r="C217" s="3">
        <v>103</v>
      </c>
      <c r="D217" s="3">
        <v>105</v>
      </c>
      <c r="E217" s="3" t="s">
        <v>766</v>
      </c>
      <c r="F217" s="3" t="s">
        <v>764</v>
      </c>
      <c r="G217" s="3"/>
      <c r="H217" s="3" t="s">
        <v>768</v>
      </c>
      <c r="I217" s="3" t="s">
        <v>769</v>
      </c>
      <c r="J217" s="3"/>
      <c r="L217" s="257" t="s">
        <v>1407</v>
      </c>
      <c r="M217" s="257" t="s">
        <v>1496</v>
      </c>
      <c r="N217" t="s">
        <v>167</v>
      </c>
      <c r="O217" s="263" t="str">
        <f>AI217</f>
        <v>212/20:54</v>
      </c>
      <c r="P217" s="179" t="str">
        <f>MID(AL217,5,5)</f>
        <v>212_2</v>
      </c>
      <c r="Q217" s="237">
        <f>R191-1</f>
        <v>615335512</v>
      </c>
      <c r="R217" s="307">
        <f>R194+20</f>
        <v>615338942</v>
      </c>
      <c r="S217" s="104">
        <f t="shared" si="76"/>
        <v>3430</v>
      </c>
      <c r="T217" s="104">
        <f>S217*$V$17</f>
        <v>7288.3331597222032</v>
      </c>
      <c r="U217" s="3">
        <v>0</v>
      </c>
      <c r="V217" s="142">
        <f t="shared" si="77"/>
        <v>7288.3331597222032</v>
      </c>
      <c r="W217" s="97">
        <f>AA217*1000000/8</f>
        <v>1095433</v>
      </c>
      <c r="X217" s="266">
        <f t="shared" si="78"/>
        <v>1088144.6668402778</v>
      </c>
      <c r="Y217" s="318">
        <f>S217*$V$28+U217*$V$33</f>
        <v>6410.8843750000005</v>
      </c>
      <c r="Z217" s="319">
        <f>Y217/V217</f>
        <v>0.87960912797300739</v>
      </c>
      <c r="AA217" s="256">
        <f>AR217</f>
        <v>8.7634640000000008</v>
      </c>
      <c r="AB217" s="229"/>
      <c r="AC217" s="229"/>
      <c r="AD217" s="297">
        <f>AK217</f>
        <v>5.8306665277777628E-2</v>
      </c>
      <c r="AE217" s="297"/>
      <c r="AF217" s="297"/>
      <c r="AG217" s="297"/>
      <c r="AH217" s="178" t="str">
        <f>AL217</f>
        <v>TRK_212_2</v>
      </c>
      <c r="AI217" s="192" t="s">
        <v>1497</v>
      </c>
      <c r="AJ217" s="232">
        <f t="shared" si="79"/>
        <v>8.7051573347222231</v>
      </c>
      <c r="AK217" s="232">
        <f t="shared" si="80"/>
        <v>5.8306665277777628E-2</v>
      </c>
      <c r="AL217" t="s">
        <v>1498</v>
      </c>
      <c r="AM217" t="s">
        <v>1499</v>
      </c>
      <c r="AN217">
        <v>0.22791</v>
      </c>
      <c r="AO217">
        <v>1</v>
      </c>
      <c r="AP217">
        <v>1.3233440000000001</v>
      </c>
      <c r="AQ217">
        <v>1.0954330000000001</v>
      </c>
      <c r="AR217" s="313">
        <f>AQ217*8</f>
        <v>8.7634640000000008</v>
      </c>
      <c r="AS217">
        <v>9.6398080000000004</v>
      </c>
      <c r="AT217">
        <f>AS217+AS216</f>
        <v>10.619738</v>
      </c>
    </row>
    <row r="218" spans="1:46" ht="15.75">
      <c r="A218" t="s">
        <v>1500</v>
      </c>
      <c r="C218" s="3"/>
      <c r="D218" s="3"/>
      <c r="E218" s="3" t="s">
        <v>766</v>
      </c>
      <c r="F218" s="3" t="s">
        <v>764</v>
      </c>
      <c r="G218" s="3" t="s">
        <v>765</v>
      </c>
      <c r="H218" s="3"/>
      <c r="I218" s="3"/>
      <c r="J218" s="3"/>
      <c r="K218" s="388" t="s">
        <v>1501</v>
      </c>
      <c r="L218" s="257" t="s">
        <v>1502</v>
      </c>
      <c r="M218" s="257" t="s">
        <v>1503</v>
      </c>
      <c r="O218" s="263"/>
      <c r="P218" s="179"/>
      <c r="Q218" s="303">
        <f>R200-20</f>
        <v>615780396</v>
      </c>
      <c r="R218" s="307">
        <f>R223</f>
        <v>615857156</v>
      </c>
      <c r="S218" s="104">
        <f t="shared" si="76"/>
        <v>76760</v>
      </c>
      <c r="T218" s="104">
        <f>S218*$V$15</f>
        <v>132922.73333333287</v>
      </c>
      <c r="U218" s="3">
        <v>1</v>
      </c>
      <c r="V218" s="142">
        <f t="shared" si="77"/>
        <v>330297.73333333287</v>
      </c>
      <c r="W218" s="142">
        <f>X217</f>
        <v>1088144.6668402778</v>
      </c>
      <c r="X218" s="266">
        <f t="shared" si="78"/>
        <v>757846.93350694492</v>
      </c>
      <c r="Y218" s="318">
        <f>S218*$V$28+U218*$V$33</f>
        <v>340844.23750000005</v>
      </c>
      <c r="Z218" s="319">
        <f>Y218/V218</f>
        <v>1.0319302953133613</v>
      </c>
      <c r="AA218" s="256"/>
      <c r="AB218" s="229"/>
      <c r="AC218" s="229"/>
      <c r="AD218" s="297">
        <f>AK218+AD217</f>
        <v>2.7006885319444409</v>
      </c>
      <c r="AE218" s="297"/>
      <c r="AF218" s="297"/>
      <c r="AG218" s="297"/>
      <c r="AH218" s="178"/>
      <c r="AI218" s="192"/>
      <c r="AJ218" s="232">
        <f t="shared" si="79"/>
        <v>6.062775468055559</v>
      </c>
      <c r="AK218" s="232">
        <f t="shared" si="80"/>
        <v>2.6423818666666632</v>
      </c>
    </row>
    <row r="219" spans="1:46" ht="15.75">
      <c r="A219" t="s">
        <v>1504</v>
      </c>
      <c r="C219" s="3">
        <v>104</v>
      </c>
      <c r="D219" s="3">
        <v>105</v>
      </c>
      <c r="E219" s="3" t="s">
        <v>766</v>
      </c>
      <c r="F219" s="3" t="s">
        <v>764</v>
      </c>
      <c r="G219" s="3"/>
      <c r="H219" s="3" t="s">
        <v>768</v>
      </c>
      <c r="I219" s="3" t="s">
        <v>769</v>
      </c>
      <c r="J219" s="3"/>
      <c r="L219" s="257" t="s">
        <v>1503</v>
      </c>
      <c r="M219" s="257" t="s">
        <v>1505</v>
      </c>
      <c r="O219" s="263"/>
      <c r="P219" s="179" t="str">
        <f>MID(AL219,5,5)</f>
        <v/>
      </c>
      <c r="Q219" s="237">
        <f>R218-1</f>
        <v>615857155</v>
      </c>
      <c r="R219" s="104">
        <f>((W219-U219*$V$33)/$V$21)+Q219</f>
        <v>616280773.53132844</v>
      </c>
      <c r="S219" s="104">
        <f t="shared" si="76"/>
        <v>423618.53132843971</v>
      </c>
      <c r="T219" s="104">
        <f>S219*$V$21</f>
        <v>757846.93350702629</v>
      </c>
      <c r="U219" s="3">
        <v>0</v>
      </c>
      <c r="V219" s="142">
        <f t="shared" si="77"/>
        <v>757846.93350702629</v>
      </c>
      <c r="W219" s="314">
        <f>X218</f>
        <v>757846.93350694492</v>
      </c>
      <c r="X219" s="266">
        <f t="shared" si="78"/>
        <v>-8.1374309957027435E-8</v>
      </c>
      <c r="Y219" s="318">
        <f>S219*$V$28+U219*$V$33</f>
        <v>791769.51121106185</v>
      </c>
      <c r="Z219" s="319">
        <f>Y219/V219</f>
        <v>1.044761779990393</v>
      </c>
      <c r="AA219" s="256"/>
      <c r="AB219" s="229"/>
      <c r="AC219" s="229"/>
      <c r="AD219" s="297">
        <f>AK219+AD218</f>
        <v>8.763464000000651</v>
      </c>
      <c r="AE219" s="297"/>
      <c r="AF219" s="297"/>
      <c r="AG219" s="297"/>
      <c r="AJ219" s="232">
        <f t="shared" si="79"/>
        <v>-6.5099447965621945E-13</v>
      </c>
      <c r="AK219" s="232">
        <f t="shared" si="80"/>
        <v>6.06277546805621</v>
      </c>
    </row>
    <row r="220" spans="1:46" ht="15.75">
      <c r="J220" s="3" t="s">
        <v>943</v>
      </c>
      <c r="K220" s="3" t="s">
        <v>1540</v>
      </c>
      <c r="L220" s="226" t="str">
        <f>M216</f>
        <v>048/05:43</v>
      </c>
      <c r="M220" s="226" t="s">
        <v>1507</v>
      </c>
      <c r="O220" s="263" t="str">
        <f>AI220</f>
        <v>213/11:49</v>
      </c>
      <c r="P220" s="179" t="str">
        <f>MID(AL220,5,5)</f>
        <v>213_1</v>
      </c>
      <c r="Q220" s="237">
        <f>R216-3</f>
        <v>602076913.71076822</v>
      </c>
      <c r="R220" s="104">
        <f>((W220)/$X$9)+Q220</f>
        <v>602366037.53526711</v>
      </c>
      <c r="S220" s="104">
        <f t="shared" si="76"/>
        <v>289123.82449889183</v>
      </c>
      <c r="T220" s="104">
        <f>S220*$X$9</f>
        <v>1068582.0000001879</v>
      </c>
      <c r="U220" s="3">
        <v>0</v>
      </c>
      <c r="V220" s="97">
        <f t="shared" si="77"/>
        <v>1068582.0000001879</v>
      </c>
      <c r="W220" s="97">
        <f>AA220*1000000/8</f>
        <v>1068582</v>
      </c>
      <c r="X220" s="266">
        <f t="shared" si="78"/>
        <v>-1.8789432942867279E-7</v>
      </c>
      <c r="Y220" s="266"/>
      <c r="Z220" s="266"/>
      <c r="AA220" s="256">
        <f>AR220</f>
        <v>8.5486559999999994</v>
      </c>
      <c r="AB220" s="229"/>
      <c r="AC220" s="308">
        <f>AA220+AC216</f>
        <v>23.064400000000241</v>
      </c>
      <c r="AD220" s="239">
        <f>AD219+AD218+AD217</f>
        <v>11.52245919722287</v>
      </c>
      <c r="AH220" s="178" t="str">
        <f>AL220</f>
        <v>TRK_213_1</v>
      </c>
      <c r="AI220" s="192" t="s">
        <v>1508</v>
      </c>
      <c r="AJ220" s="232">
        <f t="shared" si="79"/>
        <v>-1.5031546354293823E-12</v>
      </c>
      <c r="AK220" s="232">
        <f t="shared" si="80"/>
        <v>8.5486560000015039</v>
      </c>
      <c r="AL220" t="s">
        <v>664</v>
      </c>
      <c r="AM220" t="s">
        <v>1509</v>
      </c>
      <c r="AN220">
        <v>0.38590999999999998</v>
      </c>
      <c r="AO220">
        <v>0</v>
      </c>
      <c r="AP220">
        <v>1.4544919999999999</v>
      </c>
      <c r="AQ220">
        <v>1.0685819999999999</v>
      </c>
      <c r="AR220" s="313">
        <f>AQ220*8</f>
        <v>8.5486559999999994</v>
      </c>
      <c r="AS220">
        <v>9.4035250000000001</v>
      </c>
      <c r="AT220">
        <f>AS220+AS217</f>
        <v>19.043333000000001</v>
      </c>
    </row>
    <row r="221" spans="1:46" ht="14.25">
      <c r="AB221">
        <f>AD220+119</f>
        <v>130.52245919722287</v>
      </c>
      <c r="AC221" s="3" t="s">
        <v>1545</v>
      </c>
      <c r="AD221" s="3">
        <v>12</v>
      </c>
      <c r="AE221">
        <f>38-AD221</f>
        <v>26</v>
      </c>
    </row>
    <row r="222" spans="1:46" ht="14.25">
      <c r="I222">
        <f>7*2.55</f>
        <v>17.849999999999998</v>
      </c>
      <c r="M222">
        <f>(M223-18)*60</f>
        <v>39.87738947405262</v>
      </c>
      <c r="AB222">
        <f>AB221*0.12</f>
        <v>15.662695103666744</v>
      </c>
      <c r="AC222" s="3">
        <v>13</v>
      </c>
      <c r="AD222" s="3">
        <v>13</v>
      </c>
      <c r="AL222" s="315" t="s">
        <v>1510</v>
      </c>
      <c r="AM222" s="315" t="s">
        <v>1511</v>
      </c>
      <c r="AN222" s="315">
        <v>0.86926000000000003</v>
      </c>
      <c r="AO222" s="315">
        <v>4</v>
      </c>
      <c r="AP222" s="315">
        <v>2.0916389999999998</v>
      </c>
      <c r="AQ222" s="315">
        <v>1.222375</v>
      </c>
      <c r="AR222" s="313">
        <f>AQ222*8</f>
        <v>9.7789999999999999</v>
      </c>
      <c r="AS222" s="315">
        <v>10.756899000000001</v>
      </c>
    </row>
    <row r="223" spans="1:46" ht="14.25">
      <c r="A223">
        <f>0.00087256</f>
        <v>8.7255999999999998E-4</v>
      </c>
      <c r="M223">
        <f>M224*60</f>
        <v>18.664623157900877</v>
      </c>
      <c r="P223" s="81" t="s">
        <v>1514</v>
      </c>
      <c r="Q223" s="81" t="s">
        <v>1515</v>
      </c>
      <c r="R223" s="81">
        <v>615857156</v>
      </c>
      <c r="S223" s="81">
        <v>0</v>
      </c>
      <c r="T223" s="81" t="s">
        <v>1124</v>
      </c>
      <c r="U223" s="81" t="s">
        <v>1516</v>
      </c>
      <c r="V223" s="81" t="s">
        <v>1517</v>
      </c>
      <c r="W223" s="81"/>
      <c r="X223" s="81" t="s">
        <v>1518</v>
      </c>
      <c r="AC223">
        <f>AC222/2.55</f>
        <v>5.098039215686275</v>
      </c>
      <c r="AD223" t="s">
        <v>1546</v>
      </c>
      <c r="AL223" s="315" t="s">
        <v>1512</v>
      </c>
      <c r="AM223" s="315" t="s">
        <v>1513</v>
      </c>
      <c r="AN223" s="315">
        <v>0.24697</v>
      </c>
      <c r="AO223" s="315">
        <v>1</v>
      </c>
      <c r="AP223" s="315">
        <v>2.9744730000000001</v>
      </c>
      <c r="AQ223" s="315">
        <v>2.7275019999999999</v>
      </c>
      <c r="AR223" s="313">
        <f>AQ223*8</f>
        <v>21.820015999999999</v>
      </c>
      <c r="AS223" s="315">
        <v>24.002020000000002</v>
      </c>
    </row>
    <row r="224" spans="1:46" ht="14.25">
      <c r="A224">
        <f>A223*4</f>
        <v>3.4902399999999999E-3</v>
      </c>
      <c r="M224">
        <f>M225-13</f>
        <v>0.31107705263168128</v>
      </c>
      <c r="P224" s="81" t="s">
        <v>1521</v>
      </c>
      <c r="Q224" s="81" t="s">
        <v>1522</v>
      </c>
      <c r="R224" s="81">
        <v>615857159</v>
      </c>
      <c r="S224" s="81">
        <v>0</v>
      </c>
      <c r="T224" s="81" t="s">
        <v>1124</v>
      </c>
      <c r="U224" s="81" t="s">
        <v>1516</v>
      </c>
      <c r="V224" s="81" t="s">
        <v>1523</v>
      </c>
      <c r="W224" s="81"/>
      <c r="X224" s="81" t="s">
        <v>1518</v>
      </c>
      <c r="AC224" t="s">
        <v>1547</v>
      </c>
      <c r="AL224" s="315" t="s">
        <v>1519</v>
      </c>
      <c r="AM224" s="315" t="s">
        <v>1520</v>
      </c>
      <c r="AN224" s="315">
        <v>0.52649000000000001</v>
      </c>
      <c r="AO224" s="315">
        <v>1</v>
      </c>
      <c r="AP224" s="315">
        <v>1.3696569999999999</v>
      </c>
      <c r="AQ224" s="315">
        <v>0.84316599999999997</v>
      </c>
      <c r="AR224" s="313">
        <f>AQ224*8</f>
        <v>6.7453279999999998</v>
      </c>
      <c r="AS224" s="315">
        <v>7.4198620000000002</v>
      </c>
    </row>
    <row r="225" spans="1:45" ht="14.25">
      <c r="K225" t="s">
        <v>1548</v>
      </c>
      <c r="L225" t="s">
        <v>1549</v>
      </c>
      <c r="M225">
        <f>M226-48</f>
        <v>13.311077052631681</v>
      </c>
      <c r="P225" s="81" t="s">
        <v>1526</v>
      </c>
      <c r="Q225" s="81" t="s">
        <v>1527</v>
      </c>
      <c r="R225" s="81">
        <v>615857162</v>
      </c>
      <c r="S225" s="81">
        <v>0</v>
      </c>
      <c r="T225" s="81" t="s">
        <v>1124</v>
      </c>
      <c r="U225" s="81" t="s">
        <v>1516</v>
      </c>
      <c r="V225" s="81" t="s">
        <v>1528</v>
      </c>
      <c r="W225" s="81"/>
      <c r="X225" s="81" t="s">
        <v>1518</v>
      </c>
      <c r="AL225" s="315" t="s">
        <v>1524</v>
      </c>
      <c r="AM225" s="315" t="s">
        <v>1525</v>
      </c>
      <c r="AN225" s="315">
        <v>0.27113999999999999</v>
      </c>
      <c r="AO225" s="315">
        <v>5</v>
      </c>
      <c r="AP225" s="315">
        <v>0.32642500000000002</v>
      </c>
      <c r="AQ225" s="315">
        <v>5.5280000000000003E-2</v>
      </c>
      <c r="AR225" s="313">
        <f>AQ225*8</f>
        <v>0.44224000000000002</v>
      </c>
      <c r="AS225" s="315">
        <v>0.48646099999999998</v>
      </c>
    </row>
    <row r="226" spans="1:45" ht="14.25">
      <c r="M226">
        <f>M227*24</f>
        <v>61.311077052631681</v>
      </c>
      <c r="P226" s="81" t="s">
        <v>1529</v>
      </c>
      <c r="Q226" s="81" t="s">
        <v>1530</v>
      </c>
      <c r="R226" s="81">
        <v>615857165</v>
      </c>
      <c r="S226" s="81">
        <v>0</v>
      </c>
      <c r="T226" s="81" t="s">
        <v>1124</v>
      </c>
      <c r="U226" s="81" t="s">
        <v>1516</v>
      </c>
      <c r="V226" s="81" t="s">
        <v>1164</v>
      </c>
      <c r="W226" s="81"/>
      <c r="X226" s="81" t="s">
        <v>1518</v>
      </c>
      <c r="AC226" s="3">
        <f>36</f>
        <v>36</v>
      </c>
      <c r="AD226" s="3">
        <f>11+12+13</f>
        <v>36</v>
      </c>
      <c r="AN226">
        <f>AN225+AN224+AN223+AN222</f>
        <v>1.9138600000000001</v>
      </c>
      <c r="AR226">
        <f>SUM(AR222:AR225)</f>
        <v>38.786583999999998</v>
      </c>
      <c r="AS226" s="316">
        <f>SUM(AQ207:AQ222)</f>
        <v>5.2008580000000002</v>
      </c>
    </row>
    <row r="227" spans="1:45" ht="14.25">
      <c r="A227" s="321" t="s">
        <v>1550</v>
      </c>
      <c r="M227">
        <v>2.5546282105263201</v>
      </c>
      <c r="P227" s="81" t="s">
        <v>1531</v>
      </c>
      <c r="Q227" s="81" t="s">
        <v>1532</v>
      </c>
      <c r="R227" s="81">
        <v>615857756</v>
      </c>
      <c r="S227" s="81">
        <v>0</v>
      </c>
      <c r="T227" s="81" t="s">
        <v>1124</v>
      </c>
      <c r="U227" s="81" t="s">
        <v>1516</v>
      </c>
      <c r="V227" s="81" t="s">
        <v>1533</v>
      </c>
      <c r="W227" s="81"/>
      <c r="X227" s="81" t="s">
        <v>1518</v>
      </c>
      <c r="AF227" t="s">
        <v>1551</v>
      </c>
    </row>
    <row r="229" spans="1:45" ht="13.5" customHeight="1">
      <c r="A229" t="s">
        <v>1318</v>
      </c>
      <c r="C229" s="3"/>
      <c r="D229" s="3"/>
      <c r="E229" s="3"/>
      <c r="F229" s="3"/>
      <c r="G229" s="3"/>
      <c r="H229" s="3"/>
      <c r="I229" s="3"/>
      <c r="J229" s="3" t="s">
        <v>943</v>
      </c>
      <c r="K229" s="3" t="s">
        <v>1540</v>
      </c>
      <c r="L229" s="226" t="str">
        <f>M220</f>
        <v>051/14:02</v>
      </c>
      <c r="M229" s="226" t="s">
        <v>1552</v>
      </c>
      <c r="O229" s="263" t="s">
        <v>1116</v>
      </c>
      <c r="P229" s="322"/>
      <c r="Q229" s="264">
        <f>R220-3</f>
        <v>602366034.53526711</v>
      </c>
      <c r="R229" s="143">
        <f t="shared" ref="R229:R240" si="81">((W229)/$X$9)+Q229</f>
        <v>602501318.40889537</v>
      </c>
      <c r="S229" s="104">
        <f t="shared" ref="S229:S240" si="82">R229-Q229</f>
        <v>135283.87362825871</v>
      </c>
      <c r="T229" s="104">
        <f t="shared" ref="T229:T240" si="83">S229*$X$9</f>
        <v>500000.00000003958</v>
      </c>
      <c r="U229" s="3">
        <v>0</v>
      </c>
      <c r="V229" s="97">
        <f t="shared" ref="V229:V240" si="84">T229+U229*$V$33</f>
        <v>500000.00000003958</v>
      </c>
      <c r="W229" s="97">
        <f t="shared" ref="W229:W240" si="85">AA229*1000000/8</f>
        <v>500000</v>
      </c>
      <c r="X229" s="266">
        <f t="shared" ref="X229:X240" si="86">W229-V229</f>
        <v>-3.9581209421157837E-8</v>
      </c>
      <c r="Y229" s="266"/>
      <c r="Z229" s="266"/>
      <c r="AA229" s="256">
        <v>4</v>
      </c>
      <c r="AB229" s="229"/>
      <c r="AC229" s="308">
        <f t="shared" ref="AC229:AC240" si="87">AC228+AK229</f>
        <v>4.0000000000003171</v>
      </c>
      <c r="AH229" s="178"/>
      <c r="AI229" s="192"/>
      <c r="AJ229" s="232">
        <f t="shared" ref="AJ229:AJ236" si="88">X229*8/1000000</f>
        <v>-3.1664967536926272E-13</v>
      </c>
      <c r="AK229" s="232">
        <f t="shared" ref="AK229:AK236" si="89">V229*8/1000000</f>
        <v>4.0000000000003171</v>
      </c>
    </row>
    <row r="230" spans="1:45" ht="13.5" customHeight="1">
      <c r="A230" t="s">
        <v>1318</v>
      </c>
      <c r="C230" s="3"/>
      <c r="D230" s="3"/>
      <c r="E230" s="3"/>
      <c r="F230" s="3"/>
      <c r="G230" s="3"/>
      <c r="H230" s="3"/>
      <c r="I230" s="3"/>
      <c r="J230" s="3" t="s">
        <v>943</v>
      </c>
      <c r="K230" s="3" t="s">
        <v>1540</v>
      </c>
      <c r="L230" s="226" t="str">
        <f t="shared" ref="L230:L240" si="90">M229</f>
        <v>053/03:37</v>
      </c>
      <c r="M230" s="226" t="s">
        <v>1553</v>
      </c>
      <c r="O230" s="263" t="s">
        <v>1116</v>
      </c>
      <c r="P230" s="322"/>
      <c r="Q230" s="264">
        <f t="shared" ref="Q230:Q240" si="91">R229-3</f>
        <v>602501315.40889537</v>
      </c>
      <c r="R230" s="143">
        <f t="shared" si="81"/>
        <v>602636599.28252363</v>
      </c>
      <c r="S230" s="104">
        <f t="shared" si="82"/>
        <v>135283.87362825871</v>
      </c>
      <c r="T230" s="104">
        <f t="shared" si="83"/>
        <v>500000.00000003958</v>
      </c>
      <c r="U230" s="3">
        <v>0</v>
      </c>
      <c r="V230" s="97">
        <f t="shared" si="84"/>
        <v>500000.00000003958</v>
      </c>
      <c r="W230" s="97">
        <f t="shared" si="85"/>
        <v>500000</v>
      </c>
      <c r="X230" s="266">
        <f t="shared" si="86"/>
        <v>-3.9581209421157837E-8</v>
      </c>
      <c r="Y230" s="266"/>
      <c r="Z230" s="266"/>
      <c r="AA230" s="256">
        <v>4</v>
      </c>
      <c r="AB230" s="229"/>
      <c r="AC230" s="308">
        <f t="shared" si="87"/>
        <v>8.0000000000006342</v>
      </c>
      <c r="AH230" s="178"/>
      <c r="AI230" s="192"/>
      <c r="AJ230" s="232">
        <f t="shared" si="88"/>
        <v>-3.1664967536926272E-13</v>
      </c>
      <c r="AK230" s="232">
        <f t="shared" si="89"/>
        <v>4.0000000000003171</v>
      </c>
    </row>
    <row r="231" spans="1:45" ht="13.5" customHeight="1">
      <c r="A231" t="s">
        <v>1318</v>
      </c>
      <c r="C231" s="3"/>
      <c r="D231" s="3"/>
      <c r="E231" s="3"/>
      <c r="F231" s="3"/>
      <c r="G231" s="3"/>
      <c r="H231" s="3"/>
      <c r="I231" s="3"/>
      <c r="J231" s="3" t="s">
        <v>943</v>
      </c>
      <c r="K231" s="3" t="s">
        <v>1540</v>
      </c>
      <c r="L231" s="226" t="str">
        <f t="shared" si="90"/>
        <v>054/17:11</v>
      </c>
      <c r="M231" s="226" t="s">
        <v>1554</v>
      </c>
      <c r="O231" s="263" t="s">
        <v>1116</v>
      </c>
      <c r="P231" s="322"/>
      <c r="Q231" s="264">
        <f t="shared" si="91"/>
        <v>602636596.28252363</v>
      </c>
      <c r="R231" s="143">
        <f t="shared" si="81"/>
        <v>602771880.15615189</v>
      </c>
      <c r="S231" s="104">
        <f t="shared" si="82"/>
        <v>135283.87362825871</v>
      </c>
      <c r="T231" s="104">
        <f t="shared" si="83"/>
        <v>500000.00000003958</v>
      </c>
      <c r="U231" s="3">
        <v>0</v>
      </c>
      <c r="V231" s="97">
        <f t="shared" si="84"/>
        <v>500000.00000003958</v>
      </c>
      <c r="W231" s="97">
        <f t="shared" si="85"/>
        <v>500000</v>
      </c>
      <c r="X231" s="266">
        <f t="shared" si="86"/>
        <v>-3.9581209421157837E-8</v>
      </c>
      <c r="Y231" s="266"/>
      <c r="Z231" s="266"/>
      <c r="AA231" s="256">
        <v>4</v>
      </c>
      <c r="AB231" s="229"/>
      <c r="AC231" s="308">
        <f t="shared" si="87"/>
        <v>12.000000000000952</v>
      </c>
      <c r="AH231" s="178"/>
      <c r="AI231" s="192"/>
      <c r="AJ231" s="232">
        <f t="shared" si="88"/>
        <v>-3.1664967536926272E-13</v>
      </c>
      <c r="AK231" s="232">
        <f t="shared" si="89"/>
        <v>4.0000000000003171</v>
      </c>
    </row>
    <row r="232" spans="1:45" ht="15.75">
      <c r="A232" t="s">
        <v>1318</v>
      </c>
      <c r="C232" s="3"/>
      <c r="D232" s="3"/>
      <c r="E232" s="3"/>
      <c r="F232" s="3"/>
      <c r="G232" s="3"/>
      <c r="H232" s="3"/>
      <c r="I232" s="3"/>
      <c r="J232" s="3" t="s">
        <v>943</v>
      </c>
      <c r="K232" s="3" t="s">
        <v>1540</v>
      </c>
      <c r="L232" s="226" t="str">
        <f t="shared" si="90"/>
        <v>056/05:46</v>
      </c>
      <c r="M232" s="226" t="s">
        <v>1555</v>
      </c>
      <c r="O232" s="263" t="s">
        <v>1116</v>
      </c>
      <c r="P232" s="322"/>
      <c r="Q232" s="264">
        <f t="shared" si="91"/>
        <v>602771877.15615189</v>
      </c>
      <c r="R232" s="143">
        <f t="shared" si="81"/>
        <v>602907161.02978015</v>
      </c>
      <c r="S232" s="104">
        <f t="shared" si="82"/>
        <v>135283.87362825871</v>
      </c>
      <c r="T232" s="104">
        <f t="shared" si="83"/>
        <v>500000.00000003958</v>
      </c>
      <c r="U232" s="3">
        <v>0</v>
      </c>
      <c r="V232" s="97">
        <f t="shared" si="84"/>
        <v>500000.00000003958</v>
      </c>
      <c r="W232" s="97">
        <f t="shared" si="85"/>
        <v>500000</v>
      </c>
      <c r="X232" s="266">
        <f t="shared" si="86"/>
        <v>-3.9581209421157837E-8</v>
      </c>
      <c r="Y232" s="266"/>
      <c r="Z232" s="266"/>
      <c r="AA232" s="256">
        <v>4</v>
      </c>
      <c r="AB232" s="229"/>
      <c r="AC232" s="308">
        <f t="shared" si="87"/>
        <v>16.000000000001268</v>
      </c>
      <c r="AH232" s="178"/>
      <c r="AI232" s="192"/>
      <c r="AJ232" s="232">
        <f t="shared" si="88"/>
        <v>-3.1664967536926272E-13</v>
      </c>
      <c r="AK232" s="232">
        <f t="shared" si="89"/>
        <v>4.0000000000003171</v>
      </c>
    </row>
    <row r="233" spans="1:45" ht="15.75">
      <c r="A233" t="s">
        <v>1318</v>
      </c>
      <c r="C233" s="3"/>
      <c r="D233" s="3"/>
      <c r="E233" s="3"/>
      <c r="F233" s="3"/>
      <c r="G233" s="3"/>
      <c r="H233" s="3"/>
      <c r="I233" s="3"/>
      <c r="J233" s="3" t="s">
        <v>943</v>
      </c>
      <c r="K233" s="3" t="s">
        <v>1540</v>
      </c>
      <c r="L233" s="226" t="str">
        <f t="shared" si="90"/>
        <v>057/20:21</v>
      </c>
      <c r="M233" s="226" t="s">
        <v>1556</v>
      </c>
      <c r="O233" s="263" t="s">
        <v>1116</v>
      </c>
      <c r="P233" s="322"/>
      <c r="Q233" s="264">
        <f t="shared" si="91"/>
        <v>602907158.02978015</v>
      </c>
      <c r="R233" s="143">
        <f t="shared" si="81"/>
        <v>603042441.90340841</v>
      </c>
      <c r="S233" s="104">
        <f t="shared" si="82"/>
        <v>135283.87362825871</v>
      </c>
      <c r="T233" s="104">
        <f t="shared" si="83"/>
        <v>500000.00000003958</v>
      </c>
      <c r="U233" s="3">
        <v>0</v>
      </c>
      <c r="V233" s="97">
        <f t="shared" si="84"/>
        <v>500000.00000003958</v>
      </c>
      <c r="W233" s="97">
        <f t="shared" si="85"/>
        <v>500000</v>
      </c>
      <c r="X233" s="266">
        <f t="shared" si="86"/>
        <v>-3.9581209421157837E-8</v>
      </c>
      <c r="Y233" s="266"/>
      <c r="Z233" s="266"/>
      <c r="AA233" s="256">
        <v>4</v>
      </c>
      <c r="AB233" s="229"/>
      <c r="AC233" s="308">
        <f t="shared" si="87"/>
        <v>20.000000000001585</v>
      </c>
      <c r="AH233" s="178"/>
      <c r="AI233" s="192"/>
      <c r="AJ233" s="232">
        <f t="shared" si="88"/>
        <v>-3.1664967536926272E-13</v>
      </c>
      <c r="AK233" s="232">
        <f t="shared" si="89"/>
        <v>4.0000000000003171</v>
      </c>
    </row>
    <row r="234" spans="1:45" ht="15.75">
      <c r="A234" t="s">
        <v>1318</v>
      </c>
      <c r="C234" s="3"/>
      <c r="D234" s="3"/>
      <c r="E234" s="3"/>
      <c r="F234" s="3"/>
      <c r="G234" s="3"/>
      <c r="H234" s="3"/>
      <c r="I234" s="3"/>
      <c r="J234" s="3" t="s">
        <v>943</v>
      </c>
      <c r="K234" s="3" t="s">
        <v>1540</v>
      </c>
      <c r="L234" s="226" t="str">
        <f t="shared" si="90"/>
        <v>059/09:55</v>
      </c>
      <c r="M234" s="226" t="s">
        <v>1557</v>
      </c>
      <c r="O234" s="263" t="s">
        <v>1116</v>
      </c>
      <c r="P234" s="322"/>
      <c r="Q234" s="264">
        <f t="shared" si="91"/>
        <v>603042438.90340841</v>
      </c>
      <c r="R234" s="143">
        <f t="shared" si="81"/>
        <v>603177722.77703667</v>
      </c>
      <c r="S234" s="104">
        <f t="shared" si="82"/>
        <v>135283.87362825871</v>
      </c>
      <c r="T234" s="104">
        <f t="shared" si="83"/>
        <v>500000.00000003958</v>
      </c>
      <c r="U234" s="3">
        <v>0</v>
      </c>
      <c r="V234" s="97">
        <f t="shared" si="84"/>
        <v>500000.00000003958</v>
      </c>
      <c r="W234" s="97">
        <f t="shared" si="85"/>
        <v>500000</v>
      </c>
      <c r="X234" s="266">
        <f t="shared" si="86"/>
        <v>-3.9581209421157837E-8</v>
      </c>
      <c r="Y234" s="266"/>
      <c r="Z234" s="266"/>
      <c r="AA234" s="256">
        <v>4</v>
      </c>
      <c r="AB234" s="229"/>
      <c r="AC234" s="308">
        <f t="shared" si="87"/>
        <v>24.000000000001901</v>
      </c>
      <c r="AH234" s="178"/>
      <c r="AI234" s="192"/>
      <c r="AJ234" s="232">
        <f t="shared" si="88"/>
        <v>-3.1664967536926272E-13</v>
      </c>
      <c r="AK234" s="232">
        <f t="shared" si="89"/>
        <v>4.0000000000003171</v>
      </c>
    </row>
    <row r="235" spans="1:45" ht="15.75">
      <c r="A235" t="s">
        <v>1318</v>
      </c>
      <c r="C235" s="3"/>
      <c r="D235" s="3"/>
      <c r="E235" s="3"/>
      <c r="F235" s="3"/>
      <c r="G235" s="3"/>
      <c r="H235" s="3"/>
      <c r="I235" s="3"/>
      <c r="J235" s="3" t="s">
        <v>943</v>
      </c>
      <c r="K235" s="3" t="s">
        <v>1540</v>
      </c>
      <c r="L235" s="226" t="str">
        <f t="shared" si="90"/>
        <v>060/23:30</v>
      </c>
      <c r="M235" s="226" t="s">
        <v>1558</v>
      </c>
      <c r="O235" s="263" t="s">
        <v>1116</v>
      </c>
      <c r="P235" s="322"/>
      <c r="Q235" s="264">
        <f t="shared" si="91"/>
        <v>603177719.77703667</v>
      </c>
      <c r="R235" s="143">
        <f t="shared" si="81"/>
        <v>603313003.65066493</v>
      </c>
      <c r="S235" s="104">
        <f t="shared" si="82"/>
        <v>135283.87362825871</v>
      </c>
      <c r="T235" s="104">
        <f t="shared" si="83"/>
        <v>500000.00000003958</v>
      </c>
      <c r="U235" s="3">
        <v>0</v>
      </c>
      <c r="V235" s="97">
        <f t="shared" si="84"/>
        <v>500000.00000003958</v>
      </c>
      <c r="W235" s="97">
        <f t="shared" si="85"/>
        <v>500000</v>
      </c>
      <c r="X235" s="266">
        <f t="shared" si="86"/>
        <v>-3.9581209421157837E-8</v>
      </c>
      <c r="Y235" s="266"/>
      <c r="Z235" s="266"/>
      <c r="AA235" s="256">
        <v>4</v>
      </c>
      <c r="AB235" s="229"/>
      <c r="AC235" s="308">
        <f t="shared" si="87"/>
        <v>28.000000000002217</v>
      </c>
      <c r="AH235" s="178"/>
      <c r="AI235" s="192"/>
      <c r="AJ235" s="232">
        <f t="shared" si="88"/>
        <v>-3.1664967536926272E-13</v>
      </c>
      <c r="AK235" s="232">
        <f t="shared" si="89"/>
        <v>4.0000000000003171</v>
      </c>
    </row>
    <row r="236" spans="1:45" ht="13.5" customHeight="1">
      <c r="A236" t="s">
        <v>1318</v>
      </c>
      <c r="C236" s="3"/>
      <c r="D236" s="3"/>
      <c r="E236" s="3"/>
      <c r="F236" s="3"/>
      <c r="G236" s="3"/>
      <c r="H236" s="3"/>
      <c r="I236" s="3"/>
      <c r="J236" s="3" t="s">
        <v>943</v>
      </c>
      <c r="K236" s="3" t="s">
        <v>1540</v>
      </c>
      <c r="L236" s="226" t="str">
        <f t="shared" si="90"/>
        <v>062/13:05</v>
      </c>
      <c r="M236" s="226" t="s">
        <v>1559</v>
      </c>
      <c r="O236" s="263" t="s">
        <v>1116</v>
      </c>
      <c r="P236" s="322"/>
      <c r="Q236" s="264">
        <f t="shared" si="91"/>
        <v>603313000.65066493</v>
      </c>
      <c r="R236" s="143">
        <f t="shared" si="81"/>
        <v>603448284.52429318</v>
      </c>
      <c r="S236" s="104">
        <f t="shared" si="82"/>
        <v>135283.87362825871</v>
      </c>
      <c r="T236" s="104">
        <f t="shared" si="83"/>
        <v>500000.00000003958</v>
      </c>
      <c r="U236" s="3">
        <v>0</v>
      </c>
      <c r="V236" s="97">
        <f t="shared" si="84"/>
        <v>500000.00000003958</v>
      </c>
      <c r="W236" s="97">
        <f t="shared" si="85"/>
        <v>500000</v>
      </c>
      <c r="X236" s="266">
        <f t="shared" si="86"/>
        <v>-3.9581209421157837E-8</v>
      </c>
      <c r="Y236" s="266"/>
      <c r="Z236" s="266"/>
      <c r="AA236" s="256">
        <v>4</v>
      </c>
      <c r="AB236" s="229"/>
      <c r="AC236" s="308">
        <f t="shared" si="87"/>
        <v>32.000000000002537</v>
      </c>
      <c r="AH236" s="178"/>
      <c r="AI236" s="192"/>
      <c r="AJ236" s="232">
        <f t="shared" si="88"/>
        <v>-3.1664967536926272E-13</v>
      </c>
      <c r="AK236" s="232">
        <f t="shared" si="89"/>
        <v>4.0000000000003171</v>
      </c>
    </row>
    <row r="237" spans="1:45" ht="13.5" customHeight="1">
      <c r="A237" t="s">
        <v>1318</v>
      </c>
      <c r="C237" s="3"/>
      <c r="D237" s="3"/>
      <c r="E237" s="3"/>
      <c r="F237" s="3"/>
      <c r="G237" s="3"/>
      <c r="H237" s="3"/>
      <c r="I237" s="3" t="s">
        <v>1560</v>
      </c>
      <c r="J237" s="3" t="s">
        <v>943</v>
      </c>
      <c r="K237" s="3" t="s">
        <v>1540</v>
      </c>
      <c r="L237" s="226" t="str">
        <f t="shared" si="90"/>
        <v>064/02:39</v>
      </c>
      <c r="M237" s="226" t="s">
        <v>1561</v>
      </c>
      <c r="O237" s="263" t="s">
        <v>1116</v>
      </c>
      <c r="P237" s="322"/>
      <c r="Q237" s="264">
        <f t="shared" si="91"/>
        <v>603448281.52429318</v>
      </c>
      <c r="R237" s="143">
        <f t="shared" si="81"/>
        <v>603583565.39792144</v>
      </c>
      <c r="S237" s="104">
        <f t="shared" si="82"/>
        <v>135283.87362825871</v>
      </c>
      <c r="T237" s="104">
        <f t="shared" si="83"/>
        <v>500000.00000003958</v>
      </c>
      <c r="U237" s="3">
        <v>0</v>
      </c>
      <c r="V237" s="97">
        <f t="shared" si="84"/>
        <v>500000.00000003958</v>
      </c>
      <c r="W237" s="97">
        <f t="shared" si="85"/>
        <v>500000</v>
      </c>
      <c r="X237" s="266">
        <f t="shared" si="86"/>
        <v>-3.9581209421157837E-8</v>
      </c>
      <c r="Y237" s="266"/>
      <c r="Z237" s="266"/>
      <c r="AA237" s="256">
        <v>4</v>
      </c>
      <c r="AB237" s="229"/>
      <c r="AC237" s="308">
        <f t="shared" si="87"/>
        <v>32.000000000002537</v>
      </c>
    </row>
    <row r="238" spans="1:45" ht="13.5" customHeight="1">
      <c r="A238" t="s">
        <v>1318</v>
      </c>
      <c r="C238" s="3"/>
      <c r="D238" s="3"/>
      <c r="E238" s="3"/>
      <c r="F238" s="3"/>
      <c r="G238" s="3"/>
      <c r="H238" s="3"/>
      <c r="I238" s="3" t="s">
        <v>1560</v>
      </c>
      <c r="J238" s="3" t="s">
        <v>943</v>
      </c>
      <c r="K238" s="3" t="s">
        <v>1540</v>
      </c>
      <c r="L238" s="226" t="str">
        <f t="shared" si="90"/>
        <v>066/15:58</v>
      </c>
      <c r="M238" s="226" t="s">
        <v>1562</v>
      </c>
      <c r="O238" s="263" t="s">
        <v>1116</v>
      </c>
      <c r="P238" s="322"/>
      <c r="Q238" s="264">
        <f t="shared" si="91"/>
        <v>603583562.39792144</v>
      </c>
      <c r="R238" s="143">
        <f t="shared" si="81"/>
        <v>603718846.2715497</v>
      </c>
      <c r="S238" s="104">
        <f t="shared" si="82"/>
        <v>135283.87362825871</v>
      </c>
      <c r="T238" s="104">
        <f t="shared" si="83"/>
        <v>500000.00000003958</v>
      </c>
      <c r="U238" s="3">
        <v>0</v>
      </c>
      <c r="V238" s="97">
        <f t="shared" si="84"/>
        <v>500000.00000003958</v>
      </c>
      <c r="W238" s="97">
        <f t="shared" si="85"/>
        <v>500000</v>
      </c>
      <c r="X238" s="266">
        <f t="shared" si="86"/>
        <v>-3.9581209421157837E-8</v>
      </c>
      <c r="Y238" s="266"/>
      <c r="Z238" s="266"/>
      <c r="AA238" s="256">
        <v>4</v>
      </c>
      <c r="AB238" s="229"/>
      <c r="AC238" s="308">
        <f t="shared" si="87"/>
        <v>32.000000000002537</v>
      </c>
    </row>
    <row r="239" spans="1:45" ht="13.5" customHeight="1">
      <c r="A239" t="s">
        <v>1318</v>
      </c>
      <c r="C239" s="3"/>
      <c r="D239" s="3"/>
      <c r="E239" s="3"/>
      <c r="F239" s="3"/>
      <c r="G239" s="3"/>
      <c r="H239" s="3"/>
      <c r="I239" s="3" t="s">
        <v>1560</v>
      </c>
      <c r="J239" s="3" t="s">
        <v>943</v>
      </c>
      <c r="K239" s="3" t="s">
        <v>1540</v>
      </c>
      <c r="L239" s="226" t="str">
        <f t="shared" si="90"/>
        <v>069/04:77</v>
      </c>
      <c r="M239" s="226" t="s">
        <v>1563</v>
      </c>
      <c r="O239" s="263" t="s">
        <v>1116</v>
      </c>
      <c r="P239" s="322"/>
      <c r="Q239" s="264">
        <f t="shared" si="91"/>
        <v>603718843.2715497</v>
      </c>
      <c r="R239" s="143">
        <f t="shared" si="81"/>
        <v>603854127.14517796</v>
      </c>
      <c r="S239" s="104">
        <f t="shared" si="82"/>
        <v>135283.87362825871</v>
      </c>
      <c r="T239" s="104">
        <f t="shared" si="83"/>
        <v>500000.00000003958</v>
      </c>
      <c r="U239" s="3">
        <v>0</v>
      </c>
      <c r="V239" s="97">
        <f t="shared" si="84"/>
        <v>500000.00000003958</v>
      </c>
      <c r="W239" s="97">
        <f t="shared" si="85"/>
        <v>500000</v>
      </c>
      <c r="X239" s="266">
        <f t="shared" si="86"/>
        <v>-3.9581209421157837E-8</v>
      </c>
      <c r="Y239" s="266"/>
      <c r="Z239" s="266"/>
      <c r="AA239" s="256">
        <v>4</v>
      </c>
      <c r="AB239" s="229"/>
      <c r="AC239" s="308">
        <f t="shared" si="87"/>
        <v>32.000000000002537</v>
      </c>
    </row>
    <row r="240" spans="1:45" ht="13.5" customHeight="1">
      <c r="A240" t="s">
        <v>1318</v>
      </c>
      <c r="C240" s="3"/>
      <c r="D240" s="3"/>
      <c r="E240" s="3"/>
      <c r="F240" s="3"/>
      <c r="G240" s="3"/>
      <c r="H240" s="3"/>
      <c r="I240" s="3" t="s">
        <v>1560</v>
      </c>
      <c r="J240" s="3" t="s">
        <v>943</v>
      </c>
      <c r="K240" s="3" t="s">
        <v>1540</v>
      </c>
      <c r="L240" s="226" t="str">
        <f t="shared" si="90"/>
        <v>071/18:36</v>
      </c>
      <c r="M240" s="411" t="s">
        <v>1564</v>
      </c>
      <c r="N240" s="3" t="s">
        <v>4373</v>
      </c>
      <c r="O240" s="263" t="s">
        <v>1116</v>
      </c>
      <c r="P240" s="322"/>
      <c r="Q240" s="264">
        <f t="shared" si="91"/>
        <v>603854124.14517796</v>
      </c>
      <c r="R240" s="412">
        <f t="shared" si="81"/>
        <v>603989408.01880622</v>
      </c>
      <c r="S240" s="104">
        <f t="shared" si="82"/>
        <v>135283.87362825871</v>
      </c>
      <c r="T240" s="104">
        <f t="shared" si="83"/>
        <v>500000.00000003958</v>
      </c>
      <c r="U240" s="3">
        <v>0</v>
      </c>
      <c r="V240" s="97">
        <f t="shared" si="84"/>
        <v>500000.00000003958</v>
      </c>
      <c r="W240" s="97">
        <f t="shared" si="85"/>
        <v>500000</v>
      </c>
      <c r="X240" s="266">
        <f t="shared" si="86"/>
        <v>-3.9581209421157837E-8</v>
      </c>
      <c r="Y240" s="266"/>
      <c r="Z240" s="266"/>
      <c r="AA240" s="256">
        <v>4</v>
      </c>
      <c r="AB240" s="229"/>
      <c r="AC240" s="308">
        <f t="shared" si="87"/>
        <v>32.000000000002537</v>
      </c>
    </row>
    <row r="242" spans="1:37" ht="13.5" customHeight="1">
      <c r="C242" s="291" t="s">
        <v>941</v>
      </c>
      <c r="D242" s="291" t="s">
        <v>942</v>
      </c>
      <c r="E242" s="291" t="s">
        <v>766</v>
      </c>
      <c r="F242" s="291" t="s">
        <v>764</v>
      </c>
      <c r="G242" s="291" t="s">
        <v>765</v>
      </c>
      <c r="H242" s="291" t="s">
        <v>768</v>
      </c>
      <c r="I242" s="291" t="s">
        <v>769</v>
      </c>
      <c r="J242" s="291" t="s">
        <v>943</v>
      </c>
      <c r="K242" s="291" t="s">
        <v>1540</v>
      </c>
    </row>
    <row r="244" spans="1:37" ht="13.5" customHeight="1">
      <c r="A244" t="s">
        <v>1504</v>
      </c>
      <c r="C244" s="3">
        <v>104</v>
      </c>
      <c r="D244" s="3">
        <v>105</v>
      </c>
      <c r="E244" s="3" t="s">
        <v>766</v>
      </c>
      <c r="F244" s="3" t="s">
        <v>764</v>
      </c>
      <c r="G244" s="3"/>
      <c r="H244" s="3" t="s">
        <v>768</v>
      </c>
      <c r="I244" s="3" t="s">
        <v>769</v>
      </c>
      <c r="J244" s="3"/>
      <c r="L244" s="257" t="s">
        <v>1399</v>
      </c>
      <c r="M244" s="257" t="s">
        <v>1403</v>
      </c>
      <c r="O244" s="263">
        <f t="shared" ref="O244" si="92">AI244</f>
        <v>0</v>
      </c>
      <c r="P244" s="179" t="str">
        <f t="shared" ref="P244" si="93">MID(AL244,11,5)</f>
        <v/>
      </c>
      <c r="Q244" s="237">
        <f>R243-1</f>
        <v>-1</v>
      </c>
      <c r="R244" s="104">
        <f>((W244-U244*$V$33)/$V$17)+Q244</f>
        <v>235306.57477960401</v>
      </c>
      <c r="S244" s="104">
        <f t="shared" ref="S244" si="94">R244-Q244</f>
        <v>235307.57477960401</v>
      </c>
      <c r="T244" s="104">
        <f>S244*$V$17</f>
        <v>500000</v>
      </c>
      <c r="U244" s="3">
        <v>0</v>
      </c>
      <c r="V244" s="142">
        <f t="shared" ref="V244" si="95">T244+U244*$V$33</f>
        <v>500000</v>
      </c>
      <c r="W244" s="97">
        <f t="shared" ref="W244" si="96">AA244*1000000/8</f>
        <v>500000</v>
      </c>
      <c r="X244" s="266">
        <f t="shared" ref="X244" si="97">W244-V244</f>
        <v>0</v>
      </c>
      <c r="Y244" s="318">
        <f>S244*$V$26+U244*$V$33</f>
        <v>510178.95903632819</v>
      </c>
      <c r="Z244" s="319">
        <f t="shared" ref="Z244" si="98">(Y244/V244-1)</f>
        <v>2.03579180726563E-2</v>
      </c>
      <c r="AA244" s="256">
        <v>4</v>
      </c>
      <c r="AB244" s="229"/>
      <c r="AC244" s="229"/>
      <c r="AD244" s="297">
        <f>AK244+AD238</f>
        <v>4</v>
      </c>
      <c r="AE244" s="297"/>
      <c r="AF244" s="297"/>
      <c r="AG244" s="297"/>
      <c r="AJ244" s="232">
        <f>X244*8/1000000</f>
        <v>0</v>
      </c>
      <c r="AK244" s="232">
        <f>V244*8/1000000</f>
        <v>4</v>
      </c>
    </row>
    <row r="252" spans="1:37" ht="13.5" customHeight="1">
      <c r="V252">
        <f>1236-681</f>
        <v>555</v>
      </c>
      <c r="W252">
        <v>1570</v>
      </c>
      <c r="X252">
        <v>115</v>
      </c>
      <c r="Y252">
        <f>X252+W252+V252</f>
        <v>2240</v>
      </c>
    </row>
    <row r="261" spans="12:24" ht="13.5" customHeight="1" thickBot="1"/>
    <row r="262" spans="12:24" ht="13.5" customHeight="1">
      <c r="P262" s="59">
        <v>26179</v>
      </c>
      <c r="T262" s="3"/>
      <c r="V262" s="93"/>
      <c r="X262" t="s">
        <v>1010</v>
      </c>
    </row>
    <row r="263" spans="12:24" ht="13.5" customHeight="1">
      <c r="P263" s="73" t="s">
        <v>837</v>
      </c>
      <c r="Q263" s="72" t="s">
        <v>65</v>
      </c>
      <c r="R263" s="73" t="s">
        <v>66</v>
      </c>
      <c r="S263" s="73" t="s">
        <v>67</v>
      </c>
      <c r="T263" s="74" t="s">
        <v>68</v>
      </c>
      <c r="U263" s="3" t="s">
        <v>176</v>
      </c>
      <c r="V263" s="74" t="s">
        <v>265</v>
      </c>
      <c r="W263" s="73" t="s">
        <v>266</v>
      </c>
      <c r="X263" s="73" t="s">
        <v>70</v>
      </c>
    </row>
    <row r="265" spans="12:24" ht="13.5" customHeight="1">
      <c r="P265" s="390" t="s">
        <v>4050</v>
      </c>
      <c r="Q265" s="396" t="s">
        <v>4051</v>
      </c>
      <c r="R265" s="396">
        <v>644923315</v>
      </c>
      <c r="S265" s="390">
        <v>7</v>
      </c>
      <c r="T265" s="390" t="s">
        <v>373</v>
      </c>
      <c r="U265" s="390" t="s">
        <v>1013</v>
      </c>
      <c r="V265" s="396" t="s">
        <v>866</v>
      </c>
      <c r="W265" s="390" t="s">
        <v>867</v>
      </c>
      <c r="X265" s="390" t="s">
        <v>4052</v>
      </c>
    </row>
    <row r="266" spans="12:24" ht="13.5" customHeight="1">
      <c r="P266" s="390" t="s">
        <v>4053</v>
      </c>
      <c r="Q266" s="390" t="s">
        <v>4054</v>
      </c>
      <c r="R266" s="390">
        <v>644924995</v>
      </c>
      <c r="S266" s="390">
        <v>0</v>
      </c>
      <c r="T266" s="390" t="s">
        <v>1124</v>
      </c>
      <c r="U266" s="390" t="s">
        <v>4055</v>
      </c>
      <c r="V266" s="390" t="s">
        <v>1517</v>
      </c>
      <c r="W266" s="390"/>
      <c r="X266" s="390" t="s">
        <v>4052</v>
      </c>
    </row>
    <row r="267" spans="12:24" ht="13.5" customHeight="1">
      <c r="P267" s="390" t="s">
        <v>4056</v>
      </c>
      <c r="Q267" s="390" t="s">
        <v>4057</v>
      </c>
      <c r="R267" s="390">
        <v>644924998</v>
      </c>
      <c r="S267" s="390">
        <v>0</v>
      </c>
      <c r="T267" s="390" t="s">
        <v>1124</v>
      </c>
      <c r="U267" s="390" t="s">
        <v>4055</v>
      </c>
      <c r="V267" s="390" t="s">
        <v>1523</v>
      </c>
      <c r="W267" s="390"/>
      <c r="X267" s="390" t="s">
        <v>4052</v>
      </c>
    </row>
    <row r="268" spans="12:24" ht="13.5" customHeight="1">
      <c r="P268" s="390" t="s">
        <v>4058</v>
      </c>
      <c r="Q268" s="390" t="s">
        <v>4059</v>
      </c>
      <c r="R268" s="390">
        <v>644925001</v>
      </c>
      <c r="S268" s="390">
        <v>0</v>
      </c>
      <c r="T268" s="390" t="s">
        <v>1124</v>
      </c>
      <c r="U268" s="390" t="s">
        <v>4055</v>
      </c>
      <c r="V268" s="390" t="s">
        <v>1528</v>
      </c>
      <c r="W268" s="390"/>
      <c r="X268" s="390" t="s">
        <v>4052</v>
      </c>
    </row>
    <row r="269" spans="12:24" ht="13.5" customHeight="1">
      <c r="P269" s="390" t="s">
        <v>4060</v>
      </c>
      <c r="Q269" s="390" t="s">
        <v>4061</v>
      </c>
      <c r="R269" s="390">
        <v>644925004</v>
      </c>
      <c r="S269" s="390">
        <v>0</v>
      </c>
      <c r="T269" s="390" t="s">
        <v>1124</v>
      </c>
      <c r="U269" s="390" t="s">
        <v>4055</v>
      </c>
      <c r="V269" s="390" t="s">
        <v>1164</v>
      </c>
      <c r="W269" s="390"/>
      <c r="X269" s="390" t="s">
        <v>4052</v>
      </c>
    </row>
    <row r="270" spans="12:24" ht="13.5" customHeight="1">
      <c r="L270">
        <f>265057</f>
        <v>265057</v>
      </c>
      <c r="M270">
        <v>21845</v>
      </c>
      <c r="P270" s="390" t="s">
        <v>4062</v>
      </c>
      <c r="Q270" s="390" t="s">
        <v>4063</v>
      </c>
      <c r="R270" s="390">
        <v>644925055</v>
      </c>
      <c r="S270" s="390">
        <v>0</v>
      </c>
      <c r="T270" s="390" t="s">
        <v>1124</v>
      </c>
      <c r="U270" s="390" t="s">
        <v>4055</v>
      </c>
      <c r="V270" s="396" t="s">
        <v>2585</v>
      </c>
      <c r="W270" s="390"/>
      <c r="X270" s="390" t="s">
        <v>4052</v>
      </c>
    </row>
    <row r="271" spans="12:24" ht="13.5" customHeight="1">
      <c r="L271">
        <f>L270*8/1000000</f>
        <v>2.1204559999999999</v>
      </c>
      <c r="M271">
        <f>M270*8/1000000</f>
        <v>0.17476</v>
      </c>
      <c r="P271" s="390" t="s">
        <v>4064</v>
      </c>
      <c r="Q271" s="390" t="s">
        <v>4065</v>
      </c>
      <c r="R271" s="390">
        <v>644925655</v>
      </c>
      <c r="S271" s="390">
        <v>0</v>
      </c>
      <c r="T271" s="390" t="s">
        <v>1124</v>
      </c>
      <c r="U271" s="390" t="s">
        <v>4055</v>
      </c>
      <c r="V271" s="390" t="s">
        <v>1533</v>
      </c>
      <c r="W271" s="390"/>
      <c r="X271" s="390" t="s">
        <v>4052</v>
      </c>
    </row>
    <row r="272" spans="12:24" ht="13.5" customHeight="1">
      <c r="P272" s="390" t="s">
        <v>4066</v>
      </c>
      <c r="Q272" s="390" t="s">
        <v>4067</v>
      </c>
      <c r="R272" s="390">
        <v>644926255</v>
      </c>
      <c r="S272" s="390">
        <v>0</v>
      </c>
      <c r="T272" s="390" t="s">
        <v>1124</v>
      </c>
      <c r="U272" s="390" t="s">
        <v>4055</v>
      </c>
      <c r="V272" s="390" t="s">
        <v>4068</v>
      </c>
      <c r="W272" s="390"/>
      <c r="X272" s="390" t="s">
        <v>4052</v>
      </c>
    </row>
    <row r="273" spans="1:43" ht="13.5" customHeight="1">
      <c r="P273" s="409"/>
      <c r="Q273" s="409"/>
      <c r="R273" s="409"/>
      <c r="S273" s="409"/>
      <c r="T273" s="409"/>
      <c r="U273" s="409"/>
      <c r="V273" s="409"/>
      <c r="W273" s="409"/>
      <c r="X273" s="409"/>
    </row>
    <row r="274" spans="1:43" ht="13.5" customHeight="1">
      <c r="O274" t="s">
        <v>4156</v>
      </c>
      <c r="P274" s="392" t="s">
        <v>4152</v>
      </c>
      <c r="Q274" s="392" t="s">
        <v>4153</v>
      </c>
      <c r="R274" s="392">
        <v>644288021</v>
      </c>
      <c r="S274" s="392">
        <v>1</v>
      </c>
      <c r="T274" s="392" t="s">
        <v>373</v>
      </c>
      <c r="U274" s="392" t="s">
        <v>4154</v>
      </c>
      <c r="V274" s="392" t="s">
        <v>382</v>
      </c>
      <c r="W274" s="392"/>
      <c r="X274" s="392" t="s">
        <v>4155</v>
      </c>
      <c r="AA274" t="s">
        <v>4161</v>
      </c>
    </row>
    <row r="275" spans="1:43" ht="13.5" customHeight="1">
      <c r="C275" s="291" t="s">
        <v>941</v>
      </c>
      <c r="D275" s="291" t="s">
        <v>942</v>
      </c>
      <c r="E275" s="291" t="s">
        <v>766</v>
      </c>
      <c r="F275" s="291" t="s">
        <v>764</v>
      </c>
      <c r="G275" s="291" t="s">
        <v>765</v>
      </c>
      <c r="H275" s="291" t="s">
        <v>768</v>
      </c>
      <c r="I275" s="291" t="s">
        <v>769</v>
      </c>
      <c r="J275" s="291" t="s">
        <v>943</v>
      </c>
      <c r="K275" s="291" t="s">
        <v>1540</v>
      </c>
      <c r="P275" s="73" t="s">
        <v>837</v>
      </c>
      <c r="Q275" s="72" t="s">
        <v>65</v>
      </c>
      <c r="R275" s="73" t="s">
        <v>66</v>
      </c>
      <c r="S275" s="73" t="s">
        <v>67</v>
      </c>
      <c r="T275" s="74" t="s">
        <v>68</v>
      </c>
      <c r="U275" s="3" t="s">
        <v>176</v>
      </c>
      <c r="V275" s="74" t="s">
        <v>265</v>
      </c>
      <c r="W275" s="73" t="s">
        <v>266</v>
      </c>
      <c r="X275" s="73" t="s">
        <v>70</v>
      </c>
      <c r="AA275" t="s">
        <v>4160</v>
      </c>
      <c r="AJ275" s="3" t="s">
        <v>4118</v>
      </c>
      <c r="AK275" s="3" t="s">
        <v>4119</v>
      </c>
    </row>
    <row r="276" spans="1:43" ht="13.5" customHeight="1">
      <c r="C276" s="3">
        <v>104</v>
      </c>
      <c r="D276" s="3">
        <v>105</v>
      </c>
      <c r="E276" s="3" t="s">
        <v>766</v>
      </c>
      <c r="F276" s="3" t="s">
        <v>764</v>
      </c>
      <c r="G276" s="3" t="s">
        <v>765</v>
      </c>
      <c r="H276" s="3" t="s">
        <v>768</v>
      </c>
      <c r="I276" s="3" t="s">
        <v>769</v>
      </c>
      <c r="L276" s="257" t="s">
        <v>4158</v>
      </c>
      <c r="M276" s="257" t="s">
        <v>4157</v>
      </c>
      <c r="N276" t="s">
        <v>4159</v>
      </c>
      <c r="O276" s="263" t="str">
        <f>AI276</f>
        <v>194/12:27</v>
      </c>
      <c r="P276" s="179" t="str">
        <f>MID(AL276,5,5)</f>
        <v>194_1</v>
      </c>
      <c r="Q276" s="104">
        <f>R276-T276/$V$29</f>
        <v>644187671.24185646</v>
      </c>
      <c r="R276" s="303">
        <f>R274+20</f>
        <v>644288041</v>
      </c>
      <c r="S276" s="104">
        <f t="shared" ref="S276" si="99">R276-Q276</f>
        <v>100369.7581435442</v>
      </c>
      <c r="T276" s="410">
        <f>5.1*1000000/8</f>
        <v>637500</v>
      </c>
      <c r="U276" s="3">
        <v>0</v>
      </c>
      <c r="V276" s="97">
        <f t="shared" ref="V276" si="100">T276+U276*$V$33</f>
        <v>637500</v>
      </c>
      <c r="W276" s="97">
        <f t="shared" ref="W276" si="101">AA276*1000000/8</f>
        <v>1153666.25</v>
      </c>
      <c r="X276" s="266">
        <f t="shared" ref="X276" si="102">W276-V276</f>
        <v>516166.25</v>
      </c>
      <c r="Y276" s="318"/>
      <c r="Z276" s="319"/>
      <c r="AA276" s="256">
        <f>AQ276+0.1</f>
        <v>9.2293299999999991</v>
      </c>
      <c r="AD276" s="408">
        <f>AK276</f>
        <v>5.0999999999999996</v>
      </c>
      <c r="AE276" s="278"/>
      <c r="AH276" s="393" t="str">
        <f>AL276</f>
        <v>TRK_194_1</v>
      </c>
      <c r="AI276" s="394" t="s">
        <v>4102</v>
      </c>
      <c r="AJ276" s="232">
        <f t="shared" ref="AJ276:AJ297" si="103">X276*8/1000000</f>
        <v>4.1293300000000004</v>
      </c>
      <c r="AK276" s="232">
        <f t="shared" ref="AK276:AK297" si="104">V276*8/1000000</f>
        <v>5.0999999999999996</v>
      </c>
      <c r="AL276" s="391" t="s">
        <v>4069</v>
      </c>
      <c r="AM276" s="391" t="s">
        <v>4070</v>
      </c>
      <c r="AN276">
        <v>0.27261099999999999</v>
      </c>
      <c r="AO276">
        <v>1.3100350000000001</v>
      </c>
      <c r="AP276">
        <v>1.0374239999999999</v>
      </c>
      <c r="AQ276" s="388">
        <v>9.1293299999999995</v>
      </c>
    </row>
    <row r="277" spans="1:43" ht="13.5" customHeight="1">
      <c r="C277" s="3">
        <v>104</v>
      </c>
      <c r="D277" s="3">
        <v>105</v>
      </c>
      <c r="E277" s="3"/>
      <c r="F277" s="3"/>
      <c r="G277" s="3" t="s">
        <v>765</v>
      </c>
      <c r="H277" s="3"/>
      <c r="I277" s="3"/>
      <c r="L277" s="257" t="s">
        <v>4103</v>
      </c>
      <c r="M277" s="257" t="s">
        <v>4139</v>
      </c>
      <c r="N277" t="s">
        <v>4138</v>
      </c>
      <c r="O277" s="263"/>
      <c r="P277" s="179" t="str">
        <f>MID(AL277,5,5)</f>
        <v/>
      </c>
      <c r="Q277" s="303">
        <f>R265-5</f>
        <v>644923310</v>
      </c>
      <c r="R277" s="104">
        <f>((W277-U277*$V$33)/$V$22)+Q277</f>
        <v>644993181.58951569</v>
      </c>
      <c r="S277" s="104">
        <f t="shared" ref="S277" si="105">R277-Q277</f>
        <v>69871.589515686035</v>
      </c>
      <c r="T277" s="104">
        <f>S277*$V$22</f>
        <v>318791.25000006845</v>
      </c>
      <c r="U277" s="3">
        <v>1</v>
      </c>
      <c r="V277" s="97">
        <f t="shared" ref="V277" si="106">T277+U277*$V$33</f>
        <v>516166.25000006845</v>
      </c>
      <c r="W277" s="407">
        <f>X276</f>
        <v>516166.25</v>
      </c>
      <c r="X277" s="266">
        <f t="shared" ref="X277" si="107">W277-V277</f>
        <v>-6.8452209234237671E-8</v>
      </c>
      <c r="Y277" s="318"/>
      <c r="Z277" s="319"/>
      <c r="AA277" s="256"/>
      <c r="AD277" s="297">
        <f>AK277</f>
        <v>4.1293300000005475</v>
      </c>
      <c r="AE277" s="278"/>
      <c r="AH277" s="393"/>
      <c r="AI277" s="394"/>
      <c r="AJ277" s="232">
        <f t="shared" ref="AJ277" si="108">X277*8/1000000</f>
        <v>-5.4761767387390135E-13</v>
      </c>
      <c r="AK277" s="232">
        <f t="shared" ref="AK277" si="109">V277*8/1000000</f>
        <v>4.1293300000005475</v>
      </c>
      <c r="AL277" s="391"/>
      <c r="AM277" s="391"/>
      <c r="AQ277" s="388"/>
    </row>
    <row r="278" spans="1:43" ht="13.5" customHeight="1">
      <c r="C278" s="3">
        <v>104</v>
      </c>
      <c r="D278" s="3">
        <v>105</v>
      </c>
      <c r="G278" s="3" t="s">
        <v>765</v>
      </c>
      <c r="L278" s="257" t="str">
        <f>M277</f>
        <v>179/22:54</v>
      </c>
      <c r="M278" s="257" t="s">
        <v>4140</v>
      </c>
      <c r="N278" t="s">
        <v>4138</v>
      </c>
      <c r="O278" s="263" t="str">
        <f>AI278</f>
        <v>194/22:57</v>
      </c>
      <c r="P278" s="179" t="str">
        <f>MID(AL278,5,5)</f>
        <v>194_2</v>
      </c>
      <c r="Q278" s="237">
        <f>R277-1</f>
        <v>644993180.58951569</v>
      </c>
      <c r="R278" s="104">
        <f>((W278-U278*$V$33)/$V$22)+Q278</f>
        <v>645404948.53246129</v>
      </c>
      <c r="S278" s="104">
        <f t="shared" ref="S278" si="110">R278-Q278</f>
        <v>411767.94294559956</v>
      </c>
      <c r="T278" s="104">
        <f>S278*$V$22</f>
        <v>1878703.7500000647</v>
      </c>
      <c r="U278" s="3">
        <v>0</v>
      </c>
      <c r="V278" s="97">
        <f t="shared" ref="V278" si="111">T278+U278*$V$33</f>
        <v>1878703.7500000647</v>
      </c>
      <c r="W278" s="97">
        <f t="shared" ref="W278" si="112">AA278*1000000/8</f>
        <v>1878703.75</v>
      </c>
      <c r="X278" s="266">
        <f t="shared" ref="X278" si="113">W278-V278</f>
        <v>-6.4726918935775757E-8</v>
      </c>
      <c r="Y278" s="318"/>
      <c r="Z278" s="319"/>
      <c r="AA278" s="256">
        <f>AQ278</f>
        <v>15.029629999999999</v>
      </c>
      <c r="AD278" s="297">
        <f>AD277+AK278</f>
        <v>19.158960000001066</v>
      </c>
      <c r="AE278" s="278"/>
      <c r="AH278" s="391" t="s">
        <v>4071</v>
      </c>
      <c r="AI278" s="391" t="s">
        <v>4101</v>
      </c>
      <c r="AJ278" s="232">
        <f t="shared" si="103"/>
        <v>-5.1781535148620602E-13</v>
      </c>
      <c r="AK278" s="232">
        <f t="shared" si="104"/>
        <v>15.029630000000518</v>
      </c>
      <c r="AL278" s="391" t="s">
        <v>4071</v>
      </c>
      <c r="AM278" s="391" t="s">
        <v>4072</v>
      </c>
      <c r="AN278">
        <v>0.20042599999999999</v>
      </c>
      <c r="AO278">
        <v>1.9083380000000001</v>
      </c>
      <c r="AP278">
        <v>1.7079120000000001</v>
      </c>
      <c r="AQ278" s="388">
        <v>15.029629999999999</v>
      </c>
    </row>
    <row r="279" spans="1:43" ht="13.5" customHeight="1">
      <c r="C279" s="3">
        <v>104</v>
      </c>
      <c r="D279" s="3">
        <v>105</v>
      </c>
      <c r="G279" s="3" t="s">
        <v>765</v>
      </c>
      <c r="L279" s="257" t="str">
        <f>M278</f>
        <v>184/17:17</v>
      </c>
      <c r="M279" s="257" t="s">
        <v>4141</v>
      </c>
      <c r="N279" t="s">
        <v>4138</v>
      </c>
      <c r="O279" s="263" t="str">
        <f>AI279</f>
        <v>195/12:22</v>
      </c>
      <c r="P279" s="179" t="str">
        <f>MID(AL279,5,5)</f>
        <v>195_1</v>
      </c>
      <c r="Q279" s="237">
        <f>R278-1</f>
        <v>645404947.53246129</v>
      </c>
      <c r="R279" s="104">
        <f>((W279-U279*$V$33)/$V$22)+Q279</f>
        <v>645654144.17441666</v>
      </c>
      <c r="S279" s="104">
        <f t="shared" ref="S279" si="114">R279-Q279</f>
        <v>249196.64195537567</v>
      </c>
      <c r="T279" s="104">
        <f>S279*$V$22</f>
        <v>1136967.2499999332</v>
      </c>
      <c r="U279" s="3">
        <v>0</v>
      </c>
      <c r="V279" s="97">
        <f t="shared" ref="V279" si="115">T279+U279*$V$33</f>
        <v>1136967.2499999332</v>
      </c>
      <c r="W279" s="97">
        <f t="shared" ref="W279" si="116">AA279*1000000/8</f>
        <v>1136967.25</v>
      </c>
      <c r="X279" s="266">
        <f t="shared" ref="X279" si="117">W279-V279</f>
        <v>6.6822394728660583E-8</v>
      </c>
      <c r="Y279" s="318"/>
      <c r="Z279" s="319"/>
      <c r="AA279" s="256">
        <f>AQ279</f>
        <v>9.0957380000000008</v>
      </c>
      <c r="AD279" s="297">
        <f>AD278+AK279</f>
        <v>28.254698000000531</v>
      </c>
      <c r="AE279" s="278"/>
      <c r="AH279" s="391" t="s">
        <v>4073</v>
      </c>
      <c r="AI279" s="391" t="s">
        <v>4100</v>
      </c>
      <c r="AJ279" s="232">
        <f t="shared" si="103"/>
        <v>5.3457915782928464E-13</v>
      </c>
      <c r="AK279" s="232">
        <f t="shared" si="104"/>
        <v>9.0957379999994661</v>
      </c>
      <c r="AL279" s="391" t="s">
        <v>4073</v>
      </c>
      <c r="AM279" s="391" t="s">
        <v>4074</v>
      </c>
      <c r="AN279">
        <v>0.37072500000000003</v>
      </c>
      <c r="AO279">
        <v>1.4043319999999999</v>
      </c>
      <c r="AP279">
        <v>1.0336069999999999</v>
      </c>
      <c r="AQ279" s="388">
        <v>9.0957380000000008</v>
      </c>
    </row>
    <row r="280" spans="1:43" ht="13.5" customHeight="1">
      <c r="C280" s="3">
        <v>104</v>
      </c>
      <c r="D280" s="3">
        <v>105</v>
      </c>
      <c r="G280" s="3" t="s">
        <v>765</v>
      </c>
      <c r="L280" s="257" t="str">
        <f>M279</f>
        <v>187/14:30</v>
      </c>
      <c r="M280" s="257" t="s">
        <v>4142</v>
      </c>
      <c r="N280" t="s">
        <v>4138</v>
      </c>
      <c r="O280" s="263" t="str">
        <f>AI280</f>
        <v>196/00:36</v>
      </c>
      <c r="P280" s="179" t="str">
        <f>MID(AL280,5,5)</f>
        <v>196_1</v>
      </c>
      <c r="Q280" s="237">
        <f>R279-1</f>
        <v>645654143.17441666</v>
      </c>
      <c r="R280" s="104">
        <f>((W280-U280*$V$33)/$V$22)+Q280</f>
        <v>646084146.11922204</v>
      </c>
      <c r="S280" s="104">
        <f t="shared" ref="S280" si="118">R280-Q280</f>
        <v>430002.94480538368</v>
      </c>
      <c r="T280" s="104">
        <f>S280*$V$22</f>
        <v>1961901.5000001432</v>
      </c>
      <c r="U280" s="3">
        <v>0</v>
      </c>
      <c r="V280" s="97">
        <f t="shared" ref="V280" si="119">T280+U280*$V$33</f>
        <v>1961901.5000001432</v>
      </c>
      <c r="W280" s="97">
        <f t="shared" ref="W280" si="120">AA280*1000000/8</f>
        <v>1961901.5</v>
      </c>
      <c r="X280" s="266">
        <f t="shared" ref="X280" si="121">W280-V280</f>
        <v>-1.4319084584712982E-7</v>
      </c>
      <c r="Y280" s="318"/>
      <c r="Z280" s="319"/>
      <c r="AA280" s="256">
        <f>AQ280</f>
        <v>15.695212</v>
      </c>
      <c r="AD280" s="297">
        <f>AD279+AK280</f>
        <v>43.94991000000168</v>
      </c>
      <c r="AE280" s="278"/>
      <c r="AH280" s="391" t="s">
        <v>4075</v>
      </c>
      <c r="AI280" s="391" t="s">
        <v>4099</v>
      </c>
      <c r="AJ280" s="232">
        <f t="shared" si="103"/>
        <v>-1.1455267667770385E-12</v>
      </c>
      <c r="AK280" s="232">
        <f t="shared" si="104"/>
        <v>15.695212000001145</v>
      </c>
      <c r="AL280" s="391" t="s">
        <v>4075</v>
      </c>
      <c r="AM280" s="391" t="s">
        <v>4076</v>
      </c>
      <c r="AN280">
        <v>0.210508</v>
      </c>
      <c r="AO280">
        <v>1.9940549999999999</v>
      </c>
      <c r="AP280">
        <v>1.783547</v>
      </c>
      <c r="AQ280" s="388">
        <v>15.695212</v>
      </c>
    </row>
    <row r="281" spans="1:43" ht="13.5" customHeight="1">
      <c r="O281" t="s">
        <v>4364</v>
      </c>
      <c r="P281" s="395" t="s">
        <v>4107</v>
      </c>
      <c r="Q281" s="395" t="s">
        <v>4108</v>
      </c>
      <c r="R281" s="395">
        <v>645155515</v>
      </c>
      <c r="S281" s="395">
        <v>8</v>
      </c>
      <c r="T281" s="395" t="s">
        <v>373</v>
      </c>
      <c r="U281" s="395" t="s">
        <v>4109</v>
      </c>
      <c r="V281" s="395" t="s">
        <v>816</v>
      </c>
      <c r="W281" s="395" t="s">
        <v>817</v>
      </c>
      <c r="X281" s="395" t="s">
        <v>4110</v>
      </c>
      <c r="AD281" s="297"/>
      <c r="AE281" s="278"/>
      <c r="AH281" s="391"/>
      <c r="AI281" s="391"/>
      <c r="AJ281" s="232"/>
      <c r="AK281" s="232"/>
      <c r="AL281" s="391"/>
      <c r="AM281" s="391"/>
      <c r="AQ281" s="388"/>
    </row>
    <row r="282" spans="1:43" ht="13.5" customHeight="1">
      <c r="O282" t="s">
        <v>4116</v>
      </c>
      <c r="P282" s="395" t="s">
        <v>4112</v>
      </c>
      <c r="Q282" s="395" t="s">
        <v>4113</v>
      </c>
      <c r="R282" s="395">
        <v>645161815</v>
      </c>
      <c r="S282" s="395">
        <v>7</v>
      </c>
      <c r="T282" s="395" t="s">
        <v>373</v>
      </c>
      <c r="U282" s="395" t="s">
        <v>4109</v>
      </c>
      <c r="V282" s="395" t="s">
        <v>816</v>
      </c>
      <c r="W282" s="395" t="s">
        <v>817</v>
      </c>
      <c r="X282" s="395" t="s">
        <v>4114</v>
      </c>
      <c r="AD282" s="297"/>
      <c r="AE282" s="278"/>
      <c r="AH282" s="391"/>
      <c r="AI282" s="391"/>
      <c r="AJ282" s="232"/>
      <c r="AK282" s="232"/>
      <c r="AL282" s="391"/>
      <c r="AM282" s="391"/>
      <c r="AQ282" s="388"/>
    </row>
    <row r="283" spans="1:43" ht="13.5" customHeight="1">
      <c r="O283" t="s">
        <v>175</v>
      </c>
      <c r="P283" s="402" t="s">
        <v>4162</v>
      </c>
      <c r="Q283" s="402" t="s">
        <v>4163</v>
      </c>
      <c r="R283" s="402">
        <v>645161840</v>
      </c>
      <c r="S283" s="402">
        <v>1</v>
      </c>
      <c r="T283" s="402" t="s">
        <v>373</v>
      </c>
      <c r="U283" s="402" t="s">
        <v>4109</v>
      </c>
      <c r="V283" s="402" t="s">
        <v>833</v>
      </c>
      <c r="W283" s="402"/>
      <c r="X283" s="402" t="s">
        <v>4114</v>
      </c>
      <c r="AD283" s="297"/>
      <c r="AE283" s="278"/>
      <c r="AH283" s="391"/>
      <c r="AI283" s="391"/>
      <c r="AJ283" s="232"/>
      <c r="AK283" s="232"/>
      <c r="AL283" s="391"/>
      <c r="AM283" s="391"/>
      <c r="AQ283" s="388"/>
    </row>
    <row r="284" spans="1:43" ht="13.5" customHeight="1">
      <c r="A284" t="s">
        <v>4106</v>
      </c>
      <c r="C284" s="3"/>
      <c r="D284" s="3"/>
      <c r="E284" s="3"/>
      <c r="F284" s="3"/>
      <c r="G284" s="3"/>
      <c r="H284" s="3"/>
      <c r="I284" s="3"/>
      <c r="J284" s="3" t="s">
        <v>943</v>
      </c>
      <c r="K284" s="3" t="s">
        <v>1540</v>
      </c>
      <c r="L284" s="226" t="s">
        <v>4104</v>
      </c>
      <c r="M284" s="226" t="s">
        <v>4105</v>
      </c>
      <c r="N284" t="s">
        <v>4111</v>
      </c>
      <c r="O284" s="263" t="str">
        <f>AI284</f>
        <v>196/12:51</v>
      </c>
      <c r="P284" s="179" t="str">
        <f>MID(AL284,5,5)</f>
        <v>196_2</v>
      </c>
      <c r="Q284" s="413">
        <f>R281-5</f>
        <v>645155510</v>
      </c>
      <c r="R284" s="403">
        <f>R283+20</f>
        <v>645161860</v>
      </c>
      <c r="S284" s="104">
        <f>R284-Q284</f>
        <v>6350</v>
      </c>
      <c r="T284" s="403">
        <f>5.4*1000000/8</f>
        <v>675000</v>
      </c>
      <c r="U284" s="3"/>
      <c r="V284" s="97">
        <f t="shared" ref="V284:V287" si="122">T284+U284*$V$33</f>
        <v>675000</v>
      </c>
      <c r="W284" s="97">
        <f t="shared" ref="W284" si="123">AA284*1000000/8</f>
        <v>1082320.875</v>
      </c>
      <c r="X284" s="266">
        <f>W284-V284</f>
        <v>407320.875</v>
      </c>
      <c r="Y284" s="318"/>
      <c r="Z284" s="319"/>
      <c r="AA284" s="256">
        <f>AQ284</f>
        <v>8.6585669999999997</v>
      </c>
      <c r="AC284" s="308">
        <f>AK284</f>
        <v>5.4</v>
      </c>
      <c r="AD284" t="s">
        <v>1544</v>
      </c>
      <c r="AH284" s="391" t="s">
        <v>4077</v>
      </c>
      <c r="AI284" s="391" t="s">
        <v>4098</v>
      </c>
      <c r="AJ284" s="232">
        <f t="shared" si="103"/>
        <v>3.2585670000000002</v>
      </c>
      <c r="AK284" s="232">
        <f t="shared" si="104"/>
        <v>5.4</v>
      </c>
      <c r="AL284" s="391" t="s">
        <v>4077</v>
      </c>
      <c r="AM284" s="391" t="s">
        <v>4078</v>
      </c>
      <c r="AN284">
        <v>0.21162800000000001</v>
      </c>
      <c r="AO284">
        <v>1.1955560000000001</v>
      </c>
      <c r="AP284">
        <v>0.98392800000000002</v>
      </c>
      <c r="AQ284" s="388">
        <v>8.6585669999999997</v>
      </c>
    </row>
    <row r="285" spans="1:43" ht="13.5" customHeight="1">
      <c r="C285" s="3">
        <v>104</v>
      </c>
      <c r="D285" s="3">
        <v>105</v>
      </c>
      <c r="G285" s="3" t="s">
        <v>765</v>
      </c>
      <c r="H285" s="3"/>
      <c r="I285" s="3"/>
      <c r="J285" s="3"/>
      <c r="K285" s="3"/>
      <c r="L285" s="257" t="str">
        <f>M280</f>
        <v>192/13:57</v>
      </c>
      <c r="M285" s="257" t="s">
        <v>4164</v>
      </c>
      <c r="N285" t="s">
        <v>4138</v>
      </c>
      <c r="O285" s="263"/>
      <c r="P285" s="179" t="str">
        <f>MID(AL285,5,5)</f>
        <v/>
      </c>
      <c r="Q285" s="237">
        <f>R280-1</f>
        <v>646084145.11922204</v>
      </c>
      <c r="R285" s="104">
        <f>((W285-U285*$V$33)/$V$22)+Q285</f>
        <v>646173420.3329525</v>
      </c>
      <c r="S285" s="104">
        <f t="shared" ref="S285" si="124">R285-Q285</f>
        <v>89275.213730454445</v>
      </c>
      <c r="T285" s="104">
        <f>S285*$V$22</f>
        <v>407320.87499978225</v>
      </c>
      <c r="U285" s="3">
        <v>0</v>
      </c>
      <c r="V285" s="97">
        <f t="shared" si="122"/>
        <v>407320.87499978225</v>
      </c>
      <c r="W285" s="407">
        <f>X284</f>
        <v>407320.875</v>
      </c>
      <c r="X285" s="266">
        <f t="shared" ref="X285:X287" si="125">W285-V285</f>
        <v>2.1775485947728157E-7</v>
      </c>
      <c r="Y285" s="318"/>
      <c r="Z285" s="319"/>
      <c r="AA285" s="256"/>
      <c r="AD285" s="404">
        <f>AD280+AK285</f>
        <v>47.208476999999938</v>
      </c>
      <c r="AH285" s="391"/>
      <c r="AI285" s="391"/>
      <c r="AJ285" s="232">
        <f t="shared" ref="AJ285" si="126">X285*8/1000000</f>
        <v>1.7420388758182525E-12</v>
      </c>
      <c r="AK285" s="232">
        <f t="shared" ref="AK285" si="127">V285*8/1000000</f>
        <v>3.2585669999982581</v>
      </c>
      <c r="AL285" s="391"/>
      <c r="AM285" s="391"/>
      <c r="AQ285" s="388"/>
    </row>
    <row r="286" spans="1:43" ht="13.5" customHeight="1">
      <c r="C286" s="3"/>
      <c r="D286" s="3"/>
      <c r="G286" s="3"/>
      <c r="H286" s="3"/>
      <c r="I286" s="3"/>
      <c r="J286" s="3"/>
      <c r="K286" s="3"/>
      <c r="L286" s="257"/>
      <c r="M286" s="257"/>
      <c r="O286" t="s">
        <v>4132</v>
      </c>
      <c r="P286" s="395" t="s">
        <v>4133</v>
      </c>
      <c r="Q286" s="402" t="s">
        <v>4134</v>
      </c>
      <c r="R286" s="402">
        <v>616842836</v>
      </c>
      <c r="S286" s="395">
        <v>7</v>
      </c>
      <c r="T286" s="395" t="s">
        <v>373</v>
      </c>
      <c r="U286" s="395" t="s">
        <v>4135</v>
      </c>
      <c r="V286" s="395" t="s">
        <v>816</v>
      </c>
      <c r="W286" s="395" t="s">
        <v>817</v>
      </c>
      <c r="X286" s="395" t="s">
        <v>4136</v>
      </c>
      <c r="Y286" s="318"/>
      <c r="Z286" s="319"/>
      <c r="AA286" s="256"/>
      <c r="AD286" s="297"/>
      <c r="AH286" s="391"/>
      <c r="AI286" s="391"/>
      <c r="AJ286" s="232"/>
      <c r="AK286" s="232"/>
      <c r="AL286" s="391"/>
      <c r="AM286" s="391"/>
      <c r="AQ286" s="388"/>
    </row>
    <row r="287" spans="1:43" ht="13.5" customHeight="1">
      <c r="C287" s="3"/>
      <c r="D287" s="3"/>
      <c r="G287" s="3"/>
      <c r="H287" s="3"/>
      <c r="I287" s="3"/>
      <c r="J287" s="3" t="s">
        <v>943</v>
      </c>
      <c r="K287" s="3" t="s">
        <v>1540</v>
      </c>
      <c r="L287" s="226" t="s">
        <v>4166</v>
      </c>
      <c r="M287" s="226" t="s">
        <v>4122</v>
      </c>
      <c r="N287" t="s">
        <v>4137</v>
      </c>
      <c r="O287" s="263" t="str">
        <f>AI287</f>
        <v>197/03:26</v>
      </c>
      <c r="P287" s="179" t="str">
        <f>MID(AL287,5,5)</f>
        <v>197_1</v>
      </c>
      <c r="Q287" s="237">
        <f>R240-3</f>
        <v>603989405.01880622</v>
      </c>
      <c r="R287" s="104">
        <f>((W287)/$X$9)+Q287</f>
        <v>604588097.88287854</v>
      </c>
      <c r="S287" s="104">
        <f>R287-Q287</f>
        <v>598692.86407232285</v>
      </c>
      <c r="T287" s="104">
        <f>S287*$X$9</f>
        <v>2212728.1249999357</v>
      </c>
      <c r="U287" s="3">
        <v>0</v>
      </c>
      <c r="V287" s="97">
        <f t="shared" si="122"/>
        <v>2212728.1249999357</v>
      </c>
      <c r="W287" s="97">
        <f>AA287*1000000/8</f>
        <v>2212728.125</v>
      </c>
      <c r="X287" s="266">
        <f t="shared" si="125"/>
        <v>6.4261257648468018E-8</v>
      </c>
      <c r="Y287" s="318"/>
      <c r="Z287" s="319"/>
      <c r="AA287" s="256">
        <f>AQ287</f>
        <v>17.701824999999999</v>
      </c>
      <c r="AC287" s="308">
        <f>AK287</f>
        <v>17.701824999999484</v>
      </c>
      <c r="AD287" s="297"/>
      <c r="AH287" s="391" t="str">
        <f>AL287</f>
        <v>TRK_197_1</v>
      </c>
      <c r="AI287" s="391" t="s">
        <v>4169</v>
      </c>
      <c r="AJ287" s="232">
        <f t="shared" ref="AJ287" si="128">X287*8/1000000</f>
        <v>5.1409006118774412E-13</v>
      </c>
      <c r="AK287" s="232">
        <f t="shared" ref="AK287" si="129">V287*8/1000000</f>
        <v>17.701824999999484</v>
      </c>
      <c r="AL287" s="391" t="s">
        <v>4167</v>
      </c>
      <c r="AM287" s="391" t="s">
        <v>4168</v>
      </c>
      <c r="AN287">
        <v>0.21068500000000001</v>
      </c>
      <c r="AO287">
        <v>2.2222559999999998</v>
      </c>
      <c r="AP287">
        <v>2.011571</v>
      </c>
      <c r="AQ287" s="388">
        <v>17.701824999999999</v>
      </c>
    </row>
    <row r="288" spans="1:43" ht="13.5" customHeight="1">
      <c r="N288" t="s">
        <v>4115</v>
      </c>
      <c r="O288" s="263" t="str">
        <f>AI288</f>
        <v>197/15:01</v>
      </c>
      <c r="P288" s="179" t="str">
        <f>MID(AL288,5,5)</f>
        <v>197_2</v>
      </c>
      <c r="Q288" s="264">
        <f>R242-1</f>
        <v>-1</v>
      </c>
      <c r="R288" s="143">
        <f>((W288)/$W$9)+Q288</f>
        <v>170822.03166868188</v>
      </c>
      <c r="S288" s="104">
        <f t="shared" ref="S288:S290" si="130">R288-Q288</f>
        <v>170823.03166868188</v>
      </c>
      <c r="T288" s="104">
        <f>265057+21845+265057</f>
        <v>551959</v>
      </c>
      <c r="U288" s="3"/>
      <c r="V288" s="97">
        <f t="shared" ref="V288:V290" si="131">T288+U288*$V$33</f>
        <v>551959</v>
      </c>
      <c r="W288" s="97">
        <f t="shared" ref="W288" si="132">AA288*1000000/8</f>
        <v>629331.375</v>
      </c>
      <c r="X288" s="266">
        <f>W288-V288</f>
        <v>77372.375</v>
      </c>
      <c r="Y288" s="318"/>
      <c r="Z288" s="319"/>
      <c r="AA288" s="256">
        <f>AQ288</f>
        <v>5.0346510000000002</v>
      </c>
      <c r="AB288">
        <f>X288*8/1000000</f>
        <v>0.61897899999999995</v>
      </c>
      <c r="AC288" t="s">
        <v>4130</v>
      </c>
      <c r="AH288" s="391" t="str">
        <f>AL288</f>
        <v>TRK_197_2</v>
      </c>
      <c r="AI288" s="391" t="s">
        <v>4092</v>
      </c>
      <c r="AJ288" s="232">
        <f t="shared" si="103"/>
        <v>0.61897899999999995</v>
      </c>
      <c r="AK288" s="232">
        <f t="shared" si="104"/>
        <v>4.4156719999999998</v>
      </c>
      <c r="AL288" s="391" t="s">
        <v>628</v>
      </c>
      <c r="AM288" s="391" t="s">
        <v>4079</v>
      </c>
      <c r="AN288">
        <v>0.201819</v>
      </c>
      <c r="AO288">
        <v>0.77393800000000001</v>
      </c>
      <c r="AP288">
        <v>0.57211900000000004</v>
      </c>
      <c r="AQ288" s="388">
        <v>5.0346510000000002</v>
      </c>
    </row>
    <row r="289" spans="3:43" ht="13.5" customHeight="1">
      <c r="O289" t="s">
        <v>4147</v>
      </c>
      <c r="P289" s="405" t="s">
        <v>4144</v>
      </c>
      <c r="Q289" s="405" t="s">
        <v>4145</v>
      </c>
      <c r="R289" s="405">
        <v>629506577</v>
      </c>
      <c r="S289" s="405">
        <v>0</v>
      </c>
      <c r="T289" s="405" t="s">
        <v>1124</v>
      </c>
      <c r="U289" s="405" t="s">
        <v>4146</v>
      </c>
      <c r="V289" s="405" t="s">
        <v>1131</v>
      </c>
      <c r="W289" s="405" t="s">
        <v>1132</v>
      </c>
      <c r="X289" s="406"/>
      <c r="Y289" s="318"/>
      <c r="Z289" s="319"/>
      <c r="AA289" s="256"/>
      <c r="AH289" s="391"/>
      <c r="AI289" s="391"/>
      <c r="AJ289" s="232"/>
      <c r="AK289" s="232"/>
      <c r="AL289" s="391"/>
      <c r="AM289" s="391"/>
      <c r="AQ289" s="388"/>
    </row>
    <row r="290" spans="3:43" ht="13.5" customHeight="1">
      <c r="C290" s="3">
        <v>104</v>
      </c>
      <c r="D290" s="3">
        <v>105</v>
      </c>
      <c r="G290" s="3" t="s">
        <v>765</v>
      </c>
      <c r="L290" s="257" t="s">
        <v>4143</v>
      </c>
      <c r="M290" s="257" t="s">
        <v>4148</v>
      </c>
      <c r="N290" t="s">
        <v>4147</v>
      </c>
      <c r="P290" s="179" t="str">
        <f>MID(AL290,5,5)</f>
        <v/>
      </c>
      <c r="Q290" s="413">
        <f>R289-5</f>
        <v>629506572</v>
      </c>
      <c r="R290" s="104">
        <f>((W290-U290*$V$33)/$V$22)+Q290</f>
        <v>629523530.21584141</v>
      </c>
      <c r="S290" s="104">
        <f t="shared" si="130"/>
        <v>16958.215841412544</v>
      </c>
      <c r="T290" s="104">
        <f>S290*$V$22</f>
        <v>77372.375000016313</v>
      </c>
      <c r="U290" s="3">
        <v>0</v>
      </c>
      <c r="V290" s="97">
        <f t="shared" si="131"/>
        <v>77372.375000016313</v>
      </c>
      <c r="W290" s="407">
        <f>X288</f>
        <v>77372.375</v>
      </c>
      <c r="X290" s="266">
        <f t="shared" ref="X290:X291" si="133">W290-V290</f>
        <v>-1.6312696970999241E-8</v>
      </c>
      <c r="Y290" s="318"/>
      <c r="Z290" s="319"/>
      <c r="AA290" s="256"/>
      <c r="AD290" s="297">
        <f>AK290</f>
        <v>0.61897900000013051</v>
      </c>
      <c r="AH290" s="391"/>
      <c r="AI290" s="391"/>
      <c r="AJ290" s="232">
        <f t="shared" ref="AJ290" si="134">X290*8/1000000</f>
        <v>-1.3050157576799393E-13</v>
      </c>
      <c r="AK290" s="232">
        <f t="shared" ref="AK290" si="135">V290*8/1000000</f>
        <v>0.61897900000013051</v>
      </c>
      <c r="AL290" s="391"/>
      <c r="AM290" s="391"/>
      <c r="AQ290" s="388"/>
    </row>
    <row r="291" spans="3:43" ht="13.5" customHeight="1">
      <c r="C291" s="3">
        <v>104</v>
      </c>
      <c r="D291" s="3">
        <v>105</v>
      </c>
      <c r="G291" s="3" t="s">
        <v>765</v>
      </c>
      <c r="L291" s="257" t="str">
        <f>M290</f>
        <v>25-365/21:47</v>
      </c>
      <c r="M291" s="257" t="s">
        <v>4149</v>
      </c>
      <c r="N291" t="s">
        <v>4147</v>
      </c>
      <c r="O291" s="263" t="str">
        <f>AI291</f>
        <v>198/03:56</v>
      </c>
      <c r="P291" s="179" t="str">
        <f>MID(AL291,5,5)</f>
        <v>198_1</v>
      </c>
      <c r="Q291" s="237">
        <f>R290-1</f>
        <v>629523529.21584141</v>
      </c>
      <c r="R291" s="104">
        <f>((W291-U291*$V$33)/$V$22)+Q291</f>
        <v>630235396.22890353</v>
      </c>
      <c r="S291" s="104">
        <f t="shared" ref="S291" si="136">R291-Q291</f>
        <v>711867.01306211948</v>
      </c>
      <c r="T291" s="104">
        <f>S291*$V$22</f>
        <v>3247914.8749999632</v>
      </c>
      <c r="U291" s="3">
        <v>0</v>
      </c>
      <c r="V291" s="97">
        <f t="shared" ref="V291" si="137">T291+U291*$V$33</f>
        <v>3247914.8749999632</v>
      </c>
      <c r="W291" s="97">
        <f t="shared" ref="W291" si="138">AA291*1000000/8</f>
        <v>3247914.875</v>
      </c>
      <c r="X291" s="266">
        <f t="shared" si="133"/>
        <v>3.6787241697311401E-8</v>
      </c>
      <c r="Y291" s="318"/>
      <c r="Z291" s="319"/>
      <c r="AA291" s="256">
        <f>AQ291</f>
        <v>25.983319000000002</v>
      </c>
      <c r="AD291" s="297">
        <f>AD290+AK291</f>
        <v>26.602297999999838</v>
      </c>
      <c r="AH291" s="391" t="s">
        <v>4080</v>
      </c>
      <c r="AI291" s="391" t="s">
        <v>4093</v>
      </c>
      <c r="AJ291" s="232">
        <f t="shared" si="103"/>
        <v>2.942979335784912E-13</v>
      </c>
      <c r="AK291" s="232">
        <f t="shared" si="104"/>
        <v>25.983318999999707</v>
      </c>
      <c r="AL291" s="391" t="s">
        <v>4080</v>
      </c>
      <c r="AM291" s="391" t="s">
        <v>4081</v>
      </c>
      <c r="AN291">
        <v>0.22420200000000001</v>
      </c>
      <c r="AO291">
        <v>3.1768519999999998</v>
      </c>
      <c r="AP291">
        <v>2.9526500000000002</v>
      </c>
      <c r="AQ291" s="388">
        <v>25.983319000000002</v>
      </c>
    </row>
    <row r="292" spans="3:43" ht="13.5" customHeight="1">
      <c r="C292" s="3">
        <v>104</v>
      </c>
      <c r="D292" s="3">
        <v>105</v>
      </c>
      <c r="G292" s="3" t="s">
        <v>765</v>
      </c>
      <c r="L292" s="257" t="str">
        <f>M291</f>
        <v>26-009/03:31</v>
      </c>
      <c r="M292" s="257" t="s">
        <v>4165</v>
      </c>
      <c r="N292" t="s">
        <v>4147</v>
      </c>
      <c r="O292" s="263" t="str">
        <f>AI292</f>
        <v>199/02:36</v>
      </c>
      <c r="P292" s="179" t="str">
        <f>MID(AL292,5,5)</f>
        <v>199_1</v>
      </c>
      <c r="Q292" s="237">
        <f>R291-1</f>
        <v>630235395.22890353</v>
      </c>
      <c r="R292" s="104">
        <f>((W292-U292*$V$33)/$V$22)+Q292</f>
        <v>630695495.94588888</v>
      </c>
      <c r="S292" s="104">
        <f t="shared" ref="S292" si="139">R292-Q292</f>
        <v>460100.71698534489</v>
      </c>
      <c r="T292" s="104">
        <f>S292*$V$22</f>
        <v>2099223.5000000587</v>
      </c>
      <c r="U292" s="3">
        <v>0</v>
      </c>
      <c r="V292" s="97">
        <f t="shared" ref="V292" si="140">T292+U292*$V$33</f>
        <v>2099223.5000000587</v>
      </c>
      <c r="W292" s="97">
        <f t="shared" ref="W292" si="141">AA292*1000000/8</f>
        <v>2099223.5</v>
      </c>
      <c r="X292" s="266">
        <f>W292-V292</f>
        <v>-5.8673322200775146E-8</v>
      </c>
      <c r="Y292" s="318"/>
      <c r="Z292" s="319"/>
      <c r="AA292" s="256">
        <f>AQ292</f>
        <v>16.793787999999999</v>
      </c>
      <c r="AD292" s="297">
        <f>AD291+AK292</f>
        <v>43.396086000000309</v>
      </c>
      <c r="AH292" s="391" t="s">
        <v>4082</v>
      </c>
      <c r="AI292" s="391" t="s">
        <v>4094</v>
      </c>
      <c r="AJ292" s="232">
        <f t="shared" si="103"/>
        <v>-4.6938657760620117E-13</v>
      </c>
      <c r="AK292" s="232">
        <f t="shared" si="104"/>
        <v>16.793788000000468</v>
      </c>
      <c r="AL292" s="391" t="s">
        <v>4082</v>
      </c>
      <c r="AM292" s="391" t="s">
        <v>4083</v>
      </c>
      <c r="AN292">
        <v>0.25603500000000001</v>
      </c>
      <c r="AO292">
        <v>2.1644199999999998</v>
      </c>
      <c r="AP292">
        <v>1.908385</v>
      </c>
      <c r="AQ292" s="388">
        <v>16.793787999999999</v>
      </c>
    </row>
    <row r="293" spans="3:43" ht="13.5" customHeight="1">
      <c r="N293" s="17"/>
      <c r="Y293" s="318"/>
      <c r="Z293" s="319"/>
      <c r="AA293" s="256"/>
      <c r="AH293" s="391"/>
      <c r="AI293" s="391"/>
      <c r="AJ293" s="232"/>
      <c r="AK293" s="232"/>
      <c r="AL293" s="391"/>
      <c r="AM293" s="391"/>
      <c r="AQ293" s="388"/>
    </row>
    <row r="294" spans="3:43" ht="13.5" customHeight="1">
      <c r="N294" s="17"/>
      <c r="Y294" s="318"/>
      <c r="Z294" s="319"/>
      <c r="AA294" s="256"/>
      <c r="AH294" s="391"/>
      <c r="AI294" s="391"/>
      <c r="AJ294" s="232"/>
      <c r="AK294" s="232"/>
      <c r="AL294" s="391"/>
      <c r="AM294" s="391"/>
      <c r="AQ294" s="388"/>
    </row>
    <row r="295" spans="3:43" ht="13.5" customHeight="1">
      <c r="J295" s="3" t="s">
        <v>943</v>
      </c>
      <c r="K295" s="3" t="s">
        <v>1540</v>
      </c>
      <c r="L295" s="226" t="str">
        <f>M287</f>
        <v>25-077/07:16</v>
      </c>
      <c r="M295" s="226" t="s">
        <v>4170</v>
      </c>
      <c r="N295" t="s">
        <v>4137</v>
      </c>
      <c r="O295" s="263" t="str">
        <f>AI295</f>
        <v>199/11:41</v>
      </c>
      <c r="P295" s="179" t="str">
        <f>MID(AL295,5,5)</f>
        <v>199_2</v>
      </c>
      <c r="Q295" s="237">
        <f>R287-3</f>
        <v>604588094.88287854</v>
      </c>
      <c r="R295" s="104">
        <f>((W295)/$X$9)+Q295</f>
        <v>604974375.62836385</v>
      </c>
      <c r="S295" s="104">
        <f>R295-Q295</f>
        <v>386280.74548530579</v>
      </c>
      <c r="T295" s="104">
        <f>S295*$X$9</f>
        <v>1427667.3749998547</v>
      </c>
      <c r="U295" s="3">
        <v>0</v>
      </c>
      <c r="V295" s="97">
        <f t="shared" ref="V295" si="142">T295+U295*$V$33</f>
        <v>1427667.3749998547</v>
      </c>
      <c r="W295" s="97">
        <f>AA295*1000000/8</f>
        <v>1427667.375</v>
      </c>
      <c r="X295" s="266">
        <f t="shared" ref="X295" si="143">W295-V295</f>
        <v>1.4528632164001465E-7</v>
      </c>
      <c r="Y295" s="318"/>
      <c r="Z295" s="319"/>
      <c r="AA295" s="256">
        <f>AQ295</f>
        <v>11.421339</v>
      </c>
      <c r="AC295" s="308">
        <f>AK295+AC287</f>
        <v>29.123163999998322</v>
      </c>
      <c r="AH295" s="391" t="s">
        <v>4084</v>
      </c>
      <c r="AI295" s="391" t="s">
        <v>4095</v>
      </c>
      <c r="AJ295" s="232">
        <f t="shared" si="103"/>
        <v>1.1622905731201172E-12</v>
      </c>
      <c r="AK295" s="232">
        <f t="shared" si="104"/>
        <v>11.421338999998838</v>
      </c>
      <c r="AL295" s="391" t="s">
        <v>4084</v>
      </c>
      <c r="AM295" s="391" t="s">
        <v>4085</v>
      </c>
      <c r="AN295">
        <v>0.18662899999999999</v>
      </c>
      <c r="AO295">
        <v>1.4845079999999999</v>
      </c>
      <c r="AP295">
        <v>1.297879</v>
      </c>
      <c r="AQ295" s="388">
        <v>11.421339</v>
      </c>
    </row>
    <row r="296" spans="3:43" ht="13.5" customHeight="1">
      <c r="L296" s="257" t="str">
        <f>M292</f>
        <v>26-014/11:20</v>
      </c>
      <c r="M296" s="257" t="s">
        <v>4150</v>
      </c>
      <c r="N296" t="s">
        <v>4147</v>
      </c>
      <c r="O296" s="263" t="str">
        <f>AI296</f>
        <v>200/13:51</v>
      </c>
      <c r="P296" s="179" t="str">
        <f>MID(AL296,5,5)</f>
        <v>200_1</v>
      </c>
      <c r="Q296" s="237">
        <f>R292-1</f>
        <v>630695494.94588888</v>
      </c>
      <c r="R296" s="104">
        <f>((W296-U296*$V$33)/$V$22)+Q296</f>
        <v>630803343.78936124</v>
      </c>
      <c r="S296" s="104">
        <f t="shared" ref="S296:S297" si="144">R296-Q296</f>
        <v>107848.84347236156</v>
      </c>
      <c r="T296" s="104">
        <f>S296*$V$22</f>
        <v>492063.62500022043</v>
      </c>
      <c r="U296" s="3">
        <v>0</v>
      </c>
      <c r="V296" s="97">
        <f t="shared" ref="V296:V297" si="145">T296+U296*$V$33</f>
        <v>492063.62500022043</v>
      </c>
      <c r="W296" s="97">
        <f t="shared" ref="W296" si="146">AA296*1000000/8</f>
        <v>492063.625</v>
      </c>
      <c r="X296" s="266">
        <f>W296-V296</f>
        <v>-2.2043241187930107E-7</v>
      </c>
      <c r="Y296" s="318"/>
      <c r="Z296" s="319"/>
      <c r="AA296" s="256">
        <f>AQ296</f>
        <v>3.936509</v>
      </c>
      <c r="AD296" s="404">
        <f>AD292+AK296</f>
        <v>47.332595000002073</v>
      </c>
      <c r="AH296" s="391" t="s">
        <v>4086</v>
      </c>
      <c r="AI296" s="391" t="s">
        <v>4096</v>
      </c>
      <c r="AJ296" s="232">
        <f t="shared" si="103"/>
        <v>-1.7634592950344086E-12</v>
      </c>
      <c r="AK296" s="232">
        <f t="shared" si="104"/>
        <v>3.9365090000017635</v>
      </c>
      <c r="AL296" s="391" t="s">
        <v>4086</v>
      </c>
      <c r="AM296" s="391" t="s">
        <v>4087</v>
      </c>
      <c r="AN296">
        <v>0.54563799999999996</v>
      </c>
      <c r="AO296">
        <v>0.99296899999999999</v>
      </c>
      <c r="AP296">
        <v>0.44733099999999998</v>
      </c>
      <c r="AQ296" s="388">
        <v>3.936509</v>
      </c>
    </row>
    <row r="297" spans="3:43" ht="13.5" customHeight="1">
      <c r="J297" s="3" t="s">
        <v>943</v>
      </c>
      <c r="K297" s="3" t="s">
        <v>1540</v>
      </c>
      <c r="L297" s="226" t="str">
        <f>M295</f>
        <v>25-081/18:34</v>
      </c>
      <c r="M297" s="226" t="s">
        <v>4127</v>
      </c>
      <c r="N297" t="s">
        <v>4131</v>
      </c>
      <c r="O297" s="263" t="str">
        <f>AI297</f>
        <v>201/06:41</v>
      </c>
      <c r="P297" s="179" t="str">
        <f>MID(AL297,5,5)</f>
        <v>201_1</v>
      </c>
      <c r="Q297" s="237">
        <f>R295-3</f>
        <v>604974372.62836385</v>
      </c>
      <c r="R297" s="413">
        <f>R299</f>
        <v>605079001</v>
      </c>
      <c r="S297" s="104">
        <f t="shared" si="144"/>
        <v>104628.37163615227</v>
      </c>
      <c r="T297" s="104">
        <f>S297*$X$9</f>
        <v>386699.34867353365</v>
      </c>
      <c r="U297" s="3">
        <v>0</v>
      </c>
      <c r="V297" s="97">
        <f t="shared" si="145"/>
        <v>386699.34867353365</v>
      </c>
      <c r="W297" s="97">
        <f>AA297*1000000/8</f>
        <v>632848.5</v>
      </c>
      <c r="X297" s="452">
        <f t="shared" ref="X297" si="147">W297-V297</f>
        <v>246149.15132646635</v>
      </c>
      <c r="Y297" s="318"/>
      <c r="Z297" s="319"/>
      <c r="AA297" s="256">
        <f>AQ297</f>
        <v>5.0627880000000003</v>
      </c>
      <c r="AC297" s="308">
        <f>AC295+AK297</f>
        <v>32.216758789386589</v>
      </c>
      <c r="AH297" s="391" t="s">
        <v>4088</v>
      </c>
      <c r="AI297" s="391" t="s">
        <v>4097</v>
      </c>
      <c r="AJ297" s="232">
        <f t="shared" si="103"/>
        <v>1.9691932106117309</v>
      </c>
      <c r="AK297" s="232">
        <f t="shared" si="104"/>
        <v>3.0935947893882694</v>
      </c>
      <c r="AL297" s="391" t="s">
        <v>4088</v>
      </c>
      <c r="AM297" s="391" t="s">
        <v>4089</v>
      </c>
      <c r="AN297">
        <v>0.24905099999999999</v>
      </c>
      <c r="AO297">
        <v>0.82436799999999999</v>
      </c>
      <c r="AP297">
        <v>0.57531699999999997</v>
      </c>
      <c r="AQ297" s="388">
        <v>5.0627880000000003</v>
      </c>
    </row>
    <row r="298" spans="3:43" ht="13.5" customHeight="1">
      <c r="J298" s="3" t="s">
        <v>943</v>
      </c>
      <c r="K298" s="3" t="s">
        <v>1540</v>
      </c>
      <c r="L298" s="226" t="s">
        <v>4175</v>
      </c>
      <c r="M298" s="226" t="s">
        <v>4174</v>
      </c>
      <c r="N298" t="s">
        <v>4173</v>
      </c>
      <c r="O298" s="263"/>
      <c r="P298" s="179" t="str">
        <f>MID(AL298,5,5)</f>
        <v/>
      </c>
      <c r="Q298" s="237">
        <f>R75-3</f>
        <v>608807390.15183246</v>
      </c>
      <c r="R298" s="104">
        <f>((W298)/$S$4)+Q298</f>
        <v>608982856.46091604</v>
      </c>
      <c r="S298" s="104">
        <f t="shared" ref="S298" si="148">R298-Q298</f>
        <v>175466.30908358097</v>
      </c>
      <c r="T298" s="104">
        <f>S298*$S$4</f>
        <v>246149.15132645614</v>
      </c>
      <c r="U298" s="3">
        <v>0</v>
      </c>
      <c r="V298" s="97">
        <f t="shared" ref="V298" si="149">T298+U298*$V$33</f>
        <v>246149.15132645614</v>
      </c>
      <c r="W298" s="422">
        <f>X297</f>
        <v>246149.15132646635</v>
      </c>
      <c r="X298" s="266">
        <f t="shared" ref="X298" si="150">W298-V298</f>
        <v>1.021544449031353E-8</v>
      </c>
      <c r="Y298" s="318"/>
      <c r="Z298" s="319"/>
      <c r="AA298" s="256"/>
      <c r="AC298" s="308">
        <f>AK298</f>
        <v>1.969193210611649</v>
      </c>
      <c r="AJ298" s="232">
        <f t="shared" ref="AJ298" si="151">X298*8/1000000</f>
        <v>8.1723555922508245E-14</v>
      </c>
      <c r="AK298" s="232">
        <f t="shared" ref="AK298" si="152">V298*8/1000000</f>
        <v>1.969193210611649</v>
      </c>
      <c r="AQ298">
        <f>SUM(AQ276:AQ297)</f>
        <v>143.54269600000001</v>
      </c>
    </row>
    <row r="299" spans="3:43" ht="13.5" customHeight="1">
      <c r="O299" t="s">
        <v>4128</v>
      </c>
      <c r="P299" s="398" t="s">
        <v>4123</v>
      </c>
      <c r="Q299" s="399" t="s">
        <v>4124</v>
      </c>
      <c r="R299" s="399">
        <v>605079001</v>
      </c>
      <c r="S299" s="400">
        <v>1</v>
      </c>
      <c r="T299" s="400" t="s">
        <v>373</v>
      </c>
      <c r="U299" s="400" t="s">
        <v>4125</v>
      </c>
      <c r="V299" s="400" t="s">
        <v>833</v>
      </c>
      <c r="W299" s="400"/>
      <c r="X299" s="400" t="s">
        <v>4126</v>
      </c>
      <c r="AC299" t="s">
        <v>4314</v>
      </c>
      <c r="AD299" t="s">
        <v>4315</v>
      </c>
    </row>
    <row r="300" spans="3:43" ht="13.5" customHeight="1">
      <c r="C300" s="291" t="s">
        <v>941</v>
      </c>
      <c r="D300" s="291" t="s">
        <v>942</v>
      </c>
      <c r="E300" s="291" t="s">
        <v>766</v>
      </c>
      <c r="F300" s="291" t="s">
        <v>764</v>
      </c>
      <c r="G300" s="291" t="s">
        <v>765</v>
      </c>
      <c r="H300" s="291" t="s">
        <v>768</v>
      </c>
      <c r="I300" s="291" t="s">
        <v>769</v>
      </c>
      <c r="J300" s="291" t="s">
        <v>943</v>
      </c>
      <c r="K300" s="291" t="s">
        <v>1540</v>
      </c>
      <c r="P300" s="73" t="s">
        <v>837</v>
      </c>
      <c r="Q300" s="72" t="s">
        <v>65</v>
      </c>
      <c r="R300" s="73" t="s">
        <v>66</v>
      </c>
      <c r="S300" s="73" t="s">
        <v>67</v>
      </c>
      <c r="T300" s="74" t="s">
        <v>68</v>
      </c>
      <c r="U300" s="3" t="s">
        <v>176</v>
      </c>
      <c r="V300" s="74" t="s">
        <v>265</v>
      </c>
      <c r="W300" s="73" t="s">
        <v>266</v>
      </c>
      <c r="X300" s="73" t="s">
        <v>70</v>
      </c>
      <c r="AC300" s="433">
        <f>AC298+AC297+AC284</f>
        <v>39.585951999998237</v>
      </c>
      <c r="AD300" s="404">
        <f>AD296+AD285+AD276</f>
        <v>99.641072000001998</v>
      </c>
    </row>
    <row r="302" spans="3:43" ht="13.5" customHeight="1">
      <c r="AC302">
        <f>47.2+47.3+5.4+4.4+5.1+32.2+1.97</f>
        <v>143.57000000000002</v>
      </c>
    </row>
    <row r="304" spans="3:43" ht="13.5" customHeight="1" thickBot="1"/>
    <row r="305" spans="3:46" ht="13.5" customHeight="1">
      <c r="P305" s="59">
        <v>26201</v>
      </c>
      <c r="T305" s="3"/>
      <c r="V305" s="93"/>
      <c r="X305" t="s">
        <v>1010</v>
      </c>
    </row>
    <row r="306" spans="3:46" ht="13.5" customHeight="1">
      <c r="C306" s="291" t="s">
        <v>941</v>
      </c>
      <c r="D306" s="291" t="s">
        <v>942</v>
      </c>
      <c r="E306" s="291" t="s">
        <v>766</v>
      </c>
      <c r="F306" s="291" t="s">
        <v>764</v>
      </c>
      <c r="G306" s="291" t="s">
        <v>765</v>
      </c>
      <c r="H306" s="291" t="s">
        <v>768</v>
      </c>
      <c r="I306" s="291" t="s">
        <v>769</v>
      </c>
      <c r="J306" s="291" t="s">
        <v>943</v>
      </c>
      <c r="K306" s="291" t="s">
        <v>1540</v>
      </c>
      <c r="P306" s="73" t="s">
        <v>837</v>
      </c>
      <c r="Q306" s="72" t="s">
        <v>65</v>
      </c>
      <c r="R306" s="73" t="s">
        <v>66</v>
      </c>
      <c r="S306" s="73" t="s">
        <v>67</v>
      </c>
      <c r="T306" s="74" t="s">
        <v>68</v>
      </c>
      <c r="U306" s="3" t="s">
        <v>176</v>
      </c>
      <c r="V306" s="74" t="s">
        <v>265</v>
      </c>
      <c r="W306" s="73" t="s">
        <v>266</v>
      </c>
      <c r="X306" s="73" t="s">
        <v>70</v>
      </c>
      <c r="Y306" t="s">
        <v>4246</v>
      </c>
      <c r="AA306" t="s">
        <v>4160</v>
      </c>
      <c r="AJ306" s="3" t="s">
        <v>4118</v>
      </c>
      <c r="AK306" s="3" t="s">
        <v>4119</v>
      </c>
      <c r="AQ306" t="s">
        <v>4371</v>
      </c>
      <c r="AR306" t="s">
        <v>4382</v>
      </c>
    </row>
    <row r="307" spans="3:46" ht="13.5" customHeight="1">
      <c r="M307" s="415"/>
      <c r="N307" s="425" t="s">
        <v>4244</v>
      </c>
      <c r="O307" s="263" t="str">
        <f>AI307</f>
        <v>205/03:41</v>
      </c>
      <c r="P307" s="179" t="str">
        <f>MID(AL307,5,5)</f>
        <v>205_1</v>
      </c>
      <c r="Q307" s="3">
        <v>645951158</v>
      </c>
      <c r="R307" s="3">
        <v>645951767</v>
      </c>
      <c r="S307" s="104">
        <f t="shared" ref="S307" si="153">R307-Q307</f>
        <v>609</v>
      </c>
      <c r="T307" s="104">
        <v>3578250</v>
      </c>
      <c r="U307" s="3"/>
      <c r="V307" s="97">
        <f t="shared" ref="V307" si="154">T307+U307*$V$33</f>
        <v>3578250</v>
      </c>
      <c r="W307" s="97">
        <f t="shared" ref="W307" si="155">AA307*1000000/8</f>
        <v>454937.39999999997</v>
      </c>
      <c r="X307" s="266">
        <f>W307-V307</f>
        <v>-3123312.6</v>
      </c>
      <c r="Y307" s="318">
        <f>X307*8/1000000</f>
        <v>-24.986500800000002</v>
      </c>
      <c r="Z307" s="319"/>
      <c r="AA307" s="256">
        <f>AR307</f>
        <v>3.6394991999999999</v>
      </c>
      <c r="AC307" s="423">
        <f>AC305+AK307</f>
        <v>28.626000000000001</v>
      </c>
      <c r="AH307" s="391" t="str">
        <f>AL307</f>
        <v>TRK_205_1</v>
      </c>
      <c r="AI307" s="391" t="s">
        <v>4221</v>
      </c>
      <c r="AJ307" s="232">
        <f t="shared" ref="AJ307:AJ377" si="156">X307*8/1000000</f>
        <v>-24.986500800000002</v>
      </c>
      <c r="AK307" s="232">
        <f t="shared" ref="AK307:AK376" si="157">V307*8/1000000</f>
        <v>28.626000000000001</v>
      </c>
      <c r="AL307" s="415" t="s">
        <v>640</v>
      </c>
      <c r="AM307" s="415" t="s">
        <v>4185</v>
      </c>
      <c r="AN307">
        <v>1.348517</v>
      </c>
      <c r="AO307">
        <v>1.8080499999999999</v>
      </c>
      <c r="AP307">
        <v>0.45953300000000002</v>
      </c>
      <c r="AQ307" s="416">
        <v>4.0438879999999999</v>
      </c>
      <c r="AR307">
        <f t="shared" ref="AR307:AR377" si="158">AQ307*0.9</f>
        <v>3.6394991999999999</v>
      </c>
      <c r="AS307" s="415">
        <f>AR307</f>
        <v>3.6394991999999999</v>
      </c>
    </row>
    <row r="308" spans="3:46" ht="13.5" customHeight="1">
      <c r="O308" s="263" t="str">
        <f>AI308</f>
        <v>205/22:11</v>
      </c>
      <c r="P308" s="179" t="str">
        <f>MID(AL308,5,5)</f>
        <v>205_2</v>
      </c>
      <c r="Q308" s="3"/>
      <c r="R308" s="3"/>
      <c r="S308" s="104"/>
      <c r="T308" s="104"/>
      <c r="U308" s="3"/>
      <c r="V308" s="97">
        <f t="shared" ref="V308:V323" si="159">T308+U308*$V$33</f>
        <v>0</v>
      </c>
      <c r="W308" s="422">
        <f>AA308*1000000/8+X307</f>
        <v>-242405.06250000047</v>
      </c>
      <c r="X308" s="266">
        <f>W308-V308</f>
        <v>-242405.06250000047</v>
      </c>
      <c r="Y308" s="318">
        <f>X308*8/1000000</f>
        <v>-1.9392405000000037</v>
      </c>
      <c r="Z308" s="319"/>
      <c r="AA308" s="256">
        <f>AR308</f>
        <v>23.047260299999998</v>
      </c>
      <c r="AH308" s="391" t="str">
        <f>AL308</f>
        <v>TRK_205_2</v>
      </c>
      <c r="AI308" t="s">
        <v>4222</v>
      </c>
      <c r="AJ308" s="232">
        <f t="shared" si="156"/>
        <v>-1.9392405000000037</v>
      </c>
      <c r="AK308" s="232">
        <f t="shared" si="157"/>
        <v>0</v>
      </c>
      <c r="AL308" t="s">
        <v>4186</v>
      </c>
      <c r="AM308" t="s">
        <v>4187</v>
      </c>
      <c r="AN308">
        <v>0.26355099999999998</v>
      </c>
      <c r="AO308">
        <v>3.173559</v>
      </c>
      <c r="AP308">
        <v>2.9100079999999999</v>
      </c>
      <c r="AQ308" s="416">
        <v>25.608066999999998</v>
      </c>
      <c r="AR308">
        <f t="shared" si="158"/>
        <v>23.047260299999998</v>
      </c>
      <c r="AS308" s="415">
        <f t="shared" ref="AS308:AS329" si="160">AS307+AR308</f>
        <v>26.686759499999997</v>
      </c>
      <c r="AT308">
        <f>28.626</f>
        <v>28.626000000000001</v>
      </c>
    </row>
    <row r="309" spans="3:46" ht="13.5" customHeight="1">
      <c r="M309" s="415"/>
      <c r="N309" s="425" t="s">
        <v>4245</v>
      </c>
      <c r="O309" s="263" t="str">
        <f>AI309</f>
        <v>207/04:26</v>
      </c>
      <c r="P309" s="179" t="str">
        <f>MID(AL309,5,5)</f>
        <v>207_1</v>
      </c>
      <c r="Q309" s="3">
        <v>645951790</v>
      </c>
      <c r="R309" s="3">
        <v>645952358</v>
      </c>
      <c r="S309" s="104">
        <f t="shared" ref="S309" si="161">R309-Q309</f>
        <v>568</v>
      </c>
      <c r="T309" s="104">
        <v>3759250</v>
      </c>
      <c r="U309" s="3"/>
      <c r="V309" s="97">
        <f t="shared" si="159"/>
        <v>3759250</v>
      </c>
      <c r="W309" s="422">
        <f>AA309*1000000/8+X308</f>
        <v>845500.87499999953</v>
      </c>
      <c r="X309" s="266">
        <f>W309-V309</f>
        <v>-2913749.1250000005</v>
      </c>
      <c r="Y309" s="318">
        <f>X309*8/1000000</f>
        <v>-23.309993000000002</v>
      </c>
      <c r="Z309" s="319"/>
      <c r="AA309" s="256">
        <f>AR309</f>
        <v>8.7032474999999998</v>
      </c>
      <c r="AC309" s="423">
        <f>AC307+AK309</f>
        <v>58.7</v>
      </c>
      <c r="AD309" s="278">
        <f>AC309+AC307</f>
        <v>87.326000000000008</v>
      </c>
      <c r="AH309" s="391" t="str">
        <f>AL309</f>
        <v>TRK_207_1</v>
      </c>
      <c r="AI309" t="s">
        <v>4223</v>
      </c>
      <c r="AJ309" s="232">
        <f t="shared" si="156"/>
        <v>-23.309993000000002</v>
      </c>
      <c r="AK309" s="232">
        <f t="shared" si="157"/>
        <v>30.074000000000002</v>
      </c>
      <c r="AL309" s="415" t="s">
        <v>4184</v>
      </c>
      <c r="AM309" s="415" t="s">
        <v>4188</v>
      </c>
      <c r="AN309">
        <v>0.34161599999999998</v>
      </c>
      <c r="AO309">
        <v>1.4405110000000001</v>
      </c>
      <c r="AP309">
        <v>1.098895</v>
      </c>
      <c r="AQ309" s="416">
        <v>9.6702750000000002</v>
      </c>
      <c r="AR309">
        <f t="shared" si="158"/>
        <v>8.7032474999999998</v>
      </c>
      <c r="AS309" s="415">
        <f t="shared" si="160"/>
        <v>35.390006999999997</v>
      </c>
    </row>
    <row r="310" spans="3:46" ht="13.5" customHeight="1">
      <c r="N310" t="s">
        <v>4247</v>
      </c>
      <c r="O310" s="263" t="str">
        <f>AI310</f>
        <v>207/22:05</v>
      </c>
      <c r="P310" s="179" t="str">
        <f>MID(AL310,5,5)</f>
        <v>207_2</v>
      </c>
      <c r="Q310" s="3"/>
      <c r="R310" s="3"/>
      <c r="S310" s="104"/>
      <c r="T310" s="104"/>
      <c r="U310" s="3"/>
      <c r="V310" s="97">
        <f t="shared" si="159"/>
        <v>0</v>
      </c>
      <c r="W310" s="422">
        <f>AA310*1000000/8+X309</f>
        <v>-2606388.4375000005</v>
      </c>
      <c r="X310" s="266">
        <f>W310-V310</f>
        <v>-2606388.4375000005</v>
      </c>
      <c r="Y310" s="318">
        <f>X310*8/1000000</f>
        <v>-20.851107500000005</v>
      </c>
      <c r="Z310" s="319"/>
      <c r="AA310" s="256">
        <f>AR310</f>
        <v>2.4588855000000001</v>
      </c>
      <c r="AH310" s="391" t="str">
        <f>AL310</f>
        <v>TRK_207_2</v>
      </c>
      <c r="AI310" t="s">
        <v>4243</v>
      </c>
      <c r="AJ310" s="232">
        <f t="shared" si="156"/>
        <v>-20.851107500000005</v>
      </c>
      <c r="AK310" s="232">
        <f t="shared" si="157"/>
        <v>0</v>
      </c>
      <c r="AL310" t="s">
        <v>4189</v>
      </c>
      <c r="AM310" t="s">
        <v>4190</v>
      </c>
      <c r="AN310">
        <v>0.26087700000000003</v>
      </c>
      <c r="AO310">
        <v>0.57134200000000002</v>
      </c>
      <c r="AP310">
        <v>0.31046499999999999</v>
      </c>
      <c r="AQ310" s="416">
        <v>2.7320950000000002</v>
      </c>
      <c r="AR310">
        <f t="shared" si="158"/>
        <v>2.4588855000000001</v>
      </c>
      <c r="AS310" s="415">
        <f t="shared" si="160"/>
        <v>37.848892499999998</v>
      </c>
    </row>
    <row r="311" spans="3:46" ht="13.5" customHeight="1">
      <c r="M311" t="s">
        <v>4346</v>
      </c>
      <c r="O311" s="263" t="str">
        <f>AI311</f>
        <v>208/22:00</v>
      </c>
      <c r="P311" s="179" t="str">
        <f>MID(AL311,5,5)</f>
        <v>208_1</v>
      </c>
      <c r="Q311" s="3"/>
      <c r="R311" s="3"/>
      <c r="S311" s="104"/>
      <c r="T311" s="104"/>
      <c r="U311" s="3"/>
      <c r="V311" s="97">
        <f t="shared" si="159"/>
        <v>0</v>
      </c>
      <c r="W311" s="422">
        <f>AA311*1000000/8+X310</f>
        <v>-4106.9500000006519</v>
      </c>
      <c r="X311" s="266">
        <f>W311-V311</f>
        <v>-4106.9500000006519</v>
      </c>
      <c r="Y311" s="318">
        <f>X311*8/1000000</f>
        <v>-3.2855600000005217E-2</v>
      </c>
      <c r="Z311" s="319"/>
      <c r="AA311" s="256">
        <f>AR311</f>
        <v>20.8182519</v>
      </c>
      <c r="AB311">
        <f>SUM(AA307:AA311)</f>
        <v>58.667144399999998</v>
      </c>
      <c r="AC311" s="278"/>
      <c r="AH311" s="391" t="str">
        <f>AL311</f>
        <v>TRK_208_1</v>
      </c>
      <c r="AI311" t="s">
        <v>4224</v>
      </c>
      <c r="AJ311" s="232">
        <f t="shared" si="156"/>
        <v>-3.2855600000005217E-2</v>
      </c>
      <c r="AK311" s="232">
        <f t="shared" si="157"/>
        <v>0</v>
      </c>
      <c r="AL311" t="s">
        <v>1461</v>
      </c>
      <c r="AM311" t="s">
        <v>4191</v>
      </c>
      <c r="AN311">
        <v>0.31857600000000003</v>
      </c>
      <c r="AO311">
        <v>2.9471430000000001</v>
      </c>
      <c r="AP311">
        <v>2.6285669999999999</v>
      </c>
      <c r="AQ311" s="416">
        <v>23.131391000000001</v>
      </c>
      <c r="AR311">
        <f t="shared" si="158"/>
        <v>20.8182519</v>
      </c>
      <c r="AS311" s="415">
        <f t="shared" si="160"/>
        <v>58.667144399999998</v>
      </c>
      <c r="AT311" t="s">
        <v>4192</v>
      </c>
    </row>
    <row r="312" spans="3:46" ht="13.5" customHeight="1">
      <c r="O312" s="192" t="s">
        <v>4363</v>
      </c>
      <c r="P312" s="427" t="s">
        <v>4279</v>
      </c>
      <c r="Q312" s="427" t="s">
        <v>4280</v>
      </c>
      <c r="R312" s="427">
        <v>611968056</v>
      </c>
      <c r="S312" s="427">
        <v>1</v>
      </c>
      <c r="T312" s="427" t="s">
        <v>373</v>
      </c>
      <c r="U312" s="427" t="s">
        <v>2005</v>
      </c>
      <c r="V312" s="427" t="s">
        <v>833</v>
      </c>
      <c r="W312" s="427"/>
      <c r="X312" s="427"/>
      <c r="Y312" s="318"/>
      <c r="Z312" s="319"/>
      <c r="AA312" s="256"/>
      <c r="AH312" s="391"/>
      <c r="AJ312" s="232"/>
      <c r="AK312" s="232"/>
      <c r="AQ312" s="416"/>
      <c r="AS312" s="415"/>
    </row>
    <row r="313" spans="3:46" ht="13.5" customHeight="1">
      <c r="O313" s="263"/>
      <c r="P313" s="400" t="s">
        <v>4281</v>
      </c>
      <c r="Q313" s="399" t="s">
        <v>4282</v>
      </c>
      <c r="R313" s="438">
        <v>611992316</v>
      </c>
      <c r="S313" s="400">
        <v>8</v>
      </c>
      <c r="T313" s="400" t="s">
        <v>373</v>
      </c>
      <c r="U313" s="400" t="s">
        <v>4283</v>
      </c>
      <c r="V313" s="400" t="s">
        <v>816</v>
      </c>
      <c r="W313" s="400" t="s">
        <v>817</v>
      </c>
      <c r="X313" s="400" t="s">
        <v>4284</v>
      </c>
      <c r="Y313" s="318"/>
      <c r="Z313" s="319"/>
      <c r="AA313" s="256"/>
      <c r="AH313" s="391"/>
      <c r="AJ313" s="232"/>
      <c r="AK313" s="232"/>
      <c r="AQ313" s="416"/>
      <c r="AS313" s="415"/>
    </row>
    <row r="314" spans="3:46" ht="13.5" customHeight="1">
      <c r="O314" s="263"/>
      <c r="P314" s="400" t="s">
        <v>4285</v>
      </c>
      <c r="Q314" s="400" t="s">
        <v>4286</v>
      </c>
      <c r="R314" s="400">
        <v>611992336</v>
      </c>
      <c r="S314" s="400">
        <v>1</v>
      </c>
      <c r="T314" s="400" t="s">
        <v>373</v>
      </c>
      <c r="U314" s="400" t="s">
        <v>4283</v>
      </c>
      <c r="V314" s="400" t="s">
        <v>833</v>
      </c>
      <c r="W314" s="400"/>
      <c r="X314" s="400" t="s">
        <v>4284</v>
      </c>
      <c r="Y314" s="318"/>
      <c r="Z314" s="319"/>
      <c r="AA314" s="256"/>
      <c r="AH314" s="391"/>
      <c r="AJ314" s="232"/>
      <c r="AK314" s="232"/>
      <c r="AQ314" s="416"/>
      <c r="AS314" s="415"/>
    </row>
    <row r="315" spans="3:46" ht="13.5" customHeight="1">
      <c r="O315" s="263"/>
      <c r="P315" s="400" t="s">
        <v>4287</v>
      </c>
      <c r="Q315" s="400" t="s">
        <v>4288</v>
      </c>
      <c r="R315" s="438">
        <v>611992341</v>
      </c>
      <c r="S315" s="400">
        <v>1</v>
      </c>
      <c r="T315" s="400" t="s">
        <v>373</v>
      </c>
      <c r="U315" s="400" t="s">
        <v>4283</v>
      </c>
      <c r="V315" s="400" t="s">
        <v>833</v>
      </c>
      <c r="W315" s="400"/>
      <c r="X315" s="400" t="s">
        <v>4284</v>
      </c>
      <c r="Y315" s="318"/>
      <c r="Z315" s="319"/>
      <c r="AA315" s="256"/>
      <c r="AH315" s="391"/>
      <c r="AJ315" s="232"/>
      <c r="AK315" s="232"/>
      <c r="AQ315" s="416"/>
      <c r="AS315" s="415"/>
    </row>
    <row r="316" spans="3:46" ht="13.5" customHeight="1">
      <c r="O316" s="263"/>
      <c r="P316" s="400" t="s">
        <v>4289</v>
      </c>
      <c r="Q316" s="400" t="s">
        <v>4290</v>
      </c>
      <c r="R316" s="400">
        <v>611992832</v>
      </c>
      <c r="S316" s="400">
        <v>0</v>
      </c>
      <c r="T316" s="400" t="s">
        <v>826</v>
      </c>
      <c r="U316" s="400" t="s">
        <v>4291</v>
      </c>
      <c r="V316" s="400" t="s">
        <v>4292</v>
      </c>
      <c r="W316" s="400"/>
      <c r="X316" s="400" t="s">
        <v>4284</v>
      </c>
      <c r="Y316" s="318"/>
      <c r="Z316" s="319"/>
      <c r="AA316" s="256"/>
      <c r="AH316" s="391"/>
      <c r="AJ316" s="232"/>
      <c r="AK316" s="232"/>
      <c r="AQ316" s="416"/>
      <c r="AS316" s="415"/>
    </row>
    <row r="317" spans="3:46" ht="13.5" customHeight="1">
      <c r="O317" s="263"/>
      <c r="P317" s="400" t="s">
        <v>4289</v>
      </c>
      <c r="Q317" s="400" t="s">
        <v>4290</v>
      </c>
      <c r="R317" s="400">
        <v>611992832</v>
      </c>
      <c r="S317" s="400">
        <v>0</v>
      </c>
      <c r="T317" s="400" t="s">
        <v>826</v>
      </c>
      <c r="U317" s="400" t="s">
        <v>4291</v>
      </c>
      <c r="V317" s="400" t="s">
        <v>4293</v>
      </c>
      <c r="W317" s="400"/>
      <c r="X317" s="400" t="s">
        <v>4284</v>
      </c>
      <c r="Y317" s="318"/>
      <c r="Z317" s="319"/>
      <c r="AA317" s="256"/>
      <c r="AH317" s="391"/>
      <c r="AJ317" s="232"/>
      <c r="AK317" s="232"/>
      <c r="AQ317" s="416"/>
      <c r="AS317" s="415"/>
    </row>
    <row r="318" spans="3:46" ht="13.5" customHeight="1">
      <c r="O318" s="263"/>
      <c r="P318" s="400" t="s">
        <v>4289</v>
      </c>
      <c r="Q318" s="400" t="s">
        <v>4290</v>
      </c>
      <c r="R318" s="400">
        <v>611992832</v>
      </c>
      <c r="S318" s="400">
        <v>0</v>
      </c>
      <c r="T318" s="400" t="s">
        <v>826</v>
      </c>
      <c r="U318" s="400" t="s">
        <v>4291</v>
      </c>
      <c r="V318" s="400" t="s">
        <v>4294</v>
      </c>
      <c r="W318" s="400"/>
      <c r="X318" s="400" t="s">
        <v>4284</v>
      </c>
      <c r="Y318" s="318"/>
      <c r="Z318" s="319"/>
      <c r="AA318" s="256"/>
      <c r="AH318" s="391"/>
      <c r="AJ318" s="232"/>
      <c r="AK318" s="232"/>
      <c r="AQ318" s="416"/>
      <c r="AS318" s="415"/>
    </row>
    <row r="319" spans="3:46" ht="13.5" customHeight="1">
      <c r="O319" s="263"/>
      <c r="P319" s="400" t="s">
        <v>4289</v>
      </c>
      <c r="Q319" s="400" t="s">
        <v>4290</v>
      </c>
      <c r="R319" s="400">
        <v>611992832</v>
      </c>
      <c r="S319" s="400">
        <v>0</v>
      </c>
      <c r="T319" s="400" t="s">
        <v>826</v>
      </c>
      <c r="U319" s="400" t="s">
        <v>4291</v>
      </c>
      <c r="V319" s="400" t="s">
        <v>828</v>
      </c>
      <c r="W319" s="400"/>
      <c r="X319" s="400" t="s">
        <v>4284</v>
      </c>
      <c r="Y319" s="318"/>
      <c r="Z319" s="319"/>
      <c r="AA319" s="256"/>
      <c r="AH319" s="391"/>
      <c r="AJ319" s="232"/>
      <c r="AK319" s="232"/>
      <c r="AQ319" s="416"/>
      <c r="AS319" s="415"/>
    </row>
    <row r="320" spans="3:46" ht="13.5" customHeight="1">
      <c r="O320" s="437" t="s">
        <v>4324</v>
      </c>
      <c r="P320" s="400" t="s">
        <v>4289</v>
      </c>
      <c r="Q320" s="400" t="s">
        <v>4290</v>
      </c>
      <c r="R320" s="431">
        <v>611992832</v>
      </c>
      <c r="S320" s="400">
        <v>0</v>
      </c>
      <c r="T320" s="400" t="s">
        <v>826</v>
      </c>
      <c r="U320" s="400" t="s">
        <v>4291</v>
      </c>
      <c r="V320" s="399" t="s">
        <v>4295</v>
      </c>
      <c r="W320" s="400"/>
      <c r="X320" s="400" t="s">
        <v>4284</v>
      </c>
      <c r="Y320" s="318"/>
      <c r="Z320" s="319"/>
      <c r="AA320" s="256"/>
      <c r="AH320" s="391"/>
      <c r="AJ320" s="232"/>
      <c r="AK320" s="232"/>
      <c r="AQ320" s="416"/>
      <c r="AS320" s="415"/>
    </row>
    <row r="321" spans="3:45" ht="13.5" customHeight="1">
      <c r="O321" s="263"/>
      <c r="P321" s="400" t="s">
        <v>4289</v>
      </c>
      <c r="Q321" s="400" t="s">
        <v>4290</v>
      </c>
      <c r="R321" s="400">
        <v>611992832</v>
      </c>
      <c r="S321" s="400">
        <v>0</v>
      </c>
      <c r="T321" s="400" t="s">
        <v>826</v>
      </c>
      <c r="U321" s="400" t="s">
        <v>4291</v>
      </c>
      <c r="V321" s="400" t="s">
        <v>4296</v>
      </c>
      <c r="W321" s="400"/>
      <c r="X321" s="400" t="s">
        <v>4284</v>
      </c>
      <c r="Y321" s="318"/>
      <c r="Z321" s="319"/>
      <c r="AA321" s="256"/>
      <c r="AH321" s="391"/>
      <c r="AJ321" s="232"/>
      <c r="AK321" s="232"/>
      <c r="AQ321" s="416"/>
      <c r="AS321" s="415"/>
    </row>
    <row r="322" spans="3:45" ht="13.5" customHeight="1">
      <c r="O322" s="263"/>
      <c r="P322" s="400" t="s">
        <v>4289</v>
      </c>
      <c r="Q322" s="400" t="s">
        <v>4290</v>
      </c>
      <c r="R322" s="400">
        <v>611992832</v>
      </c>
      <c r="S322" s="400">
        <v>0</v>
      </c>
      <c r="T322" s="400" t="s">
        <v>826</v>
      </c>
      <c r="U322" s="400" t="s">
        <v>4291</v>
      </c>
      <c r="V322" s="400" t="s">
        <v>1471</v>
      </c>
      <c r="W322" s="400"/>
      <c r="X322" s="400" t="s">
        <v>4284</v>
      </c>
      <c r="Y322" s="318"/>
      <c r="Z322" s="319"/>
      <c r="AA322" s="256"/>
      <c r="AH322" s="391"/>
      <c r="AJ322" s="232"/>
      <c r="AK322" s="232"/>
      <c r="AQ322" s="416"/>
      <c r="AS322" s="415"/>
    </row>
    <row r="323" spans="3:45" ht="13.5" customHeight="1">
      <c r="C323" s="3"/>
      <c r="D323" s="3"/>
      <c r="E323" s="3"/>
      <c r="F323" s="3"/>
      <c r="G323" s="3"/>
      <c r="H323" s="3"/>
      <c r="I323" s="3"/>
      <c r="J323" s="3" t="s">
        <v>943</v>
      </c>
      <c r="K323" s="3" t="s">
        <v>1540</v>
      </c>
      <c r="L323" s="226" t="str">
        <f>M298</f>
        <v>25-128/04:02</v>
      </c>
      <c r="M323" s="226" t="s">
        <v>4274</v>
      </c>
      <c r="N323" t="s">
        <v>4173</v>
      </c>
      <c r="O323" s="263" t="str">
        <f>AI323</f>
        <v>211/03:05</v>
      </c>
      <c r="P323" s="179" t="str">
        <f t="shared" ref="P323:P330" si="162">MID(AL323,5,5)</f>
        <v>211_1</v>
      </c>
      <c r="Q323" s="264">
        <f>R298-3</f>
        <v>608982853.46091604</v>
      </c>
      <c r="R323" s="104">
        <f>((W323)/$S$4)+Q323</f>
        <v>609465828.44969428</v>
      </c>
      <c r="S323" s="104">
        <f t="shared" ref="S323" si="163">R323-Q323</f>
        <v>482974.98877823353</v>
      </c>
      <c r="T323" s="104">
        <f>S323*$S$4</f>
        <v>677531.11249999655</v>
      </c>
      <c r="U323" s="3">
        <v>0</v>
      </c>
      <c r="V323" s="97">
        <f t="shared" si="159"/>
        <v>677531.11249999655</v>
      </c>
      <c r="W323" s="97">
        <f>AA323*1000000/8+X311</f>
        <v>677531.11249999935</v>
      </c>
      <c r="X323" s="266">
        <f t="shared" ref="X323" si="164">W323-V323</f>
        <v>2.7939677238464355E-9</v>
      </c>
      <c r="Y323" s="318"/>
      <c r="Z323" s="319"/>
      <c r="AA323" s="256">
        <f>AR323</f>
        <v>5.4531045000000002</v>
      </c>
      <c r="AC323" s="308">
        <f>AC310+AK323</f>
        <v>5.4202488999999723</v>
      </c>
      <c r="AH323" s="391" t="str">
        <f>AL323</f>
        <v>TRK_211_1</v>
      </c>
      <c r="AI323" t="s">
        <v>4225</v>
      </c>
      <c r="AJ323" s="232">
        <f t="shared" si="156"/>
        <v>2.2351741790771485E-14</v>
      </c>
      <c r="AK323" s="232">
        <f t="shared" si="157"/>
        <v>5.4202488999999723</v>
      </c>
      <c r="AL323" t="s">
        <v>651</v>
      </c>
      <c r="AM323" t="s">
        <v>4193</v>
      </c>
      <c r="AN323">
        <v>0.87197400000000003</v>
      </c>
      <c r="AO323">
        <v>1.560497</v>
      </c>
      <c r="AP323">
        <v>0.688523</v>
      </c>
      <c r="AQ323" s="416">
        <v>6.059005</v>
      </c>
      <c r="AR323">
        <f t="shared" si="158"/>
        <v>5.4531045000000002</v>
      </c>
      <c r="AS323">
        <f>AS311+AR323</f>
        <v>64.120248899999993</v>
      </c>
    </row>
    <row r="324" spans="3:45" ht="13.5" customHeight="1">
      <c r="C324" s="3"/>
      <c r="D324" s="3"/>
      <c r="E324" s="3"/>
      <c r="F324" s="3"/>
      <c r="G324" s="3"/>
      <c r="H324" s="3"/>
      <c r="I324" s="3"/>
      <c r="J324" s="3" t="s">
        <v>943</v>
      </c>
      <c r="K324" s="3" t="s">
        <v>1540</v>
      </c>
      <c r="L324" s="226" t="str">
        <f t="shared" ref="L324:L330" si="165">M323</f>
        <v>25-133/18:11</v>
      </c>
      <c r="M324" s="226" t="s">
        <v>4275</v>
      </c>
      <c r="N324" t="s">
        <v>4173</v>
      </c>
      <c r="O324" s="263" t="str">
        <f>AI324</f>
        <v>212/03:35</v>
      </c>
      <c r="P324" s="179" t="str">
        <f t="shared" si="162"/>
        <v>212_1</v>
      </c>
      <c r="Q324" s="237">
        <f t="shared" ref="Q324:Q330" si="166">R323-3</f>
        <v>609465825.44969428</v>
      </c>
      <c r="R324" s="104">
        <f>((W324)/$S$4)+Q324</f>
        <v>610411500.69402742</v>
      </c>
      <c r="S324" s="104">
        <f t="shared" ref="S324:S325" si="167">R324-Q324</f>
        <v>945675.244333148</v>
      </c>
      <c r="T324" s="104">
        <f>S324*$S$4</f>
        <v>1326620.250000034</v>
      </c>
      <c r="U324" s="3">
        <v>0</v>
      </c>
      <c r="V324" s="97">
        <f t="shared" ref="V324:V325" si="168">T324+U324*$V$33</f>
        <v>1326620.250000034</v>
      </c>
      <c r="W324" s="97">
        <f>AA324*1000000/8</f>
        <v>1326620.25</v>
      </c>
      <c r="X324" s="266">
        <f t="shared" ref="X324:X325" si="169">W324-V324</f>
        <v>-3.3993273973464966E-8</v>
      </c>
      <c r="Y324" s="318"/>
      <c r="Z324" s="319"/>
      <c r="AA324" s="256">
        <f>AR324</f>
        <v>10.612962</v>
      </c>
      <c r="AC324" s="308">
        <f>AK324+AC323</f>
        <v>16.033210900000242</v>
      </c>
      <c r="AH324" s="391" t="str">
        <f>AL324</f>
        <v>TRK_212_1</v>
      </c>
      <c r="AI324" t="s">
        <v>4226</v>
      </c>
      <c r="AJ324" s="232">
        <f t="shared" si="156"/>
        <v>-2.7194619178771972E-13</v>
      </c>
      <c r="AK324" s="232">
        <f t="shared" si="157"/>
        <v>10.612962000000271</v>
      </c>
      <c r="AL324" t="s">
        <v>1494</v>
      </c>
      <c r="AM324" t="s">
        <v>4194</v>
      </c>
      <c r="AN324">
        <v>0.31300499999999998</v>
      </c>
      <c r="AO324">
        <v>1.653025</v>
      </c>
      <c r="AP324">
        <v>1.34002</v>
      </c>
      <c r="AQ324" s="416">
        <v>11.79218</v>
      </c>
      <c r="AR324">
        <f t="shared" si="158"/>
        <v>10.612962</v>
      </c>
      <c r="AS324">
        <f t="shared" si="160"/>
        <v>74.733210899999989</v>
      </c>
    </row>
    <row r="325" spans="3:45" ht="13.5" customHeight="1">
      <c r="J325" s="3" t="s">
        <v>943</v>
      </c>
      <c r="K325" s="3" t="s">
        <v>1540</v>
      </c>
      <c r="L325" s="226" t="str">
        <f t="shared" si="165"/>
        <v>25-144/16:53</v>
      </c>
      <c r="M325" s="226" t="s">
        <v>4276</v>
      </c>
      <c r="N325" t="s">
        <v>4173</v>
      </c>
      <c r="O325" s="263" t="str">
        <f>AI325</f>
        <v>212/13:50</v>
      </c>
      <c r="P325" s="179" t="str">
        <f t="shared" si="162"/>
        <v>212_2</v>
      </c>
      <c r="Q325" s="237">
        <f t="shared" si="166"/>
        <v>610411497.69402742</v>
      </c>
      <c r="R325" s="104">
        <f>((W325)/$S$4)+Q325</f>
        <v>610848059.61678576</v>
      </c>
      <c r="S325" s="104">
        <f t="shared" si="167"/>
        <v>436561.92275834084</v>
      </c>
      <c r="T325" s="104">
        <f>S325*$S$4</f>
        <v>612421.53749996936</v>
      </c>
      <c r="U325" s="3">
        <v>0</v>
      </c>
      <c r="V325" s="97">
        <f t="shared" si="168"/>
        <v>612421.53749996936</v>
      </c>
      <c r="W325" s="97">
        <f>AA325*1000000/8</f>
        <v>612421.53750000009</v>
      </c>
      <c r="X325" s="266">
        <f t="shared" si="169"/>
        <v>3.0733644962310791E-8</v>
      </c>
      <c r="Y325" s="318"/>
      <c r="Z325" s="319"/>
      <c r="AA325" s="256">
        <f>AR325</f>
        <v>4.8993723000000005</v>
      </c>
      <c r="AC325" s="308">
        <f>AK325+AC324</f>
        <v>20.932583199999996</v>
      </c>
      <c r="AH325" s="391" t="str">
        <f>AL325</f>
        <v>TRK_212_2</v>
      </c>
      <c r="AI325" t="s">
        <v>4227</v>
      </c>
      <c r="AJ325" s="232">
        <f t="shared" si="156"/>
        <v>2.4586915969848635E-13</v>
      </c>
      <c r="AK325" s="232">
        <f t="shared" si="157"/>
        <v>4.8993722999997544</v>
      </c>
      <c r="AL325" t="s">
        <v>1498</v>
      </c>
      <c r="AM325" t="s">
        <v>4195</v>
      </c>
      <c r="AN325">
        <v>0.200989</v>
      </c>
      <c r="AO325">
        <v>0.81959700000000002</v>
      </c>
      <c r="AP325">
        <v>0.61860800000000005</v>
      </c>
      <c r="AQ325" s="416">
        <v>5.4437470000000001</v>
      </c>
      <c r="AR325">
        <f t="shared" si="158"/>
        <v>4.8993723000000005</v>
      </c>
      <c r="AS325">
        <f t="shared" si="160"/>
        <v>79.632583199999985</v>
      </c>
    </row>
    <row r="326" spans="3:45" ht="13.5" customHeight="1">
      <c r="J326" s="3" t="s">
        <v>943</v>
      </c>
      <c r="K326" s="3" t="s">
        <v>1540</v>
      </c>
      <c r="L326" s="226" t="str">
        <f t="shared" si="165"/>
        <v>25-149/18:09</v>
      </c>
      <c r="M326" s="226" t="s">
        <v>4347</v>
      </c>
      <c r="N326" t="s">
        <v>4173</v>
      </c>
      <c r="O326" s="263" t="str">
        <f>AI326</f>
        <v>213/02:25</v>
      </c>
      <c r="P326" s="179" t="str">
        <f t="shared" si="162"/>
        <v>213_1</v>
      </c>
      <c r="Q326" s="237">
        <f t="shared" si="166"/>
        <v>610848056.61678576</v>
      </c>
      <c r="R326" s="428">
        <f>R320-20</f>
        <v>611992812</v>
      </c>
      <c r="S326" s="104">
        <f t="shared" ref="S326:S329" si="170">R326-Q326</f>
        <v>1144755.3832142353</v>
      </c>
      <c r="T326" s="104">
        <f>S326*$S$4</f>
        <v>1605895.5563962641</v>
      </c>
      <c r="U326" s="3">
        <v>0</v>
      </c>
      <c r="V326" s="97">
        <f t="shared" ref="V326:V329" si="171">T326+U326*$V$33</f>
        <v>1605895.5563962641</v>
      </c>
      <c r="W326" s="97">
        <f>AA326*1000000/8</f>
        <v>1831892.625</v>
      </c>
      <c r="X326" s="430">
        <f t="shared" ref="X326:X329" si="172">W326-V326</f>
        <v>225997.06860373588</v>
      </c>
      <c r="Y326" s="318"/>
      <c r="Z326" s="319"/>
      <c r="AA326" s="256">
        <f>AR326</f>
        <v>14.655141</v>
      </c>
      <c r="AC326" s="308">
        <f>AK326+AC325</f>
        <v>33.779747651170112</v>
      </c>
      <c r="AH326" s="391" t="str">
        <f>AL326</f>
        <v>TRK_213_1</v>
      </c>
      <c r="AI326" t="s">
        <v>4228</v>
      </c>
      <c r="AJ326" s="232">
        <f t="shared" si="156"/>
        <v>1.8079765488298871</v>
      </c>
      <c r="AK326" s="232">
        <f t="shared" si="157"/>
        <v>12.847164451170112</v>
      </c>
      <c r="AL326" t="s">
        <v>664</v>
      </c>
      <c r="AM326" t="s">
        <v>4196</v>
      </c>
      <c r="AN326">
        <v>0.22583300000000001</v>
      </c>
      <c r="AO326">
        <v>2.0762299999999998</v>
      </c>
      <c r="AP326">
        <v>1.8503970000000001</v>
      </c>
      <c r="AQ326" s="416">
        <v>16.28349</v>
      </c>
      <c r="AR326">
        <f t="shared" si="158"/>
        <v>14.655141</v>
      </c>
      <c r="AS326">
        <f t="shared" si="160"/>
        <v>94.287724199999985</v>
      </c>
    </row>
    <row r="327" spans="3:45" ht="13.5" customHeight="1">
      <c r="J327" s="3" t="s">
        <v>943</v>
      </c>
      <c r="K327" s="3" t="s">
        <v>1540</v>
      </c>
      <c r="L327" s="226" t="str">
        <f t="shared" si="165"/>
        <v>25-163/08:37</v>
      </c>
      <c r="M327" s="226" t="s">
        <v>4358</v>
      </c>
      <c r="N327" t="s">
        <v>4297</v>
      </c>
      <c r="O327" s="263"/>
      <c r="P327" s="179" t="str">
        <f t="shared" si="162"/>
        <v/>
      </c>
      <c r="Q327" s="237">
        <f t="shared" si="166"/>
        <v>611992809</v>
      </c>
      <c r="R327" s="104">
        <f>((W327)/$S$5)+Q327</f>
        <v>612053956.5177387</v>
      </c>
      <c r="S327" s="104">
        <f t="shared" si="170"/>
        <v>61147.517738699913</v>
      </c>
      <c r="T327" s="104">
        <f>S327*$S$5</f>
        <v>225997.06860379208</v>
      </c>
      <c r="U327" s="3">
        <v>0</v>
      </c>
      <c r="V327" s="97">
        <f t="shared" si="171"/>
        <v>225997.06860379208</v>
      </c>
      <c r="W327" s="422">
        <f>X326</f>
        <v>225997.06860373588</v>
      </c>
      <c r="X327" s="266">
        <f t="shared" si="172"/>
        <v>-5.6199496611952782E-8</v>
      </c>
      <c r="Y327" s="318"/>
      <c r="Z327" s="319"/>
      <c r="AA327" s="256"/>
      <c r="AC327" s="308"/>
      <c r="AH327" s="391"/>
      <c r="AJ327" s="232"/>
      <c r="AK327" s="232"/>
      <c r="AQ327" s="416"/>
    </row>
    <row r="328" spans="3:45" ht="13.5" customHeight="1">
      <c r="J328" s="3" t="s">
        <v>943</v>
      </c>
      <c r="K328" s="3" t="s">
        <v>1540</v>
      </c>
      <c r="L328" s="226" t="str">
        <f t="shared" si="165"/>
        <v>25-163/17:07</v>
      </c>
      <c r="M328" s="226" t="s">
        <v>4359</v>
      </c>
      <c r="N328" t="s">
        <v>4297</v>
      </c>
      <c r="O328" s="263" t="str">
        <f>AI328</f>
        <v>213/22:40</v>
      </c>
      <c r="P328" s="179" t="str">
        <f t="shared" si="162"/>
        <v>213_2</v>
      </c>
      <c r="Q328" s="237">
        <f t="shared" si="166"/>
        <v>612053953.5177387</v>
      </c>
      <c r="R328" s="104">
        <f>((W328)/$S$5)+Q328</f>
        <v>612779862.37503493</v>
      </c>
      <c r="S328" s="104">
        <f t="shared" si="170"/>
        <v>725908.85729622841</v>
      </c>
      <c r="T328" s="104">
        <f>S328*$S$5</f>
        <v>2682909.7874998068</v>
      </c>
      <c r="U328" s="3">
        <v>0</v>
      </c>
      <c r="V328" s="97">
        <f t="shared" si="171"/>
        <v>2682909.7874998068</v>
      </c>
      <c r="W328" s="97">
        <f>AA328*1000000/8</f>
        <v>2682909.7875000001</v>
      </c>
      <c r="X328" s="266">
        <f t="shared" si="172"/>
        <v>1.9324943423271179E-7</v>
      </c>
      <c r="Y328" s="318"/>
      <c r="Z328" s="319"/>
      <c r="AA328" s="256">
        <f>AR328</f>
        <v>21.463278299999999</v>
      </c>
      <c r="AC328" s="308">
        <f>AK328+AC326</f>
        <v>55.243025951168562</v>
      </c>
      <c r="AH328" s="391" t="str">
        <f>AL328</f>
        <v>TRK_213_2</v>
      </c>
      <c r="AI328" t="s">
        <v>4229</v>
      </c>
      <c r="AJ328" s="232">
        <f t="shared" si="156"/>
        <v>1.5459954738616944E-12</v>
      </c>
      <c r="AK328" s="232">
        <f t="shared" si="157"/>
        <v>21.463278299998453</v>
      </c>
      <c r="AL328" t="s">
        <v>4197</v>
      </c>
      <c r="AM328" t="s">
        <v>4198</v>
      </c>
      <c r="AN328">
        <v>0.25551299999999999</v>
      </c>
      <c r="AO328">
        <v>2.9655230000000001</v>
      </c>
      <c r="AP328">
        <v>2.71001</v>
      </c>
      <c r="AQ328" s="416">
        <v>23.848087</v>
      </c>
      <c r="AR328">
        <f t="shared" si="158"/>
        <v>21.463278299999999</v>
      </c>
      <c r="AS328">
        <f>AS326+AR328</f>
        <v>115.75100249999998</v>
      </c>
    </row>
    <row r="329" spans="3:45" ht="13.5" customHeight="1">
      <c r="J329" s="3" t="s">
        <v>943</v>
      </c>
      <c r="K329" s="3" t="s">
        <v>1540</v>
      </c>
      <c r="L329" s="226" t="str">
        <f t="shared" si="165"/>
        <v>25-172/02:45</v>
      </c>
      <c r="M329" s="226" t="s">
        <v>4360</v>
      </c>
      <c r="N329" t="s">
        <v>4297</v>
      </c>
      <c r="O329" s="263" t="str">
        <f>AI329</f>
        <v>214/11:25</v>
      </c>
      <c r="P329" s="179" t="str">
        <f t="shared" si="162"/>
        <v>214_1</v>
      </c>
      <c r="Q329" s="237">
        <f t="shared" si="166"/>
        <v>612779859.37503493</v>
      </c>
      <c r="R329" s="104">
        <f>((W329)/$S$5)+Q329</f>
        <v>613007457.63604379</v>
      </c>
      <c r="S329" s="104">
        <f t="shared" si="170"/>
        <v>227598.26100885868</v>
      </c>
      <c r="T329" s="104">
        <f>S329*$S$5</f>
        <v>841187.69999994489</v>
      </c>
      <c r="U329" s="3">
        <v>0</v>
      </c>
      <c r="V329" s="97">
        <f t="shared" si="171"/>
        <v>841187.69999994489</v>
      </c>
      <c r="W329" s="97">
        <f>AA329*1000000/8</f>
        <v>841187.7</v>
      </c>
      <c r="X329" s="266">
        <f t="shared" si="172"/>
        <v>5.5064447224140167E-8</v>
      </c>
      <c r="Y329" s="318"/>
      <c r="Z329" s="319"/>
      <c r="AA329" s="256">
        <f>AR329</f>
        <v>6.7295015999999999</v>
      </c>
      <c r="AC329" s="308">
        <f>AK329+AC328</f>
        <v>61.97252755116812</v>
      </c>
      <c r="AH329" s="391" t="str">
        <f>AL329</f>
        <v>TRK_214_1</v>
      </c>
      <c r="AI329" t="s">
        <v>4230</v>
      </c>
      <c r="AJ329" s="232">
        <f t="shared" si="156"/>
        <v>4.4051557779312134E-13</v>
      </c>
      <c r="AK329" s="232">
        <f t="shared" si="157"/>
        <v>6.7295015999995593</v>
      </c>
      <c r="AL329" t="s">
        <v>669</v>
      </c>
      <c r="AM329" t="s">
        <v>4199</v>
      </c>
      <c r="AN329">
        <v>0.35693000000000003</v>
      </c>
      <c r="AO329">
        <v>1.206615</v>
      </c>
      <c r="AP329">
        <v>0.84968500000000002</v>
      </c>
      <c r="AQ329" s="416">
        <v>7.4772239999999996</v>
      </c>
      <c r="AR329">
        <f t="shared" si="158"/>
        <v>6.7295015999999999</v>
      </c>
      <c r="AS329">
        <f t="shared" si="160"/>
        <v>122.48050409999999</v>
      </c>
    </row>
    <row r="330" spans="3:45" ht="13.5" customHeight="1">
      <c r="J330" s="3" t="s">
        <v>943</v>
      </c>
      <c r="K330" s="3" t="s">
        <v>1540</v>
      </c>
      <c r="L330" s="226" t="str">
        <f t="shared" si="165"/>
        <v>25-174/17:59</v>
      </c>
      <c r="M330" s="226" t="s">
        <v>4348</v>
      </c>
      <c r="N330" t="s">
        <v>4297</v>
      </c>
      <c r="O330" s="263" t="str">
        <f>AI330</f>
        <v>214/23:00</v>
      </c>
      <c r="P330" s="179" t="str">
        <f t="shared" si="162"/>
        <v>214_2</v>
      </c>
      <c r="Q330" s="237">
        <f t="shared" si="166"/>
        <v>613007454.63604379</v>
      </c>
      <c r="R330" s="432">
        <f>R338</f>
        <v>613564800</v>
      </c>
      <c r="S330" s="104">
        <f t="shared" ref="S330:S373" si="173">R330-Q330</f>
        <v>557345.363956213</v>
      </c>
      <c r="T330" s="104">
        <f>S330*$S$5</f>
        <v>2059910.5754754029</v>
      </c>
      <c r="U330" s="3">
        <v>0</v>
      </c>
      <c r="V330" s="97">
        <f t="shared" ref="V330:V365" si="174">T330+U330*$V$33</f>
        <v>2059910.5754754029</v>
      </c>
      <c r="W330" s="97">
        <f>AA330*1000000/8</f>
        <v>2355370.875</v>
      </c>
      <c r="X330" s="430">
        <f t="shared" ref="X330:X373" si="175">W330-V330</f>
        <v>295460.29952459713</v>
      </c>
      <c r="Y330" s="318"/>
      <c r="Z330" s="319"/>
      <c r="AA330" s="256">
        <f>AR330</f>
        <v>18.842967000000002</v>
      </c>
      <c r="AC330" s="308">
        <f>AK330+AC329</f>
        <v>78.45181215497135</v>
      </c>
      <c r="AH330" s="391" t="str">
        <f>AL330</f>
        <v>TRK_214_2</v>
      </c>
      <c r="AI330" t="s">
        <v>4231</v>
      </c>
      <c r="AJ330" s="232">
        <f t="shared" si="156"/>
        <v>2.363682396196777</v>
      </c>
      <c r="AK330" s="232">
        <f t="shared" si="157"/>
        <v>16.479284603803222</v>
      </c>
      <c r="AL330" t="s">
        <v>4200</v>
      </c>
      <c r="AM330" t="s">
        <v>4201</v>
      </c>
      <c r="AN330">
        <v>0.215169</v>
      </c>
      <c r="AO330">
        <v>2.5943320000000001</v>
      </c>
      <c r="AP330">
        <v>2.3791630000000001</v>
      </c>
      <c r="AQ330" s="416">
        <v>20.936630000000001</v>
      </c>
      <c r="AR330">
        <f t="shared" si="158"/>
        <v>18.842967000000002</v>
      </c>
      <c r="AS330">
        <f>AS329+AR330</f>
        <v>141.32347110000001</v>
      </c>
    </row>
    <row r="331" spans="3:45" ht="13.5" customHeight="1">
      <c r="J331" s="3"/>
      <c r="K331" s="3"/>
      <c r="L331" s="226"/>
      <c r="M331" s="226"/>
      <c r="O331" s="263"/>
      <c r="P331" s="400" t="s">
        <v>4325</v>
      </c>
      <c r="Q331" s="399" t="s">
        <v>4326</v>
      </c>
      <c r="R331" s="439">
        <v>613564318</v>
      </c>
      <c r="S331" s="400">
        <v>7</v>
      </c>
      <c r="T331" s="400" t="s">
        <v>373</v>
      </c>
      <c r="U331" s="400" t="s">
        <v>4327</v>
      </c>
      <c r="V331" s="400" t="s">
        <v>816</v>
      </c>
      <c r="W331" s="400" t="s">
        <v>817</v>
      </c>
      <c r="X331" s="400" t="s">
        <v>4328</v>
      </c>
      <c r="Y331" s="318"/>
      <c r="Z331" s="319"/>
      <c r="AA331" s="256"/>
      <c r="AC331" s="308"/>
      <c r="AH331" s="391"/>
      <c r="AJ331" s="232"/>
      <c r="AK331" s="232"/>
      <c r="AQ331" s="416"/>
    </row>
    <row r="332" spans="3:45" ht="13.5" customHeight="1">
      <c r="J332" s="3"/>
      <c r="K332" s="3"/>
      <c r="L332" s="226"/>
      <c r="M332" s="226"/>
      <c r="O332" s="263"/>
      <c r="P332" s="400" t="s">
        <v>4329</v>
      </c>
      <c r="Q332" s="400" t="s">
        <v>4330</v>
      </c>
      <c r="R332" s="400">
        <v>613564338</v>
      </c>
      <c r="S332" s="400">
        <v>1</v>
      </c>
      <c r="T332" s="400" t="s">
        <v>373</v>
      </c>
      <c r="U332" s="400" t="s">
        <v>4327</v>
      </c>
      <c r="V332" s="400" t="s">
        <v>833</v>
      </c>
      <c r="W332" s="400"/>
      <c r="X332" s="400" t="s">
        <v>4328</v>
      </c>
      <c r="Y332" s="318"/>
      <c r="Z332" s="319"/>
      <c r="AA332" s="256"/>
      <c r="AC332" s="308"/>
      <c r="AH332" s="391"/>
      <c r="AJ332" s="232"/>
      <c r="AK332" s="232"/>
      <c r="AQ332" s="416"/>
    </row>
    <row r="333" spans="3:45" ht="13.5" customHeight="1">
      <c r="J333" s="3"/>
      <c r="K333" s="3"/>
      <c r="L333" s="226"/>
      <c r="M333" s="226"/>
      <c r="O333" s="263"/>
      <c r="P333" s="400" t="s">
        <v>4331</v>
      </c>
      <c r="Q333" s="400" t="s">
        <v>4332</v>
      </c>
      <c r="R333" s="400">
        <v>613564343</v>
      </c>
      <c r="S333" s="400">
        <v>1</v>
      </c>
      <c r="T333" s="400" t="s">
        <v>373</v>
      </c>
      <c r="U333" s="400" t="s">
        <v>4327</v>
      </c>
      <c r="V333" s="400" t="s">
        <v>833</v>
      </c>
      <c r="W333" s="400"/>
      <c r="X333" s="400" t="s">
        <v>4328</v>
      </c>
      <c r="Y333" s="318"/>
      <c r="Z333" s="319"/>
      <c r="AA333" s="256"/>
      <c r="AC333" s="308"/>
      <c r="AH333" s="391"/>
      <c r="AJ333" s="232"/>
      <c r="AK333" s="232"/>
      <c r="AQ333" s="416"/>
    </row>
    <row r="334" spans="3:45" ht="13.5" customHeight="1">
      <c r="J334" s="3"/>
      <c r="K334" s="3"/>
      <c r="L334" s="226"/>
      <c r="M334" s="226"/>
      <c r="O334" s="263"/>
      <c r="P334" s="400" t="s">
        <v>4333</v>
      </c>
      <c r="Q334" s="400" t="s">
        <v>4334</v>
      </c>
      <c r="R334" s="400">
        <v>613564800</v>
      </c>
      <c r="S334" s="400">
        <v>0</v>
      </c>
      <c r="T334" s="400" t="s">
        <v>826</v>
      </c>
      <c r="U334" s="400" t="s">
        <v>1151</v>
      </c>
      <c r="V334" s="400" t="s">
        <v>4292</v>
      </c>
      <c r="W334" s="400"/>
      <c r="X334" s="400" t="s">
        <v>4328</v>
      </c>
      <c r="Y334" s="318"/>
      <c r="Z334" s="319"/>
      <c r="AA334" s="256"/>
      <c r="AC334" s="308"/>
      <c r="AH334" s="391"/>
      <c r="AJ334" s="232"/>
      <c r="AK334" s="232"/>
      <c r="AQ334" s="416"/>
    </row>
    <row r="335" spans="3:45" ht="13.5" customHeight="1">
      <c r="J335" s="3"/>
      <c r="K335" s="3"/>
      <c r="L335" s="226"/>
      <c r="M335" s="226"/>
      <c r="O335" s="263"/>
      <c r="P335" s="400" t="s">
        <v>4333</v>
      </c>
      <c r="Q335" s="400" t="s">
        <v>4334</v>
      </c>
      <c r="R335" s="400">
        <v>613564800</v>
      </c>
      <c r="S335" s="400">
        <v>0</v>
      </c>
      <c r="T335" s="400" t="s">
        <v>826</v>
      </c>
      <c r="U335" s="400" t="s">
        <v>1151</v>
      </c>
      <c r="V335" s="400" t="s">
        <v>4293</v>
      </c>
      <c r="W335" s="400"/>
      <c r="X335" s="400" t="s">
        <v>4328</v>
      </c>
      <c r="Y335" s="318"/>
      <c r="Z335" s="319"/>
      <c r="AA335" s="256"/>
      <c r="AC335" s="308"/>
      <c r="AH335" s="391"/>
      <c r="AJ335" s="232"/>
      <c r="AK335" s="232"/>
      <c r="AQ335" s="416"/>
    </row>
    <row r="336" spans="3:45" ht="13.5" customHeight="1">
      <c r="J336" s="3"/>
      <c r="K336" s="3"/>
      <c r="L336" s="226"/>
      <c r="M336" s="226"/>
      <c r="O336" s="263"/>
      <c r="P336" s="400" t="s">
        <v>4333</v>
      </c>
      <c r="Q336" s="400" t="s">
        <v>4334</v>
      </c>
      <c r="R336" s="400">
        <v>613564800</v>
      </c>
      <c r="S336" s="400">
        <v>0</v>
      </c>
      <c r="T336" s="400" t="s">
        <v>826</v>
      </c>
      <c r="U336" s="400" t="s">
        <v>1151</v>
      </c>
      <c r="V336" s="400" t="s">
        <v>4294</v>
      </c>
      <c r="W336" s="400"/>
      <c r="X336" s="400" t="s">
        <v>4328</v>
      </c>
      <c r="Y336" s="318"/>
      <c r="Z336" s="319"/>
      <c r="AA336" s="256"/>
      <c r="AC336" s="308"/>
      <c r="AH336" s="391"/>
      <c r="AJ336" s="232"/>
      <c r="AK336" s="232"/>
      <c r="AQ336" s="416"/>
    </row>
    <row r="337" spans="7:45" ht="13.5" customHeight="1">
      <c r="J337" s="3"/>
      <c r="K337" s="3"/>
      <c r="L337" s="226"/>
      <c r="M337" s="226"/>
      <c r="O337" s="263"/>
      <c r="P337" s="400" t="s">
        <v>4333</v>
      </c>
      <c r="Q337" s="400" t="s">
        <v>4334</v>
      </c>
      <c r="R337" s="400">
        <v>613564800</v>
      </c>
      <c r="S337" s="400">
        <v>0</v>
      </c>
      <c r="T337" s="400" t="s">
        <v>826</v>
      </c>
      <c r="U337" s="400" t="s">
        <v>1151</v>
      </c>
      <c r="V337" s="400" t="s">
        <v>828</v>
      </c>
      <c r="W337" s="400"/>
      <c r="X337" s="400" t="s">
        <v>4328</v>
      </c>
      <c r="Y337" s="318"/>
      <c r="Z337" s="319"/>
      <c r="AA337" s="256"/>
      <c r="AC337" s="308"/>
      <c r="AH337" s="391"/>
      <c r="AJ337" s="232"/>
      <c r="AK337" s="232"/>
      <c r="AQ337" s="416"/>
    </row>
    <row r="338" spans="7:45" ht="13.5" customHeight="1">
      <c r="J338" s="3"/>
      <c r="K338" s="3"/>
      <c r="L338" s="226"/>
      <c r="M338" s="226"/>
      <c r="O338" s="263" t="s">
        <v>4335</v>
      </c>
      <c r="P338" s="400" t="s">
        <v>4333</v>
      </c>
      <c r="Q338" s="400" t="s">
        <v>4334</v>
      </c>
      <c r="R338" s="443">
        <v>613564800</v>
      </c>
      <c r="S338" s="400">
        <v>0</v>
      </c>
      <c r="T338" s="400" t="s">
        <v>826</v>
      </c>
      <c r="U338" s="400" t="s">
        <v>1151</v>
      </c>
      <c r="V338" s="399" t="s">
        <v>4312</v>
      </c>
      <c r="W338" s="400"/>
      <c r="X338" s="400" t="s">
        <v>4328</v>
      </c>
      <c r="Y338" s="318"/>
      <c r="Z338" s="319"/>
      <c r="AA338" s="256"/>
      <c r="AC338" s="308"/>
      <c r="AH338" s="391"/>
      <c r="AJ338" s="232"/>
      <c r="AK338" s="232"/>
      <c r="AQ338" s="416"/>
    </row>
    <row r="339" spans="7:45" ht="13.5" customHeight="1">
      <c r="J339" s="3"/>
      <c r="K339" s="3"/>
      <c r="L339" s="226"/>
      <c r="M339" s="226"/>
      <c r="O339" s="263"/>
      <c r="P339" s="400" t="s">
        <v>4333</v>
      </c>
      <c r="Q339" s="400" t="s">
        <v>4334</v>
      </c>
      <c r="R339" s="400">
        <v>613564800</v>
      </c>
      <c r="S339" s="400">
        <v>0</v>
      </c>
      <c r="T339" s="400" t="s">
        <v>826</v>
      </c>
      <c r="U339" s="400" t="s">
        <v>1151</v>
      </c>
      <c r="V339" s="400" t="s">
        <v>4296</v>
      </c>
      <c r="W339" s="400"/>
      <c r="X339" s="400" t="s">
        <v>4328</v>
      </c>
      <c r="Y339" s="318"/>
      <c r="Z339" s="319"/>
      <c r="AA339" s="256"/>
      <c r="AC339" s="308"/>
      <c r="AH339" s="391"/>
      <c r="AJ339" s="232"/>
      <c r="AK339" s="232"/>
      <c r="AQ339" s="416"/>
    </row>
    <row r="340" spans="7:45" ht="13.5" customHeight="1">
      <c r="J340" s="3"/>
      <c r="K340" s="3"/>
      <c r="L340" s="226"/>
      <c r="M340" s="226"/>
      <c r="O340" s="263"/>
      <c r="P340" s="400" t="s">
        <v>4333</v>
      </c>
      <c r="Q340" s="400" t="s">
        <v>4334</v>
      </c>
      <c r="R340" s="400">
        <v>613564800</v>
      </c>
      <c r="S340" s="400">
        <v>0</v>
      </c>
      <c r="T340" s="400" t="s">
        <v>826</v>
      </c>
      <c r="U340" s="400" t="s">
        <v>1151</v>
      </c>
      <c r="V340" s="400" t="s">
        <v>1471</v>
      </c>
      <c r="W340" s="400"/>
      <c r="X340" s="400" t="s">
        <v>4328</v>
      </c>
      <c r="Y340" s="318"/>
      <c r="Z340" s="319"/>
      <c r="AA340" s="256"/>
      <c r="AC340" s="308"/>
      <c r="AH340" s="391"/>
      <c r="AJ340" s="232"/>
      <c r="AK340" s="232"/>
      <c r="AQ340" s="416"/>
    </row>
    <row r="341" spans="7:45" ht="13.5" customHeight="1">
      <c r="J341" s="3" t="s">
        <v>943</v>
      </c>
      <c r="K341" s="3" t="s">
        <v>1540</v>
      </c>
      <c r="L341" s="226" t="str">
        <f>M330</f>
        <v>25-181/04:48</v>
      </c>
      <c r="M341" s="226" t="s">
        <v>4361</v>
      </c>
      <c r="N341" t="s">
        <v>4336</v>
      </c>
      <c r="O341" s="263"/>
      <c r="P341" s="179" t="str">
        <f>MID(AL341,5,5)</f>
        <v/>
      </c>
      <c r="Q341" s="444">
        <f>R338-3</f>
        <v>613564797</v>
      </c>
      <c r="R341" s="104">
        <f>((W341)/$S$2)+Q341</f>
        <v>614149095.70580232</v>
      </c>
      <c r="S341" s="104">
        <f t="shared" ref="S341" si="176">R341-Q341</f>
        <v>584298.70580232143</v>
      </c>
      <c r="T341" s="104">
        <f>S341*$S$2</f>
        <v>295460.29952462157</v>
      </c>
      <c r="U341" s="3">
        <v>0</v>
      </c>
      <c r="V341" s="97">
        <f t="shared" ref="V341" si="177">T341+U341*$V$33</f>
        <v>295460.29952462157</v>
      </c>
      <c r="W341" s="422">
        <f>X330</f>
        <v>295460.29952459713</v>
      </c>
      <c r="X341" s="266">
        <f t="shared" ref="X341:X342" si="178">W341-V341</f>
        <v>-2.4447217583656311E-8</v>
      </c>
      <c r="Y341" s="318"/>
      <c r="Z341" s="319"/>
      <c r="AA341" s="256"/>
      <c r="AB341">
        <f>W341*8/1000000</f>
        <v>2.363682396196777</v>
      </c>
      <c r="AC341" s="308">
        <f>AK341+AC330</f>
        <v>80.815494551168328</v>
      </c>
      <c r="AH341" s="391"/>
      <c r="AJ341" s="232">
        <f t="shared" ref="AJ341" si="179">X341*8/1000000</f>
        <v>-1.955777406692505E-13</v>
      </c>
      <c r="AK341" s="232">
        <f t="shared" ref="AK341" si="180">V341*8/1000000</f>
        <v>2.3636823961969724</v>
      </c>
      <c r="AQ341" s="416"/>
    </row>
    <row r="342" spans="7:45" ht="13.5" customHeight="1">
      <c r="G342" s="397" t="s">
        <v>4337</v>
      </c>
      <c r="H342" s="397"/>
      <c r="I342" s="397"/>
      <c r="J342" s="3" t="s">
        <v>943</v>
      </c>
      <c r="K342" s="3" t="s">
        <v>1540</v>
      </c>
      <c r="L342" s="226" t="str">
        <f>M341</f>
        <v>25-187/23:06</v>
      </c>
      <c r="M342" s="226" t="s">
        <v>4362</v>
      </c>
      <c r="N342" t="s">
        <v>4336</v>
      </c>
      <c r="O342" s="263" t="str">
        <f>AI342</f>
        <v>215/14:20</v>
      </c>
      <c r="P342" s="179" t="str">
        <f>MID(AL342,5,5)</f>
        <v>215_1</v>
      </c>
      <c r="Q342" s="237">
        <f>R341-3</f>
        <v>614149092.70580232</v>
      </c>
      <c r="R342" s="104">
        <f>((W342)/$S$2)+Q342</f>
        <v>614850080.39412427</v>
      </c>
      <c r="S342" s="104">
        <f>R342-Q342</f>
        <v>700987.68832194805</v>
      </c>
      <c r="T342" s="104">
        <f>S342*$S$2</f>
        <v>354466.01250002626</v>
      </c>
      <c r="U342" s="3">
        <v>0</v>
      </c>
      <c r="V342" s="97">
        <f t="shared" si="174"/>
        <v>354466.01250002626</v>
      </c>
      <c r="W342" s="97">
        <f>AA342*1000000/8</f>
        <v>354466.01250000001</v>
      </c>
      <c r="X342" s="266">
        <f t="shared" si="178"/>
        <v>-2.6251655071973801E-8</v>
      </c>
      <c r="Y342" s="318"/>
      <c r="Z342" s="319"/>
      <c r="AA342" s="256">
        <f>AR342</f>
        <v>2.8357281000000003</v>
      </c>
      <c r="AC342" s="308">
        <f>AK342+AC341</f>
        <v>83.651222651168538</v>
      </c>
      <c r="AE342" s="278"/>
      <c r="AH342" s="391" t="str">
        <f>AL342</f>
        <v>TRK_215_1</v>
      </c>
      <c r="AI342" t="s">
        <v>4232</v>
      </c>
      <c r="AJ342" s="232">
        <f t="shared" si="156"/>
        <v>-2.1001324057579041E-13</v>
      </c>
      <c r="AK342" s="232">
        <f t="shared" si="157"/>
        <v>2.8357281000002099</v>
      </c>
      <c r="AL342" t="s">
        <v>1510</v>
      </c>
      <c r="AM342" t="s">
        <v>4202</v>
      </c>
      <c r="AN342">
        <v>0.22704199999999999</v>
      </c>
      <c r="AO342">
        <v>0.58508800000000005</v>
      </c>
      <c r="AP342">
        <v>0.35804599999999998</v>
      </c>
      <c r="AQ342" s="416">
        <v>3.1508090000000002</v>
      </c>
      <c r="AR342">
        <f t="shared" si="158"/>
        <v>2.8357281000000003</v>
      </c>
      <c r="AS342">
        <f>AS330+AR342</f>
        <v>144.15919920000002</v>
      </c>
    </row>
    <row r="343" spans="7:45" ht="13.5" customHeight="1">
      <c r="G343" s="397"/>
      <c r="H343" s="397"/>
      <c r="I343" s="397"/>
      <c r="J343" s="3"/>
      <c r="K343" s="3"/>
      <c r="L343" s="226" t="str">
        <f>M342</f>
        <v>25-196/01:49</v>
      </c>
      <c r="M343" s="226" t="s">
        <v>4298</v>
      </c>
      <c r="N343" t="s">
        <v>4338</v>
      </c>
      <c r="O343" s="263" t="str">
        <f>AI343</f>
        <v>216/03:34</v>
      </c>
      <c r="P343" s="179" t="str">
        <f>MID(AL343,5,5)</f>
        <v>216_1</v>
      </c>
      <c r="Q343" s="237">
        <f>R342-3</f>
        <v>614850077.39412427</v>
      </c>
      <c r="R343" s="469">
        <f>Q214-3</f>
        <v>615306093</v>
      </c>
      <c r="S343" s="104">
        <f>R343-Q343</f>
        <v>456015.60587573051</v>
      </c>
      <c r="T343" s="104">
        <f>S343*$S$2</f>
        <v>230591.82942213837</v>
      </c>
      <c r="U343" s="3">
        <v>0</v>
      </c>
      <c r="V343" s="97">
        <f t="shared" ref="V343" si="181">T343+U343*$V$33</f>
        <v>230591.82942213837</v>
      </c>
      <c r="W343" s="97">
        <f>AA343*1000000/8</f>
        <v>1016345.8125000002</v>
      </c>
      <c r="X343" s="430">
        <f t="shared" ref="X343" si="182">W343-V343</f>
        <v>785753.98307786183</v>
      </c>
      <c r="Y343" s="318"/>
      <c r="Z343" s="319"/>
      <c r="AA343" s="256">
        <f>AR343</f>
        <v>8.1307665000000018</v>
      </c>
      <c r="AB343">
        <f>V343*8/1000000</f>
        <v>1.844734635377107</v>
      </c>
      <c r="AC343" s="308">
        <f>AK343+AC342</f>
        <v>85.495957286545647</v>
      </c>
      <c r="AE343" s="278"/>
      <c r="AH343" s="391" t="str">
        <f>AL343</f>
        <v>TRK_216_1</v>
      </c>
      <c r="AI343" t="s">
        <v>4242</v>
      </c>
      <c r="AJ343" s="232">
        <f t="shared" ref="AJ343" si="183">X343*8/1000000</f>
        <v>6.2860318646228945</v>
      </c>
      <c r="AK343" s="232">
        <f t="shared" ref="AK343" si="184">V343*8/1000000</f>
        <v>1.844734635377107</v>
      </c>
      <c r="AL343" t="s">
        <v>1512</v>
      </c>
      <c r="AM343" t="s">
        <v>4203</v>
      </c>
      <c r="AN343">
        <v>0.23466000000000001</v>
      </c>
      <c r="AO343">
        <v>1.2612719999999999</v>
      </c>
      <c r="AP343">
        <v>1.0266120000000001</v>
      </c>
      <c r="AQ343" s="416">
        <v>9.0341850000000008</v>
      </c>
      <c r="AR343">
        <f t="shared" ref="AR343" si="185">AQ343*0.9</f>
        <v>8.1307665000000018</v>
      </c>
      <c r="AS343">
        <f>AS342+AR343</f>
        <v>152.28996570000001</v>
      </c>
    </row>
    <row r="344" spans="7:45" ht="13.5" customHeight="1">
      <c r="G344" s="397"/>
      <c r="H344" s="397"/>
      <c r="I344" s="397"/>
      <c r="J344" s="3"/>
      <c r="K344" s="3"/>
      <c r="L344" s="226"/>
      <c r="M344" s="226"/>
      <c r="O344" s="263"/>
      <c r="P344" s="448" t="s">
        <v>4309</v>
      </c>
      <c r="Q344" s="448" t="s">
        <v>242</v>
      </c>
      <c r="R344" s="448" t="s">
        <v>4309</v>
      </c>
      <c r="S344" s="448" t="s">
        <v>242</v>
      </c>
      <c r="T344" s="104" t="s">
        <v>4344</v>
      </c>
      <c r="U344" s="3"/>
      <c r="V344" s="446">
        <v>615306096</v>
      </c>
      <c r="W344" s="446">
        <v>615339021</v>
      </c>
      <c r="X344" s="429"/>
      <c r="Y344" s="318"/>
      <c r="Z344" s="319"/>
      <c r="AA344" s="256"/>
      <c r="AC344" s="308"/>
      <c r="AE344" s="278"/>
      <c r="AH344" s="391"/>
      <c r="AJ344" s="232"/>
      <c r="AK344" s="232"/>
      <c r="AQ344" s="416"/>
    </row>
    <row r="345" spans="7:45" ht="13.5" customHeight="1">
      <c r="G345" s="397"/>
      <c r="H345" s="397"/>
      <c r="I345" s="397"/>
      <c r="J345" s="3"/>
      <c r="K345" s="3"/>
      <c r="L345" s="226"/>
      <c r="M345" s="226"/>
      <c r="O345" s="263"/>
      <c r="P345" s="448" t="s">
        <v>4299</v>
      </c>
      <c r="Q345" s="449" t="s">
        <v>1485</v>
      </c>
      <c r="R345" s="450">
        <v>615306096</v>
      </c>
      <c r="S345" s="451">
        <v>615339021</v>
      </c>
      <c r="T345" s="104"/>
      <c r="U345" s="3"/>
      <c r="V345" s="447" t="s">
        <v>4365</v>
      </c>
      <c r="W345" s="446"/>
      <c r="X345" s="429"/>
      <c r="Y345" s="318"/>
      <c r="Z345" s="319"/>
      <c r="AA345" s="256"/>
      <c r="AC345" s="308"/>
      <c r="AE345" s="278"/>
      <c r="AH345" s="391"/>
      <c r="AJ345" s="232"/>
      <c r="AK345" s="232"/>
      <c r="AQ345" s="416"/>
    </row>
    <row r="346" spans="7:45" ht="13.5" customHeight="1">
      <c r="G346" s="397"/>
      <c r="H346" s="397"/>
      <c r="I346" s="397"/>
      <c r="J346" s="3"/>
      <c r="K346" s="3"/>
      <c r="L346" s="226"/>
      <c r="M346" s="226"/>
      <c r="N346" s="17" t="s">
        <v>4349</v>
      </c>
      <c r="O346" s="263" t="s">
        <v>169</v>
      </c>
      <c r="P346" s="400" t="s">
        <v>4300</v>
      </c>
      <c r="Q346" s="400" t="s">
        <v>4301</v>
      </c>
      <c r="R346" s="445">
        <v>615779216</v>
      </c>
      <c r="S346" s="400">
        <v>7</v>
      </c>
      <c r="T346" s="400" t="s">
        <v>373</v>
      </c>
      <c r="U346" s="400" t="s">
        <v>4302</v>
      </c>
      <c r="V346" s="400" t="s">
        <v>816</v>
      </c>
      <c r="W346" s="400" t="s">
        <v>817</v>
      </c>
      <c r="X346" s="400" t="s">
        <v>4303</v>
      </c>
      <c r="Y346" s="318"/>
      <c r="Z346" s="319"/>
      <c r="AA346" s="256"/>
      <c r="AC346" s="308"/>
      <c r="AE346" s="278"/>
      <c r="AH346" s="391"/>
      <c r="AJ346" s="232"/>
      <c r="AK346" s="232"/>
      <c r="AQ346" s="416"/>
    </row>
    <row r="347" spans="7:45" ht="13.5" customHeight="1">
      <c r="G347" s="397"/>
      <c r="H347" s="397"/>
      <c r="I347" s="397"/>
      <c r="J347" s="3"/>
      <c r="K347" s="3"/>
      <c r="L347" s="226"/>
      <c r="M347" s="226"/>
      <c r="O347" s="263"/>
      <c r="P347" s="400" t="s">
        <v>4304</v>
      </c>
      <c r="Q347" s="400" t="s">
        <v>4305</v>
      </c>
      <c r="R347" s="400">
        <v>615779236</v>
      </c>
      <c r="S347" s="400">
        <v>1</v>
      </c>
      <c r="T347" s="400" t="s">
        <v>373</v>
      </c>
      <c r="U347" s="400" t="s">
        <v>4302</v>
      </c>
      <c r="V347" s="400" t="s">
        <v>833</v>
      </c>
      <c r="W347" s="400"/>
      <c r="X347" s="400" t="s">
        <v>4303</v>
      </c>
      <c r="Y347" s="318"/>
      <c r="Z347" s="319"/>
      <c r="AA347" s="256"/>
      <c r="AC347" s="308"/>
      <c r="AE347" s="278"/>
      <c r="AH347" s="391"/>
      <c r="AJ347" s="232"/>
      <c r="AK347" s="232"/>
      <c r="AQ347" s="416"/>
    </row>
    <row r="348" spans="7:45" ht="13.5" customHeight="1">
      <c r="G348" s="397"/>
      <c r="H348" s="397"/>
      <c r="I348" s="397"/>
      <c r="J348" s="3"/>
      <c r="K348" s="3"/>
      <c r="L348" s="226"/>
      <c r="M348" s="226"/>
      <c r="O348" s="263"/>
      <c r="P348" s="400" t="s">
        <v>4306</v>
      </c>
      <c r="Q348" s="400" t="s">
        <v>4307</v>
      </c>
      <c r="R348" s="400">
        <v>615779241</v>
      </c>
      <c r="S348" s="400">
        <v>1</v>
      </c>
      <c r="T348" s="400" t="s">
        <v>373</v>
      </c>
      <c r="U348" s="400" t="s">
        <v>4302</v>
      </c>
      <c r="V348" s="400" t="s">
        <v>833</v>
      </c>
      <c r="W348" s="400"/>
      <c r="X348" s="400" t="s">
        <v>4303</v>
      </c>
      <c r="Y348" s="318"/>
      <c r="Z348" s="319"/>
      <c r="AA348" s="256"/>
      <c r="AC348" s="308"/>
      <c r="AE348" s="278"/>
      <c r="AH348" s="391"/>
      <c r="AJ348" s="232"/>
      <c r="AK348" s="232"/>
      <c r="AQ348" s="416"/>
    </row>
    <row r="349" spans="7:45" ht="13.5" customHeight="1">
      <c r="G349" s="397"/>
      <c r="H349" s="397"/>
      <c r="I349" s="397"/>
      <c r="J349" s="3"/>
      <c r="K349" s="3"/>
      <c r="L349" s="226"/>
      <c r="M349" s="226"/>
      <c r="O349" s="263"/>
      <c r="P349" s="400" t="s">
        <v>4310</v>
      </c>
      <c r="Q349" s="400" t="s">
        <v>4311</v>
      </c>
      <c r="R349" s="400">
        <v>615779712</v>
      </c>
      <c r="S349" s="400">
        <v>0</v>
      </c>
      <c r="T349" s="400" t="s">
        <v>826</v>
      </c>
      <c r="U349" s="400" t="s">
        <v>4302</v>
      </c>
      <c r="V349" s="400" t="s">
        <v>4292</v>
      </c>
      <c r="W349" s="400"/>
      <c r="X349" s="400" t="s">
        <v>4303</v>
      </c>
      <c r="Y349" s="318"/>
      <c r="Z349" s="319"/>
      <c r="AA349" s="256"/>
      <c r="AC349" s="308"/>
      <c r="AE349" s="278"/>
      <c r="AH349" s="391"/>
      <c r="AJ349" s="232"/>
      <c r="AK349" s="232"/>
      <c r="AQ349" s="416"/>
    </row>
    <row r="350" spans="7:45" ht="13.5" customHeight="1">
      <c r="G350" s="397"/>
      <c r="H350" s="397"/>
      <c r="I350" s="397"/>
      <c r="J350" s="3"/>
      <c r="K350" s="3"/>
      <c r="L350" s="226"/>
      <c r="M350" s="226"/>
      <c r="O350" s="263"/>
      <c r="P350" s="400" t="s">
        <v>4310</v>
      </c>
      <c r="Q350" s="400" t="s">
        <v>4311</v>
      </c>
      <c r="R350" s="400">
        <v>615779712</v>
      </c>
      <c r="S350" s="400">
        <v>0</v>
      </c>
      <c r="T350" s="400" t="s">
        <v>826</v>
      </c>
      <c r="U350" s="400" t="s">
        <v>4302</v>
      </c>
      <c r="V350" s="400" t="s">
        <v>4293</v>
      </c>
      <c r="W350" s="400"/>
      <c r="X350" s="400" t="s">
        <v>4303</v>
      </c>
      <c r="Y350" s="318"/>
      <c r="Z350" s="319"/>
      <c r="AA350" s="256"/>
      <c r="AC350" s="308"/>
      <c r="AE350" s="278"/>
      <c r="AH350" s="391"/>
      <c r="AJ350" s="232"/>
      <c r="AK350" s="232"/>
      <c r="AQ350" s="416"/>
    </row>
    <row r="351" spans="7:45" ht="13.5" customHeight="1">
      <c r="G351" s="397"/>
      <c r="H351" s="397"/>
      <c r="I351" s="397"/>
      <c r="J351" s="3"/>
      <c r="K351" s="3"/>
      <c r="L351" s="226"/>
      <c r="M351" s="226"/>
      <c r="O351" s="263"/>
      <c r="P351" s="400" t="s">
        <v>4310</v>
      </c>
      <c r="Q351" s="400" t="s">
        <v>4311</v>
      </c>
      <c r="R351" s="400">
        <v>615779712</v>
      </c>
      <c r="S351" s="400">
        <v>0</v>
      </c>
      <c r="T351" s="400" t="s">
        <v>826</v>
      </c>
      <c r="U351" s="400" t="s">
        <v>4302</v>
      </c>
      <c r="V351" s="400" t="s">
        <v>4294</v>
      </c>
      <c r="W351" s="400"/>
      <c r="X351" s="400" t="s">
        <v>4303</v>
      </c>
      <c r="Y351" s="318"/>
      <c r="Z351" s="319"/>
      <c r="AA351" s="256"/>
      <c r="AC351" s="308"/>
      <c r="AE351" s="278"/>
      <c r="AH351" s="391"/>
      <c r="AJ351" s="232"/>
      <c r="AK351" s="232"/>
      <c r="AQ351" s="416"/>
    </row>
    <row r="352" spans="7:45" ht="13.5" customHeight="1">
      <c r="G352" s="397"/>
      <c r="H352" s="397"/>
      <c r="I352" s="397"/>
      <c r="J352" s="3"/>
      <c r="K352" s="3"/>
      <c r="L352" s="226"/>
      <c r="M352" s="226"/>
      <c r="O352" s="263"/>
      <c r="P352" s="400" t="s">
        <v>4310</v>
      </c>
      <c r="Q352" s="400" t="s">
        <v>4311</v>
      </c>
      <c r="R352" s="400">
        <v>615779712</v>
      </c>
      <c r="S352" s="400">
        <v>0</v>
      </c>
      <c r="T352" s="400" t="s">
        <v>826</v>
      </c>
      <c r="U352" s="400" t="s">
        <v>4302</v>
      </c>
      <c r="V352" s="400" t="s">
        <v>828</v>
      </c>
      <c r="W352" s="400"/>
      <c r="X352" s="400" t="s">
        <v>4303</v>
      </c>
      <c r="Y352" s="318"/>
      <c r="Z352" s="319"/>
      <c r="AA352" s="256"/>
      <c r="AC352" s="308"/>
      <c r="AE352" s="278"/>
      <c r="AH352" s="391"/>
      <c r="AJ352" s="232"/>
      <c r="AK352" s="232"/>
      <c r="AQ352" s="416"/>
    </row>
    <row r="353" spans="7:45" ht="13.5" customHeight="1">
      <c r="G353" s="397"/>
      <c r="H353" s="397"/>
      <c r="I353" s="397"/>
      <c r="J353" s="3"/>
      <c r="K353" s="3"/>
      <c r="L353" s="226"/>
      <c r="M353" s="226"/>
      <c r="O353" s="263"/>
      <c r="P353" s="400" t="s">
        <v>4310</v>
      </c>
      <c r="Q353" s="400" t="s">
        <v>4311</v>
      </c>
      <c r="R353" s="400">
        <v>615779712</v>
      </c>
      <c r="S353" s="400">
        <v>0</v>
      </c>
      <c r="T353" s="400" t="s">
        <v>826</v>
      </c>
      <c r="U353" s="400" t="s">
        <v>4302</v>
      </c>
      <c r="V353" s="399" t="s">
        <v>4312</v>
      </c>
      <c r="W353" s="400"/>
      <c r="X353" s="400" t="s">
        <v>4303</v>
      </c>
      <c r="Y353" s="318"/>
      <c r="Z353" s="319"/>
      <c r="AA353" s="256"/>
      <c r="AC353" s="308"/>
      <c r="AE353" s="278"/>
      <c r="AH353" s="391"/>
      <c r="AJ353" s="232"/>
      <c r="AK353" s="232"/>
      <c r="AQ353" s="416"/>
    </row>
    <row r="354" spans="7:45" ht="13.5" customHeight="1">
      <c r="G354" s="397"/>
      <c r="H354" s="397"/>
      <c r="I354" s="397"/>
      <c r="J354" s="3"/>
      <c r="K354" s="3"/>
      <c r="L354" s="226"/>
      <c r="M354" s="226"/>
      <c r="O354" s="263"/>
      <c r="P354" s="400" t="s">
        <v>4310</v>
      </c>
      <c r="Q354" s="400" t="s">
        <v>4311</v>
      </c>
      <c r="R354" s="400">
        <v>615779712</v>
      </c>
      <c r="S354" s="400">
        <v>0</v>
      </c>
      <c r="T354" s="400" t="s">
        <v>4345</v>
      </c>
      <c r="U354" s="400" t="s">
        <v>4302</v>
      </c>
      <c r="V354" s="400" t="s">
        <v>4296</v>
      </c>
      <c r="W354" s="400"/>
      <c r="X354" s="400" t="s">
        <v>4303</v>
      </c>
      <c r="Y354" s="318"/>
      <c r="Z354" s="319"/>
      <c r="AA354" s="256"/>
      <c r="AC354" s="308"/>
      <c r="AE354" s="278"/>
      <c r="AH354" s="391"/>
      <c r="AJ354" s="232"/>
      <c r="AK354" s="232"/>
      <c r="AQ354" s="416"/>
    </row>
    <row r="355" spans="7:45" ht="13.5" customHeight="1">
      <c r="G355" s="397"/>
      <c r="H355" s="397"/>
      <c r="I355" s="397"/>
      <c r="J355" s="3"/>
      <c r="K355" s="3"/>
      <c r="L355" s="226"/>
      <c r="M355" s="226">
        <f>(218-206)*3600/1000000</f>
        <v>4.3200000000000002E-2</v>
      </c>
      <c r="O355" s="263"/>
      <c r="P355" s="400" t="s">
        <v>4310</v>
      </c>
      <c r="Q355" s="400" t="s">
        <v>4311</v>
      </c>
      <c r="R355" s="400">
        <v>615779712</v>
      </c>
      <c r="S355" s="400">
        <v>0</v>
      </c>
      <c r="T355" s="400" t="s">
        <v>826</v>
      </c>
      <c r="U355" s="400" t="s">
        <v>4302</v>
      </c>
      <c r="V355" s="400" t="s">
        <v>1471</v>
      </c>
      <c r="W355" s="400"/>
      <c r="X355" s="400" t="s">
        <v>4303</v>
      </c>
      <c r="Y355" s="318"/>
      <c r="Z355" s="319"/>
      <c r="AA355" s="256"/>
      <c r="AC355" s="308"/>
      <c r="AE355" s="278"/>
      <c r="AH355" s="391"/>
      <c r="AJ355" s="232"/>
      <c r="AK355" s="232"/>
      <c r="AQ355" s="416"/>
    </row>
    <row r="356" spans="7:45" ht="13.5" customHeight="1">
      <c r="G356" s="397"/>
      <c r="H356" s="397"/>
      <c r="I356" s="397"/>
      <c r="J356" s="3" t="s">
        <v>943</v>
      </c>
      <c r="K356" s="3" t="s">
        <v>1540</v>
      </c>
      <c r="L356" s="226" t="s">
        <v>4313</v>
      </c>
      <c r="M356" s="226" t="s">
        <v>4342</v>
      </c>
      <c r="N356" t="s">
        <v>4336</v>
      </c>
      <c r="O356" s="192" t="s">
        <v>4350</v>
      </c>
      <c r="P356" s="179" t="str">
        <f>MID(AL356,5,5)</f>
        <v/>
      </c>
      <c r="Q356" s="445">
        <f>R346-5</f>
        <v>615779211</v>
      </c>
      <c r="R356" s="440">
        <f>R358+20</f>
        <v>616808241</v>
      </c>
      <c r="S356" s="104">
        <f t="shared" ref="S356" si="186">R356-Q356</f>
        <v>1029030</v>
      </c>
      <c r="T356" s="104">
        <f>S356*$S$2</f>
        <v>520346.03020784812</v>
      </c>
      <c r="U356" s="3">
        <v>0</v>
      </c>
      <c r="V356" s="97">
        <f t="shared" ref="V356" si="187">T356+U356*$V$33</f>
        <v>520346.03020784812</v>
      </c>
      <c r="W356" s="422">
        <f>X343</f>
        <v>785753.98307786183</v>
      </c>
      <c r="X356" s="430">
        <f t="shared" ref="X356" si="188">W356-V356</f>
        <v>265407.95287001372</v>
      </c>
      <c r="Y356" s="318"/>
      <c r="Z356" s="319"/>
      <c r="AA356" s="256"/>
      <c r="AB356">
        <f>V356*8/1000000</f>
        <v>4.1627682416627847</v>
      </c>
      <c r="AC356" s="308">
        <f>AK356+AC343</f>
        <v>89.658725528208436</v>
      </c>
      <c r="AH356" s="391"/>
      <c r="AJ356" s="232">
        <f t="shared" ref="AJ356" si="189">X356*8/1000000</f>
        <v>2.1232636229601098</v>
      </c>
      <c r="AK356" s="232">
        <f t="shared" ref="AK356" si="190">V356*8/1000000</f>
        <v>4.1627682416627847</v>
      </c>
      <c r="AL356" s="420"/>
      <c r="AM356" s="420"/>
      <c r="AN356" s="420"/>
      <c r="AO356" s="420"/>
      <c r="AP356" s="420"/>
      <c r="AQ356" s="421"/>
    </row>
    <row r="357" spans="7:45" ht="13.5" customHeight="1">
      <c r="G357" s="397"/>
      <c r="H357" s="397"/>
      <c r="I357" s="397"/>
      <c r="J357" s="3"/>
      <c r="K357" s="3"/>
      <c r="L357" s="226"/>
      <c r="M357" s="226"/>
      <c r="O357" s="192"/>
      <c r="P357" s="395" t="s">
        <v>4316</v>
      </c>
      <c r="Q357" s="395" t="s">
        <v>4317</v>
      </c>
      <c r="R357" s="434">
        <v>616807877</v>
      </c>
      <c r="S357" s="395">
        <v>0</v>
      </c>
      <c r="T357" s="395" t="s">
        <v>826</v>
      </c>
      <c r="U357" s="395" t="s">
        <v>2177</v>
      </c>
      <c r="V357" s="395" t="s">
        <v>4318</v>
      </c>
      <c r="W357" s="395"/>
      <c r="X357" s="395" t="s">
        <v>4319</v>
      </c>
      <c r="Y357" s="318"/>
      <c r="Z357" s="319"/>
      <c r="AA357" s="256"/>
      <c r="AC357" s="308"/>
      <c r="AE357" s="278"/>
      <c r="AH357" s="391"/>
      <c r="AJ357" s="232"/>
      <c r="AK357" s="232"/>
      <c r="AQ357" s="416"/>
    </row>
    <row r="358" spans="7:45" ht="13.5" customHeight="1">
      <c r="G358" s="397"/>
      <c r="H358" s="397"/>
      <c r="I358" s="397"/>
      <c r="J358" s="3"/>
      <c r="K358" s="3"/>
      <c r="L358" s="226"/>
      <c r="M358" s="226"/>
      <c r="O358" s="192" t="s">
        <v>4340</v>
      </c>
      <c r="P358" s="395" t="s">
        <v>4320</v>
      </c>
      <c r="Q358" s="395" t="s">
        <v>4321</v>
      </c>
      <c r="R358" s="435">
        <v>616808221</v>
      </c>
      <c r="S358" s="395">
        <v>1</v>
      </c>
      <c r="T358" s="395" t="s">
        <v>373</v>
      </c>
      <c r="U358" s="395" t="s">
        <v>1072</v>
      </c>
      <c r="V358" s="395" t="s">
        <v>833</v>
      </c>
      <c r="W358" s="395"/>
      <c r="X358" s="395" t="s">
        <v>4319</v>
      </c>
      <c r="Y358" s="318"/>
      <c r="Z358" s="319"/>
      <c r="AA358" s="256"/>
      <c r="AC358" s="308"/>
      <c r="AE358" s="278"/>
      <c r="AH358" s="391"/>
      <c r="AJ358" s="232"/>
      <c r="AK358" s="232"/>
      <c r="AQ358" s="416"/>
    </row>
    <row r="359" spans="7:45" ht="13.5" customHeight="1">
      <c r="G359" s="397"/>
      <c r="H359" s="397"/>
      <c r="I359" s="397"/>
      <c r="J359" s="3"/>
      <c r="K359" s="3"/>
      <c r="L359" s="226"/>
      <c r="M359" s="226"/>
      <c r="O359" s="263" t="s">
        <v>4339</v>
      </c>
      <c r="P359" s="395" t="s">
        <v>4133</v>
      </c>
      <c r="Q359" s="395" t="s">
        <v>4134</v>
      </c>
      <c r="R359" s="442">
        <v>616842836</v>
      </c>
      <c r="S359" s="395">
        <v>7</v>
      </c>
      <c r="T359" s="395" t="s">
        <v>373</v>
      </c>
      <c r="U359" s="395" t="s">
        <v>4135</v>
      </c>
      <c r="V359" s="395" t="s">
        <v>816</v>
      </c>
      <c r="W359" s="395" t="s">
        <v>817</v>
      </c>
      <c r="X359" s="395" t="s">
        <v>4136</v>
      </c>
      <c r="Y359" s="318"/>
      <c r="Z359" s="319"/>
      <c r="AA359" s="256"/>
      <c r="AC359" s="308"/>
      <c r="AE359" s="278"/>
      <c r="AH359" s="391"/>
      <c r="AJ359" s="232"/>
      <c r="AK359" s="232"/>
      <c r="AQ359" s="416"/>
    </row>
    <row r="360" spans="7:45" ht="13.5" customHeight="1">
      <c r="G360" s="397"/>
      <c r="H360" s="397"/>
      <c r="I360" s="397"/>
      <c r="J360" s="3"/>
      <c r="K360" s="3"/>
      <c r="L360" s="226"/>
      <c r="M360" s="226"/>
      <c r="O360" s="263"/>
      <c r="P360" s="402" t="s">
        <v>4322</v>
      </c>
      <c r="Q360" s="402" t="s">
        <v>4323</v>
      </c>
      <c r="R360" s="436">
        <v>616843328</v>
      </c>
      <c r="S360" s="402">
        <v>0</v>
      </c>
      <c r="T360" s="402" t="s">
        <v>826</v>
      </c>
      <c r="U360" s="402" t="s">
        <v>4135</v>
      </c>
      <c r="V360" s="402" t="s">
        <v>4312</v>
      </c>
      <c r="W360" s="402"/>
      <c r="X360" s="402" t="s">
        <v>4136</v>
      </c>
      <c r="Y360" s="318"/>
      <c r="Z360" s="319"/>
      <c r="AA360" s="256"/>
      <c r="AC360" s="308"/>
      <c r="AE360" s="278"/>
      <c r="AH360" s="391"/>
      <c r="AJ360" s="232"/>
      <c r="AK360" s="232"/>
      <c r="AQ360" s="416"/>
    </row>
    <row r="361" spans="7:45" ht="13.5" customHeight="1">
      <c r="J361" s="3" t="s">
        <v>943</v>
      </c>
      <c r="K361" s="3" t="s">
        <v>1540</v>
      </c>
      <c r="L361" s="226" t="s">
        <v>4341</v>
      </c>
      <c r="M361" s="226" t="s">
        <v>4351</v>
      </c>
      <c r="N361" t="s">
        <v>4343</v>
      </c>
      <c r="O361" s="192" t="s">
        <v>4339</v>
      </c>
      <c r="P361" s="179" t="str">
        <f>MID(AL361,5,5)</f>
        <v/>
      </c>
      <c r="Q361" s="441">
        <f>R359-5</f>
        <v>616842831</v>
      </c>
      <c r="R361" s="104">
        <f>((W361)/$S$2)+Q361</f>
        <v>617367698.54945111</v>
      </c>
      <c r="S361" s="104">
        <f t="shared" ref="S361" si="191">R361-Q361</f>
        <v>524867.54945111275</v>
      </c>
      <c r="T361" s="104">
        <f>S361*$S$2</f>
        <v>265407.95286999206</v>
      </c>
      <c r="U361" s="3">
        <v>0</v>
      </c>
      <c r="V361" s="97">
        <f t="shared" si="174"/>
        <v>265407.95286999206</v>
      </c>
      <c r="W361" s="422">
        <f>X356</f>
        <v>265407.95287001372</v>
      </c>
      <c r="X361" s="266">
        <f t="shared" si="175"/>
        <v>2.1653249859809875E-8</v>
      </c>
      <c r="Y361" s="318"/>
      <c r="Z361" s="319"/>
      <c r="AA361" s="256"/>
      <c r="AB361">
        <f>V361*8/1000000</f>
        <v>2.1232636229599366</v>
      </c>
      <c r="AC361" s="308">
        <f>AK361+AC356</f>
        <v>91.781989151168375</v>
      </c>
      <c r="AH361" s="391"/>
      <c r="AJ361" s="232">
        <f t="shared" ref="AJ361" si="192">X361*8/1000000</f>
        <v>1.73225998878479E-13</v>
      </c>
      <c r="AK361" s="232">
        <f t="shared" ref="AK361" si="193">V361*8/1000000</f>
        <v>2.1232636229599366</v>
      </c>
      <c r="AL361" s="420"/>
      <c r="AM361" s="420"/>
      <c r="AN361" s="420"/>
      <c r="AO361" s="420"/>
      <c r="AP361" s="420"/>
      <c r="AQ361" s="421"/>
    </row>
    <row r="362" spans="7:45" ht="13.5" customHeight="1">
      <c r="J362" s="3" t="s">
        <v>943</v>
      </c>
      <c r="K362" s="3" t="s">
        <v>1540</v>
      </c>
      <c r="L362" s="226" t="str">
        <f>M361</f>
        <v>25-225/05:09</v>
      </c>
      <c r="M362" s="226" t="s">
        <v>4352</v>
      </c>
      <c r="N362" t="s">
        <v>4343</v>
      </c>
      <c r="O362" s="263" t="str">
        <f>AI362</f>
        <v>216/21:24</v>
      </c>
      <c r="P362" s="179" t="str">
        <f>MID(AL362,5,5)</f>
        <v>216_2</v>
      </c>
      <c r="Q362" s="237">
        <f>R361-3</f>
        <v>617367695.54945111</v>
      </c>
      <c r="R362" s="104">
        <f>((W362)/$S$2)+Q362</f>
        <v>621546384.50990295</v>
      </c>
      <c r="S362" s="104">
        <f>R362-Q362</f>
        <v>4178688.9604518414</v>
      </c>
      <c r="T362" s="104">
        <f>S362*$S$2</f>
        <v>2113023.1499999762</v>
      </c>
      <c r="U362" s="3">
        <v>0</v>
      </c>
      <c r="V362" s="97">
        <f t="shared" ref="V362" si="194">T362+U362*$V$33</f>
        <v>2113023.1499999762</v>
      </c>
      <c r="W362" s="97">
        <f>AA362*1000000/8</f>
        <v>2113023.15</v>
      </c>
      <c r="X362" s="266">
        <f t="shared" ref="X362" si="195">W362-V362</f>
        <v>2.3748725652694702E-8</v>
      </c>
      <c r="Y362" s="318"/>
      <c r="Z362" s="319"/>
      <c r="AA362" s="256">
        <f>AR362</f>
        <v>16.904185200000001</v>
      </c>
      <c r="AC362" s="308">
        <f>AK362+AC343</f>
        <v>102.40014248654546</v>
      </c>
      <c r="AH362" s="391" t="str">
        <f>AL362</f>
        <v>TRK_216_2</v>
      </c>
      <c r="AI362" t="s">
        <v>4233</v>
      </c>
      <c r="AJ362" s="232">
        <f t="shared" ref="AJ362:AJ365" si="196">X362*8/1000000</f>
        <v>1.8998980522155762E-13</v>
      </c>
      <c r="AK362" s="232">
        <f t="shared" ref="AK362:AK365" si="197">V362*8/1000000</f>
        <v>16.904185199999809</v>
      </c>
      <c r="AL362" s="420" t="s">
        <v>4204</v>
      </c>
      <c r="AM362" s="420" t="s">
        <v>4205</v>
      </c>
      <c r="AN362" s="420">
        <v>0.265287</v>
      </c>
      <c r="AO362" s="420">
        <v>2.399654</v>
      </c>
      <c r="AP362" s="420">
        <v>2.1343670000000001</v>
      </c>
      <c r="AQ362" s="421">
        <v>18.782427999999999</v>
      </c>
      <c r="AR362">
        <f t="shared" ref="AR362:AR365" si="198">AQ362*0.9</f>
        <v>16.904185200000001</v>
      </c>
      <c r="AS362">
        <f>AR362+AS343</f>
        <v>169.19415090000001</v>
      </c>
    </row>
    <row r="363" spans="7:45" ht="13.5" customHeight="1">
      <c r="J363" s="3" t="s">
        <v>943</v>
      </c>
      <c r="K363" s="3" t="s">
        <v>1540</v>
      </c>
      <c r="L363" s="226" t="str">
        <f>M362</f>
        <v>25-273/13:54</v>
      </c>
      <c r="M363" s="226" t="s">
        <v>4353</v>
      </c>
      <c r="N363" t="s">
        <v>4343</v>
      </c>
      <c r="O363" s="263" t="str">
        <f>AI363</f>
        <v>217/14:19</v>
      </c>
      <c r="P363" s="179" t="str">
        <f>MID(AL363,5,5)</f>
        <v>217_1</v>
      </c>
      <c r="Q363" s="237">
        <f>R362-3</f>
        <v>621546381.50990295</v>
      </c>
      <c r="R363" s="104">
        <f>((W363)/$S$2)+Q363</f>
        <v>622193452.3907274</v>
      </c>
      <c r="S363" s="104">
        <f t="shared" ref="S363" si="199">R363-Q363</f>
        <v>647070.88082444668</v>
      </c>
      <c r="T363" s="104">
        <f>S363*$S$2</f>
        <v>327202.08749997226</v>
      </c>
      <c r="U363" s="3">
        <v>0</v>
      </c>
      <c r="V363" s="97">
        <f t="shared" si="174"/>
        <v>327202.08749997226</v>
      </c>
      <c r="W363" s="97">
        <f>AA363*1000000/8</f>
        <v>327202.08749999997</v>
      </c>
      <c r="X363" s="266">
        <f t="shared" si="175"/>
        <v>2.7706846594810486E-8</v>
      </c>
      <c r="Y363" s="318"/>
      <c r="Z363" s="319"/>
      <c r="AA363" s="256">
        <f>AR363</f>
        <v>2.6176166999999997</v>
      </c>
      <c r="AC363" s="308">
        <f>AK363+AC362</f>
        <v>105.01775918654523</v>
      </c>
      <c r="AH363" s="391" t="str">
        <f>AL363</f>
        <v>TRK_217_1</v>
      </c>
      <c r="AI363" t="s">
        <v>4234</v>
      </c>
      <c r="AJ363" s="232">
        <f t="shared" si="196"/>
        <v>2.216547727584839E-13</v>
      </c>
      <c r="AK363" s="232">
        <f t="shared" si="197"/>
        <v>2.6176166999997781</v>
      </c>
      <c r="AL363" t="s">
        <v>4206</v>
      </c>
      <c r="AM363" t="s">
        <v>4207</v>
      </c>
      <c r="AN363">
        <v>0.24232699999999999</v>
      </c>
      <c r="AO363">
        <v>0.57283399999999995</v>
      </c>
      <c r="AP363">
        <v>0.330507</v>
      </c>
      <c r="AQ363" s="416">
        <v>2.9084629999999998</v>
      </c>
      <c r="AR363">
        <f t="shared" si="198"/>
        <v>2.6176166999999997</v>
      </c>
      <c r="AS363">
        <f>AS362+AR363</f>
        <v>171.81176760000002</v>
      </c>
    </row>
    <row r="364" spans="7:45" ht="13.5" customHeight="1">
      <c r="J364" s="3" t="s">
        <v>943</v>
      </c>
      <c r="K364" s="3" t="s">
        <v>1540</v>
      </c>
      <c r="L364" s="226" t="str">
        <f t="shared" ref="L364:L365" si="200">M363</f>
        <v>25-281/01:38</v>
      </c>
      <c r="M364" s="226" t="s">
        <v>4354</v>
      </c>
      <c r="N364" t="s">
        <v>4343</v>
      </c>
      <c r="O364" s="263" t="str">
        <f>AI364</f>
        <v>218/03:29</v>
      </c>
      <c r="P364" s="179" t="str">
        <f>MID(AL364,5,5)</f>
        <v>218_1</v>
      </c>
      <c r="Q364" s="237">
        <f>R363-3</f>
        <v>622193449.3907274</v>
      </c>
      <c r="R364" s="104">
        <f>((W364)/$S$2)+Q364</f>
        <v>624386851.57853949</v>
      </c>
      <c r="S364" s="104">
        <f t="shared" ref="S364:S365" si="201">R364-Q364</f>
        <v>2193402.1878120899</v>
      </c>
      <c r="T364" s="104">
        <f>S364*$S$2</f>
        <v>1109130.0749999804</v>
      </c>
      <c r="U364" s="3">
        <v>0</v>
      </c>
      <c r="V364" s="97">
        <f t="shared" si="174"/>
        <v>1109130.0749999804</v>
      </c>
      <c r="W364" s="97">
        <f>AA364*1000000/8</f>
        <v>1109130.075</v>
      </c>
      <c r="X364" s="266">
        <f t="shared" si="175"/>
        <v>1.9557774066925049E-8</v>
      </c>
      <c r="Y364" s="318"/>
      <c r="Z364" s="319"/>
      <c r="AA364" s="256">
        <f>AR364</f>
        <v>8.8730405999999995</v>
      </c>
      <c r="AC364" s="308">
        <f>AK364+AC363</f>
        <v>113.89079978654507</v>
      </c>
      <c r="AH364" s="391" t="str">
        <f>AL364</f>
        <v>TRK_218_1</v>
      </c>
      <c r="AI364" t="s">
        <v>4235</v>
      </c>
      <c r="AJ364" s="232">
        <f t="shared" si="196"/>
        <v>1.5646219253540038E-13</v>
      </c>
      <c r="AK364" s="232">
        <f t="shared" si="197"/>
        <v>8.8730405999998432</v>
      </c>
      <c r="AL364" t="s">
        <v>4208</v>
      </c>
      <c r="AM364" t="s">
        <v>4209</v>
      </c>
      <c r="AN364">
        <v>0.23408999999999999</v>
      </c>
      <c r="AO364">
        <v>1.3544229999999999</v>
      </c>
      <c r="AP364">
        <v>1.120333</v>
      </c>
      <c r="AQ364" s="416">
        <v>9.8589339999999996</v>
      </c>
      <c r="AR364">
        <f t="shared" si="198"/>
        <v>8.8730405999999995</v>
      </c>
      <c r="AS364">
        <f>AS363+AR364</f>
        <v>180.68480820000002</v>
      </c>
    </row>
    <row r="365" spans="7:45" ht="13.5" customHeight="1">
      <c r="J365" s="3" t="s">
        <v>943</v>
      </c>
      <c r="K365" s="3" t="s">
        <v>1540</v>
      </c>
      <c r="L365" s="226" t="str">
        <f t="shared" si="200"/>
        <v>25-306/10:55</v>
      </c>
      <c r="M365" s="226" t="s">
        <v>4355</v>
      </c>
      <c r="N365" t="s">
        <v>4343</v>
      </c>
      <c r="O365" s="263" t="str">
        <f>AI365</f>
        <v>218/11:19</v>
      </c>
      <c r="P365" s="179" t="str">
        <f>MID(AL365,5,5)</f>
        <v>218_2</v>
      </c>
      <c r="Q365" s="237">
        <f>R364-3</f>
        <v>624386848.57853949</v>
      </c>
      <c r="R365" s="104">
        <f>((W365)/$S$2)+Q365</f>
        <v>626639848.34333825</v>
      </c>
      <c r="S365" s="104">
        <f t="shared" si="201"/>
        <v>2252999.7647987604</v>
      </c>
      <c r="T365" s="104">
        <f>S365*$S$2</f>
        <v>1139266.5750000004</v>
      </c>
      <c r="U365" s="3">
        <v>0</v>
      </c>
      <c r="V365" s="97">
        <f t="shared" si="174"/>
        <v>1139266.5750000004</v>
      </c>
      <c r="W365" s="97">
        <f>AA365*1000000/8</f>
        <v>1139266.575</v>
      </c>
      <c r="X365" s="266">
        <f t="shared" si="175"/>
        <v>0</v>
      </c>
      <c r="Y365" s="318"/>
      <c r="Z365" s="319"/>
      <c r="AA365" s="256">
        <f>AR365</f>
        <v>9.1141325999999996</v>
      </c>
      <c r="AC365" s="308">
        <f>AK365+AC364</f>
        <v>123.00493238654508</v>
      </c>
      <c r="AH365" s="391" t="str">
        <f>AL365</f>
        <v>TRK_218_2</v>
      </c>
      <c r="AI365" t="s">
        <v>4236</v>
      </c>
      <c r="AJ365" s="232">
        <f t="shared" si="196"/>
        <v>0</v>
      </c>
      <c r="AK365" s="232">
        <f t="shared" si="197"/>
        <v>9.1141326000000031</v>
      </c>
      <c r="AL365" t="s">
        <v>4210</v>
      </c>
      <c r="AM365" t="s">
        <v>4211</v>
      </c>
      <c r="AN365">
        <v>0.186725</v>
      </c>
      <c r="AO365">
        <v>1.337499</v>
      </c>
      <c r="AP365">
        <v>1.150774</v>
      </c>
      <c r="AQ365" s="416">
        <v>10.126814</v>
      </c>
      <c r="AR365">
        <f t="shared" si="198"/>
        <v>9.1141325999999996</v>
      </c>
      <c r="AS365">
        <f>AS364+AR365</f>
        <v>189.79894080000003</v>
      </c>
    </row>
    <row r="366" spans="7:45" ht="13.5" customHeight="1">
      <c r="J366" s="3"/>
      <c r="K366" s="3"/>
      <c r="L366" s="3"/>
      <c r="M366" s="3"/>
      <c r="N366" s="3"/>
      <c r="O366" s="3"/>
      <c r="P366" s="392" t="s">
        <v>4261</v>
      </c>
      <c r="Q366" s="426" t="s">
        <v>4262</v>
      </c>
      <c r="R366" s="426">
        <v>646883515</v>
      </c>
      <c r="S366" s="392">
        <v>0</v>
      </c>
      <c r="T366" s="392" t="s">
        <v>1124</v>
      </c>
      <c r="U366" s="392" t="s">
        <v>4263</v>
      </c>
      <c r="V366" s="392" t="s">
        <v>1288</v>
      </c>
      <c r="W366" s="392"/>
      <c r="X366" s="392" t="s">
        <v>4251</v>
      </c>
    </row>
    <row r="367" spans="7:45" ht="13.5" customHeight="1">
      <c r="J367" s="3"/>
      <c r="K367" s="3"/>
      <c r="P367" s="392" t="s">
        <v>4248</v>
      </c>
      <c r="Q367" s="426" t="s">
        <v>4249</v>
      </c>
      <c r="R367" s="426">
        <v>646884115</v>
      </c>
      <c r="S367" s="392">
        <v>0</v>
      </c>
      <c r="T367" s="392" t="s">
        <v>1124</v>
      </c>
      <c r="U367" s="392" t="s">
        <v>4250</v>
      </c>
      <c r="V367" s="426" t="s">
        <v>1517</v>
      </c>
      <c r="W367" s="392"/>
      <c r="X367" s="392" t="s">
        <v>4251</v>
      </c>
    </row>
    <row r="368" spans="7:45" ht="13.5" customHeight="1">
      <c r="J368" s="3"/>
      <c r="K368" s="3"/>
      <c r="P368" s="392" t="s">
        <v>4252</v>
      </c>
      <c r="Q368" s="392" t="s">
        <v>4253</v>
      </c>
      <c r="R368" s="392">
        <v>646884118</v>
      </c>
      <c r="S368" s="392">
        <v>0</v>
      </c>
      <c r="T368" s="392" t="s">
        <v>1124</v>
      </c>
      <c r="U368" s="392" t="s">
        <v>4250</v>
      </c>
      <c r="V368" s="426" t="s">
        <v>1523</v>
      </c>
      <c r="W368" s="392"/>
      <c r="X368" s="392" t="s">
        <v>4251</v>
      </c>
    </row>
    <row r="369" spans="3:45" ht="13.5" customHeight="1">
      <c r="J369" s="3"/>
      <c r="K369" s="3"/>
      <c r="L369" s="3"/>
      <c r="M369" s="3"/>
      <c r="N369" s="3"/>
      <c r="O369" s="3"/>
      <c r="P369" s="392" t="s">
        <v>4254</v>
      </c>
      <c r="Q369" s="392" t="s">
        <v>4255</v>
      </c>
      <c r="R369" s="392">
        <v>646884121</v>
      </c>
      <c r="S369" s="392">
        <v>0</v>
      </c>
      <c r="T369" s="392" t="s">
        <v>1124</v>
      </c>
      <c r="U369" s="392" t="s">
        <v>4250</v>
      </c>
      <c r="V369" s="426" t="s">
        <v>1160</v>
      </c>
      <c r="W369" s="392"/>
      <c r="X369" s="392" t="s">
        <v>4251</v>
      </c>
    </row>
    <row r="370" spans="3:45" ht="13.5" customHeight="1">
      <c r="J370" s="3"/>
      <c r="K370" s="3"/>
      <c r="L370" s="3"/>
      <c r="M370" s="3"/>
      <c r="N370" s="3"/>
      <c r="O370" s="3"/>
      <c r="P370" s="392" t="s">
        <v>4256</v>
      </c>
      <c r="Q370" s="392" t="s">
        <v>4257</v>
      </c>
      <c r="R370" s="392">
        <v>646884124</v>
      </c>
      <c r="S370" s="392">
        <v>0</v>
      </c>
      <c r="T370" s="392" t="s">
        <v>1124</v>
      </c>
      <c r="U370" s="392" t="s">
        <v>4250</v>
      </c>
      <c r="V370" s="426" t="s">
        <v>1164</v>
      </c>
      <c r="W370" s="392"/>
      <c r="X370" s="392" t="s">
        <v>4251</v>
      </c>
    </row>
    <row r="371" spans="3:45" ht="13.5" customHeight="1">
      <c r="C371" s="291" t="s">
        <v>941</v>
      </c>
      <c r="D371" s="291" t="s">
        <v>942</v>
      </c>
      <c r="E371" s="291" t="s">
        <v>766</v>
      </c>
      <c r="F371" s="291" t="s">
        <v>764</v>
      </c>
      <c r="G371" s="291" t="s">
        <v>765</v>
      </c>
      <c r="H371" s="291" t="s">
        <v>768</v>
      </c>
      <c r="I371" s="291" t="s">
        <v>769</v>
      </c>
      <c r="J371" s="291" t="s">
        <v>943</v>
      </c>
      <c r="K371" s="291" t="s">
        <v>1540</v>
      </c>
      <c r="L371" s="3"/>
      <c r="M371" s="3"/>
      <c r="N371" s="3"/>
      <c r="O371" s="3"/>
      <c r="P371" s="392" t="s">
        <v>4258</v>
      </c>
      <c r="Q371" s="392" t="s">
        <v>4259</v>
      </c>
      <c r="R371" s="392">
        <v>646884715</v>
      </c>
      <c r="S371" s="392">
        <v>0</v>
      </c>
      <c r="T371" s="392" t="s">
        <v>1124</v>
      </c>
      <c r="U371" s="392" t="s">
        <v>4260</v>
      </c>
      <c r="V371" s="392" t="s">
        <v>1126</v>
      </c>
      <c r="W371" s="392"/>
      <c r="X371" s="392" t="s">
        <v>4251</v>
      </c>
    </row>
    <row r="372" spans="3:45" ht="13.5" customHeight="1">
      <c r="J372" s="3"/>
      <c r="K372" s="3"/>
      <c r="L372" s="3" t="s">
        <v>4384</v>
      </c>
      <c r="M372" s="3"/>
      <c r="N372" s="3"/>
      <c r="O372" s="3"/>
      <c r="P372" s="392" t="s">
        <v>4264</v>
      </c>
      <c r="Q372" s="392" t="s">
        <v>4265</v>
      </c>
      <c r="R372" s="392">
        <v>646885315</v>
      </c>
      <c r="S372" s="392">
        <v>0</v>
      </c>
      <c r="T372" s="392" t="s">
        <v>1124</v>
      </c>
      <c r="U372" s="392" t="s">
        <v>4266</v>
      </c>
      <c r="V372" s="392" t="s">
        <v>4267</v>
      </c>
      <c r="W372" s="392"/>
      <c r="X372" s="392" t="s">
        <v>4251</v>
      </c>
    </row>
    <row r="373" spans="3:45" ht="13.5" customHeight="1">
      <c r="C373" s="3">
        <v>103</v>
      </c>
      <c r="D373" s="3">
        <v>109</v>
      </c>
      <c r="E373" t="s">
        <v>766</v>
      </c>
      <c r="F373" t="s">
        <v>764</v>
      </c>
      <c r="G373" s="3" t="s">
        <v>765</v>
      </c>
      <c r="H373" t="s">
        <v>768</v>
      </c>
      <c r="I373" t="s">
        <v>769</v>
      </c>
      <c r="L373" s="468" t="s">
        <v>4383</v>
      </c>
      <c r="M373" s="257" t="s">
        <v>4270</v>
      </c>
      <c r="N373" t="s">
        <v>4273</v>
      </c>
      <c r="O373" s="263" t="str">
        <f>AI373</f>
        <v>218/21:19</v>
      </c>
      <c r="P373" s="179" t="str">
        <f>MID(AL373,5,5)</f>
        <v>218_3</v>
      </c>
      <c r="Q373" s="237">
        <f>R367-5</f>
        <v>646884110</v>
      </c>
      <c r="R373" s="104">
        <f>((W373-U373*$V$33)/$V$30)+Q373</f>
        <v>647477189.49812257</v>
      </c>
      <c r="S373" s="104">
        <f t="shared" si="173"/>
        <v>593079.4981225729</v>
      </c>
      <c r="T373" s="104">
        <f>S373*$V$30</f>
        <v>2930095.8749997877</v>
      </c>
      <c r="U373" s="3">
        <v>0</v>
      </c>
      <c r="V373" s="97">
        <f>T373+U373*$V$30</f>
        <v>2930095.8749997877</v>
      </c>
      <c r="W373" s="97">
        <f>AA373*1000000/8</f>
        <v>2930095.875</v>
      </c>
      <c r="X373" s="266">
        <f t="shared" si="175"/>
        <v>2.123415470123291E-7</v>
      </c>
      <c r="Y373" s="318"/>
      <c r="Z373" s="319"/>
      <c r="AA373" s="256">
        <f>AQ373</f>
        <v>23.440767000000001</v>
      </c>
      <c r="AC373" s="297">
        <f>AK373</f>
        <v>23.440766999998303</v>
      </c>
      <c r="AH373" s="391" t="str">
        <f>AL373</f>
        <v>TRK_218_3</v>
      </c>
      <c r="AI373" t="s">
        <v>4237</v>
      </c>
      <c r="AJ373" s="232">
        <f t="shared" si="156"/>
        <v>1.6987323760986329E-12</v>
      </c>
      <c r="AK373" s="232">
        <f t="shared" si="157"/>
        <v>23.440766999998303</v>
      </c>
      <c r="AL373" s="418" t="s">
        <v>4212</v>
      </c>
      <c r="AM373" s="418" t="s">
        <v>4213</v>
      </c>
      <c r="AN373" s="418">
        <v>0.19877600000000001</v>
      </c>
      <c r="AO373" s="418">
        <v>2.8624990000000001</v>
      </c>
      <c r="AP373" s="418">
        <v>2.6637230000000001</v>
      </c>
      <c r="AQ373" s="419">
        <v>23.440767000000001</v>
      </c>
      <c r="AR373">
        <f t="shared" si="158"/>
        <v>21.096690300000002</v>
      </c>
      <c r="AS373" t="e">
        <f>AR373+#REF!</f>
        <v>#REF!</v>
      </c>
    </row>
    <row r="374" spans="3:45" ht="13.5" customHeight="1">
      <c r="C374" s="3">
        <v>103</v>
      </c>
      <c r="D374" s="3">
        <v>109</v>
      </c>
      <c r="E374" t="s">
        <v>766</v>
      </c>
      <c r="F374" t="s">
        <v>764</v>
      </c>
      <c r="G374" s="3" t="s">
        <v>765</v>
      </c>
      <c r="H374" t="s">
        <v>768</v>
      </c>
      <c r="I374" t="s">
        <v>769</v>
      </c>
      <c r="L374" s="257" t="str">
        <f>M373</f>
        <v>26-208/16:54</v>
      </c>
      <c r="M374" s="257" t="s">
        <v>4271</v>
      </c>
      <c r="N374" t="s">
        <v>4273</v>
      </c>
      <c r="O374" s="263" t="str">
        <f>AI374</f>
        <v>219/10:04</v>
      </c>
      <c r="P374" s="179" t="str">
        <f>MID(AL374,5,5)</f>
        <v>219_1</v>
      </c>
      <c r="Q374" s="237">
        <f>R373-1</f>
        <v>647477188.49812257</v>
      </c>
      <c r="R374" s="104">
        <f>((W374-U374*$V$33)/$V$30)+Q374</f>
        <v>647749391.16353357</v>
      </c>
      <c r="S374" s="104">
        <f t="shared" ref="S374:S377" si="202">R374-Q374</f>
        <v>272202.66541099548</v>
      </c>
      <c r="T374" s="104">
        <f>S374*$V$30</f>
        <v>1344811.1250000887</v>
      </c>
      <c r="U374" s="3">
        <v>0</v>
      </c>
      <c r="V374" s="97">
        <f>T374+U374*$V$30</f>
        <v>1344811.1250000887</v>
      </c>
      <c r="W374" s="97">
        <f t="shared" ref="W374:W375" si="203">AA374*1000000/8</f>
        <v>1344811.125</v>
      </c>
      <c r="X374" s="266">
        <f t="shared" ref="X374:X377" si="204">W374-V374</f>
        <v>-8.8708475232124329E-8</v>
      </c>
      <c r="Y374" s="318"/>
      <c r="Z374" s="319"/>
      <c r="AA374" s="256">
        <f>AQ374</f>
        <v>10.758489000000001</v>
      </c>
      <c r="AC374" s="297">
        <f>AC373+AK374</f>
        <v>34.199255999999011</v>
      </c>
      <c r="AH374" s="391" t="str">
        <f>AL374</f>
        <v>TRK_219_1</v>
      </c>
      <c r="AI374" t="s">
        <v>4238</v>
      </c>
      <c r="AJ374" s="232">
        <f t="shared" si="156"/>
        <v>-7.0966780185699461E-13</v>
      </c>
      <c r="AK374" s="232">
        <f t="shared" si="157"/>
        <v>10.75848900000071</v>
      </c>
      <c r="AL374" s="418" t="s">
        <v>673</v>
      </c>
      <c r="AM374" s="418" t="s">
        <v>4214</v>
      </c>
      <c r="AN374" s="418">
        <v>0.35693000000000003</v>
      </c>
      <c r="AO374" s="418">
        <v>1.5794859999999999</v>
      </c>
      <c r="AP374" s="418">
        <v>1.222556</v>
      </c>
      <c r="AQ374" s="419">
        <v>10.758489000000001</v>
      </c>
      <c r="AR374">
        <f t="shared" si="158"/>
        <v>9.6826401000000004</v>
      </c>
      <c r="AS374" t="e">
        <f>AS373+AR374</f>
        <v>#REF!</v>
      </c>
    </row>
    <row r="375" spans="3:45" ht="13.5" customHeight="1">
      <c r="C375" s="3">
        <v>103</v>
      </c>
      <c r="D375" s="3">
        <v>109</v>
      </c>
      <c r="E375" t="s">
        <v>766</v>
      </c>
      <c r="F375" t="s">
        <v>764</v>
      </c>
      <c r="G375" s="3" t="s">
        <v>765</v>
      </c>
      <c r="H375" t="s">
        <v>768</v>
      </c>
      <c r="I375" t="s">
        <v>769</v>
      </c>
      <c r="L375" s="257" t="str">
        <f>M374</f>
        <v>26-211/20:31</v>
      </c>
      <c r="M375" s="257" t="s">
        <v>4272</v>
      </c>
      <c r="N375" t="s">
        <v>4273</v>
      </c>
      <c r="O375" s="263" t="str">
        <f>AI375</f>
        <v>220/03:04</v>
      </c>
      <c r="P375" s="179" t="str">
        <f>MID(AL375,5,5)</f>
        <v>220_1</v>
      </c>
      <c r="Q375" s="237">
        <f>R374-1</f>
        <v>647749390.16353357</v>
      </c>
      <c r="R375" s="104">
        <f>((W375-U375*$V$33)/$V$30)+Q375</f>
        <v>648431949.04522061</v>
      </c>
      <c r="S375" s="104">
        <f t="shared" si="202"/>
        <v>682558.8816870451</v>
      </c>
      <c r="T375" s="104">
        <f>S375*$V$30</f>
        <v>3372166.7500000866</v>
      </c>
      <c r="U375" s="3">
        <v>0</v>
      </c>
      <c r="V375" s="97">
        <f>T375+U375*$V$30</f>
        <v>3372166.7500000866</v>
      </c>
      <c r="W375" s="97">
        <f t="shared" si="203"/>
        <v>3372166.75</v>
      </c>
      <c r="X375" s="266">
        <f t="shared" si="204"/>
        <v>-8.6612999439239502E-8</v>
      </c>
      <c r="Y375" s="318"/>
      <c r="Z375" s="319"/>
      <c r="AA375" s="256">
        <f>AQ375</f>
        <v>26.977333999999999</v>
      </c>
      <c r="AC375" s="297">
        <f>AC374+AK375</f>
        <v>61.176589999999706</v>
      </c>
      <c r="AH375" s="391" t="str">
        <f>AL375</f>
        <v>TRK_220_1</v>
      </c>
      <c r="AI375" t="s">
        <v>4239</v>
      </c>
      <c r="AJ375" s="232">
        <f t="shared" si="156"/>
        <v>-6.92903995513916E-13</v>
      </c>
      <c r="AK375" s="232">
        <f t="shared" si="157"/>
        <v>26.977334000000692</v>
      </c>
      <c r="AL375" s="418" t="s">
        <v>4215</v>
      </c>
      <c r="AM375" s="418" t="s">
        <v>4216</v>
      </c>
      <c r="AN375" s="418">
        <v>0.22890099999999999</v>
      </c>
      <c r="AO375" s="418">
        <v>3.2945069999999999</v>
      </c>
      <c r="AP375" s="418">
        <v>3.0656059999999998</v>
      </c>
      <c r="AQ375" s="419">
        <v>26.977333999999999</v>
      </c>
      <c r="AR375">
        <f t="shared" si="158"/>
        <v>24.279600599999998</v>
      </c>
      <c r="AS375" t="e">
        <f>AS374+AR375</f>
        <v>#REF!</v>
      </c>
    </row>
    <row r="376" spans="3:45" ht="13.5" customHeight="1">
      <c r="J376" s="3" t="s">
        <v>943</v>
      </c>
      <c r="K376" s="3" t="s">
        <v>1540</v>
      </c>
      <c r="L376" s="226" t="str">
        <f>M365</f>
        <v>25-332/12:45</v>
      </c>
      <c r="M376" s="226" t="s">
        <v>4356</v>
      </c>
      <c r="N376" t="s">
        <v>4343</v>
      </c>
      <c r="O376" s="263" t="str">
        <f>AI376</f>
        <v>221/03:04</v>
      </c>
      <c r="P376" s="179" t="str">
        <f>MID(AL376,5,5)</f>
        <v>221_1</v>
      </c>
      <c r="Q376" s="237">
        <f>R365-3</f>
        <v>626639845.34333825</v>
      </c>
      <c r="R376" s="104">
        <f>((W376)/$S$2)+Q376</f>
        <v>628472214.09533131</v>
      </c>
      <c r="S376" s="104">
        <f t="shared" si="202"/>
        <v>1832368.7519930601</v>
      </c>
      <c r="T376" s="104">
        <f>S376*$S$2</f>
        <v>926567.54999999795</v>
      </c>
      <c r="U376" s="3">
        <v>0</v>
      </c>
      <c r="V376" s="97">
        <f t="shared" ref="V376:V377" si="205">T376+U376*$V$33</f>
        <v>926567.54999999795</v>
      </c>
      <c r="W376" s="97">
        <f>AA376*1000000/8</f>
        <v>926567.54999999993</v>
      </c>
      <c r="X376" s="266">
        <f t="shared" si="204"/>
        <v>1.9790604710578918E-9</v>
      </c>
      <c r="Y376" s="318"/>
      <c r="Z376" s="319"/>
      <c r="AA376" s="256">
        <f>AR376</f>
        <v>7.4125403999999993</v>
      </c>
      <c r="AC376" s="308">
        <f>AK376+AC365</f>
        <v>130.41747278654506</v>
      </c>
      <c r="AH376" s="391" t="str">
        <f>AL376</f>
        <v>TRK_221_1</v>
      </c>
      <c r="AI376" t="s">
        <v>4240</v>
      </c>
      <c r="AJ376" s="232">
        <f t="shared" si="156"/>
        <v>1.5832483768463135E-14</v>
      </c>
      <c r="AK376" s="232">
        <f t="shared" si="157"/>
        <v>7.4125403999999833</v>
      </c>
      <c r="AL376" t="s">
        <v>4217</v>
      </c>
      <c r="AM376" t="s">
        <v>4218</v>
      </c>
      <c r="AN376">
        <v>0.27500799999999997</v>
      </c>
      <c r="AO376">
        <v>1.2109350000000001</v>
      </c>
      <c r="AP376">
        <v>0.93592699999999995</v>
      </c>
      <c r="AQ376" s="416">
        <v>8.2361559999999994</v>
      </c>
      <c r="AR376">
        <f t="shared" si="158"/>
        <v>7.4125403999999993</v>
      </c>
      <c r="AS376" t="e">
        <f>AS375+AR376</f>
        <v>#REF!</v>
      </c>
    </row>
    <row r="377" spans="3:45" ht="13.5" customHeight="1">
      <c r="J377" s="3" t="s">
        <v>943</v>
      </c>
      <c r="K377" s="3" t="s">
        <v>1540</v>
      </c>
      <c r="L377" s="226" t="str">
        <f t="shared" ref="L377" si="206">M376</f>
        <v>25-342/17:45</v>
      </c>
      <c r="M377" s="226" t="s">
        <v>4357</v>
      </c>
      <c r="N377" t="s">
        <v>4343</v>
      </c>
      <c r="O377" s="263" t="str">
        <f>AI377</f>
        <v>221/09:44</v>
      </c>
      <c r="P377" s="179" t="str">
        <f>MID(AL377,5,5)</f>
        <v>221_2</v>
      </c>
      <c r="Q377" s="237">
        <f>R376-3</f>
        <v>628472211.09533131</v>
      </c>
      <c r="R377" s="104">
        <f>((W377)/$S$2)+Q377</f>
        <v>631293449.32854342</v>
      </c>
      <c r="S377" s="104">
        <f t="shared" si="202"/>
        <v>2821238.2332121134</v>
      </c>
      <c r="T377" s="104">
        <f>S377*$S$2</f>
        <v>1426605.7500000256</v>
      </c>
      <c r="U377" s="3">
        <v>0</v>
      </c>
      <c r="V377" s="97">
        <f t="shared" si="205"/>
        <v>1426605.7500000256</v>
      </c>
      <c r="W377" s="97">
        <f>AA377*1000000/8</f>
        <v>1426605.75</v>
      </c>
      <c r="X377" s="266">
        <f t="shared" si="204"/>
        <v>-2.5611370801925659E-8</v>
      </c>
      <c r="Y377" s="318"/>
      <c r="Z377" s="319"/>
      <c r="AA377" s="256">
        <f>AR377</f>
        <v>11.412846</v>
      </c>
      <c r="AC377" s="308">
        <f>AK377+AC376</f>
        <v>141.83031878654526</v>
      </c>
      <c r="AD377" s="278"/>
      <c r="AH377" s="391" t="str">
        <f>AL377</f>
        <v>TRK_221_2</v>
      </c>
      <c r="AI377" t="s">
        <v>4241</v>
      </c>
      <c r="AJ377" s="232">
        <f t="shared" si="156"/>
        <v>-2.0489096641540528E-13</v>
      </c>
      <c r="AK377" s="232">
        <f>V377*8/1000000</f>
        <v>11.412846000000204</v>
      </c>
      <c r="AL377" t="s">
        <v>4219</v>
      </c>
      <c r="AM377" t="s">
        <v>4220</v>
      </c>
      <c r="AN377">
        <v>0.179698</v>
      </c>
      <c r="AO377">
        <v>1.620714</v>
      </c>
      <c r="AP377">
        <v>1.4410160000000001</v>
      </c>
      <c r="AQ377" s="416">
        <v>12.68094</v>
      </c>
      <c r="AR377">
        <f t="shared" si="158"/>
        <v>11.412846</v>
      </c>
      <c r="AS377" s="417" t="e">
        <f>AS376+AR377</f>
        <v>#REF!</v>
      </c>
    </row>
    <row r="378" spans="3:45" ht="13.5" customHeight="1">
      <c r="AK378" s="232"/>
      <c r="AQ378" s="416">
        <f>SUM(AQ307:AQ377)</f>
        <v>292.98139800000007</v>
      </c>
      <c r="AR378" s="417">
        <f>SUM(AR307:AR377)</f>
        <v>263.68325820000001</v>
      </c>
    </row>
    <row r="380" spans="3:45" ht="13.5" customHeight="1">
      <c r="I380" t="s">
        <v>769</v>
      </c>
      <c r="J380" s="3" t="s">
        <v>943</v>
      </c>
      <c r="K380" s="3" t="s">
        <v>1540</v>
      </c>
      <c r="L380" s="226" t="str">
        <f>M377</f>
        <v>26-021/09:25</v>
      </c>
      <c r="M380" s="226" t="s">
        <v>4368</v>
      </c>
      <c r="N380" t="s">
        <v>4343</v>
      </c>
      <c r="O380" s="263" t="s">
        <v>4370</v>
      </c>
      <c r="P380" s="179" t="s">
        <v>4367</v>
      </c>
      <c r="Q380" s="237">
        <f>R377-3</f>
        <v>631293446.32854342</v>
      </c>
      <c r="R380" s="104">
        <f>((W380)/$S$2)+Q380</f>
        <v>634259828.14063001</v>
      </c>
      <c r="S380" s="104">
        <f t="shared" ref="S380" si="207">R380-Q380</f>
        <v>2966381.8120865822</v>
      </c>
      <c r="T380" s="104">
        <f>S380*$S$2</f>
        <v>1500000.0000000156</v>
      </c>
      <c r="U380" s="3">
        <v>0</v>
      </c>
      <c r="V380" s="97">
        <f t="shared" ref="V380" si="208">T380+U380*$V$33</f>
        <v>1500000.0000000156</v>
      </c>
      <c r="W380" s="97">
        <f>AA380*1000000/8</f>
        <v>1500000</v>
      </c>
      <c r="X380" s="266">
        <f t="shared" ref="X380" si="209">W380-V380</f>
        <v>-1.5599653124809265E-8</v>
      </c>
      <c r="Y380" s="318"/>
      <c r="Z380" s="319"/>
      <c r="AA380" s="256">
        <v>12</v>
      </c>
    </row>
    <row r="381" spans="3:45" ht="13.5" customHeight="1">
      <c r="O381" s="263" t="s">
        <v>4369</v>
      </c>
    </row>
    <row r="388" spans="17:26" ht="13.5" customHeight="1">
      <c r="Q388" s="5">
        <f>Q277</f>
        <v>644923310</v>
      </c>
    </row>
    <row r="390" spans="17:26" ht="13.5" customHeight="1">
      <c r="Z390" s="424" t="s">
        <v>2573</v>
      </c>
    </row>
    <row r="394" spans="17:26" ht="13.5" customHeight="1">
      <c r="Z394" s="424" t="s">
        <v>1132</v>
      </c>
    </row>
    <row r="396" spans="17:26" ht="13.5" customHeight="1">
      <c r="Z396" s="424" t="s">
        <v>2547</v>
      </c>
    </row>
  </sheetData>
  <phoneticPr fontId="58" type="noConversion"/>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76B3-1089-4679-BF23-31FB662EE63B}">
  <dimension ref="A3:K13"/>
  <sheetViews>
    <sheetView topLeftCell="B4" zoomScale="120" zoomScaleNormal="120" workbookViewId="0">
      <selection activeCell="G7" sqref="G7"/>
    </sheetView>
  </sheetViews>
  <sheetFormatPr defaultRowHeight="14.25"/>
  <cols>
    <col min="1" max="2" width="9.06640625" style="3"/>
    <col min="3" max="3" width="21.46484375" style="3" customWidth="1"/>
    <col min="4" max="4" width="18.53125" style="3" customWidth="1"/>
    <col min="5" max="6" width="9.06640625" style="3"/>
    <col min="7" max="7" width="9.9296875" style="3" bestFit="1" customWidth="1"/>
    <col min="8" max="9" width="9.06640625" style="3"/>
    <col min="10" max="10" width="11.9296875" style="3" bestFit="1" customWidth="1"/>
    <col min="11" max="16384" width="9.06640625" style="3"/>
  </cols>
  <sheetData>
    <row r="3" spans="1:11">
      <c r="B3" s="3" t="s">
        <v>4176</v>
      </c>
    </row>
    <row r="4" spans="1:11">
      <c r="A4" s="3">
        <f>G9+G6</f>
        <v>222.648</v>
      </c>
      <c r="B4" s="93" t="s">
        <v>4176</v>
      </c>
    </row>
    <row r="5" spans="1:11">
      <c r="A5" s="3" t="s">
        <v>4178</v>
      </c>
      <c r="C5" s="3" t="s">
        <v>4177</v>
      </c>
      <c r="D5" s="3" t="s">
        <v>416</v>
      </c>
      <c r="F5" s="3" t="s">
        <v>4179</v>
      </c>
      <c r="G5" s="3" t="s">
        <v>4180</v>
      </c>
      <c r="J5" s="3" t="s">
        <v>4182</v>
      </c>
    </row>
    <row r="6" spans="1:11">
      <c r="A6" s="3">
        <v>27</v>
      </c>
      <c r="B6" s="3" t="s">
        <v>640</v>
      </c>
      <c r="C6" s="3">
        <v>645951158</v>
      </c>
      <c r="D6" s="3">
        <v>645951767</v>
      </c>
      <c r="F6" s="3">
        <v>26.763999999999999</v>
      </c>
      <c r="G6" s="414">
        <v>28.626000000000001</v>
      </c>
    </row>
    <row r="7" spans="1:11">
      <c r="G7" s="3">
        <f>G6*1000000/8</f>
        <v>3578250</v>
      </c>
    </row>
    <row r="8" spans="1:11">
      <c r="C8" s="3" t="s">
        <v>4177</v>
      </c>
      <c r="D8" s="3" t="s">
        <v>416</v>
      </c>
      <c r="H8" s="3" t="s">
        <v>4181</v>
      </c>
    </row>
    <row r="9" spans="1:11">
      <c r="A9" s="3">
        <v>183</v>
      </c>
      <c r="B9" s="3" t="s">
        <v>4184</v>
      </c>
      <c r="C9" s="3">
        <v>645951790</v>
      </c>
      <c r="D9" s="3">
        <v>645955455</v>
      </c>
      <c r="E9" s="3">
        <f>D9-C9</f>
        <v>3665</v>
      </c>
      <c r="F9" s="3">
        <v>174.619</v>
      </c>
      <c r="G9" s="3">
        <v>194.02199999999999</v>
      </c>
      <c r="H9" s="414">
        <f>58.7-G6</f>
        <v>30.074000000000002</v>
      </c>
      <c r="I9" s="3">
        <f>H9/G9</f>
        <v>0.15500304089226996</v>
      </c>
      <c r="J9" s="145">
        <f>C9+I9*E9</f>
        <v>645952358.08614492</v>
      </c>
      <c r="K9" s="93" t="s">
        <v>4183</v>
      </c>
    </row>
    <row r="10" spans="1:11">
      <c r="C10" s="3" t="s">
        <v>4385</v>
      </c>
      <c r="D10" s="3" t="s">
        <v>4386</v>
      </c>
      <c r="G10" s="3">
        <f>G9*1000000/8</f>
        <v>24252750</v>
      </c>
      <c r="H10" s="3">
        <f>H9*1000000/8</f>
        <v>3759250</v>
      </c>
    </row>
    <row r="13" spans="1:11">
      <c r="G13" s="3">
        <v>645952358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V209"/>
  <sheetViews>
    <sheetView topLeftCell="D76" zoomScale="110" zoomScaleNormal="110" workbookViewId="0">
      <selection activeCell="K90" sqref="K90"/>
    </sheetView>
  </sheetViews>
  <sheetFormatPr defaultColWidth="8.86328125" defaultRowHeight="15" customHeight="1"/>
  <cols>
    <col min="2" max="2" width="18.1328125" customWidth="1"/>
    <col min="3" max="3" width="26.73046875" customWidth="1"/>
    <col min="4" max="4" width="26.86328125" customWidth="1"/>
    <col min="5" max="5" width="22.86328125" customWidth="1"/>
    <col min="6" max="6" width="21.73046875" customWidth="1"/>
    <col min="7" max="7" width="11.1328125" customWidth="1"/>
    <col min="8" max="8" width="20" customWidth="1"/>
    <col min="9" max="10" width="17.73046875" customWidth="1"/>
    <col min="11" max="11" width="11.86328125" customWidth="1"/>
    <col min="12" max="12" width="37.1328125" customWidth="1"/>
    <col min="13" max="13" width="15.59765625" customWidth="1"/>
    <col min="14" max="14" width="21.3984375" customWidth="1"/>
    <col min="15" max="15" width="21.73046875" customWidth="1"/>
    <col min="16" max="16" width="12" customWidth="1"/>
    <col min="17" max="17" width="15.59765625" customWidth="1"/>
    <col min="18" max="18" width="11.3984375" customWidth="1"/>
    <col min="23" max="23" width="11.3984375" customWidth="1"/>
  </cols>
  <sheetData>
    <row r="2" spans="2:22" ht="28.5">
      <c r="B2" s="336" t="s">
        <v>1740</v>
      </c>
      <c r="C2" s="336" t="s">
        <v>1741</v>
      </c>
      <c r="D2" s="336" t="s">
        <v>1742</v>
      </c>
      <c r="E2" s="336" t="s">
        <v>1743</v>
      </c>
      <c r="F2" s="336" t="s">
        <v>1744</v>
      </c>
      <c r="H2" s="337" t="s">
        <v>1745</v>
      </c>
      <c r="I2" s="338" t="s">
        <v>1746</v>
      </c>
      <c r="J2" s="336" t="s">
        <v>1747</v>
      </c>
      <c r="K2" s="3"/>
      <c r="L2" s="336" t="s">
        <v>1748</v>
      </c>
      <c r="M2" s="336" t="s">
        <v>1749</v>
      </c>
      <c r="N2" s="336" t="s">
        <v>1747</v>
      </c>
    </row>
    <row r="3" spans="2:22" ht="14.25">
      <c r="B3" s="339" t="s">
        <v>1750</v>
      </c>
      <c r="C3" s="339" t="s">
        <v>1751</v>
      </c>
      <c r="D3" s="339">
        <v>75</v>
      </c>
      <c r="E3" s="339">
        <f t="shared" ref="E3:E8" si="0">D3*8</f>
        <v>600</v>
      </c>
      <c r="F3" s="339">
        <v>1</v>
      </c>
      <c r="H3" s="339" t="s">
        <v>1752</v>
      </c>
      <c r="I3" s="339">
        <v>0</v>
      </c>
      <c r="J3" s="339"/>
      <c r="L3" s="339" t="s">
        <v>1752</v>
      </c>
      <c r="M3" s="339">
        <v>0</v>
      </c>
      <c r="N3" s="339">
        <v>0</v>
      </c>
    </row>
    <row r="4" spans="2:22" ht="14.25">
      <c r="B4" s="339" t="s">
        <v>1753</v>
      </c>
      <c r="C4" s="339" t="s">
        <v>1754</v>
      </c>
      <c r="D4" s="339">
        <v>33</v>
      </c>
      <c r="E4" s="339">
        <f t="shared" si="0"/>
        <v>264</v>
      </c>
      <c r="F4" s="340" t="s">
        <v>1755</v>
      </c>
      <c r="H4" s="339" t="s">
        <v>1756</v>
      </c>
      <c r="I4" s="339">
        <f>1/(24*60*60)</f>
        <v>1.1574074074074073E-5</v>
      </c>
      <c r="J4" s="339">
        <v>86400</v>
      </c>
      <c r="L4" s="339" t="s">
        <v>1756</v>
      </c>
      <c r="M4" s="339">
        <f t="shared" ref="M4:M15" si="1">1/N4</f>
        <v>1.1574074074074073E-5</v>
      </c>
      <c r="N4" s="339">
        <v>86400</v>
      </c>
    </row>
    <row r="5" spans="2:22" ht="14.25">
      <c r="B5" s="339" t="s">
        <v>1757</v>
      </c>
      <c r="C5" s="339" t="s">
        <v>1758</v>
      </c>
      <c r="D5" s="339">
        <v>35</v>
      </c>
      <c r="E5" s="339">
        <f t="shared" si="0"/>
        <v>280</v>
      </c>
      <c r="F5" s="339">
        <v>64</v>
      </c>
      <c r="H5" s="339" t="s">
        <v>1759</v>
      </c>
      <c r="I5" s="339">
        <f>1/(12*60*60)</f>
        <v>2.3148148148148147E-5</v>
      </c>
      <c r="J5" s="339">
        <v>43200</v>
      </c>
      <c r="L5" s="339" t="s">
        <v>1759</v>
      </c>
      <c r="M5" s="339">
        <f t="shared" si="1"/>
        <v>2.3148148148148147E-5</v>
      </c>
      <c r="N5" s="339">
        <v>43200</v>
      </c>
    </row>
    <row r="6" spans="2:22" ht="14.25">
      <c r="B6" s="339" t="s">
        <v>1760</v>
      </c>
      <c r="C6" s="339" t="s">
        <v>1761</v>
      </c>
      <c r="D6" s="339">
        <v>87</v>
      </c>
      <c r="E6" s="339">
        <f t="shared" si="0"/>
        <v>696</v>
      </c>
      <c r="F6" s="339">
        <v>1</v>
      </c>
      <c r="H6" s="339" t="s">
        <v>1762</v>
      </c>
      <c r="I6" s="339">
        <f>1/(6*60*60)</f>
        <v>4.6296296296296294E-5</v>
      </c>
      <c r="J6" s="339">
        <v>21600</v>
      </c>
      <c r="L6" s="339" t="s">
        <v>1762</v>
      </c>
      <c r="M6" s="339">
        <f t="shared" si="1"/>
        <v>4.6227810650887573E-5</v>
      </c>
      <c r="N6" s="339">
        <v>21632</v>
      </c>
    </row>
    <row r="7" spans="2:22" ht="14.25">
      <c r="B7" s="339" t="s">
        <v>1763</v>
      </c>
      <c r="C7" s="339" t="s">
        <v>1764</v>
      </c>
      <c r="D7" s="339">
        <v>216</v>
      </c>
      <c r="E7" s="339">
        <f t="shared" si="0"/>
        <v>1728</v>
      </c>
      <c r="F7" s="339">
        <v>1</v>
      </c>
      <c r="H7" s="339" t="s">
        <v>1765</v>
      </c>
      <c r="I7" s="339">
        <f>1/(3*60*60)</f>
        <v>9.2592592592592588E-5</v>
      </c>
      <c r="J7" s="339">
        <v>10800</v>
      </c>
      <c r="L7" s="339" t="s">
        <v>1765</v>
      </c>
      <c r="M7" s="339">
        <f t="shared" si="1"/>
        <v>9.2455621301775146E-5</v>
      </c>
      <c r="N7" s="339">
        <v>10816</v>
      </c>
    </row>
    <row r="8" spans="2:22" ht="14.25">
      <c r="B8" s="339" t="s">
        <v>1766</v>
      </c>
      <c r="C8" s="339" t="s">
        <v>1767</v>
      </c>
      <c r="D8" s="339">
        <v>204</v>
      </c>
      <c r="E8" s="339">
        <f t="shared" si="0"/>
        <v>1632</v>
      </c>
      <c r="F8" s="339">
        <v>63</v>
      </c>
      <c r="H8" s="339" t="s">
        <v>1768</v>
      </c>
      <c r="I8" s="339">
        <f>1/(2*60*60)</f>
        <v>1.3888888888888889E-4</v>
      </c>
      <c r="J8" s="339">
        <v>7200</v>
      </c>
      <c r="L8" s="339" t="s">
        <v>1768</v>
      </c>
      <c r="M8" s="339">
        <f t="shared" si="1"/>
        <v>1.3827433628318584E-4</v>
      </c>
      <c r="N8" s="339">
        <v>7232</v>
      </c>
    </row>
    <row r="9" spans="2:22" ht="14.25">
      <c r="H9" s="339" t="s">
        <v>1769</v>
      </c>
      <c r="I9" s="339">
        <f>1/(60*60)</f>
        <v>2.7777777777777778E-4</v>
      </c>
      <c r="J9" s="339">
        <v>3600</v>
      </c>
      <c r="L9" s="339" t="s">
        <v>1769</v>
      </c>
      <c r="M9" s="339">
        <f t="shared" si="1"/>
        <v>2.7412280701754384E-4</v>
      </c>
      <c r="N9" s="339">
        <v>3648</v>
      </c>
    </row>
    <row r="10" spans="2:22" ht="14.25">
      <c r="H10" s="339" t="s">
        <v>1770</v>
      </c>
      <c r="I10" s="339">
        <f>1/(30*60)</f>
        <v>5.5555555555555556E-4</v>
      </c>
      <c r="J10" s="339">
        <v>1800</v>
      </c>
      <c r="L10" s="339" t="s">
        <v>1770</v>
      </c>
      <c r="M10" s="339">
        <f t="shared" si="1"/>
        <v>5.3879310344827585E-4</v>
      </c>
      <c r="N10" s="339">
        <f>1856</f>
        <v>1856</v>
      </c>
    </row>
    <row r="11" spans="2:22" ht="14.25">
      <c r="H11" s="339" t="s">
        <v>1771</v>
      </c>
      <c r="I11" s="339">
        <f>1/(20*60)</f>
        <v>8.3333333333333339E-4</v>
      </c>
      <c r="J11" s="339">
        <f>1200</f>
        <v>1200</v>
      </c>
      <c r="L11" s="339" t="s">
        <v>1771</v>
      </c>
      <c r="M11" s="339">
        <f t="shared" si="1"/>
        <v>7.8125000000000004E-4</v>
      </c>
      <c r="N11" s="339">
        <f>20*64</f>
        <v>1280</v>
      </c>
    </row>
    <row r="12" spans="2:22" ht="14.25">
      <c r="H12" s="339" t="s">
        <v>1772</v>
      </c>
      <c r="I12" s="339">
        <f>1/(10*60)</f>
        <v>1.6666666666666668E-3</v>
      </c>
      <c r="J12" s="339">
        <v>600</v>
      </c>
      <c r="L12" s="339" t="s">
        <v>1772</v>
      </c>
      <c r="M12" s="339">
        <f t="shared" si="1"/>
        <v>1.5625000000000001E-3</v>
      </c>
      <c r="N12" s="339">
        <f>10*64</f>
        <v>640</v>
      </c>
    </row>
    <row r="13" spans="2:22" ht="14.25">
      <c r="H13" s="339" t="s">
        <v>1773</v>
      </c>
      <c r="I13" s="339">
        <f>1/(5*60)</f>
        <v>3.3333333333333335E-3</v>
      </c>
      <c r="J13" s="339">
        <v>300</v>
      </c>
      <c r="L13" s="339" t="s">
        <v>1773</v>
      </c>
      <c r="M13" s="339">
        <f t="shared" si="1"/>
        <v>3.1250000000000002E-3</v>
      </c>
      <c r="N13" s="339">
        <f>5*64</f>
        <v>320</v>
      </c>
    </row>
    <row r="14" spans="2:22" ht="14.25">
      <c r="H14" s="339" t="s">
        <v>1774</v>
      </c>
      <c r="I14" s="339">
        <f>1/(2*60)</f>
        <v>8.3333333333333332E-3</v>
      </c>
      <c r="J14" s="339">
        <v>120</v>
      </c>
      <c r="L14" s="339" t="s">
        <v>1774</v>
      </c>
      <c r="M14" s="339">
        <f t="shared" si="1"/>
        <v>7.8125E-3</v>
      </c>
      <c r="N14" s="339">
        <f>2*64</f>
        <v>128</v>
      </c>
    </row>
    <row r="15" spans="2:22" ht="14.25">
      <c r="H15" s="339" t="s">
        <v>1775</v>
      </c>
      <c r="I15" s="339">
        <f>1/64</f>
        <v>1.5625E-2</v>
      </c>
      <c r="J15" s="339">
        <v>64</v>
      </c>
      <c r="L15" s="339" t="s">
        <v>1775</v>
      </c>
      <c r="M15" s="339">
        <f t="shared" si="1"/>
        <v>1.5625E-2</v>
      </c>
      <c r="N15" s="339">
        <v>64</v>
      </c>
      <c r="T15" s="5"/>
      <c r="V15" s="278"/>
    </row>
    <row r="16" spans="2:22" ht="14.25">
      <c r="H16" s="339" t="s">
        <v>1776</v>
      </c>
      <c r="I16" s="339">
        <f>1/32</f>
        <v>3.125E-2</v>
      </c>
      <c r="J16" s="339">
        <v>32</v>
      </c>
      <c r="T16" s="5"/>
      <c r="V16" s="278"/>
    </row>
    <row r="17" spans="2:22" ht="14.25">
      <c r="H17" s="339" t="s">
        <v>1777</v>
      </c>
      <c r="I17" s="339">
        <f>1/16</f>
        <v>6.25E-2</v>
      </c>
      <c r="J17" s="339">
        <v>16</v>
      </c>
      <c r="P17" s="183"/>
      <c r="T17" s="5"/>
      <c r="V17" s="278"/>
    </row>
    <row r="18" spans="2:22" ht="14.25">
      <c r="H18" s="339" t="s">
        <v>1778</v>
      </c>
      <c r="I18" s="339">
        <f>1/8</f>
        <v>0.125</v>
      </c>
      <c r="J18" s="339">
        <v>8</v>
      </c>
      <c r="P18" s="183"/>
    </row>
    <row r="19" spans="2:22" ht="14.25">
      <c r="H19" s="339" t="s">
        <v>1779</v>
      </c>
      <c r="I19" s="339">
        <f>1/4</f>
        <v>0.25</v>
      </c>
      <c r="J19" s="339">
        <v>4</v>
      </c>
    </row>
    <row r="20" spans="2:22" ht="14.25">
      <c r="H20" s="339" t="s">
        <v>1780</v>
      </c>
      <c r="I20" s="339">
        <f>1/2</f>
        <v>0.5</v>
      </c>
      <c r="J20" s="339">
        <v>2</v>
      </c>
    </row>
    <row r="21" spans="2:22" ht="14.25">
      <c r="H21" s="339" t="s">
        <v>1781</v>
      </c>
      <c r="I21" s="339">
        <f>1</f>
        <v>1</v>
      </c>
      <c r="J21" s="339">
        <v>1</v>
      </c>
    </row>
    <row r="25" spans="2:22" ht="18">
      <c r="B25" s="457" t="s">
        <v>1782</v>
      </c>
      <c r="C25" s="457"/>
      <c r="D25" s="457"/>
      <c r="E25" s="457"/>
      <c r="F25" s="457"/>
      <c r="G25" s="457"/>
      <c r="H25" s="457"/>
      <c r="I25" s="457"/>
      <c r="J25" s="91"/>
    </row>
    <row r="26" spans="2:22" ht="14.25">
      <c r="B26" s="341"/>
      <c r="C26" s="342" t="s">
        <v>1741</v>
      </c>
      <c r="D26" s="342" t="s">
        <v>1783</v>
      </c>
      <c r="E26" s="342" t="s">
        <v>1784</v>
      </c>
      <c r="F26" s="342" t="s">
        <v>1785</v>
      </c>
      <c r="G26" s="342" t="s">
        <v>1786</v>
      </c>
      <c r="H26" s="342" t="s">
        <v>1787</v>
      </c>
      <c r="I26" s="342" t="s">
        <v>1788</v>
      </c>
      <c r="J26" s="91"/>
    </row>
    <row r="27" spans="2:22" ht="14.25">
      <c r="B27" s="339" t="s">
        <v>1789</v>
      </c>
      <c r="C27" s="339" t="s">
        <v>1751</v>
      </c>
      <c r="D27" s="339">
        <f>$E$3</f>
        <v>600</v>
      </c>
      <c r="E27" s="339" t="s">
        <v>1769</v>
      </c>
      <c r="F27" s="339">
        <f>$I$9*$F$3</f>
        <v>2.7777777777777778E-4</v>
      </c>
      <c r="G27" s="339">
        <f>D27*F27</f>
        <v>0.16666666666666666</v>
      </c>
      <c r="H27" s="339">
        <v>86400</v>
      </c>
      <c r="I27" s="339">
        <f>G27*H27/1000000</f>
        <v>1.44E-2</v>
      </c>
      <c r="J27" s="91"/>
    </row>
    <row r="28" spans="2:22" ht="14.25">
      <c r="B28" s="339" t="s">
        <v>1790</v>
      </c>
      <c r="C28" s="339" t="s">
        <v>1758</v>
      </c>
      <c r="D28" s="339">
        <f>$E$5</f>
        <v>280</v>
      </c>
      <c r="E28" s="343" t="s">
        <v>1775</v>
      </c>
      <c r="F28" s="339">
        <f>$M$15*$F$5</f>
        <v>1</v>
      </c>
      <c r="G28" s="339">
        <f>D28*F28</f>
        <v>280</v>
      </c>
      <c r="H28" s="339">
        <v>86400</v>
      </c>
      <c r="I28" s="339">
        <f>G28*H28/1000000</f>
        <v>24.192</v>
      </c>
      <c r="J28" s="91"/>
    </row>
    <row r="29" spans="2:22" ht="14.25">
      <c r="B29" s="339" t="s">
        <v>1760</v>
      </c>
      <c r="C29" s="339" t="s">
        <v>1761</v>
      </c>
      <c r="D29" s="339">
        <f>$E$6</f>
        <v>696</v>
      </c>
      <c r="E29" s="339" t="s">
        <v>1769</v>
      </c>
      <c r="F29" s="339">
        <f>$M$9*$F$6</f>
        <v>2.7412280701754384E-4</v>
      </c>
      <c r="G29" s="339">
        <f>D29*F29</f>
        <v>0.19078947368421051</v>
      </c>
      <c r="H29" s="339">
        <v>86400</v>
      </c>
      <c r="I29" s="339">
        <f>G29*H29/1000000</f>
        <v>1.6484210526315785E-2</v>
      </c>
      <c r="J29" s="91"/>
    </row>
    <row r="30" spans="2:22" ht="15" customHeight="1">
      <c r="B30" s="339" t="s">
        <v>1763</v>
      </c>
      <c r="C30" s="339" t="s">
        <v>1764</v>
      </c>
      <c r="D30" s="339">
        <f>$E$7</f>
        <v>1728</v>
      </c>
      <c r="E30" s="339" t="s">
        <v>1791</v>
      </c>
      <c r="F30" s="339">
        <v>0</v>
      </c>
      <c r="G30" s="339">
        <f>D30*F30</f>
        <v>0</v>
      </c>
      <c r="H30" s="339">
        <v>0</v>
      </c>
      <c r="I30" s="339">
        <f>G30*H30/1000000</f>
        <v>0</v>
      </c>
      <c r="J30" s="458" t="s">
        <v>1792</v>
      </c>
      <c r="K30" s="458"/>
      <c r="L30" s="458"/>
      <c r="M30" s="458"/>
      <c r="N30" s="458"/>
    </row>
    <row r="31" spans="2:22" ht="14.25">
      <c r="B31" s="339" t="s">
        <v>1766</v>
      </c>
      <c r="C31" s="339" t="s">
        <v>1767</v>
      </c>
      <c r="D31" s="339">
        <f>$E$8</f>
        <v>1632</v>
      </c>
      <c r="E31" s="339" t="s">
        <v>1791</v>
      </c>
      <c r="F31" s="339">
        <v>0</v>
      </c>
      <c r="G31" s="339">
        <f>D31*F31</f>
        <v>0</v>
      </c>
      <c r="H31" s="339">
        <v>0</v>
      </c>
      <c r="I31" s="339">
        <f>G31*H31/1000000</f>
        <v>0</v>
      </c>
      <c r="J31" s="458"/>
      <c r="K31" s="458"/>
      <c r="L31" s="458"/>
      <c r="M31" s="458"/>
      <c r="N31" s="458"/>
    </row>
    <row r="32" spans="2:22" ht="15.4">
      <c r="B32" s="459"/>
      <c r="C32" s="459"/>
      <c r="D32" s="459"/>
      <c r="E32" s="459"/>
      <c r="F32" s="459"/>
      <c r="G32" s="459"/>
      <c r="H32" s="343" t="s">
        <v>1793</v>
      </c>
      <c r="I32" s="343">
        <f>SUM(I27:I31)</f>
        <v>24.222884210526313</v>
      </c>
      <c r="J32" s="344"/>
      <c r="K32" s="345"/>
      <c r="L32" s="345"/>
      <c r="M32" s="345"/>
      <c r="N32" s="345"/>
    </row>
    <row r="33" spans="2:16" ht="15.4">
      <c r="J33" s="345"/>
      <c r="K33" s="345"/>
      <c r="L33" s="345"/>
      <c r="M33" s="345"/>
      <c r="N33" s="345"/>
    </row>
    <row r="34" spans="2:16" ht="15.4">
      <c r="J34" s="345"/>
      <c r="K34" s="345"/>
      <c r="L34" s="345"/>
      <c r="M34" s="345"/>
      <c r="N34" s="345"/>
    </row>
    <row r="35" spans="2:16" ht="15.4">
      <c r="J35" s="345"/>
      <c r="K35" s="345"/>
      <c r="L35" s="345"/>
      <c r="M35" s="345"/>
      <c r="N35" s="345"/>
    </row>
    <row r="36" spans="2:16" ht="15.4">
      <c r="J36" s="345"/>
      <c r="K36" s="345"/>
      <c r="L36" s="345"/>
      <c r="M36" s="345"/>
      <c r="N36" s="345"/>
    </row>
    <row r="37" spans="2:16" ht="15.4">
      <c r="J37" s="345"/>
      <c r="K37" s="345"/>
      <c r="L37" s="345"/>
      <c r="M37" s="345"/>
      <c r="N37" s="345"/>
    </row>
    <row r="38" spans="2:16" ht="18">
      <c r="B38" s="457" t="s">
        <v>1794</v>
      </c>
      <c r="C38" s="457"/>
      <c r="D38" s="457"/>
      <c r="E38" s="457"/>
      <c r="F38" s="457"/>
      <c r="G38" s="457"/>
      <c r="H38" s="457"/>
      <c r="I38" s="457"/>
      <c r="J38" s="346"/>
      <c r="K38" s="345"/>
      <c r="L38" s="345"/>
      <c r="M38" s="345"/>
      <c r="N38" s="345"/>
      <c r="P38" t="s">
        <v>204</v>
      </c>
    </row>
    <row r="39" spans="2:16" ht="15.4">
      <c r="B39" s="341"/>
      <c r="C39" s="342" t="s">
        <v>1741</v>
      </c>
      <c r="D39" s="342" t="s">
        <v>1783</v>
      </c>
      <c r="E39" s="342" t="s">
        <v>1784</v>
      </c>
      <c r="F39" s="342" t="s">
        <v>1785</v>
      </c>
      <c r="G39" s="342" t="s">
        <v>1786</v>
      </c>
      <c r="H39" s="342" t="s">
        <v>1787</v>
      </c>
      <c r="I39" s="342" t="s">
        <v>1788</v>
      </c>
      <c r="J39" s="346"/>
      <c r="K39" s="345"/>
      <c r="L39" s="345"/>
      <c r="M39" s="345"/>
      <c r="N39" s="345"/>
    </row>
    <row r="40" spans="2:16" ht="15.4">
      <c r="B40" s="339" t="s">
        <v>1789</v>
      </c>
      <c r="C40" s="339" t="s">
        <v>1751</v>
      </c>
      <c r="D40" s="339">
        <f>$E$3</f>
        <v>600</v>
      </c>
      <c r="E40" s="339" t="s">
        <v>1769</v>
      </c>
      <c r="F40" s="339">
        <f>$I$9*$F$3</f>
        <v>2.7777777777777778E-4</v>
      </c>
      <c r="G40" s="339">
        <f>D40*F40</f>
        <v>0.16666666666666666</v>
      </c>
      <c r="H40" s="339">
        <v>86400</v>
      </c>
      <c r="I40" s="339">
        <f>G40*H40/1000000</f>
        <v>1.44E-2</v>
      </c>
      <c r="J40" s="345"/>
      <c r="K40" s="345"/>
      <c r="L40" s="345"/>
      <c r="M40" s="345"/>
      <c r="N40" s="345"/>
    </row>
    <row r="41" spans="2:16" ht="15.4">
      <c r="B41" s="339" t="s">
        <v>1790</v>
      </c>
      <c r="C41" s="339" t="s">
        <v>1758</v>
      </c>
      <c r="D41" s="339">
        <f>$E$5</f>
        <v>280</v>
      </c>
      <c r="E41" s="343" t="s">
        <v>1775</v>
      </c>
      <c r="F41" s="339">
        <f>$M$15*$F$5</f>
        <v>1</v>
      </c>
      <c r="G41" s="339">
        <f>D41*F41</f>
        <v>280</v>
      </c>
      <c r="H41" s="339">
        <v>86400</v>
      </c>
      <c r="I41" s="339">
        <f>G41*H41/1000000</f>
        <v>24.192</v>
      </c>
      <c r="J41" s="345"/>
      <c r="K41" s="345"/>
      <c r="L41" s="345"/>
      <c r="M41" s="345"/>
      <c r="N41" s="345"/>
    </row>
    <row r="42" spans="2:16" ht="15.4">
      <c r="B42" s="339" t="s">
        <v>1760</v>
      </c>
      <c r="C42" s="339" t="s">
        <v>1761</v>
      </c>
      <c r="D42" s="339">
        <f>$E$6</f>
        <v>696</v>
      </c>
      <c r="E42" s="339" t="s">
        <v>1769</v>
      </c>
      <c r="F42" s="339">
        <f>$M$9*$F$6</f>
        <v>2.7412280701754384E-4</v>
      </c>
      <c r="G42" s="339">
        <f>D42*F42</f>
        <v>0.19078947368421051</v>
      </c>
      <c r="H42" s="339">
        <v>86400</v>
      </c>
      <c r="I42" s="339">
        <f>G42*H42/1000000</f>
        <v>1.6484210526315785E-2</v>
      </c>
      <c r="J42" s="345"/>
      <c r="K42" s="345"/>
      <c r="L42" s="345"/>
      <c r="M42" s="345"/>
      <c r="N42" s="345"/>
    </row>
    <row r="43" spans="2:16" ht="15" customHeight="1">
      <c r="B43" s="339" t="s">
        <v>1763</v>
      </c>
      <c r="C43" s="339" t="s">
        <v>1764</v>
      </c>
      <c r="D43" s="339">
        <f>$E$7</f>
        <v>1728</v>
      </c>
      <c r="E43" s="339" t="s">
        <v>1756</v>
      </c>
      <c r="F43" s="339">
        <f>$M$4*$F$7</f>
        <v>1.1574074074074073E-5</v>
      </c>
      <c r="G43" s="339">
        <f>D43*F43</f>
        <v>0.02</v>
      </c>
      <c r="H43" s="339">
        <v>86400</v>
      </c>
      <c r="I43" s="339">
        <f>G43*H43/1000000</f>
        <v>1.7279999999999999E-3</v>
      </c>
      <c r="J43" s="460" t="s">
        <v>1795</v>
      </c>
      <c r="K43" s="460"/>
      <c r="L43" s="460"/>
      <c r="M43" s="460"/>
      <c r="N43" s="460"/>
      <c r="O43" s="276"/>
    </row>
    <row r="44" spans="2:16" ht="14.25">
      <c r="B44" s="339" t="s">
        <v>1766</v>
      </c>
      <c r="C44" s="339" t="s">
        <v>1767</v>
      </c>
      <c r="D44" s="339">
        <f>$E$8</f>
        <v>1632</v>
      </c>
      <c r="E44" s="339" t="s">
        <v>1756</v>
      </c>
      <c r="F44" s="339">
        <f>$M$4*$F$8</f>
        <v>7.2916666666666659E-4</v>
      </c>
      <c r="G44" s="339">
        <f>D44*F44</f>
        <v>1.19</v>
      </c>
      <c r="H44" s="339">
        <v>86400</v>
      </c>
      <c r="I44" s="339">
        <f>G44*H44/1000000</f>
        <v>0.102816</v>
      </c>
      <c r="J44" s="460"/>
      <c r="K44" s="460"/>
      <c r="L44" s="460"/>
      <c r="M44" s="460"/>
      <c r="N44" s="460"/>
      <c r="O44" s="276"/>
    </row>
    <row r="45" spans="2:16" ht="14.25">
      <c r="B45" s="459"/>
      <c r="C45" s="459"/>
      <c r="D45" s="459"/>
      <c r="E45" s="459"/>
      <c r="F45" s="459"/>
      <c r="G45" s="459"/>
      <c r="H45" s="343" t="s">
        <v>1793</v>
      </c>
      <c r="I45" s="343">
        <f>SUM(I40:I44)</f>
        <v>24.327428210526314</v>
      </c>
      <c r="J45" s="91">
        <f>I45*1000000/86400</f>
        <v>281.56745614035083</v>
      </c>
      <c r="K45">
        <f>J45/8</f>
        <v>35.195932017543853</v>
      </c>
    </row>
    <row r="46" spans="2:16" ht="14.25">
      <c r="B46" s="3"/>
      <c r="C46" s="3"/>
      <c r="D46" s="3"/>
      <c r="E46" s="3"/>
      <c r="F46" s="3"/>
      <c r="G46" s="3"/>
      <c r="H46" s="91"/>
      <c r="I46" s="91"/>
      <c r="J46" s="3" t="s">
        <v>6</v>
      </c>
      <c r="K46" s="3" t="s">
        <v>4120</v>
      </c>
    </row>
    <row r="47" spans="2:16" ht="18">
      <c r="B47" s="457" t="s">
        <v>1796</v>
      </c>
      <c r="C47" s="457"/>
      <c r="D47" s="457"/>
      <c r="E47" s="457"/>
      <c r="F47" s="457"/>
      <c r="G47" s="457"/>
      <c r="H47" s="457"/>
      <c r="I47" s="457"/>
      <c r="J47" s="347"/>
    </row>
    <row r="48" spans="2:16" ht="14.25">
      <c r="B48" s="341"/>
      <c r="C48" s="342" t="s">
        <v>1741</v>
      </c>
      <c r="D48" s="342" t="s">
        <v>1783</v>
      </c>
      <c r="E48" s="342" t="s">
        <v>1784</v>
      </c>
      <c r="F48" s="342" t="s">
        <v>1785</v>
      </c>
      <c r="G48" s="342" t="s">
        <v>1786</v>
      </c>
      <c r="H48" s="342" t="s">
        <v>1787</v>
      </c>
      <c r="I48" s="342" t="s">
        <v>1788</v>
      </c>
      <c r="J48" s="145"/>
    </row>
    <row r="49" spans="2:11" ht="14.25">
      <c r="B49" s="339" t="s">
        <v>1789</v>
      </c>
      <c r="C49" s="339" t="s">
        <v>1751</v>
      </c>
      <c r="D49" s="339">
        <f>$E$3</f>
        <v>600</v>
      </c>
      <c r="E49" s="339" t="s">
        <v>1769</v>
      </c>
      <c r="F49" s="339">
        <f>$I$9*$F$3</f>
        <v>2.7777777777777778E-4</v>
      </c>
      <c r="G49" s="339">
        <f>D49*F49</f>
        <v>0.16666666666666666</v>
      </c>
      <c r="H49" s="339">
        <v>86400</v>
      </c>
      <c r="I49" s="339">
        <f>G49*H49/1000000</f>
        <v>1.44E-2</v>
      </c>
    </row>
    <row r="50" spans="2:11" ht="14.25">
      <c r="B50" s="339" t="s">
        <v>1790</v>
      </c>
      <c r="C50" s="339" t="s">
        <v>1758</v>
      </c>
      <c r="D50" s="339">
        <f>$E$5</f>
        <v>280</v>
      </c>
      <c r="E50" s="343" t="s">
        <v>1774</v>
      </c>
      <c r="F50" s="339">
        <f>$M$14*$F$5</f>
        <v>0.5</v>
      </c>
      <c r="G50" s="339">
        <f>D50*F50</f>
        <v>140</v>
      </c>
      <c r="H50" s="339">
        <v>86400</v>
      </c>
      <c r="I50" s="339">
        <f>G50*H50/1000000</f>
        <v>12.096</v>
      </c>
    </row>
    <row r="51" spans="2:11" ht="14.25">
      <c r="B51" s="339" t="s">
        <v>1760</v>
      </c>
      <c r="C51" s="339" t="s">
        <v>1761</v>
      </c>
      <c r="D51" s="339">
        <f>$E$6</f>
        <v>696</v>
      </c>
      <c r="E51" s="339" t="s">
        <v>1769</v>
      </c>
      <c r="F51" s="339">
        <f>$M$9*$F$6</f>
        <v>2.7412280701754384E-4</v>
      </c>
      <c r="G51" s="339">
        <f>D51*F51</f>
        <v>0.19078947368421051</v>
      </c>
      <c r="H51" s="339">
        <v>86400</v>
      </c>
      <c r="I51" s="339">
        <f>G51*H51/1000000</f>
        <v>1.6484210526315785E-2</v>
      </c>
    </row>
    <row r="52" spans="2:11" ht="14.25">
      <c r="B52" s="339" t="s">
        <v>1763</v>
      </c>
      <c r="C52" s="339" t="s">
        <v>1764</v>
      </c>
      <c r="D52" s="339">
        <f>$E$7</f>
        <v>1728</v>
      </c>
      <c r="E52" s="339" t="s">
        <v>1756</v>
      </c>
      <c r="F52" s="339">
        <f>$M$4*$F$7</f>
        <v>1.1574074074074073E-5</v>
      </c>
      <c r="G52" s="339">
        <f>D52*F52</f>
        <v>0.02</v>
      </c>
      <c r="H52" s="339">
        <v>86400</v>
      </c>
      <c r="I52" s="339">
        <f>G52*H52/1000000</f>
        <v>1.7279999999999999E-3</v>
      </c>
    </row>
    <row r="53" spans="2:11" ht="14.25">
      <c r="B53" s="339" t="s">
        <v>1766</v>
      </c>
      <c r="C53" s="339" t="s">
        <v>1767</v>
      </c>
      <c r="D53" s="339">
        <f>$E$8</f>
        <v>1632</v>
      </c>
      <c r="E53" s="339" t="s">
        <v>1756</v>
      </c>
      <c r="F53" s="339">
        <f>$M$4*$F$8</f>
        <v>7.2916666666666659E-4</v>
      </c>
      <c r="G53" s="339">
        <f>D53*F53</f>
        <v>1.19</v>
      </c>
      <c r="H53" s="339">
        <v>86400</v>
      </c>
      <c r="I53" s="339">
        <f>G53*H53/1000000</f>
        <v>0.102816</v>
      </c>
    </row>
    <row r="54" spans="2:11" ht="14.25">
      <c r="B54" s="459"/>
      <c r="C54" s="459"/>
      <c r="D54" s="459"/>
      <c r="E54" s="459"/>
      <c r="F54" s="459"/>
      <c r="G54" s="459"/>
      <c r="H54" s="343" t="s">
        <v>1793</v>
      </c>
      <c r="I54" s="343">
        <f>SUM(I49:I53)</f>
        <v>12.231428210526317</v>
      </c>
      <c r="J54" s="91">
        <f>I54*1000000/86400</f>
        <v>141.56745614035088</v>
      </c>
      <c r="K54">
        <f>J54/8</f>
        <v>17.695932017543861</v>
      </c>
    </row>
    <row r="55" spans="2:11" ht="14.25">
      <c r="I55" s="91"/>
      <c r="J55" s="3" t="s">
        <v>6</v>
      </c>
      <c r="K55" s="3" t="s">
        <v>4120</v>
      </c>
    </row>
    <row r="56" spans="2:11" ht="18">
      <c r="B56" s="457" t="s">
        <v>1797</v>
      </c>
      <c r="C56" s="457"/>
      <c r="D56" s="457"/>
      <c r="E56" s="457"/>
      <c r="F56" s="457"/>
      <c r="G56" s="457"/>
      <c r="H56" s="457"/>
      <c r="I56" s="457"/>
      <c r="J56" s="347"/>
    </row>
    <row r="57" spans="2:11" ht="14.25">
      <c r="B57" s="341"/>
      <c r="C57" s="342" t="s">
        <v>1741</v>
      </c>
      <c r="D57" s="342" t="s">
        <v>1783</v>
      </c>
      <c r="E57" s="342" t="s">
        <v>1784</v>
      </c>
      <c r="F57" s="342" t="s">
        <v>1785</v>
      </c>
      <c r="G57" s="342" t="s">
        <v>1786</v>
      </c>
      <c r="H57" s="342" t="s">
        <v>1787</v>
      </c>
      <c r="I57" s="342" t="s">
        <v>1788</v>
      </c>
      <c r="J57" s="145"/>
    </row>
    <row r="58" spans="2:11" ht="14.25">
      <c r="B58" s="339" t="s">
        <v>1789</v>
      </c>
      <c r="C58" s="339" t="s">
        <v>1751</v>
      </c>
      <c r="D58" s="339">
        <f>$E$3</f>
        <v>600</v>
      </c>
      <c r="E58" s="339" t="s">
        <v>1769</v>
      </c>
      <c r="F58" s="339">
        <f>$I$9*$F$3</f>
        <v>2.7777777777777778E-4</v>
      </c>
      <c r="G58" s="339">
        <f>D58*F58</f>
        <v>0.16666666666666666</v>
      </c>
      <c r="H58" s="339">
        <v>86400</v>
      </c>
      <c r="I58" s="339">
        <f>G58*H58/1000000</f>
        <v>1.44E-2</v>
      </c>
    </row>
    <row r="59" spans="2:11" ht="14.25">
      <c r="B59" s="339" t="s">
        <v>1790</v>
      </c>
      <c r="C59" s="339" t="s">
        <v>1758</v>
      </c>
      <c r="D59" s="339">
        <f>$E$5</f>
        <v>280</v>
      </c>
      <c r="E59" s="343" t="s">
        <v>1773</v>
      </c>
      <c r="F59" s="339">
        <f>$M$13*$F$5</f>
        <v>0.2</v>
      </c>
      <c r="G59" s="339">
        <f>D59*F59</f>
        <v>56</v>
      </c>
      <c r="H59" s="339">
        <v>86400</v>
      </c>
      <c r="I59" s="339">
        <f>G59*H59/1000000</f>
        <v>4.8384</v>
      </c>
    </row>
    <row r="60" spans="2:11" ht="14.25">
      <c r="B60" s="339" t="s">
        <v>1760</v>
      </c>
      <c r="C60" s="339" t="s">
        <v>1761</v>
      </c>
      <c r="D60" s="339">
        <f>$E$6</f>
        <v>696</v>
      </c>
      <c r="E60" s="339" t="s">
        <v>1769</v>
      </c>
      <c r="F60" s="339">
        <f>$M$9*$F$6</f>
        <v>2.7412280701754384E-4</v>
      </c>
      <c r="G60" s="339">
        <f>D60*F60</f>
        <v>0.19078947368421051</v>
      </c>
      <c r="H60" s="339">
        <v>86400</v>
      </c>
      <c r="I60" s="339">
        <f>G60*H60/1000000</f>
        <v>1.6484210526315785E-2</v>
      </c>
    </row>
    <row r="61" spans="2:11" ht="14.25">
      <c r="B61" s="339" t="s">
        <v>1763</v>
      </c>
      <c r="C61" s="339" t="s">
        <v>1764</v>
      </c>
      <c r="D61" s="339">
        <f>$E$7</f>
        <v>1728</v>
      </c>
      <c r="E61" s="339" t="s">
        <v>1756</v>
      </c>
      <c r="F61" s="339">
        <f>$M$4*$F$7</f>
        <v>1.1574074074074073E-5</v>
      </c>
      <c r="G61" s="339">
        <f>D61*F61</f>
        <v>0.02</v>
      </c>
      <c r="H61" s="339">
        <v>86400</v>
      </c>
      <c r="I61" s="339">
        <f>G61*H61/1000000</f>
        <v>1.7279999999999999E-3</v>
      </c>
    </row>
    <row r="62" spans="2:11" ht="14.25">
      <c r="B62" s="339" t="s">
        <v>1766</v>
      </c>
      <c r="C62" s="339" t="s">
        <v>1767</v>
      </c>
      <c r="D62" s="339">
        <f>$E$8</f>
        <v>1632</v>
      </c>
      <c r="E62" s="339" t="s">
        <v>1756</v>
      </c>
      <c r="F62" s="339">
        <f>$M$4*$F$8</f>
        <v>7.2916666666666659E-4</v>
      </c>
      <c r="G62" s="339">
        <f>D62*F62</f>
        <v>1.19</v>
      </c>
      <c r="H62" s="339">
        <v>86400</v>
      </c>
      <c r="I62" s="339">
        <f>G62*H62/1000000</f>
        <v>0.102816</v>
      </c>
    </row>
    <row r="63" spans="2:11" ht="14.25">
      <c r="B63" s="459"/>
      <c r="C63" s="459"/>
      <c r="D63" s="459"/>
      <c r="E63" s="459"/>
      <c r="F63" s="459"/>
      <c r="G63" s="459"/>
      <c r="H63" s="343" t="s">
        <v>1793</v>
      </c>
      <c r="I63" s="343">
        <f>SUM(I58:I62)</f>
        <v>4.9738282105263156</v>
      </c>
      <c r="J63" s="91">
        <f>I63*1000000/86400</f>
        <v>57.56745614035087</v>
      </c>
      <c r="K63">
        <f>J63/8</f>
        <v>7.1959320175438588</v>
      </c>
    </row>
    <row r="64" spans="2:11" ht="14.25">
      <c r="I64" s="91"/>
      <c r="J64" s="3" t="s">
        <v>6</v>
      </c>
      <c r="K64" s="3" t="s">
        <v>4120</v>
      </c>
    </row>
    <row r="65" spans="2:11" ht="18">
      <c r="B65" s="457" t="s">
        <v>1798</v>
      </c>
      <c r="C65" s="457"/>
      <c r="D65" s="457"/>
      <c r="E65" s="457"/>
      <c r="F65" s="457"/>
      <c r="G65" s="457"/>
      <c r="H65" s="457"/>
      <c r="I65" s="457"/>
      <c r="J65" s="347"/>
    </row>
    <row r="66" spans="2:11" ht="14.25">
      <c r="B66" s="341"/>
      <c r="C66" s="342" t="s">
        <v>1741</v>
      </c>
      <c r="D66" s="342" t="s">
        <v>1783</v>
      </c>
      <c r="E66" s="342" t="s">
        <v>1784</v>
      </c>
      <c r="F66" s="342" t="s">
        <v>1785</v>
      </c>
      <c r="G66" s="342" t="s">
        <v>1786</v>
      </c>
      <c r="H66" s="342" t="s">
        <v>1787</v>
      </c>
      <c r="I66" s="342" t="s">
        <v>1788</v>
      </c>
      <c r="J66" s="145"/>
    </row>
    <row r="67" spans="2:11" ht="14.25">
      <c r="B67" s="339" t="s">
        <v>1789</v>
      </c>
      <c r="C67" s="339" t="s">
        <v>1751</v>
      </c>
      <c r="D67" s="339">
        <f>$E$3</f>
        <v>600</v>
      </c>
      <c r="E67" s="339" t="s">
        <v>1769</v>
      </c>
      <c r="F67" s="339">
        <f>$I$9*$F$3</f>
        <v>2.7777777777777778E-4</v>
      </c>
      <c r="G67" s="339">
        <f>D67*F67</f>
        <v>0.16666666666666666</v>
      </c>
      <c r="H67" s="339">
        <v>86400</v>
      </c>
      <c r="I67" s="339">
        <f>G67*H67/1000000</f>
        <v>1.44E-2</v>
      </c>
    </row>
    <row r="68" spans="2:11" ht="14.25">
      <c r="B68" s="339" t="s">
        <v>1790</v>
      </c>
      <c r="C68" s="339" t="s">
        <v>1758</v>
      </c>
      <c r="D68" s="339">
        <f>$E$5</f>
        <v>280</v>
      </c>
      <c r="E68" s="343" t="s">
        <v>1772</v>
      </c>
      <c r="F68" s="339">
        <f>$M$12*$F$5</f>
        <v>0.1</v>
      </c>
      <c r="G68" s="339">
        <f>D68*F68</f>
        <v>28</v>
      </c>
      <c r="H68" s="339">
        <v>86400</v>
      </c>
      <c r="I68" s="339">
        <f>G68*H68/1000000</f>
        <v>2.4192</v>
      </c>
    </row>
    <row r="69" spans="2:11" ht="14.25">
      <c r="B69" s="339" t="s">
        <v>1760</v>
      </c>
      <c r="C69" s="339" t="s">
        <v>1761</v>
      </c>
      <c r="D69" s="339">
        <f>$E$6</f>
        <v>696</v>
      </c>
      <c r="E69" s="339" t="s">
        <v>1769</v>
      </c>
      <c r="F69" s="339">
        <f>$M$9*$F$6</f>
        <v>2.7412280701754384E-4</v>
      </c>
      <c r="G69" s="339">
        <f>D69*F69</f>
        <v>0.19078947368421051</v>
      </c>
      <c r="H69" s="339">
        <v>86400</v>
      </c>
      <c r="I69" s="339">
        <f>G69*H69/1000000</f>
        <v>1.6484210526315785E-2</v>
      </c>
    </row>
    <row r="70" spans="2:11" ht="14.25">
      <c r="B70" s="339" t="s">
        <v>1763</v>
      </c>
      <c r="C70" s="339" t="s">
        <v>1764</v>
      </c>
      <c r="D70" s="339">
        <f>$E$7</f>
        <v>1728</v>
      </c>
      <c r="E70" s="339" t="s">
        <v>1756</v>
      </c>
      <c r="F70" s="339">
        <f>$M$4*$F$7</f>
        <v>1.1574074074074073E-5</v>
      </c>
      <c r="G70" s="339">
        <f>D70*F70</f>
        <v>0.02</v>
      </c>
      <c r="H70" s="339">
        <v>86400</v>
      </c>
      <c r="I70" s="339">
        <f>G70*H70/1000000</f>
        <v>1.7279999999999999E-3</v>
      </c>
    </row>
    <row r="71" spans="2:11" ht="14.25">
      <c r="B71" s="339" t="s">
        <v>1766</v>
      </c>
      <c r="C71" s="339" t="s">
        <v>1767</v>
      </c>
      <c r="D71" s="339">
        <f>$E$8</f>
        <v>1632</v>
      </c>
      <c r="E71" s="339" t="s">
        <v>1756</v>
      </c>
      <c r="F71" s="339">
        <f>$M$4*$F$8</f>
        <v>7.2916666666666659E-4</v>
      </c>
      <c r="G71" s="339">
        <f>D71*F71</f>
        <v>1.19</v>
      </c>
      <c r="H71" s="339">
        <v>86400</v>
      </c>
      <c r="I71" s="339">
        <f>G71*H71/1000000</f>
        <v>0.102816</v>
      </c>
      <c r="K71" t="s">
        <v>4121</v>
      </c>
    </row>
    <row r="72" spans="2:11" ht="14.25">
      <c r="B72" s="459"/>
      <c r="C72" s="459"/>
      <c r="D72" s="459"/>
      <c r="E72" s="459"/>
      <c r="F72" s="459"/>
      <c r="G72" s="459"/>
      <c r="H72" s="343" t="s">
        <v>1793</v>
      </c>
      <c r="I72" s="343">
        <f>SUM(I67:I71)</f>
        <v>2.5546282105263156</v>
      </c>
      <c r="J72" s="91">
        <f>I72*1000000/86400</f>
        <v>29.567456140350874</v>
      </c>
      <c r="K72" s="397">
        <f>J72/8</f>
        <v>3.6959320175438592</v>
      </c>
    </row>
    <row r="73" spans="2:11" ht="14.25">
      <c r="J73" s="3" t="s">
        <v>6</v>
      </c>
      <c r="K73" s="3" t="s">
        <v>4120</v>
      </c>
    </row>
    <row r="74" spans="2:11" ht="18">
      <c r="B74" s="457" t="s">
        <v>1799</v>
      </c>
      <c r="C74" s="457"/>
      <c r="D74" s="457"/>
      <c r="E74" s="457"/>
      <c r="F74" s="457"/>
      <c r="G74" s="457"/>
      <c r="H74" s="457"/>
      <c r="I74" s="457"/>
      <c r="J74" s="347"/>
    </row>
    <row r="75" spans="2:11" ht="14.25">
      <c r="B75" s="341"/>
      <c r="C75" s="342" t="s">
        <v>1741</v>
      </c>
      <c r="D75" s="342" t="s">
        <v>1783</v>
      </c>
      <c r="E75" s="342" t="s">
        <v>1784</v>
      </c>
      <c r="F75" s="342" t="s">
        <v>1785</v>
      </c>
      <c r="G75" s="342" t="s">
        <v>1786</v>
      </c>
      <c r="H75" s="342" t="s">
        <v>1787</v>
      </c>
      <c r="I75" s="342" t="s">
        <v>1788</v>
      </c>
      <c r="J75" s="145"/>
    </row>
    <row r="76" spans="2:11" ht="14.25">
      <c r="B76" s="339" t="s">
        <v>1789</v>
      </c>
      <c r="C76" s="339" t="s">
        <v>1751</v>
      </c>
      <c r="D76" s="339">
        <f>$E$3</f>
        <v>600</v>
      </c>
      <c r="E76" s="339" t="s">
        <v>1769</v>
      </c>
      <c r="F76" s="339">
        <f>$I$9*$F$3</f>
        <v>2.7777777777777778E-4</v>
      </c>
      <c r="G76" s="339">
        <f>D76*F76</f>
        <v>0.16666666666666666</v>
      </c>
      <c r="H76" s="339">
        <v>86400</v>
      </c>
      <c r="I76" s="339">
        <f>G76*H76/1000000</f>
        <v>1.44E-2</v>
      </c>
    </row>
    <row r="77" spans="2:11" ht="14.25">
      <c r="B77" s="339" t="s">
        <v>1790</v>
      </c>
      <c r="C77" s="339" t="s">
        <v>1758</v>
      </c>
      <c r="D77" s="339">
        <f>$E$5</f>
        <v>280</v>
      </c>
      <c r="E77" s="343" t="s">
        <v>1771</v>
      </c>
      <c r="F77" s="339">
        <f>$M$11*$F$5</f>
        <v>0.05</v>
      </c>
      <c r="G77" s="339">
        <f>D77*F77</f>
        <v>14</v>
      </c>
      <c r="H77" s="339">
        <v>86400</v>
      </c>
      <c r="I77" s="339">
        <f>G77*H77/1000000</f>
        <v>1.2096</v>
      </c>
    </row>
    <row r="78" spans="2:11" ht="14.25">
      <c r="B78" s="339" t="s">
        <v>1760</v>
      </c>
      <c r="C78" s="339" t="s">
        <v>1761</v>
      </c>
      <c r="D78" s="339">
        <f>$E$6</f>
        <v>696</v>
      </c>
      <c r="E78" s="339" t="s">
        <v>1769</v>
      </c>
      <c r="F78" s="339">
        <f>$M$9*$F$6</f>
        <v>2.7412280701754384E-4</v>
      </c>
      <c r="G78" s="339">
        <f>D78*F78</f>
        <v>0.19078947368421051</v>
      </c>
      <c r="H78" s="339">
        <v>86400</v>
      </c>
      <c r="I78" s="339">
        <f>G78*H78/1000000</f>
        <v>1.6484210526315785E-2</v>
      </c>
    </row>
    <row r="79" spans="2:11" ht="14.25">
      <c r="B79" s="339" t="s">
        <v>1763</v>
      </c>
      <c r="C79" s="339" t="s">
        <v>1764</v>
      </c>
      <c r="D79" s="339">
        <f>$E$7</f>
        <v>1728</v>
      </c>
      <c r="E79" s="339" t="s">
        <v>1756</v>
      </c>
      <c r="F79" s="339">
        <f>$M$4*$F$7</f>
        <v>1.1574074074074073E-5</v>
      </c>
      <c r="G79" s="339">
        <f>D79*F79</f>
        <v>0.02</v>
      </c>
      <c r="H79" s="339">
        <v>86400</v>
      </c>
      <c r="I79" s="339">
        <f>G79*H79/1000000</f>
        <v>1.7279999999999999E-3</v>
      </c>
    </row>
    <row r="80" spans="2:11" ht="14.25">
      <c r="B80" s="339" t="s">
        <v>1766</v>
      </c>
      <c r="C80" s="339" t="s">
        <v>1767</v>
      </c>
      <c r="D80" s="339">
        <f>$E$8</f>
        <v>1632</v>
      </c>
      <c r="E80" s="339" t="s">
        <v>1756</v>
      </c>
      <c r="F80" s="339">
        <f>$M$4*$F$8</f>
        <v>7.2916666666666659E-4</v>
      </c>
      <c r="G80" s="339">
        <f>D80*F80</f>
        <v>1.19</v>
      </c>
      <c r="H80" s="339">
        <v>86400</v>
      </c>
      <c r="I80" s="339">
        <f>G80*H80/1000000</f>
        <v>0.102816</v>
      </c>
    </row>
    <row r="81" spans="2:11" ht="14.25">
      <c r="B81" s="459"/>
      <c r="C81" s="459"/>
      <c r="D81" s="459"/>
      <c r="E81" s="459"/>
      <c r="F81" s="459"/>
      <c r="G81" s="459"/>
      <c r="H81" s="343" t="s">
        <v>1793</v>
      </c>
      <c r="I81" s="343">
        <f>SUM(I76:I80)</f>
        <v>1.3450282105263158</v>
      </c>
      <c r="J81" s="91">
        <f>I81*1000000/86400</f>
        <v>15.567456140350876</v>
      </c>
      <c r="K81">
        <f>J81/8</f>
        <v>1.9459320175438595</v>
      </c>
    </row>
    <row r="82" spans="2:11" ht="14.25">
      <c r="I82" s="91"/>
      <c r="J82" s="3" t="s">
        <v>6</v>
      </c>
      <c r="K82" s="3" t="s">
        <v>4120</v>
      </c>
    </row>
    <row r="83" spans="2:11" ht="18">
      <c r="B83" s="457" t="s">
        <v>1800</v>
      </c>
      <c r="C83" s="457"/>
      <c r="D83" s="457"/>
      <c r="E83" s="457"/>
      <c r="F83" s="457"/>
      <c r="G83" s="457"/>
      <c r="H83" s="457"/>
      <c r="I83" s="457"/>
      <c r="J83" s="347"/>
    </row>
    <row r="84" spans="2:11" ht="14.25">
      <c r="B84" s="341"/>
      <c r="C84" s="342" t="s">
        <v>1741</v>
      </c>
      <c r="D84" s="342" t="s">
        <v>1783</v>
      </c>
      <c r="E84" s="342" t="s">
        <v>1784</v>
      </c>
      <c r="F84" s="342" t="s">
        <v>1785</v>
      </c>
      <c r="G84" s="342" t="s">
        <v>1786</v>
      </c>
      <c r="H84" s="342" t="s">
        <v>1787</v>
      </c>
      <c r="I84" s="342" t="s">
        <v>1788</v>
      </c>
      <c r="J84" s="145"/>
    </row>
    <row r="85" spans="2:11" ht="14.25">
      <c r="B85" s="339" t="s">
        <v>1789</v>
      </c>
      <c r="C85" s="339" t="s">
        <v>1751</v>
      </c>
      <c r="D85" s="339">
        <f>$E$3</f>
        <v>600</v>
      </c>
      <c r="E85" s="339" t="s">
        <v>1769</v>
      </c>
      <c r="F85" s="339">
        <f>$I$9*$F$3</f>
        <v>2.7777777777777778E-4</v>
      </c>
      <c r="G85" s="339">
        <f>D85*F85</f>
        <v>0.16666666666666666</v>
      </c>
      <c r="H85" s="339">
        <v>86400</v>
      </c>
      <c r="I85" s="339">
        <f>G85*H85/1000000</f>
        <v>1.44E-2</v>
      </c>
    </row>
    <row r="86" spans="2:11" ht="14.25">
      <c r="B86" s="339" t="s">
        <v>1790</v>
      </c>
      <c r="C86" s="339" t="s">
        <v>1758</v>
      </c>
      <c r="D86" s="339">
        <f>$E$5</f>
        <v>280</v>
      </c>
      <c r="E86" s="343" t="s">
        <v>1770</v>
      </c>
      <c r="F86" s="339">
        <f>$M$10*$F$5</f>
        <v>3.4482758620689655E-2</v>
      </c>
      <c r="G86" s="339">
        <f>D86*F86</f>
        <v>9.6551724137931032</v>
      </c>
      <c r="H86" s="339">
        <v>86400</v>
      </c>
      <c r="I86" s="339">
        <f>G86*H86/1000000</f>
        <v>0.8342068965517242</v>
      </c>
    </row>
    <row r="87" spans="2:11" ht="14.25">
      <c r="B87" s="339" t="s">
        <v>1760</v>
      </c>
      <c r="C87" s="339" t="s">
        <v>1761</v>
      </c>
      <c r="D87" s="339">
        <f>$E$6</f>
        <v>696</v>
      </c>
      <c r="E87" s="339" t="s">
        <v>1769</v>
      </c>
      <c r="F87" s="339">
        <f>$M$9*$F$6</f>
        <v>2.7412280701754384E-4</v>
      </c>
      <c r="G87" s="339">
        <f>D87*F87</f>
        <v>0.19078947368421051</v>
      </c>
      <c r="H87" s="339">
        <v>86400</v>
      </c>
      <c r="I87" s="339">
        <f>G87*H87/1000000</f>
        <v>1.6484210526315785E-2</v>
      </c>
    </row>
    <row r="88" spans="2:11" ht="14.25">
      <c r="B88" s="339" t="s">
        <v>1763</v>
      </c>
      <c r="C88" s="339" t="s">
        <v>1764</v>
      </c>
      <c r="D88" s="339">
        <f>$E$7</f>
        <v>1728</v>
      </c>
      <c r="E88" s="339" t="s">
        <v>1756</v>
      </c>
      <c r="F88" s="339">
        <f>$M$4*$F$7</f>
        <v>1.1574074074074073E-5</v>
      </c>
      <c r="G88" s="339">
        <f>D88*F88</f>
        <v>0.02</v>
      </c>
      <c r="H88" s="339">
        <v>86400</v>
      </c>
      <c r="I88" s="339">
        <f>G88*H88/1000000</f>
        <v>1.7279999999999999E-3</v>
      </c>
    </row>
    <row r="89" spans="2:11" ht="14.25">
      <c r="B89" s="339" t="s">
        <v>1766</v>
      </c>
      <c r="C89" s="339" t="s">
        <v>1767</v>
      </c>
      <c r="D89" s="339">
        <f>$E$8</f>
        <v>1632</v>
      </c>
      <c r="E89" s="339" t="s">
        <v>1756</v>
      </c>
      <c r="F89" s="339">
        <f>$M$4*$F$8</f>
        <v>7.2916666666666659E-4</v>
      </c>
      <c r="G89" s="339">
        <f>D89*F89</f>
        <v>1.19</v>
      </c>
      <c r="H89" s="339">
        <v>86400</v>
      </c>
      <c r="I89" s="339">
        <f>G89*H89/1000000</f>
        <v>0.102816</v>
      </c>
    </row>
    <row r="90" spans="2:11" ht="14.25">
      <c r="B90" s="339"/>
      <c r="C90" s="339"/>
      <c r="D90" s="339"/>
      <c r="E90" s="339"/>
      <c r="F90" s="339"/>
      <c r="G90" s="339"/>
      <c r="H90" s="343" t="s">
        <v>1793</v>
      </c>
      <c r="I90" s="343">
        <f>SUM(I85:I89)</f>
        <v>0.9696351070780399</v>
      </c>
      <c r="J90" s="91">
        <f>I90*1000000/86400</f>
        <v>11.222628554143981</v>
      </c>
      <c r="K90">
        <f>J90/8</f>
        <v>1.4028285692679976</v>
      </c>
    </row>
    <row r="91" spans="2:11" ht="15" customHeight="1">
      <c r="J91" s="3" t="s">
        <v>6</v>
      </c>
      <c r="K91" s="3" t="s">
        <v>4120</v>
      </c>
    </row>
    <row r="92" spans="2:11" ht="18">
      <c r="B92" s="457" t="s">
        <v>1801</v>
      </c>
      <c r="C92" s="457"/>
      <c r="D92" s="457"/>
      <c r="E92" s="457"/>
      <c r="F92" s="457"/>
      <c r="G92" s="457"/>
      <c r="H92" s="457"/>
      <c r="I92" s="457"/>
      <c r="J92" s="347"/>
    </row>
    <row r="93" spans="2:11" ht="14.25">
      <c r="B93" s="341"/>
      <c r="C93" s="342" t="s">
        <v>1741</v>
      </c>
      <c r="D93" s="342" t="s">
        <v>1783</v>
      </c>
      <c r="E93" s="342" t="s">
        <v>1784</v>
      </c>
      <c r="F93" s="342" t="s">
        <v>1785</v>
      </c>
      <c r="G93" s="342" t="s">
        <v>1786</v>
      </c>
      <c r="H93" s="342" t="s">
        <v>1787</v>
      </c>
      <c r="I93" s="342" t="s">
        <v>1788</v>
      </c>
      <c r="J93" s="145"/>
    </row>
    <row r="94" spans="2:11" ht="14.25">
      <c r="B94" s="339" t="s">
        <v>1789</v>
      </c>
      <c r="C94" s="339" t="s">
        <v>1751</v>
      </c>
      <c r="D94" s="339">
        <f>$E$3</f>
        <v>600</v>
      </c>
      <c r="E94" s="339" t="s">
        <v>1769</v>
      </c>
      <c r="F94" s="339">
        <f>$I$9*$F$3</f>
        <v>2.7777777777777778E-4</v>
      </c>
      <c r="G94" s="339">
        <f>D94*F94</f>
        <v>0.16666666666666666</v>
      </c>
      <c r="H94" s="339">
        <v>86400</v>
      </c>
      <c r="I94" s="339">
        <f>G94*H94/1000000</f>
        <v>1.44E-2</v>
      </c>
    </row>
    <row r="95" spans="2:11" ht="14.25">
      <c r="B95" s="339" t="s">
        <v>1790</v>
      </c>
      <c r="C95" s="339" t="s">
        <v>1758</v>
      </c>
      <c r="D95" s="339">
        <f>$E$5</f>
        <v>280</v>
      </c>
      <c r="E95" s="348" t="s">
        <v>1769</v>
      </c>
      <c r="F95" s="339">
        <f>$M$9*$F$5</f>
        <v>1.7543859649122806E-2</v>
      </c>
      <c r="G95" s="339">
        <f>D95*F95</f>
        <v>4.9122807017543852</v>
      </c>
      <c r="H95" s="339">
        <v>86400</v>
      </c>
      <c r="I95" s="339">
        <f>G95*H95/1000000</f>
        <v>0.42442105263157887</v>
      </c>
    </row>
    <row r="96" spans="2:11" ht="14.25">
      <c r="B96" s="339" t="s">
        <v>1760</v>
      </c>
      <c r="C96" s="339" t="s">
        <v>1761</v>
      </c>
      <c r="D96" s="339">
        <f>$E$6</f>
        <v>696</v>
      </c>
      <c r="E96" s="339" t="s">
        <v>1769</v>
      </c>
      <c r="F96" s="339">
        <f>$M$9*$F$6</f>
        <v>2.7412280701754384E-4</v>
      </c>
      <c r="G96" s="339">
        <f>D96*F96</f>
        <v>0.19078947368421051</v>
      </c>
      <c r="H96" s="339">
        <v>86400</v>
      </c>
      <c r="I96" s="339">
        <f>G96*H96/1000000</f>
        <v>1.6484210526315785E-2</v>
      </c>
    </row>
    <row r="97" spans="2:11" ht="14.25">
      <c r="B97" s="339" t="s">
        <v>1763</v>
      </c>
      <c r="C97" s="339" t="s">
        <v>1764</v>
      </c>
      <c r="D97" s="339">
        <f>$E$7</f>
        <v>1728</v>
      </c>
      <c r="E97" s="339" t="s">
        <v>1756</v>
      </c>
      <c r="F97" s="339">
        <f>$M$4*$F$7</f>
        <v>1.1574074074074073E-5</v>
      </c>
      <c r="G97" s="339">
        <f>D97*F97</f>
        <v>0.02</v>
      </c>
      <c r="H97" s="339">
        <v>86400</v>
      </c>
      <c r="I97" s="339">
        <f>G97*H97/1000000</f>
        <v>1.7279999999999999E-3</v>
      </c>
    </row>
    <row r="98" spans="2:11" ht="14.25">
      <c r="B98" s="339" t="s">
        <v>1766</v>
      </c>
      <c r="C98" s="339" t="s">
        <v>1767</v>
      </c>
      <c r="D98" s="339">
        <f>$E$8</f>
        <v>1632</v>
      </c>
      <c r="E98" s="339" t="s">
        <v>1756</v>
      </c>
      <c r="F98" s="339">
        <f>$M$4*$F$8</f>
        <v>7.2916666666666659E-4</v>
      </c>
      <c r="G98" s="339">
        <f>D98*F98</f>
        <v>1.19</v>
      </c>
      <c r="H98" s="339">
        <v>86400</v>
      </c>
      <c r="I98" s="339">
        <f>G98*H98/1000000</f>
        <v>0.102816</v>
      </c>
    </row>
    <row r="99" spans="2:11" ht="14.25">
      <c r="B99" s="459"/>
      <c r="C99" s="459"/>
      <c r="D99" s="459"/>
      <c r="E99" s="459"/>
      <c r="F99" s="459"/>
      <c r="G99" s="459"/>
      <c r="H99" s="343" t="s">
        <v>1793</v>
      </c>
      <c r="I99" s="343">
        <f>SUM(I94:I98)</f>
        <v>0.55984926315789463</v>
      </c>
      <c r="J99" s="91">
        <f>I99*1000000/86400</f>
        <v>6.4797368421052619</v>
      </c>
      <c r="K99">
        <f>J99/8</f>
        <v>0.80996710526315774</v>
      </c>
    </row>
    <row r="100" spans="2:11" ht="15" customHeight="1">
      <c r="J100" s="3" t="s">
        <v>6</v>
      </c>
      <c r="K100" s="3" t="s">
        <v>4120</v>
      </c>
    </row>
    <row r="101" spans="2:11" ht="18">
      <c r="B101" s="457" t="s">
        <v>1802</v>
      </c>
      <c r="C101" s="457"/>
      <c r="D101" s="457"/>
      <c r="E101" s="457"/>
      <c r="F101" s="457"/>
      <c r="G101" s="457"/>
      <c r="H101" s="457"/>
      <c r="I101" s="457"/>
      <c r="J101" s="347"/>
    </row>
    <row r="102" spans="2:11" ht="14.25">
      <c r="B102" s="341"/>
      <c r="C102" s="342" t="s">
        <v>1741</v>
      </c>
      <c r="D102" s="342" t="s">
        <v>1783</v>
      </c>
      <c r="E102" s="342" t="s">
        <v>1784</v>
      </c>
      <c r="F102" s="342" t="s">
        <v>1785</v>
      </c>
      <c r="G102" s="342" t="s">
        <v>1786</v>
      </c>
      <c r="H102" s="342" t="s">
        <v>1787</v>
      </c>
      <c r="I102" s="342" t="s">
        <v>1788</v>
      </c>
      <c r="J102" s="145"/>
    </row>
    <row r="103" spans="2:11" ht="14.25">
      <c r="B103" s="339" t="s">
        <v>1789</v>
      </c>
      <c r="C103" s="339" t="s">
        <v>1751</v>
      </c>
      <c r="D103" s="339">
        <f>$E$3</f>
        <v>600</v>
      </c>
      <c r="E103" s="339" t="s">
        <v>1769</v>
      </c>
      <c r="F103" s="339">
        <f>$I$9*$F$3</f>
        <v>2.7777777777777778E-4</v>
      </c>
      <c r="G103" s="339">
        <f>D103*F103</f>
        <v>0.16666666666666666</v>
      </c>
      <c r="H103" s="339">
        <v>86400</v>
      </c>
      <c r="I103" s="339">
        <f>G103*H103/1000000</f>
        <v>1.44E-2</v>
      </c>
    </row>
    <row r="104" spans="2:11" ht="14.25">
      <c r="B104" s="339" t="s">
        <v>1790</v>
      </c>
      <c r="C104" s="339" t="s">
        <v>1758</v>
      </c>
      <c r="D104" s="339">
        <f>$E$5</f>
        <v>280</v>
      </c>
      <c r="E104" s="348" t="s">
        <v>1768</v>
      </c>
      <c r="F104" s="339">
        <f>$M$8*$F$5</f>
        <v>8.8495575221238937E-3</v>
      </c>
      <c r="G104" s="339">
        <f>D104*F104</f>
        <v>2.4778761061946901</v>
      </c>
      <c r="H104" s="339">
        <v>86400</v>
      </c>
      <c r="I104" s="339">
        <f>G104*H104/1000000</f>
        <v>0.21408849557522122</v>
      </c>
    </row>
    <row r="105" spans="2:11" ht="14.25">
      <c r="B105" s="339" t="s">
        <v>1760</v>
      </c>
      <c r="C105" s="339" t="s">
        <v>1761</v>
      </c>
      <c r="D105" s="339">
        <f>$E$6</f>
        <v>696</v>
      </c>
      <c r="E105" s="339" t="s">
        <v>1769</v>
      </c>
      <c r="F105" s="339">
        <f>$M$9*$F$6</f>
        <v>2.7412280701754384E-4</v>
      </c>
      <c r="G105" s="339">
        <f>D105*F105</f>
        <v>0.19078947368421051</v>
      </c>
      <c r="H105" s="339">
        <v>86400</v>
      </c>
      <c r="I105" s="339">
        <f>G105*H105/1000000</f>
        <v>1.6484210526315785E-2</v>
      </c>
    </row>
    <row r="106" spans="2:11" ht="14.25">
      <c r="B106" s="339" t="s">
        <v>1763</v>
      </c>
      <c r="C106" s="339" t="s">
        <v>1764</v>
      </c>
      <c r="D106" s="339">
        <f>$E$7</f>
        <v>1728</v>
      </c>
      <c r="E106" s="339" t="s">
        <v>1756</v>
      </c>
      <c r="F106" s="339">
        <f>$M$4*$F$7</f>
        <v>1.1574074074074073E-5</v>
      </c>
      <c r="G106" s="339">
        <f>D106*F106</f>
        <v>0.02</v>
      </c>
      <c r="H106" s="339">
        <v>86400</v>
      </c>
      <c r="I106" s="339">
        <f>G106*H106/1000000</f>
        <v>1.7279999999999999E-3</v>
      </c>
    </row>
    <row r="107" spans="2:11" ht="14.25">
      <c r="B107" s="339" t="s">
        <v>1766</v>
      </c>
      <c r="C107" s="339" t="s">
        <v>1767</v>
      </c>
      <c r="D107" s="339">
        <f>$E$8</f>
        <v>1632</v>
      </c>
      <c r="E107" s="339" t="s">
        <v>1756</v>
      </c>
      <c r="F107" s="339">
        <f>$M$4*$F$8</f>
        <v>7.2916666666666659E-4</v>
      </c>
      <c r="G107" s="339">
        <f>D107*F107</f>
        <v>1.19</v>
      </c>
      <c r="H107" s="339">
        <v>86400</v>
      </c>
      <c r="I107" s="339">
        <f>G107*H107/1000000</f>
        <v>0.102816</v>
      </c>
      <c r="K107" t="s">
        <v>4129</v>
      </c>
    </row>
    <row r="108" spans="2:11" ht="14.25">
      <c r="B108" s="459"/>
      <c r="C108" s="459"/>
      <c r="D108" s="459"/>
      <c r="E108" s="459"/>
      <c r="F108" s="459"/>
      <c r="G108" s="459"/>
      <c r="H108" s="343" t="s">
        <v>1793</v>
      </c>
      <c r="I108" s="343">
        <f>SUM(I103:I107)</f>
        <v>0.34951670610153701</v>
      </c>
      <c r="J108" s="91">
        <f>I108*1000000/86400</f>
        <v>4.0453322465455672</v>
      </c>
      <c r="K108" s="397">
        <f>J108/8</f>
        <v>0.5056665308181959</v>
      </c>
    </row>
    <row r="109" spans="2:11" ht="15" customHeight="1">
      <c r="J109" s="3" t="s">
        <v>6</v>
      </c>
      <c r="K109" s="3" t="s">
        <v>4120</v>
      </c>
    </row>
    <row r="110" spans="2:11" ht="18">
      <c r="B110" s="457" t="s">
        <v>1803</v>
      </c>
      <c r="C110" s="457"/>
      <c r="D110" s="457"/>
      <c r="E110" s="457"/>
      <c r="F110" s="457"/>
      <c r="G110" s="457"/>
      <c r="H110" s="457"/>
      <c r="I110" s="457"/>
      <c r="J110" s="347"/>
    </row>
    <row r="111" spans="2:11" ht="14.25">
      <c r="B111" s="341"/>
      <c r="C111" s="342" t="s">
        <v>1741</v>
      </c>
      <c r="D111" s="342" t="s">
        <v>1783</v>
      </c>
      <c r="E111" s="342" t="s">
        <v>1784</v>
      </c>
      <c r="F111" s="342" t="s">
        <v>1785</v>
      </c>
      <c r="G111" s="342" t="s">
        <v>1786</v>
      </c>
      <c r="H111" s="342" t="s">
        <v>1787</v>
      </c>
      <c r="I111" s="342" t="s">
        <v>1788</v>
      </c>
      <c r="J111" s="145"/>
    </row>
    <row r="112" spans="2:11" ht="14.25">
      <c r="B112" s="339" t="s">
        <v>1789</v>
      </c>
      <c r="C112" s="339" t="s">
        <v>1751</v>
      </c>
      <c r="D112" s="339">
        <f>$E$3</f>
        <v>600</v>
      </c>
      <c r="E112" s="339" t="s">
        <v>1769</v>
      </c>
      <c r="F112" s="339">
        <f>$I$9*$F$3</f>
        <v>2.7777777777777778E-4</v>
      </c>
      <c r="G112" s="339">
        <f>D112*F112</f>
        <v>0.16666666666666666</v>
      </c>
      <c r="H112" s="339">
        <v>86400</v>
      </c>
      <c r="I112" s="339">
        <f>G112*H112/1000000</f>
        <v>1.44E-2</v>
      </c>
    </row>
    <row r="113" spans="2:11" ht="14.25">
      <c r="B113" s="339" t="s">
        <v>1790</v>
      </c>
      <c r="C113" s="339" t="s">
        <v>1758</v>
      </c>
      <c r="D113" s="339">
        <f>$E$5</f>
        <v>280</v>
      </c>
      <c r="E113" s="348" t="s">
        <v>1765</v>
      </c>
      <c r="F113" s="339">
        <f>$M$7*$F$5</f>
        <v>5.9171597633136093E-3</v>
      </c>
      <c r="G113" s="339">
        <f>D113*F113</f>
        <v>1.6568047337278107</v>
      </c>
      <c r="H113" s="339">
        <v>86400</v>
      </c>
      <c r="I113" s="339">
        <f>G113*H113/1000000</f>
        <v>0.14314792899408285</v>
      </c>
    </row>
    <row r="114" spans="2:11" ht="14.25">
      <c r="B114" s="339" t="s">
        <v>1760</v>
      </c>
      <c r="C114" s="339" t="s">
        <v>1761</v>
      </c>
      <c r="D114" s="339">
        <f>$E$6</f>
        <v>696</v>
      </c>
      <c r="E114" s="339" t="s">
        <v>1769</v>
      </c>
      <c r="F114" s="339">
        <f>$M$9*$F$6</f>
        <v>2.7412280701754384E-4</v>
      </c>
      <c r="G114" s="339">
        <f>D114*F114</f>
        <v>0.19078947368421051</v>
      </c>
      <c r="H114" s="339">
        <v>86400</v>
      </c>
      <c r="I114" s="339">
        <f>G114*H114/1000000</f>
        <v>1.6484210526315785E-2</v>
      </c>
    </row>
    <row r="115" spans="2:11" ht="14.25">
      <c r="B115" s="339" t="s">
        <v>1763</v>
      </c>
      <c r="C115" s="339" t="s">
        <v>1764</v>
      </c>
      <c r="D115" s="339">
        <f>$E$7</f>
        <v>1728</v>
      </c>
      <c r="E115" s="339" t="s">
        <v>1756</v>
      </c>
      <c r="F115" s="339">
        <f>$M$4*$F$7</f>
        <v>1.1574074074074073E-5</v>
      </c>
      <c r="G115" s="339">
        <f>D115*F115</f>
        <v>0.02</v>
      </c>
      <c r="H115" s="339">
        <v>86400</v>
      </c>
      <c r="I115" s="339">
        <f>G115*H115/1000000</f>
        <v>1.7279999999999999E-3</v>
      </c>
    </row>
    <row r="116" spans="2:11" ht="14.25">
      <c r="B116" s="339" t="s">
        <v>1766</v>
      </c>
      <c r="C116" s="339" t="s">
        <v>1767</v>
      </c>
      <c r="D116" s="339">
        <f>$E$8</f>
        <v>1632</v>
      </c>
      <c r="E116" s="339" t="s">
        <v>1756</v>
      </c>
      <c r="F116" s="339">
        <f>$M$4*$F$8</f>
        <v>7.2916666666666659E-4</v>
      </c>
      <c r="G116" s="339">
        <f>D116*F116</f>
        <v>1.19</v>
      </c>
      <c r="H116" s="339">
        <v>86400</v>
      </c>
      <c r="I116" s="339">
        <f>G116*H116/1000000</f>
        <v>0.102816</v>
      </c>
    </row>
    <row r="117" spans="2:11" ht="14.25">
      <c r="B117" s="459"/>
      <c r="C117" s="459"/>
      <c r="D117" s="459"/>
      <c r="E117" s="459"/>
      <c r="F117" s="459"/>
      <c r="G117" s="459"/>
      <c r="H117" s="343" t="s">
        <v>1793</v>
      </c>
      <c r="I117" s="343">
        <f>SUM(I112:I116)</f>
        <v>0.27857613952039867</v>
      </c>
      <c r="J117" s="91">
        <f>I117*1000000/86400</f>
        <v>3.2242608740786887</v>
      </c>
      <c r="K117">
        <f>J117/8</f>
        <v>0.40303260925983608</v>
      </c>
    </row>
    <row r="118" spans="2:11" ht="14.25">
      <c r="B118" s="3"/>
      <c r="C118" s="3"/>
      <c r="D118" s="3"/>
      <c r="E118" s="3"/>
      <c r="F118" s="3"/>
      <c r="G118" s="3"/>
      <c r="I118" s="91"/>
      <c r="J118" s="3" t="s">
        <v>6</v>
      </c>
      <c r="K118" s="3" t="s">
        <v>4120</v>
      </c>
    </row>
    <row r="119" spans="2:11" ht="18">
      <c r="B119" s="457" t="s">
        <v>1804</v>
      </c>
      <c r="C119" s="457"/>
      <c r="D119" s="457"/>
      <c r="E119" s="457"/>
      <c r="F119" s="457"/>
      <c r="G119" s="457"/>
      <c r="H119" s="457"/>
      <c r="I119" s="457"/>
      <c r="J119" s="347"/>
    </row>
    <row r="120" spans="2:11" ht="14.25">
      <c r="B120" s="341"/>
      <c r="C120" s="342" t="s">
        <v>1741</v>
      </c>
      <c r="D120" s="342" t="s">
        <v>1783</v>
      </c>
      <c r="E120" s="342" t="s">
        <v>1784</v>
      </c>
      <c r="F120" s="342" t="s">
        <v>1785</v>
      </c>
      <c r="G120" s="342" t="s">
        <v>1786</v>
      </c>
      <c r="H120" s="342" t="s">
        <v>1787</v>
      </c>
      <c r="I120" s="342" t="s">
        <v>1788</v>
      </c>
      <c r="J120" s="145"/>
    </row>
    <row r="121" spans="2:11" ht="14.25">
      <c r="B121" s="339" t="s">
        <v>1789</v>
      </c>
      <c r="C121" s="339" t="s">
        <v>1751</v>
      </c>
      <c r="D121" s="339">
        <f>$E$3</f>
        <v>600</v>
      </c>
      <c r="E121" s="339" t="s">
        <v>1769</v>
      </c>
      <c r="F121" s="339">
        <f>$I$9*$F$3</f>
        <v>2.7777777777777778E-4</v>
      </c>
      <c r="G121" s="339">
        <f>D121*F121</f>
        <v>0.16666666666666666</v>
      </c>
      <c r="H121" s="339">
        <v>86400</v>
      </c>
      <c r="I121" s="339">
        <f>G121*H121/1000000</f>
        <v>1.44E-2</v>
      </c>
    </row>
    <row r="122" spans="2:11" ht="14.25">
      <c r="B122" s="339" t="s">
        <v>1790</v>
      </c>
      <c r="C122" s="339" t="s">
        <v>1758</v>
      </c>
      <c r="D122" s="339">
        <f>$E$5</f>
        <v>280</v>
      </c>
      <c r="E122" s="348" t="s">
        <v>1762</v>
      </c>
      <c r="F122" s="339">
        <f>$M$6*$F$5</f>
        <v>2.9585798816568047E-3</v>
      </c>
      <c r="G122" s="339">
        <f>D122*F122</f>
        <v>0.82840236686390534</v>
      </c>
      <c r="H122" s="339">
        <v>86400</v>
      </c>
      <c r="I122" s="339">
        <f>G122*H122/1000000</f>
        <v>7.1573964497041426E-2</v>
      </c>
    </row>
    <row r="123" spans="2:11" ht="14.25">
      <c r="B123" s="339" t="s">
        <v>1760</v>
      </c>
      <c r="C123" s="339" t="s">
        <v>1761</v>
      </c>
      <c r="D123" s="339">
        <f>$E$6</f>
        <v>696</v>
      </c>
      <c r="E123" s="339" t="s">
        <v>1769</v>
      </c>
      <c r="F123" s="339">
        <f>$M$9*$F$6</f>
        <v>2.7412280701754384E-4</v>
      </c>
      <c r="G123" s="339">
        <f>D123*F123</f>
        <v>0.19078947368421051</v>
      </c>
      <c r="H123" s="339">
        <v>86400</v>
      </c>
      <c r="I123" s="339">
        <f>G123*H123/1000000</f>
        <v>1.6484210526315785E-2</v>
      </c>
    </row>
    <row r="124" spans="2:11" ht="14.25">
      <c r="B124" s="339" t="s">
        <v>1763</v>
      </c>
      <c r="C124" s="339" t="s">
        <v>1764</v>
      </c>
      <c r="D124" s="339">
        <f>$E$7</f>
        <v>1728</v>
      </c>
      <c r="E124" s="339" t="s">
        <v>1756</v>
      </c>
      <c r="F124" s="339">
        <f>$M$4*$F$7</f>
        <v>1.1574074074074073E-5</v>
      </c>
      <c r="G124" s="339">
        <f>D124*F124</f>
        <v>0.02</v>
      </c>
      <c r="H124" s="339">
        <v>86400</v>
      </c>
      <c r="I124" s="339">
        <f>G124*H124/1000000</f>
        <v>1.7279999999999999E-3</v>
      </c>
    </row>
    <row r="125" spans="2:11" ht="14.25">
      <c r="B125" s="339" t="s">
        <v>1766</v>
      </c>
      <c r="C125" s="339" t="s">
        <v>1767</v>
      </c>
      <c r="D125" s="339">
        <f>$E$8</f>
        <v>1632</v>
      </c>
      <c r="E125" s="339" t="s">
        <v>1756</v>
      </c>
      <c r="F125" s="339">
        <f>$M$4*$F$8</f>
        <v>7.2916666666666659E-4</v>
      </c>
      <c r="G125" s="339">
        <f>D125*F125</f>
        <v>1.19</v>
      </c>
      <c r="H125" s="339">
        <v>86400</v>
      </c>
      <c r="I125" s="339">
        <f>G125*H125/1000000</f>
        <v>0.102816</v>
      </c>
    </row>
    <row r="126" spans="2:11" ht="14.25">
      <c r="B126" s="459"/>
      <c r="C126" s="459"/>
      <c r="D126" s="459"/>
      <c r="E126" s="459"/>
      <c r="F126" s="459"/>
      <c r="G126" s="459"/>
      <c r="H126" s="343" t="s">
        <v>1793</v>
      </c>
      <c r="I126" s="343">
        <f>SUM(I121:I125)</f>
        <v>0.20700217502335722</v>
      </c>
      <c r="J126" s="91">
        <f>I126*1000000/86400</f>
        <v>2.3958585072147827</v>
      </c>
      <c r="K126">
        <f>J126/8</f>
        <v>0.29948231340184783</v>
      </c>
    </row>
    <row r="127" spans="2:11" ht="14.25">
      <c r="B127" s="3"/>
      <c r="C127" s="3"/>
      <c r="D127" s="3"/>
      <c r="E127" s="3"/>
      <c r="F127" s="3"/>
      <c r="G127" s="3"/>
      <c r="I127" s="91"/>
      <c r="J127" s="3" t="s">
        <v>6</v>
      </c>
      <c r="K127" s="3" t="s">
        <v>4120</v>
      </c>
    </row>
    <row r="128" spans="2:11" ht="18">
      <c r="B128" s="457" t="s">
        <v>1805</v>
      </c>
      <c r="C128" s="457"/>
      <c r="D128" s="457"/>
      <c r="E128" s="457"/>
      <c r="F128" s="457"/>
      <c r="G128" s="457"/>
      <c r="H128" s="457"/>
      <c r="I128" s="457"/>
      <c r="J128" s="347"/>
    </row>
    <row r="129" spans="2:11" ht="14.25">
      <c r="B129" s="341"/>
      <c r="C129" s="342" t="s">
        <v>1741</v>
      </c>
      <c r="D129" s="342" t="s">
        <v>1783</v>
      </c>
      <c r="E129" s="342" t="s">
        <v>1784</v>
      </c>
      <c r="F129" s="342" t="s">
        <v>1785</v>
      </c>
      <c r="G129" s="342" t="s">
        <v>1786</v>
      </c>
      <c r="H129" s="342" t="s">
        <v>1787</v>
      </c>
      <c r="I129" s="342" t="s">
        <v>1788</v>
      </c>
      <c r="J129" s="145"/>
    </row>
    <row r="130" spans="2:11" ht="14.25">
      <c r="B130" s="339" t="s">
        <v>1789</v>
      </c>
      <c r="C130" s="339" t="s">
        <v>1751</v>
      </c>
      <c r="D130" s="339">
        <f>$E$3</f>
        <v>600</v>
      </c>
      <c r="E130" s="339" t="s">
        <v>1769</v>
      </c>
      <c r="F130" s="339">
        <f>$I$9*$F$3</f>
        <v>2.7777777777777778E-4</v>
      </c>
      <c r="G130" s="339">
        <f>D130*F130</f>
        <v>0.16666666666666666</v>
      </c>
      <c r="H130" s="339">
        <v>86400</v>
      </c>
      <c r="I130" s="339">
        <f>G130*H130/1000000</f>
        <v>1.44E-2</v>
      </c>
    </row>
    <row r="131" spans="2:11" ht="14.25">
      <c r="B131" s="339" t="s">
        <v>1790</v>
      </c>
      <c r="C131" s="339" t="s">
        <v>1758</v>
      </c>
      <c r="D131" s="339">
        <f>$E$5</f>
        <v>280</v>
      </c>
      <c r="E131" s="348" t="s">
        <v>1759</v>
      </c>
      <c r="F131" s="339">
        <f>$M$5*$F$5</f>
        <v>1.4814814814814814E-3</v>
      </c>
      <c r="G131" s="339">
        <f>D131*F131</f>
        <v>0.4148148148148148</v>
      </c>
      <c r="H131" s="339">
        <v>86400</v>
      </c>
      <c r="I131" s="339">
        <f>G131*H131/1000000</f>
        <v>3.5839999999999997E-2</v>
      </c>
    </row>
    <row r="132" spans="2:11" ht="14.25">
      <c r="B132" s="339" t="s">
        <v>1760</v>
      </c>
      <c r="C132" s="339" t="s">
        <v>1761</v>
      </c>
      <c r="D132" s="339">
        <f>$E$6</f>
        <v>696</v>
      </c>
      <c r="E132" s="339" t="s">
        <v>1769</v>
      </c>
      <c r="F132" s="339">
        <f>$M$9*$F$6</f>
        <v>2.7412280701754384E-4</v>
      </c>
      <c r="G132" s="339">
        <f>D132*F132</f>
        <v>0.19078947368421051</v>
      </c>
      <c r="H132" s="339">
        <v>86400</v>
      </c>
      <c r="I132" s="339">
        <f>G132*H132/1000000</f>
        <v>1.6484210526315785E-2</v>
      </c>
    </row>
    <row r="133" spans="2:11" ht="14.25">
      <c r="B133" s="339" t="s">
        <v>1763</v>
      </c>
      <c r="C133" s="339" t="s">
        <v>1764</v>
      </c>
      <c r="D133" s="339">
        <f>$E$7</f>
        <v>1728</v>
      </c>
      <c r="E133" s="339" t="s">
        <v>1756</v>
      </c>
      <c r="F133" s="339">
        <f>$M$4*$F$7</f>
        <v>1.1574074074074073E-5</v>
      </c>
      <c r="G133" s="339">
        <f>D133*F133</f>
        <v>0.02</v>
      </c>
      <c r="H133" s="339">
        <v>86400</v>
      </c>
      <c r="I133" s="339">
        <f>G133*H133/1000000</f>
        <v>1.7279999999999999E-3</v>
      </c>
    </row>
    <row r="134" spans="2:11" ht="14.25">
      <c r="B134" s="339" t="s">
        <v>1766</v>
      </c>
      <c r="C134" s="339" t="s">
        <v>1767</v>
      </c>
      <c r="D134" s="339">
        <f>$E$8</f>
        <v>1632</v>
      </c>
      <c r="E134" s="339" t="s">
        <v>1756</v>
      </c>
      <c r="F134" s="339">
        <f>$M$4*$F$8</f>
        <v>7.2916666666666659E-4</v>
      </c>
      <c r="G134" s="339">
        <f>D134*F134</f>
        <v>1.19</v>
      </c>
      <c r="H134" s="339">
        <v>86400</v>
      </c>
      <c r="I134" s="339">
        <f>G134*H134/1000000</f>
        <v>0.102816</v>
      </c>
    </row>
    <row r="135" spans="2:11" ht="14.25">
      <c r="B135" s="459"/>
      <c r="C135" s="459"/>
      <c r="D135" s="459"/>
      <c r="E135" s="459"/>
      <c r="F135" s="459"/>
      <c r="G135" s="459"/>
      <c r="H135" s="343" t="s">
        <v>1793</v>
      </c>
      <c r="I135" s="343">
        <f>SUM(I130:I134)</f>
        <v>0.17126821052631577</v>
      </c>
      <c r="J135" s="91">
        <f>I135*1000000/86400</f>
        <v>1.9822709551656921</v>
      </c>
      <c r="K135">
        <f>J135/8</f>
        <v>0.24778386939571151</v>
      </c>
    </row>
    <row r="136" spans="2:11" ht="15" customHeight="1">
      <c r="J136" s="3" t="s">
        <v>6</v>
      </c>
      <c r="K136" s="3" t="s">
        <v>4120</v>
      </c>
    </row>
    <row r="137" spans="2:11" ht="18">
      <c r="B137" s="457" t="s">
        <v>1806</v>
      </c>
      <c r="C137" s="457"/>
      <c r="D137" s="457"/>
      <c r="E137" s="457"/>
      <c r="F137" s="457"/>
      <c r="G137" s="457"/>
      <c r="H137" s="457"/>
      <c r="I137" s="457"/>
      <c r="J137" s="347"/>
    </row>
    <row r="138" spans="2:11" ht="14.25">
      <c r="B138" s="341"/>
      <c r="C138" s="342" t="s">
        <v>1741</v>
      </c>
      <c r="D138" s="342" t="s">
        <v>1783</v>
      </c>
      <c r="E138" s="342" t="s">
        <v>1784</v>
      </c>
      <c r="F138" s="342" t="s">
        <v>1785</v>
      </c>
      <c r="G138" s="342" t="s">
        <v>1786</v>
      </c>
      <c r="H138" s="342" t="s">
        <v>1787</v>
      </c>
      <c r="I138" s="342" t="s">
        <v>1788</v>
      </c>
      <c r="J138" s="145"/>
    </row>
    <row r="139" spans="2:11" ht="14.25">
      <c r="B139" s="339" t="s">
        <v>1789</v>
      </c>
      <c r="C139" s="339" t="s">
        <v>1751</v>
      </c>
      <c r="D139" s="339">
        <f>$E$3</f>
        <v>600</v>
      </c>
      <c r="E139" s="339" t="s">
        <v>1769</v>
      </c>
      <c r="F139" s="339">
        <f>$I$9*$F$3</f>
        <v>2.7777777777777778E-4</v>
      </c>
      <c r="G139" s="339">
        <f>D139*F139</f>
        <v>0.16666666666666666</v>
      </c>
      <c r="H139" s="339">
        <v>86400</v>
      </c>
      <c r="I139" s="339">
        <f>G139*H139/1000000</f>
        <v>1.44E-2</v>
      </c>
    </row>
    <row r="140" spans="2:11" ht="14.25">
      <c r="B140" s="339" t="s">
        <v>1790</v>
      </c>
      <c r="C140" s="339" t="s">
        <v>1758</v>
      </c>
      <c r="D140" s="339">
        <f>$E$5</f>
        <v>280</v>
      </c>
      <c r="E140" s="348" t="s">
        <v>1756</v>
      </c>
      <c r="F140" s="339">
        <f>$M$4*$F$5</f>
        <v>7.407407407407407E-4</v>
      </c>
      <c r="G140" s="339">
        <f>D140*F140</f>
        <v>0.2074074074074074</v>
      </c>
      <c r="H140" s="339">
        <v>86400</v>
      </c>
      <c r="I140" s="339">
        <f>G140*H140/1000000</f>
        <v>1.7919999999999998E-2</v>
      </c>
    </row>
    <row r="141" spans="2:11" ht="14.25">
      <c r="B141" s="339" t="s">
        <v>1760</v>
      </c>
      <c r="C141" s="339" t="s">
        <v>1761</v>
      </c>
      <c r="D141" s="339">
        <f>$E$6</f>
        <v>696</v>
      </c>
      <c r="E141" s="339" t="s">
        <v>1769</v>
      </c>
      <c r="F141" s="339">
        <f>$M$9*$F$6</f>
        <v>2.7412280701754384E-4</v>
      </c>
      <c r="G141" s="339">
        <f>D141*F141</f>
        <v>0.19078947368421051</v>
      </c>
      <c r="H141" s="339">
        <v>86400</v>
      </c>
      <c r="I141" s="339">
        <f>G141*H141/1000000</f>
        <v>1.6484210526315785E-2</v>
      </c>
    </row>
    <row r="142" spans="2:11" ht="14.25">
      <c r="B142" s="339" t="s">
        <v>1763</v>
      </c>
      <c r="C142" s="339" t="s">
        <v>1764</v>
      </c>
      <c r="D142" s="339">
        <f>$E$7</f>
        <v>1728</v>
      </c>
      <c r="E142" s="339" t="s">
        <v>1756</v>
      </c>
      <c r="F142" s="339">
        <f>$M$4*$F$7</f>
        <v>1.1574074074074073E-5</v>
      </c>
      <c r="G142" s="339">
        <f>D142*F142</f>
        <v>0.02</v>
      </c>
      <c r="H142" s="339">
        <v>86400</v>
      </c>
      <c r="I142" s="339">
        <f>G142*H142/1000000</f>
        <v>1.7279999999999999E-3</v>
      </c>
    </row>
    <row r="143" spans="2:11" ht="14.25">
      <c r="B143" s="339" t="s">
        <v>1766</v>
      </c>
      <c r="C143" s="339" t="s">
        <v>1767</v>
      </c>
      <c r="D143" s="339">
        <f>$E$8</f>
        <v>1632</v>
      </c>
      <c r="E143" s="339" t="s">
        <v>1756</v>
      </c>
      <c r="F143" s="339">
        <f>$M$4*$F$8</f>
        <v>7.2916666666666659E-4</v>
      </c>
      <c r="G143" s="339">
        <f>D143*F143</f>
        <v>1.19</v>
      </c>
      <c r="H143" s="339">
        <v>86400</v>
      </c>
      <c r="I143" s="339">
        <f>G143*H143/1000000</f>
        <v>0.102816</v>
      </c>
    </row>
    <row r="144" spans="2:11" ht="14.25">
      <c r="B144" s="461"/>
      <c r="C144" s="461"/>
      <c r="D144" s="461"/>
      <c r="E144" s="461"/>
      <c r="F144" s="461"/>
      <c r="G144" s="461"/>
      <c r="H144" s="343" t="s">
        <v>1793</v>
      </c>
      <c r="I144" s="343">
        <f>SUM(I139:I143)</f>
        <v>0.15334821052631578</v>
      </c>
      <c r="J144" s="91">
        <f>I144*1000000/86400</f>
        <v>1.7748635477582846</v>
      </c>
      <c r="K144">
        <f>J144/8</f>
        <v>0.22185794346978557</v>
      </c>
    </row>
    <row r="145" spans="2:13" ht="14.25">
      <c r="B145" s="3"/>
      <c r="C145" s="3"/>
      <c r="D145" s="3"/>
      <c r="E145" s="3"/>
      <c r="F145" s="3"/>
      <c r="G145" s="3"/>
      <c r="I145" s="91"/>
      <c r="J145" s="3" t="s">
        <v>6</v>
      </c>
      <c r="K145" s="3" t="s">
        <v>4120</v>
      </c>
    </row>
    <row r="146" spans="2:13" ht="14.25">
      <c r="B146" s="3"/>
      <c r="C146" s="3"/>
      <c r="D146" s="3"/>
      <c r="E146" s="3"/>
      <c r="F146" s="3"/>
      <c r="G146" s="3"/>
      <c r="I146" s="91"/>
      <c r="J146" s="91"/>
    </row>
    <row r="147" spans="2:13" ht="14.25">
      <c r="B147" s="3"/>
      <c r="C147" s="3"/>
      <c r="D147" s="3"/>
      <c r="E147" s="3"/>
      <c r="F147" s="3"/>
      <c r="G147" s="3"/>
      <c r="I147" s="91"/>
      <c r="J147" s="91"/>
    </row>
    <row r="148" spans="2:13" ht="14.25">
      <c r="B148" s="3"/>
      <c r="C148" s="3"/>
      <c r="D148" s="3"/>
      <c r="E148" s="3"/>
      <c r="F148" s="3"/>
      <c r="G148" s="3"/>
      <c r="I148" s="91"/>
      <c r="J148" s="91"/>
    </row>
    <row r="149" spans="2:13" ht="18.75" customHeight="1">
      <c r="B149" s="462" t="s">
        <v>1807</v>
      </c>
      <c r="C149" s="462"/>
      <c r="D149" s="462"/>
      <c r="E149" s="462"/>
      <c r="F149" s="462"/>
      <c r="G149" s="462"/>
      <c r="H149" s="462"/>
      <c r="I149" s="462"/>
      <c r="J149" s="463" t="s">
        <v>1808</v>
      </c>
      <c r="K149" s="463"/>
      <c r="L149" s="463"/>
      <c r="M149" s="463"/>
    </row>
    <row r="150" spans="2:13" ht="14.25">
      <c r="B150" s="341"/>
      <c r="C150" s="342" t="s">
        <v>1741</v>
      </c>
      <c r="D150" s="342" t="s">
        <v>1783</v>
      </c>
      <c r="E150" s="342" t="s">
        <v>1784</v>
      </c>
      <c r="F150" s="342" t="s">
        <v>1785</v>
      </c>
      <c r="G150" s="342" t="s">
        <v>1786</v>
      </c>
      <c r="H150" s="342" t="s">
        <v>1787</v>
      </c>
      <c r="I150" s="342" t="s">
        <v>1788</v>
      </c>
      <c r="J150" s="145"/>
    </row>
    <row r="151" spans="2:13" ht="14.25">
      <c r="B151" s="339" t="s">
        <v>1789</v>
      </c>
      <c r="C151" s="339" t="s">
        <v>1751</v>
      </c>
      <c r="D151" s="339">
        <f>$E$3</f>
        <v>600</v>
      </c>
      <c r="E151" s="339" t="s">
        <v>1781</v>
      </c>
      <c r="F151" s="339">
        <f>$I$21*$F$3</f>
        <v>1</v>
      </c>
      <c r="G151" s="339">
        <f>D151*F151</f>
        <v>600</v>
      </c>
      <c r="H151" s="339">
        <v>7200</v>
      </c>
      <c r="I151" s="339">
        <f>G151*H151/1000000</f>
        <v>4.32</v>
      </c>
    </row>
    <row r="152" spans="2:13" ht="14.25">
      <c r="B152" s="339" t="s">
        <v>1790</v>
      </c>
      <c r="C152" s="339" t="s">
        <v>1758</v>
      </c>
      <c r="D152" s="339">
        <f>$E$5</f>
        <v>280</v>
      </c>
      <c r="E152" s="339" t="s">
        <v>1775</v>
      </c>
      <c r="F152" s="339">
        <f>$M$15*$F$5</f>
        <v>1</v>
      </c>
      <c r="G152" s="339">
        <f>D152*F152</f>
        <v>280</v>
      </c>
      <c r="H152" s="339">
        <v>7200</v>
      </c>
      <c r="I152" s="339">
        <f>G152*H152/1000000</f>
        <v>2.016</v>
      </c>
    </row>
    <row r="153" spans="2:13" ht="14.25">
      <c r="B153" s="339" t="s">
        <v>1760</v>
      </c>
      <c r="C153" s="339" t="s">
        <v>1761</v>
      </c>
      <c r="D153" s="339">
        <f>$E$6</f>
        <v>696</v>
      </c>
      <c r="E153" s="339" t="s">
        <v>1752</v>
      </c>
      <c r="F153" s="339">
        <f>$M$3*$F$6</f>
        <v>0</v>
      </c>
      <c r="G153" s="339">
        <f>D153*F153</f>
        <v>0</v>
      </c>
      <c r="H153" s="339">
        <v>0</v>
      </c>
      <c r="I153" s="339">
        <f>G153*H153/1000000</f>
        <v>0</v>
      </c>
    </row>
    <row r="154" spans="2:13" ht="14.25">
      <c r="B154" s="339" t="s">
        <v>1763</v>
      </c>
      <c r="C154" s="339" t="s">
        <v>1764</v>
      </c>
      <c r="D154" s="339">
        <f>$E$7</f>
        <v>1728</v>
      </c>
      <c r="E154" s="339" t="s">
        <v>1752</v>
      </c>
      <c r="F154" s="339">
        <v>0</v>
      </c>
      <c r="G154" s="339">
        <f>D154*F154</f>
        <v>0</v>
      </c>
      <c r="H154" s="339">
        <v>0</v>
      </c>
      <c r="I154" s="339">
        <f>G154*H154/1000000</f>
        <v>0</v>
      </c>
    </row>
    <row r="155" spans="2:13" ht="14.25">
      <c r="B155" s="339" t="s">
        <v>1766</v>
      </c>
      <c r="C155" s="339" t="s">
        <v>1767</v>
      </c>
      <c r="D155" s="339">
        <f>$E$8</f>
        <v>1632</v>
      </c>
      <c r="E155" s="339" t="s">
        <v>1752</v>
      </c>
      <c r="F155" s="339">
        <v>0</v>
      </c>
      <c r="G155" s="339">
        <f>D155*F155</f>
        <v>0</v>
      </c>
      <c r="H155" s="339">
        <v>0</v>
      </c>
      <c r="I155" s="339">
        <f>G155*H155/1000000</f>
        <v>0</v>
      </c>
    </row>
    <row r="156" spans="2:13" ht="14.25">
      <c r="B156" s="459"/>
      <c r="C156" s="459"/>
      <c r="D156" s="459"/>
      <c r="E156" s="459"/>
      <c r="F156" s="459"/>
      <c r="G156" s="459"/>
      <c r="H156" s="343" t="s">
        <v>1793</v>
      </c>
      <c r="I156" s="343">
        <f>SUM(I151:I155)+(15000/1000000)</f>
        <v>6.351</v>
      </c>
      <c r="J156" s="91"/>
    </row>
    <row r="162" spans="2:7" ht="72" customHeight="1">
      <c r="B162" s="465" t="s">
        <v>1809</v>
      </c>
      <c r="C162" s="349" t="s">
        <v>1810</v>
      </c>
      <c r="D162" s="350" t="s">
        <v>1811</v>
      </c>
      <c r="E162" s="466" t="s">
        <v>1812</v>
      </c>
      <c r="F162" s="466"/>
      <c r="G162" s="466"/>
    </row>
    <row r="163" spans="2:7" ht="78.75" customHeight="1">
      <c r="B163" s="465"/>
      <c r="C163" s="1" t="s">
        <v>1813</v>
      </c>
      <c r="D163" s="350" t="s">
        <v>1814</v>
      </c>
    </row>
    <row r="164" spans="2:7" ht="17.649999999999999">
      <c r="B164" s="351" t="s">
        <v>1752</v>
      </c>
      <c r="C164" s="352">
        <v>0</v>
      </c>
      <c r="D164" s="353">
        <f t="shared" ref="D164:D176" si="2">C164*365.25/1000</f>
        <v>0</v>
      </c>
    </row>
    <row r="165" spans="2:7" ht="17.649999999999999">
      <c r="B165" s="351" t="s">
        <v>1756</v>
      </c>
      <c r="C165" s="354">
        <f>$I$144</f>
        <v>0.15334821052631578</v>
      </c>
      <c r="D165" s="355">
        <f t="shared" si="2"/>
        <v>5.6010433894736839E-2</v>
      </c>
    </row>
    <row r="166" spans="2:7" ht="17.649999999999999">
      <c r="B166" s="351" t="s">
        <v>1759</v>
      </c>
      <c r="C166" s="354">
        <f>$I$135</f>
        <v>0.17126821052631577</v>
      </c>
      <c r="D166" s="355">
        <f t="shared" si="2"/>
        <v>6.2555713894736839E-2</v>
      </c>
    </row>
    <row r="167" spans="2:7" ht="17.649999999999999">
      <c r="B167" s="351" t="s">
        <v>1762</v>
      </c>
      <c r="C167" s="354">
        <f>$I$126</f>
        <v>0.20700217502335722</v>
      </c>
      <c r="D167" s="355">
        <f t="shared" si="2"/>
        <v>7.5607544427281223E-2</v>
      </c>
    </row>
    <row r="168" spans="2:7" ht="17.649999999999999">
      <c r="B168" s="351" t="s">
        <v>1765</v>
      </c>
      <c r="C168" s="354">
        <f>$I$117</f>
        <v>0.27857613952039867</v>
      </c>
      <c r="D168" s="355">
        <f t="shared" si="2"/>
        <v>0.10174993495982561</v>
      </c>
    </row>
    <row r="169" spans="2:7" ht="17.649999999999999">
      <c r="B169" s="351" t="s">
        <v>1768</v>
      </c>
      <c r="C169" s="354">
        <f>$I$108</f>
        <v>0.34951670610153701</v>
      </c>
      <c r="D169" s="355">
        <f t="shared" si="2"/>
        <v>0.12766097690358638</v>
      </c>
    </row>
    <row r="170" spans="2:7" ht="17.649999999999999">
      <c r="B170" s="351" t="s">
        <v>1769</v>
      </c>
      <c r="C170" s="354">
        <f>$I$99</f>
        <v>0.55984926315789463</v>
      </c>
      <c r="D170" s="355">
        <f t="shared" si="2"/>
        <v>0.20448494336842099</v>
      </c>
    </row>
    <row r="171" spans="2:7" ht="17.649999999999999">
      <c r="B171" s="351" t="s">
        <v>1770</v>
      </c>
      <c r="C171" s="354">
        <f>$I$90</f>
        <v>0.9696351070780399</v>
      </c>
      <c r="D171" s="355">
        <f t="shared" si="2"/>
        <v>0.35415922286025409</v>
      </c>
    </row>
    <row r="172" spans="2:7" ht="17.649999999999999">
      <c r="B172" s="351" t="s">
        <v>1771</v>
      </c>
      <c r="C172" s="354">
        <f>$I$81</f>
        <v>1.3450282105263158</v>
      </c>
      <c r="D172" s="355">
        <f t="shared" si="2"/>
        <v>0.49127155389473687</v>
      </c>
    </row>
    <row r="173" spans="2:7" ht="17.649999999999999">
      <c r="B173" s="351" t="s">
        <v>1772</v>
      </c>
      <c r="C173" s="354">
        <f>$I$72</f>
        <v>2.5546282105263156</v>
      </c>
      <c r="D173" s="355">
        <f t="shared" si="2"/>
        <v>0.9330779538947368</v>
      </c>
    </row>
    <row r="174" spans="2:7" ht="17.649999999999999">
      <c r="B174" s="351" t="s">
        <v>1773</v>
      </c>
      <c r="C174" s="354">
        <f>$I$63</f>
        <v>4.9738282105263156</v>
      </c>
      <c r="D174" s="355">
        <f t="shared" si="2"/>
        <v>1.8166907538947368</v>
      </c>
    </row>
    <row r="175" spans="2:7" ht="17.649999999999999">
      <c r="B175" s="351" t="s">
        <v>1774</v>
      </c>
      <c r="C175" s="354">
        <f>$I$54</f>
        <v>12.231428210526317</v>
      </c>
      <c r="D175" s="355">
        <f t="shared" si="2"/>
        <v>4.4675291538947377</v>
      </c>
    </row>
    <row r="176" spans="2:7" ht="17.649999999999999">
      <c r="B176" s="351" t="s">
        <v>1775</v>
      </c>
      <c r="C176" s="354">
        <f>$I$45</f>
        <v>24.327428210526314</v>
      </c>
      <c r="D176" s="355">
        <f t="shared" si="2"/>
        <v>8.885593153894737</v>
      </c>
    </row>
    <row r="179" spans="2:11" ht="32.25" customHeight="1">
      <c r="B179" s="465" t="s">
        <v>1809</v>
      </c>
      <c r="C179" s="349" t="s">
        <v>1810</v>
      </c>
      <c r="D179" s="350" t="s">
        <v>1811</v>
      </c>
    </row>
    <row r="180" spans="2:11" ht="35.25">
      <c r="B180" s="465"/>
      <c r="C180" s="1" t="s">
        <v>1815</v>
      </c>
      <c r="D180" s="350" t="s">
        <v>1816</v>
      </c>
    </row>
    <row r="181" spans="2:11" ht="35.25">
      <c r="B181" s="351" t="s">
        <v>1817</v>
      </c>
      <c r="C181" s="356">
        <f>$I$32</f>
        <v>24.222884210526313</v>
      </c>
      <c r="D181" s="356">
        <f>C181*365.25/1000</f>
        <v>8.847408457894737</v>
      </c>
    </row>
    <row r="189" spans="2:11" ht="21" customHeight="1">
      <c r="B189" s="467" t="s">
        <v>1818</v>
      </c>
      <c r="C189" s="467"/>
      <c r="D189" s="467"/>
      <c r="E189" s="467"/>
      <c r="F189" s="467"/>
      <c r="G189" s="467"/>
      <c r="H189" s="467"/>
      <c r="I189" s="357"/>
      <c r="J189" s="357"/>
      <c r="K189" s="357"/>
    </row>
    <row r="190" spans="2:11" ht="15.75" customHeight="1"/>
    <row r="191" spans="2:11" ht="15.75">
      <c r="B191" s="358"/>
      <c r="C191" s="359" t="s">
        <v>1784</v>
      </c>
      <c r="D191" s="360" t="s">
        <v>1819</v>
      </c>
      <c r="F191" s="358"/>
      <c r="G191" s="359" t="s">
        <v>1784</v>
      </c>
      <c r="H191" s="360" t="s">
        <v>1819</v>
      </c>
    </row>
    <row r="192" spans="2:11" ht="15.75">
      <c r="B192" s="361"/>
      <c r="C192" s="362" t="s">
        <v>1775</v>
      </c>
      <c r="D192" s="363">
        <f>$C$176</f>
        <v>24.327428210526314</v>
      </c>
      <c r="F192" s="361"/>
      <c r="G192" s="362" t="s">
        <v>1775</v>
      </c>
      <c r="H192" s="363">
        <f>$C$176</f>
        <v>24.327428210526314</v>
      </c>
    </row>
    <row r="193" spans="1:8" ht="15.75">
      <c r="B193" s="361"/>
      <c r="C193" s="362" t="s">
        <v>1774</v>
      </c>
      <c r="D193" s="363">
        <f>$C$175</f>
        <v>12.231428210526317</v>
      </c>
      <c r="F193" s="361"/>
      <c r="G193" s="362" t="s">
        <v>1774</v>
      </c>
      <c r="H193" s="363">
        <f>$C$175</f>
        <v>12.231428210526317</v>
      </c>
    </row>
    <row r="194" spans="1:8" ht="15.75">
      <c r="B194" s="361"/>
      <c r="C194" s="362" t="s">
        <v>1773</v>
      </c>
      <c r="D194" s="363">
        <f>$C$174</f>
        <v>4.9738282105263156</v>
      </c>
      <c r="F194" s="361"/>
      <c r="G194" s="362" t="s">
        <v>1773</v>
      </c>
      <c r="H194" s="363">
        <f>$C$174</f>
        <v>4.9738282105263156</v>
      </c>
    </row>
    <row r="195" spans="1:8" ht="15.75">
      <c r="B195" s="361"/>
      <c r="C195" s="362" t="s">
        <v>1772</v>
      </c>
      <c r="D195" s="363">
        <f>$C$173</f>
        <v>2.5546282105263156</v>
      </c>
      <c r="F195" s="361"/>
      <c r="G195" s="362" t="s">
        <v>1772</v>
      </c>
      <c r="H195" s="363">
        <f>$C$173</f>
        <v>2.5546282105263156</v>
      </c>
    </row>
    <row r="196" spans="1:8" ht="15.75">
      <c r="B196" s="361"/>
      <c r="C196" s="362"/>
      <c r="D196" s="363"/>
      <c r="F196" s="361"/>
      <c r="G196" s="362"/>
      <c r="H196" s="364"/>
    </row>
    <row r="197" spans="1:8" ht="15.75">
      <c r="A197" s="365"/>
      <c r="B197" s="464" t="s">
        <v>1820</v>
      </c>
      <c r="C197" s="464"/>
      <c r="D197" s="464"/>
      <c r="F197" s="464" t="s">
        <v>1820</v>
      </c>
      <c r="G197" s="464"/>
      <c r="H197" s="464"/>
    </row>
    <row r="198" spans="1:8" ht="15.75">
      <c r="B198" s="361" t="s">
        <v>1821</v>
      </c>
      <c r="C198" s="362" t="s">
        <v>1574</v>
      </c>
      <c r="D198" s="364" t="s">
        <v>1822</v>
      </c>
      <c r="F198" s="361" t="s">
        <v>1821</v>
      </c>
      <c r="G198" s="362" t="s">
        <v>1574</v>
      </c>
      <c r="H198" s="364" t="s">
        <v>1822</v>
      </c>
    </row>
    <row r="199" spans="1:8" ht="15.75">
      <c r="B199" s="361" t="s">
        <v>1823</v>
      </c>
      <c r="C199" s="362">
        <v>48</v>
      </c>
      <c r="D199" s="366">
        <f>C199*D193</f>
        <v>587.10855410526324</v>
      </c>
      <c r="F199" s="361" t="s">
        <v>1824</v>
      </c>
      <c r="G199" s="362">
        <v>5</v>
      </c>
      <c r="H199" s="366">
        <f>G199*H193</f>
        <v>61.157141052631587</v>
      </c>
    </row>
    <row r="200" spans="1:8" ht="15.75">
      <c r="B200" s="361" t="s">
        <v>1825</v>
      </c>
      <c r="C200" s="362">
        <f>365-C199</f>
        <v>317</v>
      </c>
      <c r="D200" s="366">
        <f>C200*D194</f>
        <v>1576.7035427368421</v>
      </c>
      <c r="F200" s="361" t="s">
        <v>1823</v>
      </c>
      <c r="G200" s="362">
        <v>122</v>
      </c>
      <c r="H200" s="366">
        <f>G200*H193</f>
        <v>1492.2342416842107</v>
      </c>
    </row>
    <row r="201" spans="1:8" ht="15.75">
      <c r="B201" s="361"/>
      <c r="C201" s="362">
        <f>SUM(C199:C200)</f>
        <v>365</v>
      </c>
      <c r="D201" s="367">
        <f>SUM(D199:D200)</f>
        <v>2163.8120968421053</v>
      </c>
      <c r="F201" s="361" t="s">
        <v>1826</v>
      </c>
      <c r="G201" s="362">
        <f>365-(G199+G200)</f>
        <v>238</v>
      </c>
      <c r="H201" s="366">
        <f>H195*G201</f>
        <v>608.00151410526314</v>
      </c>
    </row>
    <row r="202" spans="1:8" ht="15.75">
      <c r="B202" s="361"/>
      <c r="C202" s="362"/>
      <c r="D202" s="364"/>
      <c r="F202" s="361"/>
      <c r="G202" s="362">
        <f>SUM(G199:G201)</f>
        <v>365</v>
      </c>
      <c r="H202" s="367">
        <f>SUM(H199:H201)</f>
        <v>2161.3928968421055</v>
      </c>
    </row>
    <row r="203" spans="1:8" ht="15.75">
      <c r="B203" s="361"/>
      <c r="C203" s="362"/>
      <c r="D203" s="364"/>
      <c r="F203" s="361"/>
      <c r="G203" s="362"/>
      <c r="H203" s="364"/>
    </row>
    <row r="204" spans="1:8" ht="15.75">
      <c r="B204" s="464" t="s">
        <v>1827</v>
      </c>
      <c r="C204" s="464"/>
      <c r="D204" s="464"/>
      <c r="F204" s="464" t="s">
        <v>1827</v>
      </c>
      <c r="G204" s="464"/>
      <c r="H204" s="464"/>
    </row>
    <row r="205" spans="1:8" ht="15.75">
      <c r="B205" s="361" t="s">
        <v>1821</v>
      </c>
      <c r="C205" s="362" t="s">
        <v>1574</v>
      </c>
      <c r="D205" s="364" t="s">
        <v>1822</v>
      </c>
      <c r="F205" s="361" t="s">
        <v>1821</v>
      </c>
      <c r="G205" s="362" t="s">
        <v>1574</v>
      </c>
      <c r="H205" s="364" t="s">
        <v>1822</v>
      </c>
    </row>
    <row r="206" spans="1:8" ht="15.75">
      <c r="B206" s="361" t="s">
        <v>1825</v>
      </c>
      <c r="C206" s="362">
        <v>260</v>
      </c>
      <c r="D206" s="366">
        <f>C206*D194</f>
        <v>1293.1953347368421</v>
      </c>
      <c r="F206" s="361" t="s">
        <v>1823</v>
      </c>
      <c r="G206" s="362">
        <v>40</v>
      </c>
      <c r="H206" s="366">
        <f>G206*H193</f>
        <v>489.2571284210527</v>
      </c>
    </row>
    <row r="207" spans="1:8" ht="15.75">
      <c r="B207" s="361"/>
      <c r="C207" s="362"/>
      <c r="D207" s="366"/>
      <c r="F207" s="361" t="s">
        <v>1825</v>
      </c>
      <c r="G207" s="362">
        <v>100</v>
      </c>
      <c r="H207" s="366">
        <f>G207*H194</f>
        <v>497.38282105263158</v>
      </c>
    </row>
    <row r="208" spans="1:8" ht="15.75">
      <c r="B208" s="361" t="s">
        <v>1826</v>
      </c>
      <c r="C208" s="362">
        <f>365-C206</f>
        <v>105</v>
      </c>
      <c r="D208" s="366">
        <f>C208*D195</f>
        <v>268.23596210526313</v>
      </c>
      <c r="F208" s="361" t="s">
        <v>1826</v>
      </c>
      <c r="G208" s="362">
        <f>365-(G206+G207)</f>
        <v>225</v>
      </c>
      <c r="H208" s="366">
        <f>G208*D195</f>
        <v>574.79134736842104</v>
      </c>
    </row>
    <row r="209" spans="2:8" ht="15.75">
      <c r="B209" s="368"/>
      <c r="C209" s="369">
        <f>SUM(C206:C208)</f>
        <v>365</v>
      </c>
      <c r="D209" s="370">
        <f>SUM(D206:D208)</f>
        <v>1561.4312968421052</v>
      </c>
      <c r="F209" s="368"/>
      <c r="G209" s="369">
        <f>SUM(H206:H208)</f>
        <v>1561.4312968421054</v>
      </c>
      <c r="H209" s="370">
        <f>SUM(H206:H208)</f>
        <v>1561.4312968421054</v>
      </c>
    </row>
  </sheetData>
  <mergeCells count="38">
    <mergeCell ref="B204:D204"/>
    <mergeCell ref="F204:H204"/>
    <mergeCell ref="B162:B163"/>
    <mergeCell ref="E162:G162"/>
    <mergeCell ref="B179:B180"/>
    <mergeCell ref="B189:H189"/>
    <mergeCell ref="B197:D197"/>
    <mergeCell ref="F197:H197"/>
    <mergeCell ref="B137:I137"/>
    <mergeCell ref="B144:G144"/>
    <mergeCell ref="B149:I149"/>
    <mergeCell ref="J149:M149"/>
    <mergeCell ref="B156:G156"/>
    <mergeCell ref="B117:G117"/>
    <mergeCell ref="B119:I119"/>
    <mergeCell ref="B126:G126"/>
    <mergeCell ref="B128:I128"/>
    <mergeCell ref="B135:G135"/>
    <mergeCell ref="B92:I92"/>
    <mergeCell ref="B99:G99"/>
    <mergeCell ref="B101:I101"/>
    <mergeCell ref="B108:G108"/>
    <mergeCell ref="B110:I110"/>
    <mergeCell ref="B65:I65"/>
    <mergeCell ref="B72:G72"/>
    <mergeCell ref="B74:I74"/>
    <mergeCell ref="B81:G81"/>
    <mergeCell ref="B83:I83"/>
    <mergeCell ref="B45:G45"/>
    <mergeCell ref="B47:I47"/>
    <mergeCell ref="B54:G54"/>
    <mergeCell ref="B56:I56"/>
    <mergeCell ref="B63:G63"/>
    <mergeCell ref="B25:I25"/>
    <mergeCell ref="J30:N31"/>
    <mergeCell ref="B32:G32"/>
    <mergeCell ref="B38:I38"/>
    <mergeCell ref="J43:N44"/>
  </mergeCells>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7"/>
  <sheetViews>
    <sheetView topLeftCell="G3" zoomScale="110" zoomScaleNormal="110" workbookViewId="0">
      <selection activeCell="T9" sqref="T9"/>
    </sheetView>
  </sheetViews>
  <sheetFormatPr defaultColWidth="11.59765625" defaultRowHeight="13.5" customHeight="1"/>
  <cols>
    <col min="1" max="3" width="11.59765625" style="3"/>
    <col min="4" max="4" width="19.1328125" style="3" customWidth="1"/>
    <col min="5" max="5" width="13.3984375" style="3" customWidth="1"/>
    <col min="6" max="11" width="11.59765625" style="3"/>
    <col min="12" max="12" width="17.1328125" style="3" customWidth="1"/>
    <col min="13" max="16384" width="11.59765625" style="3"/>
  </cols>
  <sheetData>
    <row r="1" spans="1:20" ht="13.5" customHeight="1">
      <c r="E1" s="226" t="s">
        <v>1565</v>
      </c>
      <c r="N1" s="323" t="s">
        <v>1566</v>
      </c>
    </row>
    <row r="3" spans="1:20" ht="14.25">
      <c r="D3" s="3" t="s">
        <v>1567</v>
      </c>
      <c r="E3" s="3" t="s">
        <v>1567</v>
      </c>
      <c r="F3" s="3" t="s">
        <v>1568</v>
      </c>
      <c r="G3" s="3" t="s">
        <v>1569</v>
      </c>
      <c r="H3" s="3" t="s">
        <v>1570</v>
      </c>
      <c r="I3" s="3" t="s">
        <v>1570</v>
      </c>
      <c r="K3" s="145" t="s">
        <v>1571</v>
      </c>
      <c r="L3"/>
      <c r="M3" s="3" t="s">
        <v>1567</v>
      </c>
      <c r="N3" s="3" t="s">
        <v>1567</v>
      </c>
      <c r="O3" s="3" t="s">
        <v>1568</v>
      </c>
      <c r="P3" s="145" t="s">
        <v>1571</v>
      </c>
      <c r="Q3" s="145" t="s">
        <v>1571</v>
      </c>
    </row>
    <row r="4" spans="1:20" ht="14.25">
      <c r="D4" s="3" t="s">
        <v>1572</v>
      </c>
      <c r="E4" s="3" t="s">
        <v>1573</v>
      </c>
      <c r="F4" s="3" t="s">
        <v>1574</v>
      </c>
      <c r="G4" s="3" t="s">
        <v>1575</v>
      </c>
      <c r="H4" s="3" t="s">
        <v>1576</v>
      </c>
      <c r="I4" s="3" t="s">
        <v>1577</v>
      </c>
      <c r="J4" s="3" t="s">
        <v>21</v>
      </c>
      <c r="K4" s="145" t="s">
        <v>1578</v>
      </c>
      <c r="L4"/>
      <c r="M4" s="3" t="s">
        <v>1572</v>
      </c>
      <c r="N4" s="3" t="s">
        <v>1573</v>
      </c>
      <c r="O4" s="3" t="s">
        <v>1574</v>
      </c>
      <c r="P4" s="3" t="s">
        <v>21</v>
      </c>
      <c r="Q4" s="145" t="s">
        <v>1578</v>
      </c>
    </row>
    <row r="5" spans="1:20" ht="14.25">
      <c r="B5" s="3">
        <v>25096</v>
      </c>
      <c r="C5" s="324" t="s">
        <v>1579</v>
      </c>
      <c r="D5" s="324" t="s">
        <v>1580</v>
      </c>
      <c r="E5" s="324" t="s">
        <v>932</v>
      </c>
      <c r="F5" s="325">
        <f>107-96</f>
        <v>11</v>
      </c>
      <c r="G5" s="325" t="s">
        <v>1581</v>
      </c>
      <c r="H5" s="324">
        <v>16.32</v>
      </c>
      <c r="I5" s="324">
        <v>0.96960000000000002</v>
      </c>
      <c r="J5" s="324">
        <v>16.32</v>
      </c>
      <c r="K5" s="326">
        <f>H5</f>
        <v>16.32</v>
      </c>
      <c r="L5" s="327" t="s">
        <v>1579</v>
      </c>
      <c r="M5" s="327" t="s">
        <v>873</v>
      </c>
      <c r="N5" s="327" t="s">
        <v>883</v>
      </c>
      <c r="O5" s="327">
        <f>107-96</f>
        <v>11</v>
      </c>
      <c r="P5" s="327">
        <v>36.6</v>
      </c>
      <c r="Q5" s="328">
        <f>P5</f>
        <v>36.6</v>
      </c>
      <c r="R5" s="329" t="s">
        <v>1582</v>
      </c>
      <c r="S5" s="330"/>
      <c r="T5" s="330"/>
    </row>
    <row r="6" spans="1:20" ht="14.25">
      <c r="B6"/>
      <c r="C6"/>
      <c r="D6"/>
      <c r="E6"/>
      <c r="F6" s="18"/>
      <c r="G6" s="18"/>
      <c r="H6"/>
      <c r="I6"/>
      <c r="J6"/>
      <c r="K6"/>
      <c r="L6" s="327" t="s">
        <v>1583</v>
      </c>
      <c r="M6" s="327" t="s">
        <v>1584</v>
      </c>
      <c r="N6" s="327" t="s">
        <v>1585</v>
      </c>
      <c r="O6" s="327">
        <v>21</v>
      </c>
      <c r="P6" s="327"/>
      <c r="Q6" s="331"/>
      <c r="R6" s="329" t="s">
        <v>1586</v>
      </c>
      <c r="S6" s="330"/>
      <c r="T6" s="330"/>
    </row>
    <row r="7" spans="1:20" ht="14.25">
      <c r="B7" s="3">
        <v>25118</v>
      </c>
      <c r="C7" s="324" t="s">
        <v>1579</v>
      </c>
      <c r="D7" s="324" t="s">
        <v>1587</v>
      </c>
      <c r="E7" s="324" t="s">
        <v>1588</v>
      </c>
      <c r="F7" s="325">
        <f>126-107</f>
        <v>19</v>
      </c>
      <c r="G7" s="325" t="s">
        <v>1581</v>
      </c>
      <c r="H7" s="324">
        <v>17.600000000000001</v>
      </c>
      <c r="I7" s="324">
        <v>0.96960000000000002</v>
      </c>
      <c r="J7" s="324">
        <v>17.600000000000001</v>
      </c>
      <c r="K7" s="326">
        <f>H7+H5</f>
        <v>33.92</v>
      </c>
      <c r="L7" s="327" t="s">
        <v>1579</v>
      </c>
      <c r="M7" s="327" t="s">
        <v>883</v>
      </c>
      <c r="N7" s="327" t="s">
        <v>964</v>
      </c>
      <c r="O7" s="327">
        <f>116-107</f>
        <v>9</v>
      </c>
      <c r="P7" s="327">
        <v>41</v>
      </c>
      <c r="Q7" s="328">
        <f>P7+Q5</f>
        <v>77.599999999999994</v>
      </c>
      <c r="R7" s="329" t="s">
        <v>1582</v>
      </c>
      <c r="S7" s="330"/>
      <c r="T7" s="330"/>
    </row>
    <row r="8" spans="1:20" ht="13.5" customHeight="1">
      <c r="F8" s="4"/>
      <c r="G8" s="4"/>
      <c r="L8" s="327" t="s">
        <v>1583</v>
      </c>
      <c r="M8" s="327" t="s">
        <v>1585</v>
      </c>
      <c r="N8" s="327" t="s">
        <v>1589</v>
      </c>
      <c r="O8" s="331">
        <v>172</v>
      </c>
      <c r="P8" s="331">
        <f>5227688*8/1000000</f>
        <v>41.821503999999997</v>
      </c>
      <c r="Q8" s="332">
        <f>Q7+P8</f>
        <v>119.421504</v>
      </c>
      <c r="R8" s="329" t="s">
        <v>1586</v>
      </c>
      <c r="S8" s="330"/>
      <c r="T8" s="330"/>
    </row>
    <row r="9" spans="1:20" ht="13.5" customHeight="1">
      <c r="F9" s="4"/>
      <c r="G9" s="4"/>
      <c r="L9" s="327" t="s">
        <v>1590</v>
      </c>
      <c r="M9" s="327"/>
      <c r="N9" s="327"/>
      <c r="O9" s="331"/>
      <c r="P9" s="331"/>
      <c r="Q9" s="332"/>
      <c r="R9" s="329" t="s">
        <v>1591</v>
      </c>
      <c r="S9" s="330"/>
      <c r="T9" s="330"/>
    </row>
    <row r="10" spans="1:20" ht="14.25">
      <c r="A10" s="91"/>
      <c r="B10" s="3">
        <v>25139</v>
      </c>
      <c r="C10" s="324" t="s">
        <v>762</v>
      </c>
      <c r="D10" s="324" t="s">
        <v>1592</v>
      </c>
      <c r="E10" s="324" t="s">
        <v>1109</v>
      </c>
      <c r="F10" s="325">
        <f>302-276</f>
        <v>26</v>
      </c>
      <c r="G10" s="325" t="s">
        <v>1593</v>
      </c>
      <c r="H10" s="324">
        <v>64.400000000000006</v>
      </c>
      <c r="I10" s="324">
        <v>2.5546000000000002</v>
      </c>
      <c r="J10" s="324">
        <v>64.400000000000006</v>
      </c>
      <c r="K10" s="326">
        <f>K7+H10</f>
        <v>98.320000000000007</v>
      </c>
      <c r="L10" s="327" t="s">
        <v>1579</v>
      </c>
      <c r="M10" s="327" t="s">
        <v>964</v>
      </c>
      <c r="N10" s="327" t="s">
        <v>1062</v>
      </c>
      <c r="O10" s="327">
        <f>135-119</f>
        <v>16</v>
      </c>
      <c r="P10" s="327">
        <v>56.5</v>
      </c>
      <c r="Q10" s="332">
        <f>Q8+P10</f>
        <v>175.921504</v>
      </c>
      <c r="R10" s="329" t="s">
        <v>1594</v>
      </c>
      <c r="S10" s="330"/>
      <c r="T10" s="330"/>
    </row>
    <row r="11" spans="1:20" ht="13.5" customHeight="1">
      <c r="A11"/>
      <c r="B11"/>
      <c r="F11" s="4"/>
      <c r="G11" s="4"/>
      <c r="P11" s="3">
        <f>P10+P7+P5</f>
        <v>134.1</v>
      </c>
    </row>
    <row r="12" spans="1:20" ht="13.5" customHeight="1">
      <c r="A12">
        <v>178</v>
      </c>
      <c r="B12" s="3">
        <v>25159</v>
      </c>
      <c r="C12" s="324" t="s">
        <v>762</v>
      </c>
      <c r="D12" s="324" t="s">
        <v>1595</v>
      </c>
      <c r="E12" s="324" t="s">
        <v>1268</v>
      </c>
      <c r="F12" s="325">
        <f>338-302</f>
        <v>36</v>
      </c>
      <c r="G12" s="325" t="s">
        <v>1593</v>
      </c>
      <c r="H12" s="324">
        <v>90.4</v>
      </c>
      <c r="I12" s="324">
        <v>2.5546000000000002</v>
      </c>
      <c r="J12" s="324">
        <v>90.4</v>
      </c>
      <c r="K12" s="326">
        <f>K10+H12</f>
        <v>188.72000000000003</v>
      </c>
      <c r="L12" s="327" t="s">
        <v>1579</v>
      </c>
      <c r="M12" s="327" t="s">
        <v>1062</v>
      </c>
      <c r="N12" s="327" t="s">
        <v>1274</v>
      </c>
      <c r="O12" s="327">
        <f>178-135</f>
        <v>43</v>
      </c>
      <c r="P12" s="327">
        <v>105.5</v>
      </c>
      <c r="Q12" s="332">
        <f>Q10+P12</f>
        <v>281.42150400000003</v>
      </c>
      <c r="R12" s="329" t="s">
        <v>1596</v>
      </c>
      <c r="S12" s="330"/>
    </row>
    <row r="13" spans="1:20" ht="13.5" customHeight="1">
      <c r="A13">
        <f>90.4+105.5</f>
        <v>195.9</v>
      </c>
      <c r="B13"/>
      <c r="C13"/>
      <c r="D13"/>
      <c r="E13"/>
      <c r="F13"/>
      <c r="G13"/>
      <c r="H13"/>
      <c r="I13"/>
      <c r="J13"/>
      <c r="K13"/>
      <c r="L13"/>
      <c r="M13"/>
      <c r="N13"/>
      <c r="O13"/>
      <c r="P13"/>
      <c r="Q13"/>
    </row>
    <row r="14" spans="1:20" ht="13.5" customHeight="1">
      <c r="A14">
        <f>A13-A12</f>
        <v>17.900000000000006</v>
      </c>
      <c r="B14"/>
      <c r="C14"/>
      <c r="D14"/>
      <c r="E14"/>
      <c r="F14"/>
      <c r="G14"/>
      <c r="H14"/>
      <c r="I14"/>
      <c r="J14"/>
      <c r="K14"/>
      <c r="L14"/>
      <c r="M14"/>
      <c r="N14"/>
      <c r="O14"/>
      <c r="P14"/>
      <c r="Q14"/>
    </row>
    <row r="15" spans="1:20" ht="13.5" customHeight="1">
      <c r="A15">
        <f>486-A14</f>
        <v>468.1</v>
      </c>
      <c r="C15"/>
      <c r="D15"/>
      <c r="E15"/>
      <c r="F15"/>
      <c r="G15"/>
      <c r="H15">
        <f>H17+H10</f>
        <v>436.18301399999996</v>
      </c>
      <c r="I15"/>
      <c r="J15"/>
      <c r="K15"/>
      <c r="L15"/>
      <c r="M15"/>
      <c r="N15"/>
      <c r="O15"/>
      <c r="P15"/>
      <c r="Q15"/>
    </row>
    <row r="16" spans="1:20" ht="13.5" customHeight="1">
      <c r="A16"/>
      <c r="B16" s="145" t="s">
        <v>1597</v>
      </c>
      <c r="C16"/>
      <c r="D16"/>
      <c r="E16"/>
      <c r="F16"/>
      <c r="G16"/>
      <c r="H16"/>
      <c r="I16"/>
      <c r="J16"/>
      <c r="K16"/>
      <c r="L16"/>
      <c r="M16"/>
      <c r="N16"/>
      <c r="O16"/>
      <c r="P16"/>
      <c r="Q16"/>
    </row>
    <row r="17" spans="1:17" ht="13.5" customHeight="1">
      <c r="A17"/>
      <c r="B17" s="333"/>
      <c r="C17" s="334" t="s">
        <v>1598</v>
      </c>
      <c r="D17" s="324" t="s">
        <v>1599</v>
      </c>
      <c r="E17" s="324" t="s">
        <v>1600</v>
      </c>
      <c r="F17" s="325">
        <f>83+365-302</f>
        <v>146</v>
      </c>
      <c r="G17" s="325" t="s">
        <v>1593</v>
      </c>
      <c r="H17" s="325">
        <f>(F17*86400*8*'2025_pb'!W9)/1000000</f>
        <v>371.78301399999998</v>
      </c>
      <c r="I17" s="324">
        <v>2.5546000000000002</v>
      </c>
      <c r="J17" s="325">
        <f>I17*F17</f>
        <v>372.97160000000002</v>
      </c>
      <c r="K17" s="335">
        <f>H17</f>
        <v>371.78301399999998</v>
      </c>
      <c r="L17" s="3" t="s">
        <v>1601</v>
      </c>
      <c r="M17" s="3" t="s">
        <v>1602</v>
      </c>
      <c r="N17" s="3" t="s">
        <v>1603</v>
      </c>
      <c r="O17" s="3">
        <f>83+365-276</f>
        <v>172</v>
      </c>
      <c r="P17" s="3">
        <f>241+379</f>
        <v>620</v>
      </c>
      <c r="Q17" s="145">
        <f>P17</f>
        <v>620</v>
      </c>
    </row>
    <row r="18" spans="1:17" ht="13.5" customHeight="1">
      <c r="A18"/>
      <c r="B18" s="333"/>
      <c r="C18" s="334" t="s">
        <v>1604</v>
      </c>
      <c r="D18" s="324" t="s">
        <v>1605</v>
      </c>
      <c r="E18" s="324" t="s">
        <v>1606</v>
      </c>
      <c r="F18" s="324">
        <f>219-126</f>
        <v>93</v>
      </c>
      <c r="G18" s="324"/>
      <c r="H18" s="325">
        <f>F18*86400*8*'2025_pb'!S9/1000000</f>
        <v>89.416337999999996</v>
      </c>
      <c r="I18" s="325"/>
      <c r="J18" s="325">
        <f>H18*86400*8*'2025_pb'!T9/1000000</f>
        <v>22.50543686688691</v>
      </c>
      <c r="K18" s="335">
        <f>K17+H18</f>
        <v>461.19935199999998</v>
      </c>
      <c r="L18" s="3" t="s">
        <v>1607</v>
      </c>
      <c r="N18" s="3" t="s">
        <v>1608</v>
      </c>
    </row>
    <row r="19" spans="1:17" ht="13.5" customHeight="1">
      <c r="A19"/>
      <c r="B19" t="s">
        <v>1609</v>
      </c>
      <c r="D19" s="3">
        <v>96</v>
      </c>
      <c r="E19" s="3">
        <v>219</v>
      </c>
      <c r="F19" s="3">
        <f>E19-D19</f>
        <v>123</v>
      </c>
      <c r="I19" s="324">
        <v>0.96960000000000002</v>
      </c>
      <c r="J19" s="3">
        <f>I19*F19</f>
        <v>119.2608</v>
      </c>
    </row>
    <row r="21" spans="1:17" ht="13.5" customHeight="1">
      <c r="M21" s="3">
        <f>296-189</f>
        <v>107</v>
      </c>
    </row>
    <row r="24" spans="1:17" ht="13.5" customHeight="1">
      <c r="D24" s="3" t="s">
        <v>755</v>
      </c>
      <c r="E24" t="s">
        <v>1610</v>
      </c>
      <c r="F24" t="s">
        <v>1611</v>
      </c>
      <c r="G24" t="s">
        <v>621</v>
      </c>
      <c r="H24"/>
      <c r="I24"/>
      <c r="J24" s="17" t="s">
        <v>1612</v>
      </c>
      <c r="K24" s="3">
        <v>150</v>
      </c>
      <c r="L24">
        <v>160</v>
      </c>
      <c r="O24" s="17" t="s">
        <v>1613</v>
      </c>
      <c r="P24" s="3">
        <v>134</v>
      </c>
    </row>
    <row r="25" spans="1:17" ht="13.5" customHeight="1">
      <c r="C25" t="s">
        <v>1614</v>
      </c>
      <c r="D25" s="3">
        <v>274</v>
      </c>
      <c r="E25" s="3">
        <f>16.32+17.6</f>
        <v>33.92</v>
      </c>
      <c r="F25"/>
      <c r="G25" s="3">
        <f>D25-E25</f>
        <v>240.07999999999998</v>
      </c>
      <c r="H25"/>
      <c r="I25"/>
      <c r="J25" s="17" t="s">
        <v>1615</v>
      </c>
      <c r="K25" s="3">
        <v>372</v>
      </c>
      <c r="L25">
        <v>284</v>
      </c>
      <c r="O25" s="17" t="s">
        <v>1616</v>
      </c>
      <c r="P25" s="3">
        <v>42</v>
      </c>
    </row>
    <row r="26" spans="1:17" ht="13.5" customHeight="1">
      <c r="C26" s="3" t="s">
        <v>1617</v>
      </c>
      <c r="D26" s="3">
        <v>439</v>
      </c>
      <c r="F26" s="3">
        <f>64.4+90.4</f>
        <v>154.80000000000001</v>
      </c>
      <c r="G26" s="3">
        <f>D26-F26</f>
        <v>284.2</v>
      </c>
      <c r="H26"/>
      <c r="I26"/>
      <c r="J26" s="17" t="s">
        <v>1618</v>
      </c>
      <c r="K26" s="3">
        <v>89</v>
      </c>
      <c r="L26">
        <v>240</v>
      </c>
      <c r="O26" s="17" t="s">
        <v>1619</v>
      </c>
      <c r="P26" s="3">
        <v>15</v>
      </c>
    </row>
    <row r="27" spans="1:17" ht="13.5" customHeight="1">
      <c r="F27"/>
      <c r="G27"/>
      <c r="H27"/>
      <c r="I27"/>
      <c r="J27" s="17" t="s">
        <v>1620</v>
      </c>
      <c r="K27" s="3">
        <v>620</v>
      </c>
      <c r="L27">
        <v>536</v>
      </c>
      <c r="O27" s="17" t="s">
        <v>1621</v>
      </c>
      <c r="P27" s="3">
        <v>105</v>
      </c>
    </row>
    <row r="28" spans="1:17" ht="13.5" customHeight="1">
      <c r="C28" s="17" t="s">
        <v>1622</v>
      </c>
      <c r="D28" s="3">
        <f>(159-96)*0.24</f>
        <v>15.12</v>
      </c>
      <c r="F28"/>
      <c r="G28"/>
      <c r="H28"/>
      <c r="I28"/>
      <c r="J28" s="17" t="s">
        <v>1623</v>
      </c>
      <c r="K28" s="3">
        <v>461</v>
      </c>
      <c r="L28">
        <f>59.4+36.6</f>
        <v>96</v>
      </c>
      <c r="M28" s="3" t="s">
        <v>1624</v>
      </c>
      <c r="O28" s="17"/>
      <c r="P28" s="3">
        <f>SUM(P24:P27)</f>
        <v>296</v>
      </c>
    </row>
    <row r="29" spans="1:17" ht="13.5" customHeight="1">
      <c r="F29"/>
      <c r="G29"/>
      <c r="H29"/>
      <c r="I29"/>
      <c r="K29" s="3">
        <f>SUM(K24:K28)</f>
        <v>1692</v>
      </c>
      <c r="L29">
        <f>6.3+10.5</f>
        <v>16.8</v>
      </c>
      <c r="M29" s="3" t="s">
        <v>1625</v>
      </c>
      <c r="O29" s="17"/>
    </row>
    <row r="30" spans="1:17" ht="13.5" customHeight="1">
      <c r="O30" s="17" t="s">
        <v>1626</v>
      </c>
      <c r="P30" s="3">
        <v>87</v>
      </c>
    </row>
    <row r="31" spans="1:17" ht="13.5" customHeight="1">
      <c r="O31" s="17" t="s">
        <v>1627</v>
      </c>
      <c r="P31" s="3">
        <v>449</v>
      </c>
    </row>
    <row r="32" spans="1:17" ht="13.5" customHeight="1">
      <c r="I32" s="3">
        <f>96+203+160</f>
        <v>459</v>
      </c>
      <c r="O32" s="17"/>
      <c r="P32" s="3">
        <f>P31+P30</f>
        <v>536</v>
      </c>
    </row>
    <row r="33" spans="1:15" ht="13.5" customHeight="1">
      <c r="B33" s="3" t="s">
        <v>1628</v>
      </c>
      <c r="D33" s="3" t="s">
        <v>1629</v>
      </c>
      <c r="O33" s="17"/>
    </row>
    <row r="34" spans="1:15" ht="13.5" customHeight="1">
      <c r="A34" s="3">
        <v>25159</v>
      </c>
      <c r="B34" s="3">
        <v>178</v>
      </c>
    </row>
    <row r="35" spans="1:15" ht="13.5" customHeight="1">
      <c r="A35" s="3">
        <v>25181</v>
      </c>
      <c r="B35" s="3">
        <v>386</v>
      </c>
    </row>
    <row r="36" spans="1:15" ht="13.5" customHeight="1">
      <c r="A36" s="3">
        <v>25207</v>
      </c>
      <c r="B36" s="3">
        <v>100</v>
      </c>
    </row>
    <row r="37" spans="1:15" ht="13.5" customHeight="1">
      <c r="B37" s="3">
        <v>664</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4:J103"/>
  <sheetViews>
    <sheetView topLeftCell="A22" zoomScale="110" zoomScaleNormal="110" workbookViewId="0">
      <selection activeCell="M25" sqref="M25"/>
    </sheetView>
  </sheetViews>
  <sheetFormatPr defaultColWidth="12.1328125" defaultRowHeight="12.75" customHeight="1"/>
  <sheetData>
    <row r="14" spans="4:5" ht="12.75" customHeight="1">
      <c r="E14" t="s">
        <v>1630</v>
      </c>
    </row>
    <row r="15" spans="4:5" ht="12.75" customHeight="1">
      <c r="D15" t="s">
        <v>766</v>
      </c>
    </row>
    <row r="17" spans="3:10" ht="12.75" customHeight="1">
      <c r="D17" t="s">
        <v>764</v>
      </c>
    </row>
    <row r="19" spans="3:10" ht="12.75" customHeight="1">
      <c r="D19" t="s">
        <v>765</v>
      </c>
    </row>
    <row r="21" spans="3:10" ht="12.75" customHeight="1">
      <c r="D21" t="s">
        <v>768</v>
      </c>
    </row>
    <row r="23" spans="3:10" ht="12.75" customHeight="1">
      <c r="D23" t="s">
        <v>769</v>
      </c>
      <c r="E23" t="s">
        <v>769</v>
      </c>
      <c r="G23" t="s">
        <v>768</v>
      </c>
      <c r="H23" t="s">
        <v>765</v>
      </c>
      <c r="I23" t="s">
        <v>764</v>
      </c>
      <c r="J23" t="s">
        <v>766</v>
      </c>
    </row>
    <row r="24" spans="3:10" ht="12.75" customHeight="1">
      <c r="J24" t="s">
        <v>1631</v>
      </c>
    </row>
    <row r="25" spans="3:10" ht="12.75" customHeight="1">
      <c r="E25" t="s">
        <v>1632</v>
      </c>
      <c r="J25" t="s">
        <v>1633</v>
      </c>
    </row>
    <row r="26" spans="3:10" ht="12.75" customHeight="1">
      <c r="C26" t="s">
        <v>1634</v>
      </c>
      <c r="E26" t="s">
        <v>1635</v>
      </c>
      <c r="G26" t="s">
        <v>1636</v>
      </c>
    </row>
    <row r="27" spans="3:10" ht="12.75" customHeight="1">
      <c r="E27" t="s">
        <v>1637</v>
      </c>
      <c r="G27" t="s">
        <v>1638</v>
      </c>
    </row>
    <row r="28" spans="3:10" ht="12.75" customHeight="1">
      <c r="E28" t="s">
        <v>1639</v>
      </c>
      <c r="G28" t="s">
        <v>1640</v>
      </c>
      <c r="I28" t="s">
        <v>1638</v>
      </c>
    </row>
    <row r="29" spans="3:10" ht="12.75" customHeight="1">
      <c r="E29" t="s">
        <v>1641</v>
      </c>
    </row>
    <row r="30" spans="3:10" ht="12.75" customHeight="1">
      <c r="E30" t="s">
        <v>1641</v>
      </c>
      <c r="G30" t="s">
        <v>1642</v>
      </c>
    </row>
    <row r="31" spans="3:10" ht="12.75" customHeight="1">
      <c r="E31" t="s">
        <v>1643</v>
      </c>
      <c r="G31" t="s">
        <v>1644</v>
      </c>
      <c r="J31" t="s">
        <v>204</v>
      </c>
    </row>
    <row r="32" spans="3:10" ht="12.75" customHeight="1">
      <c r="E32" t="s">
        <v>1645</v>
      </c>
      <c r="G32" t="s">
        <v>1646</v>
      </c>
    </row>
    <row r="33" spans="5:9" ht="12.75" customHeight="1">
      <c r="E33" t="s">
        <v>1647</v>
      </c>
      <c r="G33" t="s">
        <v>1648</v>
      </c>
    </row>
    <row r="34" spans="5:9" ht="12.75" customHeight="1">
      <c r="E34" t="s">
        <v>1649</v>
      </c>
      <c r="G34" t="s">
        <v>1650</v>
      </c>
    </row>
    <row r="35" spans="5:9" ht="12.75" customHeight="1">
      <c r="E35" t="s">
        <v>1651</v>
      </c>
      <c r="G35" t="s">
        <v>1652</v>
      </c>
    </row>
    <row r="36" spans="5:9" ht="12.75" customHeight="1">
      <c r="E36" t="s">
        <v>1653</v>
      </c>
      <c r="G36" t="s">
        <v>1654</v>
      </c>
    </row>
    <row r="37" spans="5:9" ht="12.75" customHeight="1">
      <c r="E37" t="s">
        <v>1655</v>
      </c>
      <c r="G37" t="s">
        <v>1656</v>
      </c>
    </row>
    <row r="38" spans="5:9" ht="12.75" customHeight="1">
      <c r="E38" t="s">
        <v>1657</v>
      </c>
      <c r="G38" t="s">
        <v>1658</v>
      </c>
    </row>
    <row r="39" spans="5:9" ht="12.75" customHeight="1">
      <c r="E39" t="s">
        <v>1659</v>
      </c>
      <c r="G39" t="s">
        <v>1660</v>
      </c>
      <c r="I39" t="s">
        <v>1661</v>
      </c>
    </row>
    <row r="40" spans="5:9" ht="12.75" customHeight="1">
      <c r="E40" t="s">
        <v>1662</v>
      </c>
      <c r="G40" t="s">
        <v>1663</v>
      </c>
      <c r="I40" t="s">
        <v>1664</v>
      </c>
    </row>
    <row r="41" spans="5:9" ht="12.75" customHeight="1">
      <c r="E41" t="s">
        <v>1665</v>
      </c>
      <c r="I41" t="s">
        <v>1666</v>
      </c>
    </row>
    <row r="42" spans="5:9" ht="12.75" customHeight="1">
      <c r="E42" t="s">
        <v>1667</v>
      </c>
    </row>
    <row r="43" spans="5:9" ht="12.75" customHeight="1">
      <c r="E43" t="s">
        <v>1668</v>
      </c>
      <c r="G43" t="s">
        <v>1669</v>
      </c>
    </row>
    <row r="44" spans="5:9" ht="12.75" customHeight="1">
      <c r="E44" t="s">
        <v>1670</v>
      </c>
      <c r="G44" t="s">
        <v>1671</v>
      </c>
    </row>
    <row r="45" spans="5:9" ht="12.75" customHeight="1">
      <c r="E45" t="s">
        <v>1672</v>
      </c>
      <c r="G45" t="s">
        <v>1673</v>
      </c>
    </row>
    <row r="46" spans="5:9" ht="12.75" customHeight="1">
      <c r="E46" t="s">
        <v>1674</v>
      </c>
      <c r="G46" t="s">
        <v>1675</v>
      </c>
    </row>
    <row r="47" spans="5:9" ht="12.75" customHeight="1">
      <c r="E47" t="s">
        <v>1676</v>
      </c>
      <c r="G47" t="s">
        <v>1677</v>
      </c>
    </row>
    <row r="48" spans="5:9" ht="12.75" customHeight="1">
      <c r="E48" t="s">
        <v>1678</v>
      </c>
      <c r="G48" t="s">
        <v>1677</v>
      </c>
    </row>
    <row r="49" spans="4:7" ht="12.75" customHeight="1">
      <c r="E49" t="s">
        <v>1679</v>
      </c>
      <c r="G49" t="s">
        <v>1680</v>
      </c>
    </row>
    <row r="50" spans="4:7" ht="12.75" customHeight="1">
      <c r="E50" t="s">
        <v>1681</v>
      </c>
      <c r="G50" t="s">
        <v>1682</v>
      </c>
    </row>
    <row r="51" spans="4:7" ht="12.75" customHeight="1">
      <c r="D51" t="s">
        <v>1683</v>
      </c>
      <c r="E51" t="s">
        <v>1684</v>
      </c>
      <c r="G51" t="s">
        <v>1685</v>
      </c>
    </row>
    <row r="52" spans="4:7" ht="12.75" customHeight="1">
      <c r="E52" t="s">
        <v>1686</v>
      </c>
      <c r="G52" t="s">
        <v>1687</v>
      </c>
    </row>
    <row r="53" spans="4:7" ht="12.75" customHeight="1">
      <c r="E53" t="s">
        <v>1688</v>
      </c>
      <c r="G53" t="s">
        <v>1689</v>
      </c>
    </row>
    <row r="54" spans="4:7" ht="12.75" customHeight="1">
      <c r="E54" t="s">
        <v>1690</v>
      </c>
      <c r="G54" t="s">
        <v>1691</v>
      </c>
    </row>
    <row r="55" spans="4:7" ht="12.75" customHeight="1">
      <c r="E55" t="s">
        <v>1692</v>
      </c>
      <c r="G55" t="s">
        <v>1693</v>
      </c>
    </row>
    <row r="56" spans="4:7" ht="12.75" customHeight="1">
      <c r="E56" t="s">
        <v>1694</v>
      </c>
    </row>
    <row r="57" spans="4:7" ht="12.75" customHeight="1">
      <c r="E57" t="s">
        <v>1695</v>
      </c>
    </row>
    <row r="58" spans="4:7" ht="12.75" customHeight="1">
      <c r="E58" t="s">
        <v>1696</v>
      </c>
    </row>
    <row r="59" spans="4:7" ht="12.75" customHeight="1">
      <c r="E59" t="s">
        <v>1697</v>
      </c>
    </row>
    <row r="60" spans="4:7" ht="12.75" customHeight="1">
      <c r="E60" t="s">
        <v>1698</v>
      </c>
    </row>
    <row r="61" spans="4:7" ht="12.75" customHeight="1">
      <c r="E61" t="s">
        <v>1699</v>
      </c>
    </row>
    <row r="62" spans="4:7" ht="12.75" customHeight="1">
      <c r="E62" t="s">
        <v>1700</v>
      </c>
    </row>
    <row r="63" spans="4:7" ht="12.75" customHeight="1">
      <c r="E63" t="s">
        <v>1701</v>
      </c>
    </row>
    <row r="64" spans="4:7" ht="12.75" customHeight="1">
      <c r="E64" t="s">
        <v>1702</v>
      </c>
    </row>
    <row r="65" spans="4:5" ht="12.75" customHeight="1">
      <c r="E65" t="s">
        <v>1703</v>
      </c>
    </row>
    <row r="66" spans="4:5" ht="12.75" customHeight="1">
      <c r="E66" t="s">
        <v>1704</v>
      </c>
    </row>
    <row r="67" spans="4:5" ht="12.75" customHeight="1">
      <c r="E67" t="s">
        <v>1705</v>
      </c>
    </row>
    <row r="68" spans="4:5" ht="12.75" customHeight="1">
      <c r="E68" t="s">
        <v>1706</v>
      </c>
    </row>
    <row r="69" spans="4:5" ht="12.75" customHeight="1">
      <c r="E69" t="s">
        <v>1707</v>
      </c>
    </row>
    <row r="70" spans="4:5" ht="12.75" customHeight="1">
      <c r="D70">
        <v>25139</v>
      </c>
      <c r="E70" t="s">
        <v>1708</v>
      </c>
    </row>
    <row r="72" spans="4:5" ht="12.75" customHeight="1">
      <c r="E72" t="s">
        <v>1709</v>
      </c>
    </row>
    <row r="73" spans="4:5" ht="12.75" customHeight="1">
      <c r="E73" t="s">
        <v>1710</v>
      </c>
    </row>
    <row r="74" spans="4:5" ht="12.75" customHeight="1">
      <c r="E74" t="s">
        <v>1711</v>
      </c>
    </row>
    <row r="75" spans="4:5" ht="12.75" customHeight="1">
      <c r="E75" t="s">
        <v>1712</v>
      </c>
    </row>
    <row r="76" spans="4:5" ht="12.75" customHeight="1">
      <c r="E76" t="s">
        <v>1713</v>
      </c>
    </row>
    <row r="77" spans="4:5" ht="12.75" customHeight="1">
      <c r="E77" t="s">
        <v>1714</v>
      </c>
    </row>
    <row r="78" spans="4:5" ht="12.75" customHeight="1">
      <c r="E78" t="s">
        <v>1715</v>
      </c>
    </row>
    <row r="79" spans="4:5" ht="12.75" customHeight="1">
      <c r="E79" t="s">
        <v>1716</v>
      </c>
    </row>
    <row r="80" spans="4:5" ht="12.75" customHeight="1">
      <c r="E80" t="s">
        <v>1717</v>
      </c>
    </row>
    <row r="81" spans="4:5" ht="12.75" customHeight="1">
      <c r="E81" t="s">
        <v>1718</v>
      </c>
    </row>
    <row r="82" spans="4:5" ht="12.75" customHeight="1">
      <c r="E82" t="s">
        <v>1719</v>
      </c>
    </row>
    <row r="83" spans="4:5" ht="12.75" customHeight="1">
      <c r="E83" t="s">
        <v>1720</v>
      </c>
    </row>
    <row r="84" spans="4:5" ht="12.75" customHeight="1">
      <c r="E84" t="s">
        <v>1721</v>
      </c>
    </row>
    <row r="85" spans="4:5" ht="12.75" customHeight="1">
      <c r="E85" t="s">
        <v>1722</v>
      </c>
    </row>
    <row r="86" spans="4:5" ht="12.75" customHeight="1">
      <c r="E86" t="s">
        <v>1723</v>
      </c>
    </row>
    <row r="87" spans="4:5" ht="12.75" customHeight="1">
      <c r="E87" t="s">
        <v>1724</v>
      </c>
    </row>
    <row r="88" spans="4:5" ht="12.75" customHeight="1">
      <c r="D88">
        <v>23159</v>
      </c>
      <c r="E88" t="s">
        <v>1725</v>
      </c>
    </row>
    <row r="90" spans="4:5" ht="12.75" customHeight="1">
      <c r="E90" t="s">
        <v>1726</v>
      </c>
    </row>
    <row r="91" spans="4:5" ht="12.75" customHeight="1">
      <c r="E91" t="s">
        <v>1727</v>
      </c>
    </row>
    <row r="92" spans="4:5" ht="12.75" customHeight="1">
      <c r="E92" t="s">
        <v>1728</v>
      </c>
    </row>
    <row r="93" spans="4:5" ht="12.75" customHeight="1">
      <c r="E93" t="s">
        <v>1729</v>
      </c>
    </row>
    <row r="94" spans="4:5" ht="12.75" customHeight="1">
      <c r="E94" t="s">
        <v>1730</v>
      </c>
    </row>
    <row r="95" spans="4:5" ht="12.75" customHeight="1">
      <c r="E95" t="s">
        <v>1731</v>
      </c>
    </row>
    <row r="96" spans="4:5" ht="12.75" customHeight="1">
      <c r="E96" t="s">
        <v>1732</v>
      </c>
    </row>
    <row r="97" spans="5:5" ht="12.75" customHeight="1">
      <c r="E97" t="s">
        <v>1733</v>
      </c>
    </row>
    <row r="98" spans="5:5" ht="12.75" customHeight="1">
      <c r="E98" t="s">
        <v>1734</v>
      </c>
    </row>
    <row r="99" spans="5:5" ht="12.75" customHeight="1">
      <c r="E99" t="s">
        <v>1735</v>
      </c>
    </row>
    <row r="100" spans="5:5" ht="12.75" customHeight="1">
      <c r="E100" t="s">
        <v>1736</v>
      </c>
    </row>
    <row r="101" spans="5:5" ht="12.75" customHeight="1">
      <c r="E101" t="s">
        <v>1737</v>
      </c>
    </row>
    <row r="102" spans="5:5" ht="12.75" customHeight="1">
      <c r="E102" t="s">
        <v>1738</v>
      </c>
    </row>
    <row r="103" spans="5:5" ht="12.75" customHeight="1">
      <c r="E103" t="s">
        <v>1739</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32"/>
  <sheetViews>
    <sheetView topLeftCell="B4" zoomScale="110" zoomScaleNormal="110" workbookViewId="0">
      <selection activeCell="P9" sqref="P9"/>
    </sheetView>
  </sheetViews>
  <sheetFormatPr defaultColWidth="11.59765625" defaultRowHeight="13.5" customHeight="1"/>
  <sheetData>
    <row r="2" spans="4:15" ht="13.5" customHeight="1">
      <c r="G2" t="s">
        <v>1828</v>
      </c>
      <c r="H2" t="s">
        <v>1829</v>
      </c>
      <c r="I2" t="s">
        <v>1830</v>
      </c>
      <c r="J2" t="s">
        <v>1831</v>
      </c>
      <c r="K2" t="s">
        <v>1832</v>
      </c>
      <c r="L2" t="s">
        <v>1833</v>
      </c>
      <c r="M2" t="s">
        <v>1834</v>
      </c>
    </row>
    <row r="3" spans="4:15" ht="13.5" customHeight="1">
      <c r="G3" s="3">
        <f>G6-G5</f>
        <v>36245</v>
      </c>
      <c r="H3" s="3">
        <f>H5-G7</f>
        <v>18955</v>
      </c>
      <c r="I3" s="3">
        <f>H3+G3</f>
        <v>55200</v>
      </c>
      <c r="J3" s="3">
        <f>I3*3.82</f>
        <v>210864</v>
      </c>
      <c r="K3" s="3">
        <f>J3*8/1000000</f>
        <v>1.686912</v>
      </c>
      <c r="L3">
        <f>E18-J3</f>
        <v>698011</v>
      </c>
      <c r="M3" s="371">
        <f>F18-K3</f>
        <v>5.5840879999999995</v>
      </c>
    </row>
    <row r="4" spans="4:15" ht="13.5" customHeight="1">
      <c r="F4" s="3"/>
      <c r="G4" t="s">
        <v>1835</v>
      </c>
      <c r="H4" t="s">
        <v>1836</v>
      </c>
    </row>
    <row r="5" spans="4:15" ht="13.5" customHeight="1">
      <c r="G5" s="97">
        <f>H18</f>
        <v>573130071</v>
      </c>
      <c r="H5" s="97">
        <f>I18</f>
        <v>573191571</v>
      </c>
    </row>
    <row r="6" spans="4:15" ht="13.5" customHeight="1">
      <c r="E6" s="224" t="s">
        <v>1837</v>
      </c>
      <c r="F6" s="224" t="s">
        <v>1838</v>
      </c>
      <c r="G6" s="224">
        <v>573166316</v>
      </c>
      <c r="H6" s="224">
        <v>8</v>
      </c>
      <c r="I6" s="224" t="s">
        <v>373</v>
      </c>
      <c r="J6" s="224" t="s">
        <v>1839</v>
      </c>
      <c r="K6" s="224" t="s">
        <v>816</v>
      </c>
      <c r="L6" s="224" t="s">
        <v>817</v>
      </c>
      <c r="M6" s="224" t="s">
        <v>1840</v>
      </c>
      <c r="N6" s="3"/>
      <c r="O6" s="3"/>
    </row>
    <row r="7" spans="4:15" ht="13.5" customHeight="1">
      <c r="D7" s="17" t="s">
        <v>1841</v>
      </c>
      <c r="E7" s="224" t="s">
        <v>1842</v>
      </c>
      <c r="F7" s="224" t="s">
        <v>1843</v>
      </c>
      <c r="G7" s="224">
        <v>573172616</v>
      </c>
      <c r="H7" s="224">
        <v>7</v>
      </c>
      <c r="I7" s="224" t="s">
        <v>373</v>
      </c>
      <c r="J7" s="224" t="s">
        <v>1844</v>
      </c>
      <c r="K7" s="224" t="s">
        <v>816</v>
      </c>
      <c r="L7" s="224" t="s">
        <v>817</v>
      </c>
      <c r="M7" s="224" t="s">
        <v>1845</v>
      </c>
      <c r="N7" s="3"/>
      <c r="O7" s="3"/>
    </row>
    <row r="8" spans="4:15" ht="13.5" customHeight="1">
      <c r="D8" s="17"/>
      <c r="G8">
        <f>G7-G6</f>
        <v>6300</v>
      </c>
      <c r="I8" s="3"/>
      <c r="K8" s="372"/>
      <c r="M8" s="4"/>
      <c r="N8" s="3"/>
      <c r="O8" s="3"/>
    </row>
    <row r="9" spans="4:15" ht="13.5" customHeight="1">
      <c r="D9" s="17"/>
    </row>
    <row r="10" spans="4:15" ht="13.5" customHeight="1">
      <c r="D10" s="17"/>
    </row>
    <row r="11" spans="4:15" ht="13.5" customHeight="1">
      <c r="D11" s="17" t="s">
        <v>819</v>
      </c>
      <c r="E11" s="224" t="s">
        <v>820</v>
      </c>
      <c r="F11" s="224" t="s">
        <v>821</v>
      </c>
      <c r="G11" s="224">
        <v>606473516</v>
      </c>
      <c r="H11" s="224">
        <v>7</v>
      </c>
      <c r="I11" s="224" t="s">
        <v>373</v>
      </c>
      <c r="J11" s="224" t="s">
        <v>822</v>
      </c>
      <c r="K11" s="224" t="s">
        <v>816</v>
      </c>
      <c r="L11" s="224" t="s">
        <v>817</v>
      </c>
      <c r="M11" s="224" t="s">
        <v>823</v>
      </c>
    </row>
    <row r="12" spans="4:15" ht="13.5" customHeight="1">
      <c r="E12" s="224" t="s">
        <v>824</v>
      </c>
      <c r="F12" s="224" t="s">
        <v>825</v>
      </c>
      <c r="G12" s="224">
        <v>606480128</v>
      </c>
      <c r="H12" s="224">
        <v>0</v>
      </c>
      <c r="I12" s="224" t="s">
        <v>826</v>
      </c>
      <c r="J12" s="224" t="s">
        <v>827</v>
      </c>
      <c r="K12" s="224" t="s">
        <v>828</v>
      </c>
      <c r="L12" s="224"/>
      <c r="M12" s="224" t="s">
        <v>829</v>
      </c>
    </row>
    <row r="15" spans="4:15" ht="13.5" customHeight="1">
      <c r="D15" s="3" t="s">
        <v>1846</v>
      </c>
      <c r="E15" s="3" t="s">
        <v>173</v>
      </c>
      <c r="F15" s="3" t="s">
        <v>21</v>
      </c>
      <c r="G15" s="3"/>
      <c r="J15" t="s">
        <v>1847</v>
      </c>
      <c r="K15" s="4"/>
      <c r="L15" s="3"/>
    </row>
    <row r="16" spans="4:15" ht="13.5" customHeight="1">
      <c r="D16" s="183">
        <f>E16/J16</f>
        <v>3.7935054840659816</v>
      </c>
      <c r="E16" s="3">
        <f t="shared" ref="E16:E22" si="0">(F16*1000000/8)</f>
        <v>219625</v>
      </c>
      <c r="F16" s="3">
        <v>1.7569999999999999</v>
      </c>
      <c r="G16" s="179">
        <v>24078</v>
      </c>
      <c r="H16" s="143">
        <v>573044876</v>
      </c>
      <c r="I16" s="373">
        <v>573102771</v>
      </c>
      <c r="J16" s="104">
        <f t="shared" ref="J16:J22" si="1">I16-H16</f>
        <v>57895</v>
      </c>
      <c r="K16" s="104">
        <f t="shared" ref="K16:K22" si="2">J16*$R$689</f>
        <v>0</v>
      </c>
      <c r="L16" s="3">
        <v>1.7217</v>
      </c>
    </row>
    <row r="17" spans="2:12" ht="13.5" customHeight="1">
      <c r="D17" s="183">
        <f>E17/J17</f>
        <v>4.052197802197802</v>
      </c>
      <c r="E17" s="3">
        <f t="shared" si="0"/>
        <v>110625</v>
      </c>
      <c r="F17" s="3">
        <v>0.88500000000000001</v>
      </c>
      <c r="G17" s="179" t="s">
        <v>1848</v>
      </c>
      <c r="H17" s="143">
        <f t="shared" ref="H17:H22" si="3">I16</f>
        <v>573102771</v>
      </c>
      <c r="I17" s="143">
        <v>573130071</v>
      </c>
      <c r="J17" s="104">
        <f t="shared" si="1"/>
        <v>27300</v>
      </c>
      <c r="K17" s="104">
        <f t="shared" si="2"/>
        <v>0</v>
      </c>
      <c r="L17" s="3">
        <v>908890</v>
      </c>
    </row>
    <row r="18" spans="2:12" ht="14.25">
      <c r="B18" s="372">
        <f>D18/D23</f>
        <v>0</v>
      </c>
      <c r="C18" s="372" t="s">
        <v>849</v>
      </c>
      <c r="D18" s="374"/>
      <c r="E18" s="371">
        <f t="shared" si="0"/>
        <v>908875</v>
      </c>
      <c r="F18" s="371">
        <v>7.2709999999999999</v>
      </c>
      <c r="G18" s="179" t="s">
        <v>541</v>
      </c>
      <c r="H18" s="143">
        <f t="shared" si="3"/>
        <v>573130071</v>
      </c>
      <c r="I18" s="143">
        <v>573191571</v>
      </c>
      <c r="J18" s="104">
        <f t="shared" si="1"/>
        <v>61500</v>
      </c>
      <c r="K18" s="104">
        <f t="shared" si="2"/>
        <v>0</v>
      </c>
      <c r="L18" s="3">
        <v>908890</v>
      </c>
    </row>
    <row r="19" spans="2:12" ht="14.25">
      <c r="B19" t="s">
        <v>1849</v>
      </c>
      <c r="D19" s="183">
        <f>E19/J19</f>
        <v>3.8722222222222222</v>
      </c>
      <c r="E19" s="3">
        <f t="shared" si="0"/>
        <v>174250</v>
      </c>
      <c r="F19" s="3">
        <v>1.3939999999999999</v>
      </c>
      <c r="G19" s="179" t="s">
        <v>1850</v>
      </c>
      <c r="H19" s="143">
        <f t="shared" si="3"/>
        <v>573191571</v>
      </c>
      <c r="I19" s="143">
        <v>573236571</v>
      </c>
      <c r="J19" s="104">
        <f t="shared" si="1"/>
        <v>45000</v>
      </c>
      <c r="K19" s="104">
        <f t="shared" si="2"/>
        <v>0</v>
      </c>
      <c r="L19" s="3">
        <v>908890</v>
      </c>
    </row>
    <row r="20" spans="2:12" ht="14.25">
      <c r="D20" s="183">
        <f>E20/J20</f>
        <v>3.7550080128205128</v>
      </c>
      <c r="E20" s="3">
        <f t="shared" si="0"/>
        <v>468625</v>
      </c>
      <c r="F20" s="3">
        <v>3.7490000000000001</v>
      </c>
      <c r="G20" s="179" t="s">
        <v>1851</v>
      </c>
      <c r="H20" s="143">
        <f t="shared" si="3"/>
        <v>573236571</v>
      </c>
      <c r="I20" s="373">
        <v>573361371</v>
      </c>
      <c r="J20" s="104">
        <f t="shared" si="1"/>
        <v>124800</v>
      </c>
      <c r="K20" s="104">
        <f t="shared" si="2"/>
        <v>0</v>
      </c>
      <c r="L20" s="3">
        <v>908890</v>
      </c>
    </row>
    <row r="21" spans="2:12" ht="14.25">
      <c r="D21" s="183">
        <f>E21/J21</f>
        <v>3.7729166666666667</v>
      </c>
      <c r="E21" s="3">
        <f t="shared" si="0"/>
        <v>226375</v>
      </c>
      <c r="F21" s="3">
        <v>1.8109999999999999</v>
      </c>
      <c r="G21" s="179" t="s">
        <v>1852</v>
      </c>
      <c r="H21" s="143">
        <f t="shared" si="3"/>
        <v>573361371</v>
      </c>
      <c r="I21" s="375">
        <v>573421371</v>
      </c>
      <c r="J21" s="104">
        <f t="shared" si="1"/>
        <v>60000</v>
      </c>
      <c r="K21" s="104">
        <f t="shared" si="2"/>
        <v>0</v>
      </c>
      <c r="L21" s="3">
        <v>908890</v>
      </c>
    </row>
    <row r="22" spans="2:12" ht="14.25">
      <c r="D22" s="183">
        <f>E22/J22</f>
        <v>3.8367052023121389</v>
      </c>
      <c r="E22" s="3">
        <f t="shared" si="0"/>
        <v>199125</v>
      </c>
      <c r="F22" s="3">
        <v>1.593</v>
      </c>
      <c r="G22" s="179" t="s">
        <v>1853</v>
      </c>
      <c r="H22" s="143">
        <f t="shared" si="3"/>
        <v>573421371</v>
      </c>
      <c r="I22" s="375">
        <v>573473271</v>
      </c>
      <c r="J22" s="104">
        <f t="shared" si="1"/>
        <v>51900</v>
      </c>
      <c r="K22" s="104">
        <f t="shared" si="2"/>
        <v>0</v>
      </c>
      <c r="L22" s="3">
        <v>908890</v>
      </c>
    </row>
    <row r="23" spans="2:12" ht="14.25">
      <c r="D23">
        <f>SUM(D19:D22)/4</f>
        <v>3.8092130260053851</v>
      </c>
      <c r="F23" s="3"/>
      <c r="G23" s="3"/>
      <c r="K23" s="4"/>
      <c r="L23" s="3"/>
    </row>
    <row r="24" spans="2:12" ht="14.25">
      <c r="F24" s="3"/>
      <c r="G24" s="3"/>
      <c r="K24" s="4"/>
      <c r="L24" s="3"/>
    </row>
    <row r="25" spans="2:12" ht="14.25">
      <c r="D25" s="183">
        <f t="shared" ref="D25:D31" si="4">E25/J25</f>
        <v>3.9256198347107438</v>
      </c>
      <c r="E25" s="3">
        <f t="shared" ref="E25:E31" si="5">(F25*1000000/8)</f>
        <v>140125</v>
      </c>
      <c r="F25" s="3">
        <v>1.121</v>
      </c>
      <c r="G25" s="179">
        <v>24267</v>
      </c>
      <c r="H25" s="375">
        <v>589373156</v>
      </c>
      <c r="I25" s="375">
        <v>589408851</v>
      </c>
      <c r="J25" s="104">
        <f t="shared" ref="J25:J31" si="6">I25-H25</f>
        <v>35695</v>
      </c>
      <c r="K25" s="104">
        <f t="shared" ref="K25:K31" si="7">J25*$R$689</f>
        <v>0</v>
      </c>
      <c r="L25" s="3">
        <v>908890</v>
      </c>
    </row>
    <row r="26" spans="2:12" ht="14.25">
      <c r="D26" s="183">
        <f t="shared" si="4"/>
        <v>3.9579967689822295</v>
      </c>
      <c r="E26" s="3">
        <f t="shared" si="5"/>
        <v>147000</v>
      </c>
      <c r="F26" s="3">
        <v>1.1759999999999999</v>
      </c>
      <c r="G26" s="179" t="s">
        <v>1854</v>
      </c>
      <c r="H26" s="375">
        <v>589408851</v>
      </c>
      <c r="I26" s="375">
        <v>589445991</v>
      </c>
      <c r="J26" s="104">
        <f t="shared" si="6"/>
        <v>37140</v>
      </c>
      <c r="K26" s="104">
        <f t="shared" si="7"/>
        <v>0</v>
      </c>
      <c r="L26" s="3">
        <v>908890</v>
      </c>
    </row>
    <row r="27" spans="2:12" ht="14.25">
      <c r="D27" s="183">
        <f t="shared" si="4"/>
        <v>3.7918760469011725</v>
      </c>
      <c r="E27" s="3">
        <f t="shared" si="5"/>
        <v>226375</v>
      </c>
      <c r="F27" s="3">
        <v>1.8109999999999999</v>
      </c>
      <c r="G27" s="179" t="s">
        <v>1855</v>
      </c>
      <c r="H27" s="375">
        <v>589445991</v>
      </c>
      <c r="I27" s="375">
        <v>589505691</v>
      </c>
      <c r="J27" s="104">
        <f t="shared" si="6"/>
        <v>59700</v>
      </c>
      <c r="K27" s="104">
        <f t="shared" si="7"/>
        <v>0</v>
      </c>
      <c r="L27" s="3">
        <v>908890</v>
      </c>
    </row>
    <row r="28" spans="2:12" ht="14.25">
      <c r="D28" s="183">
        <f t="shared" si="4"/>
        <v>3.7168560606060606</v>
      </c>
      <c r="E28" s="3">
        <f t="shared" si="5"/>
        <v>294375</v>
      </c>
      <c r="F28" s="3">
        <v>2.355</v>
      </c>
      <c r="G28" s="179" t="s">
        <v>1856</v>
      </c>
      <c r="H28" s="375">
        <v>589505691</v>
      </c>
      <c r="I28" s="375">
        <v>589584891</v>
      </c>
      <c r="J28" s="104">
        <f t="shared" si="6"/>
        <v>79200</v>
      </c>
      <c r="K28" s="104">
        <f t="shared" si="7"/>
        <v>0</v>
      </c>
      <c r="L28" s="3">
        <v>908890</v>
      </c>
    </row>
    <row r="29" spans="2:12" ht="14.25">
      <c r="D29" s="183">
        <f t="shared" si="4"/>
        <v>3.8602520045819015</v>
      </c>
      <c r="E29" s="3">
        <f t="shared" si="5"/>
        <v>337000</v>
      </c>
      <c r="F29" s="3">
        <v>2.6960000000000002</v>
      </c>
      <c r="G29" s="179" t="s">
        <v>726</v>
      </c>
      <c r="H29" s="375">
        <v>589584891</v>
      </c>
      <c r="I29" s="375">
        <v>589672191</v>
      </c>
      <c r="J29" s="104">
        <f t="shared" si="6"/>
        <v>87300</v>
      </c>
      <c r="K29" s="104">
        <f t="shared" si="7"/>
        <v>0</v>
      </c>
      <c r="L29" s="3">
        <v>908890</v>
      </c>
    </row>
    <row r="30" spans="2:12" ht="14.25">
      <c r="D30" s="183">
        <f t="shared" si="4"/>
        <v>3.8356050531914891</v>
      </c>
      <c r="E30" s="3">
        <f t="shared" si="5"/>
        <v>346125</v>
      </c>
      <c r="F30" s="3">
        <v>2.7690000000000001</v>
      </c>
      <c r="G30" s="179" t="s">
        <v>1857</v>
      </c>
      <c r="H30" s="375">
        <v>589672191</v>
      </c>
      <c r="I30" s="375">
        <v>589762431</v>
      </c>
      <c r="J30" s="104">
        <f t="shared" si="6"/>
        <v>90240</v>
      </c>
      <c r="K30" s="104">
        <f t="shared" si="7"/>
        <v>0</v>
      </c>
      <c r="L30" s="3">
        <v>908890</v>
      </c>
    </row>
    <row r="31" spans="2:12" ht="14.25">
      <c r="D31" s="183">
        <f t="shared" si="4"/>
        <v>3.7087578845220768</v>
      </c>
      <c r="E31" s="3">
        <f t="shared" si="5"/>
        <v>305750</v>
      </c>
      <c r="F31" s="3">
        <v>2.4460000000000002</v>
      </c>
      <c r="G31" s="179" t="s">
        <v>1858</v>
      </c>
      <c r="H31" s="375">
        <v>589762431</v>
      </c>
      <c r="I31" s="375">
        <v>589844871</v>
      </c>
      <c r="J31" s="104">
        <f t="shared" si="6"/>
        <v>82440</v>
      </c>
      <c r="K31" s="104">
        <f t="shared" si="7"/>
        <v>0</v>
      </c>
      <c r="L31" s="3">
        <v>908890</v>
      </c>
    </row>
    <row r="32" spans="2:12" ht="14.25">
      <c r="D32">
        <f>SUM(D25:D31)/7</f>
        <v>3.8281376647850962</v>
      </c>
      <c r="F32" s="3"/>
      <c r="G32" s="3"/>
      <c r="L32" s="3"/>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29"/>
  <sheetViews>
    <sheetView zoomScale="110" zoomScaleNormal="110" workbookViewId="0">
      <selection activeCell="F10" sqref="F10"/>
    </sheetView>
  </sheetViews>
  <sheetFormatPr defaultColWidth="11.59765625" defaultRowHeight="13.5" customHeight="1"/>
  <sheetData>
    <row r="2" spans="2:15" ht="13.5" customHeight="1">
      <c r="G2" s="143">
        <f>H15</f>
        <v>573130071</v>
      </c>
    </row>
    <row r="3" spans="2:15" ht="13.5" customHeight="1">
      <c r="E3" s="224" t="s">
        <v>1837</v>
      </c>
      <c r="F3" s="224" t="s">
        <v>1838</v>
      </c>
      <c r="G3" s="224">
        <v>573166316</v>
      </c>
      <c r="H3" s="224">
        <v>8</v>
      </c>
      <c r="I3" s="224" t="s">
        <v>373</v>
      </c>
      <c r="J3" s="224" t="s">
        <v>1839</v>
      </c>
      <c r="K3" s="224" t="s">
        <v>816</v>
      </c>
      <c r="L3" s="224" t="s">
        <v>817</v>
      </c>
      <c r="M3" s="224" t="s">
        <v>1840</v>
      </c>
      <c r="N3" s="3"/>
      <c r="O3" s="3"/>
    </row>
    <row r="4" spans="2:15" ht="13.5" customHeight="1">
      <c r="D4" s="17" t="s">
        <v>1841</v>
      </c>
      <c r="E4" s="224" t="s">
        <v>1842</v>
      </c>
      <c r="F4" s="224" t="s">
        <v>1843</v>
      </c>
      <c r="G4" s="224">
        <v>573172616</v>
      </c>
      <c r="H4" s="224">
        <v>7</v>
      </c>
      <c r="I4" s="224" t="s">
        <v>373</v>
      </c>
      <c r="J4" s="224" t="s">
        <v>1844</v>
      </c>
      <c r="K4" s="224" t="s">
        <v>816</v>
      </c>
      <c r="L4" s="224" t="s">
        <v>817</v>
      </c>
      <c r="M4" s="224" t="s">
        <v>1845</v>
      </c>
      <c r="N4" s="3"/>
      <c r="O4" s="3"/>
    </row>
    <row r="5" spans="2:15" ht="13.5" customHeight="1">
      <c r="D5" s="17"/>
      <c r="G5">
        <f>G4-G3</f>
        <v>6300</v>
      </c>
      <c r="H5">
        <f>K14-J14</f>
        <v>-27300</v>
      </c>
      <c r="I5" s="3">
        <f>H5-G5</f>
        <v>-33600</v>
      </c>
      <c r="J5">
        <f>I5*3.809313/1000000</f>
        <v>-0.1279929168</v>
      </c>
      <c r="K5" s="372">
        <f>H14-J5</f>
        <v>573102771.12799287</v>
      </c>
      <c r="M5" s="4"/>
      <c r="N5" s="3"/>
      <c r="O5" s="3"/>
    </row>
    <row r="6" spans="2:15" ht="13.5" customHeight="1">
      <c r="D6" s="17"/>
      <c r="G6" t="s">
        <v>1859</v>
      </c>
      <c r="H6" t="s">
        <v>1860</v>
      </c>
      <c r="I6" t="s">
        <v>1861</v>
      </c>
      <c r="J6" t="s">
        <v>1862</v>
      </c>
      <c r="K6" t="s">
        <v>1834</v>
      </c>
    </row>
    <row r="7" spans="2:15" ht="13.5" customHeight="1">
      <c r="D7" s="17"/>
      <c r="J7" t="s">
        <v>1863</v>
      </c>
    </row>
    <row r="8" spans="2:15" ht="13.5" customHeight="1">
      <c r="D8" s="17" t="s">
        <v>819</v>
      </c>
      <c r="E8" s="224" t="s">
        <v>820</v>
      </c>
      <c r="F8" s="224" t="s">
        <v>821</v>
      </c>
      <c r="G8" s="224">
        <v>606473516</v>
      </c>
      <c r="H8" s="224">
        <v>7</v>
      </c>
      <c r="I8" s="224" t="s">
        <v>373</v>
      </c>
      <c r="J8" s="224" t="s">
        <v>822</v>
      </c>
      <c r="K8" s="224" t="s">
        <v>816</v>
      </c>
      <c r="L8" s="224" t="s">
        <v>817</v>
      </c>
      <c r="M8" s="224" t="s">
        <v>823</v>
      </c>
    </row>
    <row r="9" spans="2:15" ht="13.5" customHeight="1">
      <c r="E9" s="224" t="s">
        <v>824</v>
      </c>
      <c r="F9" s="224" t="s">
        <v>825</v>
      </c>
      <c r="G9" s="224">
        <v>606480128</v>
      </c>
      <c r="H9" s="224">
        <v>0</v>
      </c>
      <c r="I9" s="224" t="s">
        <v>826</v>
      </c>
      <c r="J9" s="224" t="s">
        <v>827</v>
      </c>
      <c r="K9" s="224" t="s">
        <v>828</v>
      </c>
      <c r="L9" s="224"/>
      <c r="M9" s="224" t="s">
        <v>829</v>
      </c>
    </row>
    <row r="12" spans="2:15" ht="13.5" customHeight="1">
      <c r="D12" s="3" t="s">
        <v>1846</v>
      </c>
      <c r="E12" s="3" t="s">
        <v>173</v>
      </c>
      <c r="F12" s="3" t="s">
        <v>21</v>
      </c>
      <c r="G12" s="3"/>
      <c r="J12" t="s">
        <v>1847</v>
      </c>
      <c r="K12" s="4"/>
      <c r="L12" s="3"/>
    </row>
    <row r="13" spans="2:15" ht="13.5" customHeight="1">
      <c r="D13" s="183">
        <f t="shared" ref="D13:D19" si="0">E13/J13</f>
        <v>3.7935054840659816</v>
      </c>
      <c r="E13" s="3">
        <f t="shared" ref="E13:E19" si="1">(F13*1000000/8)</f>
        <v>219625</v>
      </c>
      <c r="F13" s="3">
        <v>1.7569999999999999</v>
      </c>
      <c r="G13" s="179">
        <v>24078</v>
      </c>
      <c r="H13" s="143">
        <v>573044876</v>
      </c>
      <c r="I13" s="373">
        <v>573102771</v>
      </c>
      <c r="J13" s="104">
        <f t="shared" ref="J13:J19" si="2">I13-H13</f>
        <v>57895</v>
      </c>
      <c r="K13" s="104">
        <f t="shared" ref="K13:K19" si="3">J13*$R$686</f>
        <v>0</v>
      </c>
      <c r="L13" s="3">
        <v>1.7217</v>
      </c>
    </row>
    <row r="14" spans="2:15" ht="13.5" customHeight="1">
      <c r="D14" s="183">
        <f t="shared" si="0"/>
        <v>4.052197802197802</v>
      </c>
      <c r="E14" s="3">
        <f t="shared" si="1"/>
        <v>110625</v>
      </c>
      <c r="F14" s="3">
        <v>0.88500000000000001</v>
      </c>
      <c r="G14" s="179" t="s">
        <v>1848</v>
      </c>
      <c r="H14" s="143">
        <f t="shared" ref="H14:H19" si="4">I13</f>
        <v>573102771</v>
      </c>
      <c r="I14" s="143">
        <v>573130071</v>
      </c>
      <c r="J14" s="104">
        <f t="shared" si="2"/>
        <v>27300</v>
      </c>
      <c r="K14" s="104">
        <f t="shared" si="3"/>
        <v>0</v>
      </c>
      <c r="L14" s="3">
        <v>908890</v>
      </c>
    </row>
    <row r="15" spans="2:15" ht="14.25">
      <c r="B15" s="372">
        <f>D15/D20</f>
        <v>3.8796610175542212</v>
      </c>
      <c r="C15" s="372" t="s">
        <v>849</v>
      </c>
      <c r="D15" s="374">
        <f t="shared" si="0"/>
        <v>14.778455284552846</v>
      </c>
      <c r="E15" s="371">
        <f t="shared" si="1"/>
        <v>908875</v>
      </c>
      <c r="F15" s="371">
        <v>7.2709999999999999</v>
      </c>
      <c r="G15" s="179" t="s">
        <v>541</v>
      </c>
      <c r="H15" s="143">
        <f t="shared" si="4"/>
        <v>573130071</v>
      </c>
      <c r="I15" s="143">
        <v>573191571</v>
      </c>
      <c r="J15" s="104">
        <f t="shared" si="2"/>
        <v>61500</v>
      </c>
      <c r="K15" s="104">
        <f t="shared" si="3"/>
        <v>0</v>
      </c>
      <c r="L15" s="3">
        <v>908890</v>
      </c>
    </row>
    <row r="16" spans="2:15" ht="14.25">
      <c r="B16" t="s">
        <v>1849</v>
      </c>
      <c r="D16" s="183">
        <f t="shared" si="0"/>
        <v>3.8722222222222222</v>
      </c>
      <c r="E16" s="3">
        <f t="shared" si="1"/>
        <v>174250</v>
      </c>
      <c r="F16" s="3">
        <v>1.3939999999999999</v>
      </c>
      <c r="G16" s="179" t="s">
        <v>1850</v>
      </c>
      <c r="H16" s="143">
        <f t="shared" si="4"/>
        <v>573191571</v>
      </c>
      <c r="I16" s="143">
        <v>573236571</v>
      </c>
      <c r="J16" s="104">
        <f t="shared" si="2"/>
        <v>45000</v>
      </c>
      <c r="K16" s="104">
        <f t="shared" si="3"/>
        <v>0</v>
      </c>
      <c r="L16" s="3">
        <v>908890</v>
      </c>
    </row>
    <row r="17" spans="4:12" ht="14.25">
      <c r="D17" s="183">
        <f t="shared" si="0"/>
        <v>3.7550080128205128</v>
      </c>
      <c r="E17" s="3">
        <f t="shared" si="1"/>
        <v>468625</v>
      </c>
      <c r="F17" s="3">
        <v>3.7490000000000001</v>
      </c>
      <c r="G17" s="179" t="s">
        <v>1851</v>
      </c>
      <c r="H17" s="143">
        <f t="shared" si="4"/>
        <v>573236571</v>
      </c>
      <c r="I17" s="373">
        <v>573361371</v>
      </c>
      <c r="J17" s="104">
        <f t="shared" si="2"/>
        <v>124800</v>
      </c>
      <c r="K17" s="104">
        <f t="shared" si="3"/>
        <v>0</v>
      </c>
      <c r="L17" s="3">
        <v>908890</v>
      </c>
    </row>
    <row r="18" spans="4:12" ht="14.25">
      <c r="D18" s="183">
        <f t="shared" si="0"/>
        <v>3.7729166666666667</v>
      </c>
      <c r="E18" s="3">
        <f t="shared" si="1"/>
        <v>226375</v>
      </c>
      <c r="F18" s="3">
        <v>1.8109999999999999</v>
      </c>
      <c r="G18" s="179" t="s">
        <v>1852</v>
      </c>
      <c r="H18" s="143">
        <f t="shared" si="4"/>
        <v>573361371</v>
      </c>
      <c r="I18" s="375">
        <v>573421371</v>
      </c>
      <c r="J18" s="104">
        <f t="shared" si="2"/>
        <v>60000</v>
      </c>
      <c r="K18" s="104">
        <f t="shared" si="3"/>
        <v>0</v>
      </c>
      <c r="L18" s="3">
        <v>908890</v>
      </c>
    </row>
    <row r="19" spans="4:12" ht="14.25">
      <c r="D19" s="183">
        <f t="shared" si="0"/>
        <v>3.8367052023121389</v>
      </c>
      <c r="E19" s="3">
        <f t="shared" si="1"/>
        <v>199125</v>
      </c>
      <c r="F19" s="3">
        <v>1.593</v>
      </c>
      <c r="G19" s="179" t="s">
        <v>1853</v>
      </c>
      <c r="H19" s="143">
        <f t="shared" si="4"/>
        <v>573421371</v>
      </c>
      <c r="I19" s="375">
        <v>573473271</v>
      </c>
      <c r="J19" s="104">
        <f t="shared" si="2"/>
        <v>51900</v>
      </c>
      <c r="K19" s="104">
        <f t="shared" si="3"/>
        <v>0</v>
      </c>
      <c r="L19" s="3">
        <v>908890</v>
      </c>
    </row>
    <row r="20" spans="4:12" ht="14.25">
      <c r="D20">
        <f>SUM(D16:D19)/4</f>
        <v>3.8092130260053851</v>
      </c>
      <c r="F20" s="3"/>
      <c r="G20" s="3"/>
      <c r="K20" s="4"/>
      <c r="L20" s="3"/>
    </row>
    <row r="21" spans="4:12" ht="14.25">
      <c r="F21" s="3"/>
      <c r="G21" s="3"/>
      <c r="K21" s="4"/>
      <c r="L21" s="3"/>
    </row>
    <row r="22" spans="4:12" ht="14.25">
      <c r="D22" s="183">
        <f t="shared" ref="D22:D28" si="5">E22/J22</f>
        <v>3.9256198347107438</v>
      </c>
      <c r="E22" s="3">
        <f t="shared" ref="E22:E28" si="6">(F22*1000000/8)</f>
        <v>140125</v>
      </c>
      <c r="F22" s="3">
        <v>1.121</v>
      </c>
      <c r="G22" s="179">
        <v>24267</v>
      </c>
      <c r="H22" s="375">
        <v>589373156</v>
      </c>
      <c r="I22" s="375">
        <v>589408851</v>
      </c>
      <c r="J22" s="104">
        <f t="shared" ref="J22:J28" si="7">I22-H22</f>
        <v>35695</v>
      </c>
      <c r="K22" s="104">
        <f t="shared" ref="K22:K28" si="8">J22*$R$686</f>
        <v>0</v>
      </c>
      <c r="L22" s="3">
        <v>908890</v>
      </c>
    </row>
    <row r="23" spans="4:12" ht="14.25">
      <c r="D23" s="183">
        <f t="shared" si="5"/>
        <v>3.9579967689822295</v>
      </c>
      <c r="E23" s="3">
        <f t="shared" si="6"/>
        <v>147000</v>
      </c>
      <c r="F23" s="3">
        <v>1.1759999999999999</v>
      </c>
      <c r="G23" s="179" t="s">
        <v>1854</v>
      </c>
      <c r="H23" s="375">
        <v>589408851</v>
      </c>
      <c r="I23" s="375">
        <v>589445991</v>
      </c>
      <c r="J23" s="104">
        <f t="shared" si="7"/>
        <v>37140</v>
      </c>
      <c r="K23" s="104">
        <f t="shared" si="8"/>
        <v>0</v>
      </c>
      <c r="L23" s="3">
        <v>908890</v>
      </c>
    </row>
    <row r="24" spans="4:12" ht="14.25">
      <c r="D24" s="183">
        <f t="shared" si="5"/>
        <v>3.7918760469011725</v>
      </c>
      <c r="E24" s="3">
        <f t="shared" si="6"/>
        <v>226375</v>
      </c>
      <c r="F24" s="3">
        <v>1.8109999999999999</v>
      </c>
      <c r="G24" s="179" t="s">
        <v>1855</v>
      </c>
      <c r="H24" s="375">
        <v>589445991</v>
      </c>
      <c r="I24" s="375">
        <v>589505691</v>
      </c>
      <c r="J24" s="104">
        <f t="shared" si="7"/>
        <v>59700</v>
      </c>
      <c r="K24" s="104">
        <f t="shared" si="8"/>
        <v>0</v>
      </c>
      <c r="L24" s="3">
        <v>908890</v>
      </c>
    </row>
    <row r="25" spans="4:12" ht="14.25">
      <c r="D25" s="183">
        <f t="shared" si="5"/>
        <v>3.7168560606060606</v>
      </c>
      <c r="E25" s="3">
        <f t="shared" si="6"/>
        <v>294375</v>
      </c>
      <c r="F25" s="3">
        <v>2.355</v>
      </c>
      <c r="G25" s="179" t="s">
        <v>1856</v>
      </c>
      <c r="H25" s="375">
        <v>589505691</v>
      </c>
      <c r="I25" s="375">
        <v>589584891</v>
      </c>
      <c r="J25" s="104">
        <f t="shared" si="7"/>
        <v>79200</v>
      </c>
      <c r="K25" s="104">
        <f t="shared" si="8"/>
        <v>0</v>
      </c>
      <c r="L25" s="3">
        <v>908890</v>
      </c>
    </row>
    <row r="26" spans="4:12" ht="14.25">
      <c r="D26" s="183">
        <f t="shared" si="5"/>
        <v>3.8602520045819015</v>
      </c>
      <c r="E26" s="3">
        <f t="shared" si="6"/>
        <v>337000</v>
      </c>
      <c r="F26" s="3">
        <v>2.6960000000000002</v>
      </c>
      <c r="G26" s="179" t="s">
        <v>726</v>
      </c>
      <c r="H26" s="375">
        <v>589584891</v>
      </c>
      <c r="I26" s="375">
        <v>589672191</v>
      </c>
      <c r="J26" s="104">
        <f t="shared" si="7"/>
        <v>87300</v>
      </c>
      <c r="K26" s="104">
        <f t="shared" si="8"/>
        <v>0</v>
      </c>
      <c r="L26" s="3">
        <v>908890</v>
      </c>
    </row>
    <row r="27" spans="4:12" ht="14.25">
      <c r="D27" s="183">
        <f t="shared" si="5"/>
        <v>3.8356050531914891</v>
      </c>
      <c r="E27" s="3">
        <f t="shared" si="6"/>
        <v>346125</v>
      </c>
      <c r="F27" s="3">
        <v>2.7690000000000001</v>
      </c>
      <c r="G27" s="179" t="s">
        <v>1857</v>
      </c>
      <c r="H27" s="375">
        <v>589672191</v>
      </c>
      <c r="I27" s="375">
        <v>589762431</v>
      </c>
      <c r="J27" s="104">
        <f t="shared" si="7"/>
        <v>90240</v>
      </c>
      <c r="K27" s="104">
        <f t="shared" si="8"/>
        <v>0</v>
      </c>
      <c r="L27" s="3">
        <v>908890</v>
      </c>
    </row>
    <row r="28" spans="4:12" ht="14.25">
      <c r="D28" s="183">
        <f t="shared" si="5"/>
        <v>3.7087578845220768</v>
      </c>
      <c r="E28" s="3">
        <f t="shared" si="6"/>
        <v>305750</v>
      </c>
      <c r="F28" s="3">
        <v>2.4460000000000002</v>
      </c>
      <c r="G28" s="179" t="s">
        <v>1858</v>
      </c>
      <c r="H28" s="375">
        <v>589762431</v>
      </c>
      <c r="I28" s="375">
        <v>589844871</v>
      </c>
      <c r="J28" s="104">
        <f t="shared" si="7"/>
        <v>82440</v>
      </c>
      <c r="K28" s="104">
        <f t="shared" si="8"/>
        <v>0</v>
      </c>
      <c r="L28" s="3">
        <v>908890</v>
      </c>
    </row>
    <row r="29" spans="4:12" ht="14.25">
      <c r="D29">
        <f>SUM(D22:D28)/7</f>
        <v>3.8281376647850962</v>
      </c>
      <c r="F29" s="3"/>
      <c r="G29" s="3"/>
      <c r="L29" s="3"/>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0"/>
  <sheetViews>
    <sheetView topLeftCell="B1" zoomScale="110" zoomScaleNormal="110" workbookViewId="0">
      <selection activeCell="L12" sqref="L12"/>
    </sheetView>
  </sheetViews>
  <sheetFormatPr defaultColWidth="9" defaultRowHeight="14.25" customHeight="1"/>
  <cols>
    <col min="1" max="3" width="9" style="4"/>
    <col min="4" max="4" width="11.3984375" style="4" customWidth="1"/>
    <col min="5" max="15" width="9" style="4"/>
    <col min="16" max="16" width="9.86328125" style="4" customWidth="1"/>
    <col min="17" max="16384" width="9" style="4"/>
  </cols>
  <sheetData>
    <row r="1" spans="1:26" ht="14.25" customHeight="1">
      <c r="W1" s="4" t="s">
        <v>1864</v>
      </c>
    </row>
    <row r="2" spans="1:26" ht="14.25" customHeight="1">
      <c r="W2" s="4" t="s">
        <v>1865</v>
      </c>
    </row>
    <row r="4" spans="1:26" ht="14.25" customHeight="1">
      <c r="G4" s="4" t="s">
        <v>1866</v>
      </c>
      <c r="H4" s="4" t="s">
        <v>1867</v>
      </c>
      <c r="I4" s="4" t="s">
        <v>1868</v>
      </c>
      <c r="J4" s="4" t="s">
        <v>750</v>
      </c>
      <c r="K4" s="4" t="s">
        <v>1869</v>
      </c>
      <c r="L4" s="4" t="s">
        <v>1870</v>
      </c>
      <c r="M4" s="4" t="s">
        <v>1871</v>
      </c>
      <c r="N4" s="4" t="s">
        <v>1872</v>
      </c>
      <c r="O4" s="4" t="s">
        <v>1873</v>
      </c>
      <c r="P4" s="4" t="s">
        <v>1874</v>
      </c>
      <c r="Q4" s="4" t="s">
        <v>1875</v>
      </c>
      <c r="R4" s="4" t="s">
        <v>1876</v>
      </c>
      <c r="S4" s="4" t="s">
        <v>1877</v>
      </c>
      <c r="T4" s="4" t="s">
        <v>1878</v>
      </c>
      <c r="W4" s="4">
        <f>108*64*20</f>
        <v>138240</v>
      </c>
      <c r="X4" s="4">
        <f>W4/3600</f>
        <v>38.4</v>
      </c>
    </row>
    <row r="6" spans="1:26" ht="14.25" customHeight="1">
      <c r="A6" s="4" t="s">
        <v>1879</v>
      </c>
      <c r="G6" s="376">
        <v>180</v>
      </c>
      <c r="H6" s="376">
        <v>20</v>
      </c>
      <c r="I6" s="376">
        <v>100</v>
      </c>
      <c r="J6" s="376">
        <v>100</v>
      </c>
      <c r="K6" s="376">
        <v>7200</v>
      </c>
      <c r="L6" s="31">
        <f t="shared" ref="L6:L11" si="0">I6/J6</f>
        <v>1</v>
      </c>
      <c r="M6" s="31">
        <f t="shared" ref="M6:M11" si="1">K6/J6</f>
        <v>72</v>
      </c>
      <c r="N6" s="31">
        <f t="shared" ref="N6:N11" si="2">J6/H6</f>
        <v>5</v>
      </c>
      <c r="O6" s="31">
        <f t="shared" ref="O6:O11" si="3">10*G6/J6</f>
        <v>18</v>
      </c>
      <c r="P6" s="31">
        <f t="shared" ref="P6:P11" si="4">10*G6/H6</f>
        <v>90</v>
      </c>
      <c r="Q6" s="31">
        <f t="shared" ref="Q6:T11" si="5">H6/10</f>
        <v>2</v>
      </c>
      <c r="R6" s="31">
        <f t="shared" si="5"/>
        <v>10</v>
      </c>
      <c r="S6" s="31">
        <f t="shared" si="5"/>
        <v>10</v>
      </c>
      <c r="T6" s="31">
        <f t="shared" si="5"/>
        <v>720</v>
      </c>
    </row>
    <row r="7" spans="1:26" ht="14.25" customHeight="1">
      <c r="E7" s="4" t="s">
        <v>1880</v>
      </c>
      <c r="F7" s="4" t="s">
        <v>1881</v>
      </c>
      <c r="G7" s="376">
        <v>180</v>
      </c>
      <c r="H7" s="376">
        <v>20</v>
      </c>
      <c r="I7" s="376">
        <v>101</v>
      </c>
      <c r="J7" s="376">
        <v>101</v>
      </c>
      <c r="K7" s="376">
        <v>7201</v>
      </c>
      <c r="L7" s="31">
        <f t="shared" si="0"/>
        <v>1</v>
      </c>
      <c r="M7" s="31">
        <f t="shared" si="1"/>
        <v>71.297029702970292</v>
      </c>
      <c r="N7" s="31">
        <f t="shared" si="2"/>
        <v>5.05</v>
      </c>
      <c r="O7" s="31">
        <f t="shared" si="3"/>
        <v>17.821782178217823</v>
      </c>
      <c r="P7" s="31">
        <f t="shared" si="4"/>
        <v>90</v>
      </c>
      <c r="Q7" s="31">
        <f t="shared" si="5"/>
        <v>2</v>
      </c>
      <c r="R7" s="31">
        <f t="shared" si="5"/>
        <v>10.1</v>
      </c>
      <c r="S7" s="31">
        <f t="shared" si="5"/>
        <v>10.1</v>
      </c>
      <c r="T7" s="31">
        <f t="shared" si="5"/>
        <v>720.1</v>
      </c>
    </row>
    <row r="8" spans="1:26" ht="14.25" customHeight="1">
      <c r="E8" s="4" t="s">
        <v>1882</v>
      </c>
      <c r="F8" s="4" t="s">
        <v>1883</v>
      </c>
      <c r="G8" s="376">
        <v>180</v>
      </c>
      <c r="H8" s="376">
        <v>20</v>
      </c>
      <c r="I8" s="376">
        <v>99</v>
      </c>
      <c r="J8" s="376">
        <v>99</v>
      </c>
      <c r="K8" s="376">
        <v>7199</v>
      </c>
      <c r="L8" s="31">
        <f t="shared" si="0"/>
        <v>1</v>
      </c>
      <c r="M8" s="31">
        <f t="shared" si="1"/>
        <v>72.717171717171723</v>
      </c>
      <c r="N8" s="31">
        <f t="shared" si="2"/>
        <v>4.95</v>
      </c>
      <c r="O8" s="31">
        <f t="shared" si="3"/>
        <v>18.181818181818183</v>
      </c>
      <c r="P8" s="31">
        <f t="shared" si="4"/>
        <v>90</v>
      </c>
      <c r="Q8" s="31">
        <f t="shared" si="5"/>
        <v>2</v>
      </c>
      <c r="R8" s="31">
        <f t="shared" si="5"/>
        <v>9.9</v>
      </c>
      <c r="S8" s="31">
        <f t="shared" si="5"/>
        <v>9.9</v>
      </c>
      <c r="T8" s="31">
        <f t="shared" si="5"/>
        <v>719.9</v>
      </c>
      <c r="Z8" s="4">
        <f>24*10*180*0.2</f>
        <v>8640</v>
      </c>
    </row>
    <row r="9" spans="1:26" ht="14.25" customHeight="1">
      <c r="E9" s="4" t="s">
        <v>1884</v>
      </c>
      <c r="F9" s="4" t="s">
        <v>1885</v>
      </c>
      <c r="G9" s="376">
        <v>180</v>
      </c>
      <c r="H9" s="376">
        <v>20</v>
      </c>
      <c r="I9" s="376">
        <v>400</v>
      </c>
      <c r="J9" s="376">
        <v>400</v>
      </c>
      <c r="K9" s="376">
        <v>7200</v>
      </c>
      <c r="L9" s="31">
        <f t="shared" si="0"/>
        <v>1</v>
      </c>
      <c r="M9" s="31">
        <f t="shared" si="1"/>
        <v>18</v>
      </c>
      <c r="N9" s="31">
        <f t="shared" si="2"/>
        <v>20</v>
      </c>
      <c r="O9" s="31">
        <f t="shared" si="3"/>
        <v>4.5</v>
      </c>
      <c r="P9" s="31">
        <f t="shared" si="4"/>
        <v>90</v>
      </c>
      <c r="Q9" s="31">
        <f t="shared" si="5"/>
        <v>2</v>
      </c>
      <c r="R9" s="31">
        <f t="shared" si="5"/>
        <v>40</v>
      </c>
      <c r="S9" s="31">
        <f t="shared" si="5"/>
        <v>40</v>
      </c>
      <c r="T9" s="31">
        <f t="shared" si="5"/>
        <v>720</v>
      </c>
      <c r="V9" s="377" t="s">
        <v>1886</v>
      </c>
      <c r="Z9" s="31">
        <f>8640/(24*10*200)</f>
        <v>0.18</v>
      </c>
    </row>
    <row r="10" spans="1:26" ht="14.25" customHeight="1">
      <c r="E10" s="4" t="s">
        <v>1887</v>
      </c>
      <c r="F10" s="4" t="s">
        <v>1888</v>
      </c>
      <c r="G10" s="376">
        <v>180</v>
      </c>
      <c r="H10" s="376">
        <v>20</v>
      </c>
      <c r="I10" s="376">
        <v>500</v>
      </c>
      <c r="J10" s="376">
        <v>400</v>
      </c>
      <c r="K10" s="376">
        <v>7200</v>
      </c>
      <c r="L10" s="31">
        <f t="shared" si="0"/>
        <v>1.25</v>
      </c>
      <c r="M10" s="31">
        <f t="shared" si="1"/>
        <v>18</v>
      </c>
      <c r="N10" s="31">
        <f t="shared" si="2"/>
        <v>20</v>
      </c>
      <c r="O10" s="31">
        <f t="shared" si="3"/>
        <v>4.5</v>
      </c>
      <c r="P10" s="31">
        <f t="shared" si="4"/>
        <v>90</v>
      </c>
      <c r="Q10" s="31">
        <f t="shared" si="5"/>
        <v>2</v>
      </c>
      <c r="R10" s="31">
        <f t="shared" si="5"/>
        <v>50</v>
      </c>
      <c r="S10" s="31">
        <f t="shared" si="5"/>
        <v>40</v>
      </c>
      <c r="T10" s="31">
        <f t="shared" si="5"/>
        <v>720</v>
      </c>
    </row>
    <row r="11" spans="1:26" ht="14.25" customHeight="1">
      <c r="D11" s="4">
        <v>540496956</v>
      </c>
      <c r="E11" s="4" t="s">
        <v>1889</v>
      </c>
      <c r="F11" s="4" t="s">
        <v>1890</v>
      </c>
      <c r="G11" s="376">
        <v>180</v>
      </c>
      <c r="H11" s="376">
        <v>20</v>
      </c>
      <c r="I11" s="376">
        <v>501</v>
      </c>
      <c r="J11" s="376">
        <v>405</v>
      </c>
      <c r="K11" s="376">
        <v>7201</v>
      </c>
      <c r="L11" s="31">
        <f t="shared" si="0"/>
        <v>1.2370370370370369</v>
      </c>
      <c r="M11" s="31">
        <f t="shared" si="1"/>
        <v>17.780246913580246</v>
      </c>
      <c r="N11" s="31">
        <f t="shared" si="2"/>
        <v>20.25</v>
      </c>
      <c r="O11" s="31">
        <f t="shared" si="3"/>
        <v>4.4444444444444446</v>
      </c>
      <c r="P11" s="31">
        <f t="shared" si="4"/>
        <v>90</v>
      </c>
      <c r="Q11" s="31">
        <f t="shared" si="5"/>
        <v>2</v>
      </c>
      <c r="R11" s="31">
        <f t="shared" si="5"/>
        <v>50.1</v>
      </c>
      <c r="S11" s="31">
        <f t="shared" si="5"/>
        <v>40.5</v>
      </c>
      <c r="T11" s="31">
        <f t="shared" si="5"/>
        <v>720.1</v>
      </c>
    </row>
    <row r="12" spans="1:26" ht="14.25" customHeight="1">
      <c r="C12" s="4">
        <f>D12-D11</f>
        <v>405</v>
      </c>
      <c r="D12" s="4">
        <v>540497361</v>
      </c>
      <c r="E12" s="4" t="s">
        <v>1891</v>
      </c>
      <c r="F12" s="4" t="s">
        <v>1892</v>
      </c>
    </row>
    <row r="15" spans="1:26">
      <c r="F15" s="4" t="s">
        <v>1893</v>
      </c>
      <c r="G15" s="376">
        <v>180</v>
      </c>
      <c r="H15" s="376">
        <v>20</v>
      </c>
      <c r="I15" s="376">
        <v>100</v>
      </c>
      <c r="J15" s="376">
        <v>100</v>
      </c>
      <c r="K15" s="376">
        <v>7200</v>
      </c>
      <c r="L15" s="31">
        <f t="shared" ref="L15:L20" si="6">I15/J15</f>
        <v>1</v>
      </c>
      <c r="M15" s="31">
        <f t="shared" ref="M15:M20" si="7">K15/J15</f>
        <v>72</v>
      </c>
      <c r="N15" s="31">
        <f t="shared" ref="N15:N20" si="8">J15/H15</f>
        <v>5</v>
      </c>
      <c r="O15" s="31">
        <f t="shared" ref="O15:O20" si="9">10*G15/J15</f>
        <v>18</v>
      </c>
      <c r="P15" s="31">
        <f t="shared" ref="P15:P20" si="10">10*G15/H15</f>
        <v>90</v>
      </c>
      <c r="Q15" s="31">
        <f t="shared" ref="Q15:T20" si="11">H15/10</f>
        <v>2</v>
      </c>
      <c r="R15" s="31">
        <f t="shared" si="11"/>
        <v>10</v>
      </c>
      <c r="S15" s="31">
        <f t="shared" si="11"/>
        <v>10</v>
      </c>
      <c r="T15" s="31">
        <f t="shared" si="11"/>
        <v>720</v>
      </c>
    </row>
    <row r="16" spans="1:26">
      <c r="G16" s="376">
        <v>180</v>
      </c>
      <c r="H16" s="376">
        <v>20</v>
      </c>
      <c r="I16" s="376">
        <v>101</v>
      </c>
      <c r="J16" s="376">
        <v>101</v>
      </c>
      <c r="K16" s="376">
        <v>7201</v>
      </c>
      <c r="L16" s="31">
        <f t="shared" si="6"/>
        <v>1</v>
      </c>
      <c r="M16" s="31">
        <f t="shared" si="7"/>
        <v>71.297029702970292</v>
      </c>
      <c r="N16" s="31">
        <f t="shared" si="8"/>
        <v>5.05</v>
      </c>
      <c r="O16" s="31">
        <f t="shared" si="9"/>
        <v>17.821782178217823</v>
      </c>
      <c r="P16" s="31">
        <f t="shared" si="10"/>
        <v>90</v>
      </c>
      <c r="Q16" s="31">
        <f t="shared" si="11"/>
        <v>2</v>
      </c>
      <c r="R16" s="31">
        <f t="shared" si="11"/>
        <v>10.1</v>
      </c>
      <c r="S16" s="31">
        <f t="shared" si="11"/>
        <v>10.1</v>
      </c>
      <c r="T16" s="31">
        <f t="shared" si="11"/>
        <v>720.1</v>
      </c>
    </row>
    <row r="17" spans="7:20">
      <c r="G17" s="376">
        <v>180</v>
      </c>
      <c r="H17" s="376">
        <v>20</v>
      </c>
      <c r="I17" s="376">
        <v>99</v>
      </c>
      <c r="J17" s="376">
        <v>99</v>
      </c>
      <c r="K17" s="376">
        <v>7199</v>
      </c>
      <c r="L17" s="31">
        <f t="shared" si="6"/>
        <v>1</v>
      </c>
      <c r="M17" s="31">
        <f t="shared" si="7"/>
        <v>72.717171717171723</v>
      </c>
      <c r="N17" s="31">
        <f t="shared" si="8"/>
        <v>4.95</v>
      </c>
      <c r="O17" s="31">
        <f t="shared" si="9"/>
        <v>18.181818181818183</v>
      </c>
      <c r="P17" s="31">
        <f t="shared" si="10"/>
        <v>90</v>
      </c>
      <c r="Q17" s="31">
        <f t="shared" si="11"/>
        <v>2</v>
      </c>
      <c r="R17" s="31">
        <f t="shared" si="11"/>
        <v>9.9</v>
      </c>
      <c r="S17" s="31">
        <f t="shared" si="11"/>
        <v>9.9</v>
      </c>
      <c r="T17" s="31">
        <f t="shared" si="11"/>
        <v>719.9</v>
      </c>
    </row>
    <row r="18" spans="7:20">
      <c r="G18" s="376">
        <v>180</v>
      </c>
      <c r="H18" s="376">
        <v>20</v>
      </c>
      <c r="I18" s="376">
        <v>400</v>
      </c>
      <c r="J18" s="376">
        <v>400</v>
      </c>
      <c r="K18" s="376">
        <v>7200</v>
      </c>
      <c r="L18" s="31">
        <f t="shared" si="6"/>
        <v>1</v>
      </c>
      <c r="M18" s="31">
        <f t="shared" si="7"/>
        <v>18</v>
      </c>
      <c r="N18" s="31">
        <f t="shared" si="8"/>
        <v>20</v>
      </c>
      <c r="O18" s="31">
        <f t="shared" si="9"/>
        <v>4.5</v>
      </c>
      <c r="P18" s="31">
        <f t="shared" si="10"/>
        <v>90</v>
      </c>
      <c r="Q18" s="31">
        <f t="shared" si="11"/>
        <v>2</v>
      </c>
      <c r="R18" s="31">
        <f t="shared" si="11"/>
        <v>40</v>
      </c>
      <c r="S18" s="31">
        <f t="shared" si="11"/>
        <v>40</v>
      </c>
      <c r="T18" s="31">
        <f t="shared" si="11"/>
        <v>720</v>
      </c>
    </row>
    <row r="19" spans="7:20">
      <c r="G19" s="376">
        <v>180</v>
      </c>
      <c r="H19" s="376">
        <v>20</v>
      </c>
      <c r="I19" s="376">
        <v>500</v>
      </c>
      <c r="J19" s="376">
        <v>400</v>
      </c>
      <c r="K19" s="376">
        <v>7200</v>
      </c>
      <c r="L19" s="31">
        <f t="shared" si="6"/>
        <v>1.25</v>
      </c>
      <c r="M19" s="31">
        <f t="shared" si="7"/>
        <v>18</v>
      </c>
      <c r="N19" s="31">
        <f t="shared" si="8"/>
        <v>20</v>
      </c>
      <c r="O19" s="31">
        <f t="shared" si="9"/>
        <v>4.5</v>
      </c>
      <c r="P19" s="31">
        <f t="shared" si="10"/>
        <v>90</v>
      </c>
      <c r="Q19" s="31">
        <f t="shared" si="11"/>
        <v>2</v>
      </c>
      <c r="R19" s="31">
        <f t="shared" si="11"/>
        <v>50</v>
      </c>
      <c r="S19" s="31">
        <f t="shared" si="11"/>
        <v>40</v>
      </c>
      <c r="T19" s="31">
        <f t="shared" si="11"/>
        <v>720</v>
      </c>
    </row>
    <row r="20" spans="7:20">
      <c r="G20" s="376">
        <v>180</v>
      </c>
      <c r="H20" s="376">
        <v>20</v>
      </c>
      <c r="I20" s="376">
        <v>501</v>
      </c>
      <c r="J20" s="376">
        <v>405</v>
      </c>
      <c r="K20" s="376">
        <v>7201</v>
      </c>
      <c r="L20" s="31">
        <f t="shared" si="6"/>
        <v>1.2370370370370369</v>
      </c>
      <c r="M20" s="31">
        <f t="shared" si="7"/>
        <v>17.780246913580246</v>
      </c>
      <c r="N20" s="31">
        <f t="shared" si="8"/>
        <v>20.25</v>
      </c>
      <c r="O20" s="31">
        <f t="shared" si="9"/>
        <v>4.4444444444444446</v>
      </c>
      <c r="P20" s="31">
        <f t="shared" si="10"/>
        <v>90</v>
      </c>
      <c r="Q20" s="31">
        <f t="shared" si="11"/>
        <v>2</v>
      </c>
      <c r="R20" s="31">
        <f t="shared" si="11"/>
        <v>50.1</v>
      </c>
      <c r="S20" s="31">
        <f t="shared" si="11"/>
        <v>40.5</v>
      </c>
      <c r="T20" s="31">
        <f t="shared" si="11"/>
        <v>720.1</v>
      </c>
    </row>
  </sheetData>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F37"/>
  <sheetViews>
    <sheetView topLeftCell="A2" zoomScale="110" zoomScaleNormal="110" workbookViewId="0">
      <pane xSplit="2" ySplit="3" topLeftCell="C23" activePane="bottomRight" state="frozen"/>
      <selection activeCell="A2" sqref="A2"/>
      <selection pane="topRight" activeCell="C2" sqref="C2"/>
      <selection pane="bottomLeft" activeCell="A23" sqref="A23"/>
      <selection pane="bottomRight" activeCell="G30" sqref="G30"/>
    </sheetView>
  </sheetViews>
  <sheetFormatPr defaultColWidth="9" defaultRowHeight="14.25" customHeight="1"/>
  <cols>
    <col min="1" max="15" width="9" style="3"/>
    <col min="16" max="16" width="64" style="93" customWidth="1"/>
    <col min="17" max="16384" width="9" style="3"/>
  </cols>
  <sheetData>
    <row r="3" spans="1:16" ht="14.25" customHeight="1">
      <c r="A3" s="145" t="s">
        <v>1894</v>
      </c>
      <c r="B3" s="145" t="s">
        <v>1895</v>
      </c>
      <c r="C3" s="145" t="s">
        <v>1896</v>
      </c>
      <c r="D3" s="145" t="s">
        <v>1897</v>
      </c>
      <c r="E3" s="145" t="s">
        <v>1898</v>
      </c>
      <c r="F3" s="145" t="s">
        <v>1899</v>
      </c>
      <c r="G3" s="145" t="s">
        <v>1900</v>
      </c>
      <c r="H3" s="145" t="s">
        <v>1898</v>
      </c>
      <c r="I3" s="145" t="s">
        <v>1901</v>
      </c>
      <c r="J3" s="145" t="s">
        <v>1902</v>
      </c>
      <c r="K3" s="145" t="s">
        <v>12</v>
      </c>
      <c r="L3" s="145" t="s">
        <v>776</v>
      </c>
      <c r="M3" s="145" t="s">
        <v>773</v>
      </c>
      <c r="N3" s="145" t="s">
        <v>774</v>
      </c>
      <c r="O3" s="145" t="s">
        <v>1903</v>
      </c>
      <c r="P3" s="91" t="s">
        <v>1904</v>
      </c>
    </row>
    <row r="4" spans="1:16" ht="14.25" customHeight="1">
      <c r="A4" s="145"/>
      <c r="B4" s="145"/>
      <c r="C4" s="145"/>
      <c r="D4" s="145" t="s">
        <v>1905</v>
      </c>
      <c r="E4" s="145" t="s">
        <v>1906</v>
      </c>
      <c r="F4" s="145" t="s">
        <v>1907</v>
      </c>
      <c r="G4" s="145" t="s">
        <v>1908</v>
      </c>
      <c r="H4" s="145" t="s">
        <v>1909</v>
      </c>
      <c r="I4" s="145" t="s">
        <v>1910</v>
      </c>
      <c r="J4" s="145" t="s">
        <v>1567</v>
      </c>
      <c r="K4" s="145"/>
      <c r="L4" s="145"/>
      <c r="M4" s="145"/>
      <c r="N4" s="145"/>
      <c r="O4" s="145"/>
    </row>
    <row r="5" spans="1:16" ht="14.25" customHeight="1">
      <c r="A5" s="3">
        <v>23064</v>
      </c>
      <c r="B5" s="3">
        <v>64</v>
      </c>
      <c r="C5" s="92" t="s">
        <v>1911</v>
      </c>
      <c r="D5" s="378" t="s">
        <v>1912</v>
      </c>
      <c r="E5" s="3">
        <v>0</v>
      </c>
      <c r="F5" s="378">
        <v>6</v>
      </c>
      <c r="K5" s="3">
        <v>180</v>
      </c>
      <c r="L5" s="3">
        <v>180</v>
      </c>
      <c r="M5" s="3">
        <v>7200</v>
      </c>
      <c r="N5" s="3">
        <v>1800</v>
      </c>
      <c r="O5" s="3" t="s">
        <v>1913</v>
      </c>
      <c r="P5" s="93" t="s">
        <v>1914</v>
      </c>
    </row>
    <row r="6" spans="1:16" ht="14.25" customHeight="1">
      <c r="B6" s="3">
        <v>69</v>
      </c>
      <c r="C6" s="3" t="s">
        <v>1915</v>
      </c>
    </row>
    <row r="7" spans="1:16" ht="14.25" customHeight="1">
      <c r="B7" s="3">
        <v>69</v>
      </c>
      <c r="C7" s="92" t="s">
        <v>1911</v>
      </c>
      <c r="D7" s="378" t="s">
        <v>1912</v>
      </c>
      <c r="E7" s="3">
        <v>0</v>
      </c>
      <c r="F7" s="3">
        <v>6</v>
      </c>
      <c r="K7" s="3">
        <v>180</v>
      </c>
      <c r="L7" s="3">
        <v>180</v>
      </c>
      <c r="M7" s="3">
        <v>7200</v>
      </c>
      <c r="N7" s="3">
        <v>1800</v>
      </c>
      <c r="O7" s="3" t="s">
        <v>1913</v>
      </c>
    </row>
    <row r="8" spans="1:16" ht="14.25" customHeight="1">
      <c r="A8" s="3">
        <v>23086</v>
      </c>
      <c r="B8" s="3">
        <v>105</v>
      </c>
      <c r="C8" s="3" t="s">
        <v>1915</v>
      </c>
    </row>
    <row r="9" spans="1:16" ht="14.25" customHeight="1">
      <c r="A9" s="3">
        <v>23107</v>
      </c>
      <c r="B9" s="3">
        <v>109</v>
      </c>
      <c r="C9" s="92" t="s">
        <v>1911</v>
      </c>
      <c r="D9" s="378" t="s">
        <v>1912</v>
      </c>
      <c r="E9" s="3">
        <v>0</v>
      </c>
      <c r="F9" s="3">
        <v>6</v>
      </c>
      <c r="K9" s="3">
        <v>180</v>
      </c>
      <c r="L9" s="3">
        <v>180</v>
      </c>
      <c r="M9" s="3">
        <v>7200</v>
      </c>
      <c r="N9" s="3">
        <v>1800</v>
      </c>
      <c r="O9" s="3" t="s">
        <v>1913</v>
      </c>
    </row>
    <row r="10" spans="1:16" ht="14.25" customHeight="1">
      <c r="A10" s="3">
        <v>23135</v>
      </c>
      <c r="B10" s="3">
        <v>141</v>
      </c>
      <c r="C10" s="3" t="s">
        <v>1915</v>
      </c>
    </row>
    <row r="11" spans="1:16" ht="14.25" customHeight="1">
      <c r="A11" s="3">
        <v>23149</v>
      </c>
      <c r="B11" s="3">
        <v>150</v>
      </c>
      <c r="C11" s="92" t="s">
        <v>1911</v>
      </c>
      <c r="D11" s="378" t="s">
        <v>1912</v>
      </c>
      <c r="E11" s="3">
        <v>0</v>
      </c>
      <c r="F11" s="378">
        <v>3</v>
      </c>
      <c r="G11" s="378">
        <v>0.01</v>
      </c>
      <c r="K11" s="378">
        <v>100</v>
      </c>
      <c r="L11" s="378">
        <v>100</v>
      </c>
      <c r="M11" s="3">
        <v>7200</v>
      </c>
      <c r="N11" s="3">
        <v>1800</v>
      </c>
      <c r="O11" s="3" t="s">
        <v>1913</v>
      </c>
      <c r="P11" s="93" t="s">
        <v>1916</v>
      </c>
    </row>
    <row r="12" spans="1:16" ht="14.25" customHeight="1">
      <c r="B12" s="379">
        <v>151</v>
      </c>
      <c r="E12" s="3">
        <v>1</v>
      </c>
      <c r="F12" s="3">
        <v>3</v>
      </c>
      <c r="G12" s="3">
        <v>0.01</v>
      </c>
      <c r="H12" s="379" t="s">
        <v>1912</v>
      </c>
      <c r="I12" s="379" t="s">
        <v>1912</v>
      </c>
      <c r="J12" s="379" t="s">
        <v>1917</v>
      </c>
      <c r="P12" s="380" t="s">
        <v>1918</v>
      </c>
    </row>
    <row r="13" spans="1:16" ht="14.25" customHeight="1">
      <c r="B13" s="379">
        <v>153</v>
      </c>
      <c r="E13" s="3">
        <v>2</v>
      </c>
      <c r="F13" s="3">
        <v>3</v>
      </c>
      <c r="G13" s="3">
        <v>0.01</v>
      </c>
      <c r="H13" s="379" t="s">
        <v>1912</v>
      </c>
      <c r="I13" s="379" t="s">
        <v>1912</v>
      </c>
      <c r="J13" s="379" t="s">
        <v>1919</v>
      </c>
      <c r="P13" s="380" t="s">
        <v>1920</v>
      </c>
    </row>
    <row r="14" spans="1:16" ht="14.25" customHeight="1">
      <c r="B14" s="379">
        <v>155</v>
      </c>
      <c r="E14" s="3">
        <v>3</v>
      </c>
      <c r="F14" s="3">
        <v>3</v>
      </c>
      <c r="G14" s="3">
        <v>0.01</v>
      </c>
      <c r="H14" s="379" t="s">
        <v>1912</v>
      </c>
      <c r="I14" s="379" t="s">
        <v>1912</v>
      </c>
      <c r="J14" s="379" t="s">
        <v>1921</v>
      </c>
      <c r="P14" s="380" t="s">
        <v>1922</v>
      </c>
    </row>
    <row r="15" spans="1:16" ht="14.25" customHeight="1">
      <c r="B15" s="3">
        <v>157</v>
      </c>
      <c r="E15" s="52">
        <v>4</v>
      </c>
      <c r="F15" s="52">
        <v>3</v>
      </c>
      <c r="H15" s="379" t="s">
        <v>1912</v>
      </c>
      <c r="I15" s="3" t="s">
        <v>1923</v>
      </c>
      <c r="P15" s="93" t="s">
        <v>1924</v>
      </c>
    </row>
    <row r="16" spans="1:16" ht="14.25" customHeight="1">
      <c r="B16" s="3">
        <v>170</v>
      </c>
      <c r="D16" s="3" t="s">
        <v>1923</v>
      </c>
      <c r="F16" s="378">
        <v>6</v>
      </c>
      <c r="G16" s="378">
        <v>0.2</v>
      </c>
      <c r="P16" s="93" t="s">
        <v>1925</v>
      </c>
    </row>
    <row r="17" spans="1:16" ht="14.25" customHeight="1">
      <c r="A17" s="3">
        <v>23170</v>
      </c>
      <c r="B17" s="379">
        <v>182</v>
      </c>
      <c r="D17" s="3" t="s">
        <v>1923</v>
      </c>
      <c r="E17" s="3">
        <v>5</v>
      </c>
      <c r="F17" s="3">
        <v>6</v>
      </c>
      <c r="G17" s="3">
        <v>0.2</v>
      </c>
      <c r="H17" s="379" t="s">
        <v>1912</v>
      </c>
      <c r="I17" s="379" t="s">
        <v>1912</v>
      </c>
      <c r="J17" s="379" t="s">
        <v>1926</v>
      </c>
      <c r="P17" s="380" t="s">
        <v>1927</v>
      </c>
    </row>
    <row r="18" spans="1:16" ht="14.25" customHeight="1">
      <c r="A18" s="3">
        <v>23191</v>
      </c>
      <c r="B18" s="379">
        <v>194</v>
      </c>
      <c r="E18" s="3">
        <v>6</v>
      </c>
      <c r="F18" s="3">
        <v>6</v>
      </c>
      <c r="G18" s="3">
        <v>0.2</v>
      </c>
      <c r="H18" s="379" t="s">
        <v>1912</v>
      </c>
      <c r="I18" s="379" t="s">
        <v>1912</v>
      </c>
      <c r="J18" s="379" t="s">
        <v>1928</v>
      </c>
      <c r="P18" s="380" t="s">
        <v>1929</v>
      </c>
    </row>
    <row r="19" spans="1:16" ht="14.25" customHeight="1">
      <c r="A19" s="3">
        <v>23212</v>
      </c>
      <c r="B19" s="3">
        <v>216</v>
      </c>
      <c r="C19" s="3" t="s">
        <v>1915</v>
      </c>
    </row>
    <row r="20" spans="1:16" ht="14.25" customHeight="1">
      <c r="B20" s="3">
        <v>221</v>
      </c>
      <c r="C20" s="92" t="s">
        <v>1911</v>
      </c>
      <c r="D20" s="3" t="s">
        <v>1923</v>
      </c>
      <c r="F20" s="3">
        <v>6</v>
      </c>
      <c r="G20" s="378">
        <v>1.5</v>
      </c>
      <c r="K20" s="3">
        <v>100</v>
      </c>
      <c r="L20" s="3">
        <v>100</v>
      </c>
      <c r="M20" s="3">
        <v>7200</v>
      </c>
      <c r="N20" s="3">
        <v>1800</v>
      </c>
      <c r="O20" s="378" t="s">
        <v>1930</v>
      </c>
      <c r="P20" s="93" t="s">
        <v>1931</v>
      </c>
    </row>
    <row r="21" spans="1:16" ht="14.25" customHeight="1">
      <c r="A21" s="3">
        <v>23233</v>
      </c>
      <c r="B21" s="3">
        <v>231</v>
      </c>
      <c r="C21" s="3" t="s">
        <v>1915</v>
      </c>
    </row>
    <row r="22" spans="1:16" ht="14.25" customHeight="1">
      <c r="B22" s="3">
        <v>234</v>
      </c>
      <c r="C22" s="92" t="s">
        <v>1911</v>
      </c>
      <c r="D22" s="3" t="s">
        <v>1923</v>
      </c>
      <c r="F22" s="378">
        <v>12</v>
      </c>
      <c r="G22" s="378">
        <v>1.5</v>
      </c>
      <c r="K22" s="3">
        <v>100</v>
      </c>
      <c r="L22" s="3">
        <v>100</v>
      </c>
      <c r="M22" s="3">
        <v>7200</v>
      </c>
      <c r="N22" s="3">
        <v>1800</v>
      </c>
      <c r="O22" s="3" t="s">
        <v>1930</v>
      </c>
      <c r="P22" s="93" t="s">
        <v>1932</v>
      </c>
    </row>
    <row r="23" spans="1:16" ht="14.25" customHeight="1">
      <c r="A23" s="3">
        <v>23245</v>
      </c>
      <c r="B23" s="3">
        <v>254</v>
      </c>
      <c r="C23" s="3" t="s">
        <v>1915</v>
      </c>
    </row>
    <row r="24" spans="1:16" ht="14.25" customHeight="1">
      <c r="B24" s="3">
        <v>247</v>
      </c>
      <c r="C24" s="92" t="s">
        <v>1911</v>
      </c>
      <c r="D24" s="3" t="s">
        <v>1923</v>
      </c>
      <c r="F24" s="3">
        <v>12</v>
      </c>
      <c r="G24" s="378">
        <v>1.5</v>
      </c>
      <c r="K24" s="3">
        <v>100</v>
      </c>
      <c r="L24" s="3">
        <v>100</v>
      </c>
      <c r="M24" s="3">
        <v>7200</v>
      </c>
      <c r="N24" s="3">
        <v>1800</v>
      </c>
      <c r="O24" s="3" t="s">
        <v>1930</v>
      </c>
      <c r="P24" s="93" t="s">
        <v>1932</v>
      </c>
    </row>
    <row r="25" spans="1:16" ht="14.25" customHeight="1">
      <c r="A25" s="3">
        <v>23254</v>
      </c>
      <c r="B25" s="3">
        <v>260</v>
      </c>
      <c r="C25" s="3" t="s">
        <v>1915</v>
      </c>
    </row>
    <row r="26" spans="1:16" ht="14.25" customHeight="1">
      <c r="B26" s="3">
        <v>261</v>
      </c>
      <c r="C26" s="92" t="s">
        <v>1911</v>
      </c>
      <c r="D26" s="3" t="s">
        <v>1923</v>
      </c>
      <c r="F26" s="3">
        <v>12</v>
      </c>
      <c r="G26" s="378">
        <v>1.5</v>
      </c>
      <c r="K26" s="3">
        <v>100</v>
      </c>
      <c r="L26" s="3">
        <v>100</v>
      </c>
      <c r="M26" s="3">
        <v>7200</v>
      </c>
      <c r="N26" s="3">
        <v>1800</v>
      </c>
      <c r="O26" s="3" t="s">
        <v>1930</v>
      </c>
      <c r="P26" s="93" t="s">
        <v>1932</v>
      </c>
    </row>
    <row r="27" spans="1:16" ht="14.25" customHeight="1">
      <c r="B27" s="3">
        <v>263</v>
      </c>
      <c r="C27" s="3" t="s">
        <v>1915</v>
      </c>
    </row>
    <row r="28" spans="1:16" ht="14.25" customHeight="1">
      <c r="B28" s="3">
        <v>266</v>
      </c>
      <c r="C28" s="92" t="s">
        <v>1911</v>
      </c>
      <c r="D28" s="3" t="s">
        <v>1923</v>
      </c>
      <c r="F28" s="3">
        <v>12</v>
      </c>
      <c r="G28" s="378">
        <v>1.5</v>
      </c>
      <c r="K28" s="3">
        <v>100</v>
      </c>
      <c r="L28" s="3">
        <v>100</v>
      </c>
      <c r="M28" s="3">
        <v>7200</v>
      </c>
      <c r="N28" s="3">
        <v>1800</v>
      </c>
      <c r="O28" s="3" t="s">
        <v>1930</v>
      </c>
      <c r="P28" s="93" t="s">
        <v>1932</v>
      </c>
    </row>
    <row r="29" spans="1:16" ht="14.25" customHeight="1">
      <c r="B29" s="3">
        <v>269</v>
      </c>
      <c r="C29" s="3" t="s">
        <v>1915</v>
      </c>
    </row>
    <row r="30" spans="1:16" ht="14.25" customHeight="1">
      <c r="B30" s="3">
        <v>270</v>
      </c>
      <c r="C30" s="92" t="s">
        <v>1911</v>
      </c>
      <c r="D30" s="3" t="s">
        <v>1923</v>
      </c>
      <c r="F30" s="3">
        <v>12</v>
      </c>
      <c r="G30" s="378">
        <v>1.5</v>
      </c>
      <c r="K30" s="3">
        <v>100</v>
      </c>
      <c r="L30" s="3">
        <v>100</v>
      </c>
      <c r="M30" s="3">
        <v>7200</v>
      </c>
      <c r="N30" s="3">
        <v>1800</v>
      </c>
      <c r="O30" s="378" t="s">
        <v>1913</v>
      </c>
      <c r="P30" s="93" t="s">
        <v>1933</v>
      </c>
    </row>
    <row r="31" spans="1:16" ht="14.25" customHeight="1">
      <c r="A31" s="3">
        <v>23275</v>
      </c>
      <c r="B31" s="3">
        <v>275</v>
      </c>
      <c r="G31" s="378">
        <v>0.4</v>
      </c>
      <c r="P31" s="93" t="s">
        <v>1934</v>
      </c>
    </row>
    <row r="32" spans="1:16" ht="14.25" customHeight="1">
      <c r="A32" s="3">
        <v>23296</v>
      </c>
      <c r="B32" s="379">
        <v>311</v>
      </c>
      <c r="E32" s="3">
        <v>7</v>
      </c>
      <c r="F32" s="3">
        <v>12</v>
      </c>
      <c r="H32" s="379" t="s">
        <v>1912</v>
      </c>
      <c r="I32" s="379" t="s">
        <v>1912</v>
      </c>
      <c r="J32" s="379" t="s">
        <v>1935</v>
      </c>
      <c r="P32" s="380" t="s">
        <v>1936</v>
      </c>
    </row>
    <row r="33" spans="1:32" ht="14.25" customHeight="1">
      <c r="A33" s="3">
        <v>24015</v>
      </c>
      <c r="B33" s="3">
        <v>15</v>
      </c>
      <c r="D33" s="3" t="s">
        <v>1923</v>
      </c>
      <c r="F33" s="378">
        <v>13</v>
      </c>
      <c r="G33" s="3">
        <v>0.4</v>
      </c>
      <c r="P33" s="93" t="s">
        <v>1937</v>
      </c>
    </row>
    <row r="34" spans="1:32" ht="14.25" customHeight="1">
      <c r="A34" s="3">
        <v>24036</v>
      </c>
      <c r="B34" s="3">
        <v>41</v>
      </c>
      <c r="C34" s="3" t="s">
        <v>1915</v>
      </c>
      <c r="Q34"/>
      <c r="R34"/>
      <c r="S34"/>
      <c r="T34"/>
    </row>
    <row r="35" spans="1:32" ht="14.25" customHeight="1">
      <c r="A35" s="3">
        <v>24036</v>
      </c>
      <c r="B35" s="3">
        <v>41</v>
      </c>
      <c r="C35" s="92" t="s">
        <v>1911</v>
      </c>
      <c r="D35" s="3" t="s">
        <v>1923</v>
      </c>
      <c r="F35" s="3">
        <v>13</v>
      </c>
      <c r="G35" s="378">
        <v>1.5</v>
      </c>
      <c r="K35" s="3">
        <v>100</v>
      </c>
      <c r="L35" s="3">
        <v>100</v>
      </c>
      <c r="M35" s="3">
        <v>7200</v>
      </c>
      <c r="N35" s="3">
        <v>1800</v>
      </c>
      <c r="O35" s="3" t="s">
        <v>1913</v>
      </c>
      <c r="Q35"/>
      <c r="R35"/>
      <c r="S35"/>
      <c r="T35"/>
      <c r="U35"/>
      <c r="V35"/>
      <c r="W35"/>
      <c r="X35"/>
      <c r="Y35"/>
      <c r="Z35"/>
      <c r="AA35"/>
      <c r="AB35"/>
      <c r="AC35"/>
      <c r="AD35"/>
      <c r="AE35"/>
      <c r="AF35"/>
    </row>
    <row r="36" spans="1:32" ht="14.25" customHeight="1">
      <c r="A36" s="3">
        <v>24036</v>
      </c>
      <c r="B36" s="3">
        <v>48</v>
      </c>
      <c r="C36" s="3" t="s">
        <v>1915</v>
      </c>
      <c r="U36"/>
      <c r="V36"/>
      <c r="W36"/>
      <c r="X36"/>
      <c r="Y36"/>
      <c r="Z36"/>
      <c r="AA36"/>
      <c r="AB36"/>
      <c r="AC36"/>
      <c r="AD36"/>
      <c r="AE36"/>
      <c r="AF36"/>
    </row>
    <row r="37" spans="1:32">
      <c r="A37" s="3">
        <v>24036</v>
      </c>
      <c r="B37" s="3">
        <v>48</v>
      </c>
      <c r="C37" s="92" t="s">
        <v>1911</v>
      </c>
      <c r="D37" s="3" t="s">
        <v>1923</v>
      </c>
      <c r="F37" s="3">
        <v>13</v>
      </c>
      <c r="G37" s="378">
        <v>1.5</v>
      </c>
      <c r="K37" s="3">
        <v>100</v>
      </c>
      <c r="L37" s="3">
        <v>100</v>
      </c>
      <c r="M37" s="3">
        <v>7200</v>
      </c>
      <c r="N37" s="3">
        <v>1800</v>
      </c>
      <c r="O37" s="3" t="s">
        <v>1913</v>
      </c>
    </row>
  </sheetData>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H13"/>
  <sheetViews>
    <sheetView topLeftCell="A5" zoomScale="110" zoomScaleNormal="110" workbookViewId="0">
      <selection activeCell="G20" sqref="G20"/>
    </sheetView>
  </sheetViews>
  <sheetFormatPr defaultColWidth="9" defaultRowHeight="14.25" customHeight="1"/>
  <cols>
    <col min="1" max="3" width="9" style="3"/>
    <col min="4" max="4" width="11.73046875" style="3" customWidth="1"/>
    <col min="5" max="16384" width="9" style="3"/>
  </cols>
  <sheetData>
    <row r="5" spans="1:8" ht="14.25" customHeight="1">
      <c r="C5" s="3" t="s">
        <v>60</v>
      </c>
      <c r="D5" s="3" t="s">
        <v>173</v>
      </c>
    </row>
    <row r="6" spans="1:8" ht="14.25" customHeight="1">
      <c r="A6" s="3" t="s">
        <v>1938</v>
      </c>
      <c r="B6" s="3">
        <v>50</v>
      </c>
      <c r="C6" s="3">
        <v>2.0494444399999998</v>
      </c>
      <c r="D6" s="3">
        <f>B6*3600*24*C6</f>
        <v>8853599.9807999991</v>
      </c>
      <c r="E6" s="3">
        <f t="shared" ref="E6:E12" si="0">D6*8/1000000</f>
        <v>70.828799846399988</v>
      </c>
    </row>
    <row r="7" spans="1:8" ht="14.25" customHeight="1">
      <c r="B7" s="3">
        <v>23170</v>
      </c>
      <c r="C7" s="3">
        <v>2.0494444399999998</v>
      </c>
      <c r="D7" s="3">
        <v>23446876.931403</v>
      </c>
      <c r="E7" s="3">
        <f t="shared" si="0"/>
        <v>187.575015451224</v>
      </c>
    </row>
    <row r="8" spans="1:8" ht="14.25" customHeight="1">
      <c r="B8" s="3">
        <v>23191</v>
      </c>
      <c r="C8" s="3">
        <v>3.3827750000000001</v>
      </c>
      <c r="D8" s="3">
        <v>22217221.9574195</v>
      </c>
      <c r="E8" s="3">
        <f t="shared" si="0"/>
        <v>177.737775659356</v>
      </c>
      <c r="H8" s="93" t="s">
        <v>1939</v>
      </c>
    </row>
    <row r="9" spans="1:8" ht="14.25" customHeight="1">
      <c r="B9" s="3">
        <v>23212</v>
      </c>
      <c r="D9" s="3">
        <v>3687498.7547749998</v>
      </c>
      <c r="E9" s="3">
        <f t="shared" si="0"/>
        <v>29.4999900382</v>
      </c>
    </row>
    <row r="10" spans="1:8" ht="14.25" customHeight="1">
      <c r="B10" s="3">
        <v>23338</v>
      </c>
      <c r="D10" s="3">
        <v>18829320.250000399</v>
      </c>
      <c r="E10" s="3">
        <f t="shared" si="0"/>
        <v>150.6345620000032</v>
      </c>
    </row>
    <row r="11" spans="1:8" ht="14.25" customHeight="1">
      <c r="B11" s="3">
        <v>23360</v>
      </c>
      <c r="D11" s="3">
        <v>24734847.240747899</v>
      </c>
      <c r="E11" s="3">
        <f t="shared" si="0"/>
        <v>197.8787779259832</v>
      </c>
    </row>
    <row r="12" spans="1:8" ht="14.25" customHeight="1">
      <c r="A12" s="3" t="s">
        <v>1940</v>
      </c>
      <c r="B12" s="3">
        <v>12</v>
      </c>
      <c r="C12" s="3">
        <v>3.3827750000000001</v>
      </c>
      <c r="D12" s="3">
        <f>B12*3600*24*C12</f>
        <v>3507261.12</v>
      </c>
      <c r="E12" s="3">
        <f t="shared" si="0"/>
        <v>28.058088959999999</v>
      </c>
    </row>
    <row r="13" spans="1:8" ht="14.25" customHeight="1">
      <c r="D13" s="3">
        <f>SUM(D6:D12)</f>
        <v>105276626.23514581</v>
      </c>
      <c r="E13" s="3">
        <f>SUM(E6:E12)</f>
        <v>842.21300988116627</v>
      </c>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Y638"/>
  <sheetViews>
    <sheetView topLeftCell="A609" zoomScale="110" zoomScaleNormal="110" workbookViewId="0">
      <selection activeCell="T616" sqref="T616"/>
    </sheetView>
  </sheetViews>
  <sheetFormatPr defaultColWidth="8.265625" defaultRowHeight="14.25" customHeight="1"/>
  <cols>
    <col min="4" max="4" width="12.59765625" customWidth="1"/>
    <col min="5" max="5" width="12.265625" customWidth="1"/>
    <col min="7" max="7" width="20.265625" customWidth="1"/>
    <col min="8" max="8" width="8.59765625" customWidth="1"/>
    <col min="9" max="9" width="9.265625" customWidth="1"/>
    <col min="10" max="10" width="10.59765625" style="3" customWidth="1"/>
    <col min="11" max="11" width="10" customWidth="1"/>
    <col min="12" max="12" width="9.3984375" customWidth="1"/>
    <col min="14" max="14" width="15.265625" style="3" customWidth="1"/>
    <col min="15" max="15" width="9" style="3" customWidth="1"/>
    <col min="16" max="16" width="17.265625" customWidth="1"/>
    <col min="17" max="17" width="22" customWidth="1"/>
    <col min="18" max="18" width="19.3984375" customWidth="1"/>
    <col min="19" max="19" width="21.3984375" customWidth="1"/>
    <col min="20" max="20" width="12.73046875" customWidth="1"/>
  </cols>
  <sheetData>
    <row r="2" spans="3:20">
      <c r="C2" s="6" t="s">
        <v>0</v>
      </c>
      <c r="D2" s="6"/>
      <c r="E2" s="6"/>
      <c r="F2" s="8"/>
      <c r="G2" s="8"/>
      <c r="H2" s="8"/>
      <c r="I2" s="8"/>
      <c r="J2" s="9"/>
      <c r="K2" s="8"/>
      <c r="L2" s="8"/>
      <c r="M2" s="8"/>
      <c r="N2" s="9"/>
      <c r="O2" s="9"/>
      <c r="P2" s="8"/>
    </row>
    <row r="3" spans="3:20">
      <c r="H3" s="453" t="s">
        <v>1</v>
      </c>
      <c r="I3" s="453"/>
    </row>
    <row r="4" spans="3:20" ht="28.5" customHeight="1">
      <c r="F4" s="11"/>
      <c r="G4" s="12"/>
      <c r="H4" s="13" t="s">
        <v>2</v>
      </c>
      <c r="I4" s="13" t="s">
        <v>3</v>
      </c>
      <c r="J4" s="13" t="s">
        <v>4</v>
      </c>
      <c r="K4" s="13" t="s">
        <v>5</v>
      </c>
      <c r="L4" s="13" t="s">
        <v>6</v>
      </c>
      <c r="M4" s="13" t="s">
        <v>7</v>
      </c>
      <c r="N4" s="13" t="s">
        <v>8</v>
      </c>
      <c r="O4" s="13"/>
      <c r="P4" s="13" t="s">
        <v>9</v>
      </c>
      <c r="Q4" s="13" t="s">
        <v>10</v>
      </c>
    </row>
    <row r="5" spans="3:20">
      <c r="F5" s="15" t="s">
        <v>11</v>
      </c>
      <c r="G5" s="16"/>
      <c r="H5" s="3"/>
      <c r="I5" s="3"/>
      <c r="K5" s="3"/>
      <c r="L5" s="3"/>
      <c r="M5" s="3"/>
      <c r="P5" s="3"/>
    </row>
    <row r="6" spans="3:20">
      <c r="G6" s="17" t="s">
        <v>12</v>
      </c>
      <c r="H6">
        <v>5680</v>
      </c>
      <c r="I6">
        <v>2400</v>
      </c>
      <c r="J6" s="3">
        <v>1</v>
      </c>
      <c r="K6">
        <v>3600</v>
      </c>
      <c r="L6" s="18">
        <f>J6*I6/K6</f>
        <v>0.66666666666666663</v>
      </c>
      <c r="M6">
        <f>3600*24</f>
        <v>86400</v>
      </c>
      <c r="N6" s="3">
        <v>22</v>
      </c>
      <c r="P6" s="19">
        <f>L6*M6*N6/1000000</f>
        <v>1.2672000000000001</v>
      </c>
      <c r="Q6" s="20">
        <f>P6</f>
        <v>1.2672000000000001</v>
      </c>
      <c r="T6" s="20"/>
    </row>
    <row r="7" spans="3:20">
      <c r="G7" s="17" t="s">
        <v>13</v>
      </c>
      <c r="H7">
        <v>4928</v>
      </c>
      <c r="I7">
        <v>1920</v>
      </c>
      <c r="J7" s="3">
        <v>1</v>
      </c>
      <c r="K7">
        <v>90</v>
      </c>
      <c r="L7" s="18">
        <f>J7*I7/K7</f>
        <v>21.333333333333332</v>
      </c>
      <c r="M7">
        <f>3600*24</f>
        <v>86400</v>
      </c>
      <c r="N7" s="3">
        <f>N6</f>
        <v>22</v>
      </c>
      <c r="P7" s="19">
        <f>L7*M7*N7/1000000</f>
        <v>40.550400000000003</v>
      </c>
      <c r="Q7" s="20">
        <f>P7</f>
        <v>40.550400000000003</v>
      </c>
      <c r="T7" s="20"/>
    </row>
    <row r="8" spans="3:20">
      <c r="G8" s="17" t="s">
        <v>14</v>
      </c>
      <c r="H8">
        <v>64000</v>
      </c>
      <c r="I8">
        <v>20000</v>
      </c>
      <c r="J8" s="3">
        <v>1</v>
      </c>
      <c r="K8">
        <v>7200</v>
      </c>
      <c r="L8" s="18">
        <f>J8*I8/K8</f>
        <v>2.7777777777777777</v>
      </c>
      <c r="M8">
        <f>3600*24</f>
        <v>86400</v>
      </c>
      <c r="N8" s="3">
        <f>N6</f>
        <v>22</v>
      </c>
      <c r="P8" s="19">
        <f>L8*M8*N8/1000000</f>
        <v>5.28</v>
      </c>
      <c r="Q8" s="20">
        <f>P8</f>
        <v>5.28</v>
      </c>
      <c r="T8" s="20"/>
    </row>
    <row r="9" spans="3:20">
      <c r="G9" s="17" t="s">
        <v>15</v>
      </c>
      <c r="H9">
        <v>512</v>
      </c>
      <c r="I9">
        <f>H9</f>
        <v>512</v>
      </c>
      <c r="J9" s="3">
        <v>1</v>
      </c>
      <c r="K9">
        <v>1800</v>
      </c>
      <c r="L9" s="18">
        <f>J9*I9/K9</f>
        <v>0.28444444444444444</v>
      </c>
      <c r="M9">
        <f>3600*24</f>
        <v>86400</v>
      </c>
      <c r="N9" s="3">
        <f>N6</f>
        <v>22</v>
      </c>
      <c r="P9" s="19">
        <f>L9*M9*N9/1000000</f>
        <v>0.54067200000000004</v>
      </c>
      <c r="Q9" s="22">
        <f>P9</f>
        <v>0.54067200000000004</v>
      </c>
      <c r="T9" s="22"/>
    </row>
    <row r="10" spans="3:20">
      <c r="G10" s="17"/>
      <c r="K10" s="3" t="str">
        <f>IF(AND( (K6/K7)=INT(K6/K7), (K8/K7)=INT(K8/K7) ), " ", "error")</f>
        <v xml:space="preserve"> </v>
      </c>
      <c r="P10" s="24">
        <f>SUM(P6:P9)</f>
        <v>47.638272000000008</v>
      </c>
      <c r="Q10" s="20">
        <f>SUM(Q6:Q9)</f>
        <v>47.638272000000008</v>
      </c>
      <c r="T10" s="20"/>
    </row>
    <row r="11" spans="3:20">
      <c r="P11" s="3"/>
    </row>
    <row r="12" spans="3:20" ht="28.5" customHeight="1">
      <c r="F12" s="11"/>
      <c r="G12" s="12"/>
      <c r="H12" s="13" t="s">
        <v>2</v>
      </c>
      <c r="I12" s="13" t="s">
        <v>3</v>
      </c>
      <c r="J12" s="13" t="s">
        <v>4</v>
      </c>
      <c r="K12" s="13" t="s">
        <v>5</v>
      </c>
      <c r="L12" s="13" t="s">
        <v>6</v>
      </c>
      <c r="M12" s="13" t="s">
        <v>7</v>
      </c>
      <c r="N12" s="13"/>
      <c r="O12" s="13"/>
      <c r="P12" s="13" t="s">
        <v>9</v>
      </c>
      <c r="Q12" s="13" t="s">
        <v>10</v>
      </c>
    </row>
    <row r="13" spans="3:20">
      <c r="F13" s="15" t="s">
        <v>16</v>
      </c>
      <c r="G13" s="25"/>
      <c r="P13" s="3"/>
    </row>
    <row r="14" spans="3:20">
      <c r="G14" s="17" t="s">
        <v>17</v>
      </c>
      <c r="H14">
        <v>8480</v>
      </c>
      <c r="I14">
        <v>2900</v>
      </c>
      <c r="J14" s="3">
        <v>1</v>
      </c>
      <c r="K14">
        <f>I22*64</f>
        <v>1280</v>
      </c>
      <c r="L14" s="18">
        <f>J14*I14/K14</f>
        <v>2.265625</v>
      </c>
      <c r="M14">
        <f>3600*24</f>
        <v>86400</v>
      </c>
      <c r="P14" s="20">
        <f>L14*M14*I25*((I23+I24))/1000000</f>
        <v>0</v>
      </c>
      <c r="Q14" s="20">
        <f>L14*M14*I26*((I23+I24))/1000000</f>
        <v>0</v>
      </c>
    </row>
    <row r="15" spans="3:20">
      <c r="G15" s="17" t="s">
        <v>18</v>
      </c>
      <c r="H15">
        <v>992</v>
      </c>
      <c r="I15">
        <v>600</v>
      </c>
      <c r="J15" s="3">
        <v>1</v>
      </c>
      <c r="K15">
        <f>I22*64</f>
        <v>1280</v>
      </c>
      <c r="L15" s="18">
        <f>J15*I15/K15</f>
        <v>0.46875</v>
      </c>
      <c r="M15">
        <f>3600*24</f>
        <v>86400</v>
      </c>
      <c r="P15" s="20">
        <f>L15*M15*I25*((I23+I24))/1000000</f>
        <v>0</v>
      </c>
      <c r="Q15" s="20">
        <f>L15*M15*I26*((I23+I24))/1000000</f>
        <v>0</v>
      </c>
    </row>
    <row r="16" spans="3:20">
      <c r="G16" s="17" t="s">
        <v>19</v>
      </c>
      <c r="H16">
        <f>H7</f>
        <v>4928</v>
      </c>
      <c r="I16">
        <v>1400</v>
      </c>
      <c r="J16" s="3">
        <v>1</v>
      </c>
      <c r="K16">
        <f>I22</f>
        <v>20</v>
      </c>
      <c r="L16" s="18">
        <f>J16*I16/K16</f>
        <v>70</v>
      </c>
      <c r="M16">
        <f>3600*24</f>
        <v>86400</v>
      </c>
      <c r="P16" s="22">
        <f>L16*M16*I25*I24/1000000</f>
        <v>0</v>
      </c>
      <c r="Q16" s="22">
        <f>L16*M16*I26*I24/1000000</f>
        <v>0</v>
      </c>
    </row>
    <row r="17" spans="3:25">
      <c r="P17" s="24">
        <f>SUM(P14:P16)</f>
        <v>0</v>
      </c>
      <c r="Q17" s="24">
        <f>SUM(Q14:Q16)</f>
        <v>0</v>
      </c>
    </row>
    <row r="18" spans="3:25">
      <c r="P18" s="26"/>
    </row>
    <row r="19" spans="3:25">
      <c r="F19" s="15" t="s">
        <v>20</v>
      </c>
      <c r="G19" s="27"/>
      <c r="P19" s="28">
        <f>P10+P17</f>
        <v>47.638272000000008</v>
      </c>
      <c r="Q19" s="28">
        <f>Q10+Q17</f>
        <v>47.638272000000008</v>
      </c>
      <c r="R19" t="s">
        <v>21</v>
      </c>
    </row>
    <row r="21" spans="3:25">
      <c r="F21" s="454" t="s">
        <v>22</v>
      </c>
      <c r="G21" s="454"/>
      <c r="H21" s="454"/>
      <c r="I21" s="454"/>
    </row>
    <row r="22" spans="3:25" ht="15.75">
      <c r="F22" s="455" t="s">
        <v>23</v>
      </c>
      <c r="G22" s="455"/>
      <c r="H22" s="455"/>
      <c r="I22" s="29">
        <v>20</v>
      </c>
      <c r="O22" s="30"/>
    </row>
    <row r="23" spans="3:25">
      <c r="F23" s="456" t="s">
        <v>24</v>
      </c>
      <c r="G23" s="456"/>
      <c r="H23" s="456"/>
      <c r="I23" s="29">
        <f>0.7*I22/10</f>
        <v>1.4</v>
      </c>
    </row>
    <row r="24" spans="3:25">
      <c r="F24" s="456" t="s">
        <v>25</v>
      </c>
      <c r="G24" s="456"/>
      <c r="H24" s="456"/>
      <c r="I24" s="29">
        <v>2</v>
      </c>
    </row>
    <row r="25" spans="3:25">
      <c r="F25" s="456" t="s">
        <v>26</v>
      </c>
      <c r="G25" s="456"/>
      <c r="H25" s="456"/>
      <c r="I25" s="29">
        <v>0</v>
      </c>
    </row>
    <row r="26" spans="3:25">
      <c r="F26" s="456" t="s">
        <v>27</v>
      </c>
      <c r="G26" s="456"/>
      <c r="H26" s="456"/>
      <c r="I26" s="29">
        <v>0</v>
      </c>
    </row>
    <row r="27" spans="3:25"/>
    <row r="28" spans="3:25">
      <c r="Y28" t="s">
        <v>28</v>
      </c>
    </row>
    <row r="29" spans="3:25">
      <c r="N29" s="3">
        <f>1/30/24</f>
        <v>1.3888888888888889E-3</v>
      </c>
    </row>
    <row r="32" spans="3:25">
      <c r="C32" s="6" t="s">
        <v>29</v>
      </c>
      <c r="D32" s="6"/>
      <c r="E32" s="6"/>
      <c r="F32" s="8"/>
      <c r="G32" s="8"/>
      <c r="H32" s="8"/>
      <c r="I32" s="8"/>
      <c r="J32" s="9"/>
      <c r="K32" s="8"/>
      <c r="L32" s="8"/>
      <c r="M32" s="8"/>
      <c r="N32" s="9"/>
      <c r="O32" s="9"/>
      <c r="P32" s="8"/>
      <c r="Q32" s="8"/>
    </row>
    <row r="33" spans="3:17">
      <c r="H33" s="453" t="s">
        <v>1</v>
      </c>
      <c r="I33" s="453"/>
    </row>
    <row r="34" spans="3:17" ht="28.5" customHeight="1">
      <c r="F34" s="11"/>
      <c r="G34" s="12"/>
      <c r="H34" s="13" t="s">
        <v>2</v>
      </c>
      <c r="I34" s="13" t="s">
        <v>3</v>
      </c>
      <c r="J34" s="13" t="s">
        <v>4</v>
      </c>
      <c r="K34" s="13" t="s">
        <v>5</v>
      </c>
      <c r="L34" s="13" t="s">
        <v>6</v>
      </c>
      <c r="M34" s="13" t="s">
        <v>7</v>
      </c>
      <c r="N34" s="13" t="s">
        <v>8</v>
      </c>
      <c r="O34" s="13"/>
      <c r="P34" s="13" t="s">
        <v>9</v>
      </c>
      <c r="Q34" s="13" t="s">
        <v>10</v>
      </c>
    </row>
    <row r="35" spans="3:17">
      <c r="F35" s="15" t="s">
        <v>11</v>
      </c>
      <c r="G35" s="16"/>
      <c r="H35" s="3"/>
      <c r="I35" s="3"/>
      <c r="K35" s="3"/>
      <c r="L35" s="3"/>
      <c r="M35" s="3"/>
      <c r="P35" s="3"/>
    </row>
    <row r="36" spans="3:17">
      <c r="G36" s="17" t="s">
        <v>12</v>
      </c>
      <c r="H36">
        <v>5680</v>
      </c>
      <c r="I36">
        <v>3200</v>
      </c>
      <c r="J36" s="3">
        <v>1</v>
      </c>
      <c r="K36">
        <v>3600</v>
      </c>
      <c r="L36" s="18">
        <f>J36*I36/K36</f>
        <v>0.88888888888888884</v>
      </c>
      <c r="M36">
        <f>3600*24</f>
        <v>86400</v>
      </c>
      <c r="N36" s="31">
        <f>1/24</f>
        <v>4.1666666666666664E-2</v>
      </c>
      <c r="O36" s="31"/>
      <c r="P36" s="19">
        <f>L36*M36*N36/1000000</f>
        <v>3.2000000000000002E-3</v>
      </c>
      <c r="Q36" s="20">
        <f>P36</f>
        <v>3.2000000000000002E-3</v>
      </c>
    </row>
    <row r="37" spans="3:17">
      <c r="G37" s="17" t="s">
        <v>13</v>
      </c>
      <c r="H37">
        <v>4928</v>
      </c>
      <c r="I37">
        <v>1920</v>
      </c>
      <c r="J37" s="3">
        <v>1</v>
      </c>
      <c r="K37">
        <v>90</v>
      </c>
      <c r="L37" s="18">
        <f>J37*I37/K37</f>
        <v>21.333333333333332</v>
      </c>
      <c r="M37">
        <f>3600*24</f>
        <v>86400</v>
      </c>
      <c r="N37" s="31">
        <f>N36</f>
        <v>4.1666666666666664E-2</v>
      </c>
      <c r="O37" s="31"/>
      <c r="P37" s="19">
        <f>L37*M37*N37/1000000</f>
        <v>7.6799999999999993E-2</v>
      </c>
      <c r="Q37" s="20">
        <f>P37</f>
        <v>7.6799999999999993E-2</v>
      </c>
    </row>
    <row r="38" spans="3:17">
      <c r="C38" s="32" t="s">
        <v>30</v>
      </c>
      <c r="D38" s="381"/>
      <c r="E38" s="32"/>
      <c r="G38" s="17" t="s">
        <v>14</v>
      </c>
      <c r="H38">
        <v>64000</v>
      </c>
      <c r="I38">
        <v>32080</v>
      </c>
      <c r="J38" s="3">
        <v>1</v>
      </c>
      <c r="K38">
        <v>7200</v>
      </c>
      <c r="L38" s="18">
        <f>J38*I38/K38</f>
        <v>4.4555555555555557</v>
      </c>
      <c r="M38">
        <f>3600*24</f>
        <v>86400</v>
      </c>
      <c r="N38" s="31">
        <f>N36</f>
        <v>4.1666666666666664E-2</v>
      </c>
      <c r="O38" s="31"/>
      <c r="P38" s="19">
        <f>L38*M38*N38/1000000</f>
        <v>1.6039999999999999E-2</v>
      </c>
      <c r="Q38" s="20">
        <f>P38</f>
        <v>1.6039999999999999E-2</v>
      </c>
    </row>
    <row r="39" spans="3:17">
      <c r="C39" s="32" t="s">
        <v>31</v>
      </c>
      <c r="D39" s="32"/>
      <c r="E39" s="32" t="s">
        <v>32</v>
      </c>
      <c r="G39" s="17" t="s">
        <v>15</v>
      </c>
      <c r="H39">
        <v>512</v>
      </c>
      <c r="I39">
        <f>H39</f>
        <v>512</v>
      </c>
      <c r="J39" s="3">
        <v>1</v>
      </c>
      <c r="K39">
        <v>1</v>
      </c>
      <c r="L39" s="18">
        <f>J39*I39/K39</f>
        <v>512</v>
      </c>
      <c r="M39">
        <f>3600*24</f>
        <v>86400</v>
      </c>
      <c r="N39" s="31">
        <f>N36</f>
        <v>4.1666666666666664E-2</v>
      </c>
      <c r="O39" s="31"/>
      <c r="P39" s="19">
        <f>L39*M39*N39/1000000</f>
        <v>1.8431999999999999</v>
      </c>
      <c r="Q39" s="22">
        <f>P39</f>
        <v>1.8431999999999999</v>
      </c>
    </row>
    <row r="40" spans="3:17">
      <c r="G40" s="17"/>
      <c r="K40" s="3" t="str">
        <f>IF(AND( (K36/K37)=INT(K36/K37), (K38/K37)=INT(K38/K37) ), " ", "error")</f>
        <v xml:space="preserve"> </v>
      </c>
      <c r="P40" s="24">
        <f>SUM(P36:P39)</f>
        <v>1.9392399999999999</v>
      </c>
      <c r="Q40" s="20">
        <f>SUM(Q36:Q39)</f>
        <v>1.9392399999999999</v>
      </c>
    </row>
    <row r="41" spans="3:17">
      <c r="P41" s="3"/>
    </row>
    <row r="42" spans="3:17" ht="28.5" customHeight="1">
      <c r="F42" s="11"/>
      <c r="G42" s="12"/>
      <c r="H42" s="13" t="s">
        <v>2</v>
      </c>
      <c r="I42" s="13" t="s">
        <v>3</v>
      </c>
      <c r="J42" s="13" t="s">
        <v>4</v>
      </c>
      <c r="K42" s="13" t="s">
        <v>5</v>
      </c>
      <c r="L42" s="13" t="s">
        <v>6</v>
      </c>
      <c r="M42" s="13" t="s">
        <v>7</v>
      </c>
      <c r="N42" s="13"/>
      <c r="O42" s="13"/>
      <c r="P42" s="13" t="s">
        <v>9</v>
      </c>
      <c r="Q42" s="13" t="s">
        <v>10</v>
      </c>
    </row>
    <row r="43" spans="3:17">
      <c r="F43" s="15" t="s">
        <v>16</v>
      </c>
      <c r="G43" s="25"/>
      <c r="P43" s="3"/>
    </row>
    <row r="44" spans="3:17">
      <c r="G44" s="17" t="s">
        <v>17</v>
      </c>
      <c r="H44">
        <v>8480</v>
      </c>
      <c r="I44">
        <f>I$14</f>
        <v>2900</v>
      </c>
      <c r="J44" s="3">
        <v>1</v>
      </c>
      <c r="K44">
        <f>I52*64</f>
        <v>1280</v>
      </c>
      <c r="L44" s="18">
        <f>J44*I44/K44</f>
        <v>2.265625</v>
      </c>
      <c r="M44">
        <f>3600*24</f>
        <v>86400</v>
      </c>
      <c r="P44" s="20">
        <f>L44*M44*I55*((I53+I54))/1000000</f>
        <v>0</v>
      </c>
      <c r="Q44" s="20">
        <f>L44*M44*I56*((I53+I54))/1000000</f>
        <v>0</v>
      </c>
    </row>
    <row r="45" spans="3:17">
      <c r="G45" s="17" t="s">
        <v>18</v>
      </c>
      <c r="H45">
        <v>992</v>
      </c>
      <c r="I45">
        <f>I$15</f>
        <v>600</v>
      </c>
      <c r="J45" s="3">
        <v>1</v>
      </c>
      <c r="K45">
        <f>I52*64</f>
        <v>1280</v>
      </c>
      <c r="L45" s="18">
        <f>J45*I45/K45</f>
        <v>0.46875</v>
      </c>
      <c r="M45">
        <f>3600*24</f>
        <v>86400</v>
      </c>
      <c r="P45" s="20">
        <f>L45*M45*I55*((I53+I54))/1000000</f>
        <v>0</v>
      </c>
      <c r="Q45" s="20">
        <f>L45*M45*I56*((I53+I54))/1000000</f>
        <v>0</v>
      </c>
    </row>
    <row r="46" spans="3:17">
      <c r="G46" s="17" t="s">
        <v>19</v>
      </c>
      <c r="H46">
        <f>H37</f>
        <v>4928</v>
      </c>
      <c r="I46">
        <f>I$16</f>
        <v>1400</v>
      </c>
      <c r="J46" s="3">
        <v>1</v>
      </c>
      <c r="K46">
        <f>I52</f>
        <v>20</v>
      </c>
      <c r="L46" s="18">
        <f>J46*I46/K46</f>
        <v>70</v>
      </c>
      <c r="M46">
        <f>3600*24</f>
        <v>86400</v>
      </c>
      <c r="P46" s="22">
        <f>L46*M46*I55*I54/1000000</f>
        <v>0</v>
      </c>
      <c r="Q46" s="22">
        <f>L46*M46*I56*I54/1000000</f>
        <v>0</v>
      </c>
    </row>
    <row r="47" spans="3:17">
      <c r="P47" s="24">
        <f>SUM(P44:P46)</f>
        <v>0</v>
      </c>
      <c r="Q47" s="24">
        <f>SUM(Q44:Q46)</f>
        <v>0</v>
      </c>
    </row>
    <row r="48" spans="3:17">
      <c r="P48" s="26"/>
    </row>
    <row r="49" spans="3:25">
      <c r="F49" s="15" t="s">
        <v>20</v>
      </c>
      <c r="G49" s="27"/>
      <c r="P49" s="28">
        <f>P40+P47</f>
        <v>1.9392399999999999</v>
      </c>
      <c r="Q49" s="28">
        <f>Q40+Q47</f>
        <v>1.9392399999999999</v>
      </c>
      <c r="R49" t="s">
        <v>21</v>
      </c>
    </row>
    <row r="51" spans="3:25">
      <c r="F51" s="454" t="s">
        <v>22</v>
      </c>
      <c r="G51" s="454"/>
      <c r="H51" s="454"/>
      <c r="I51" s="454"/>
      <c r="K51" t="s">
        <v>33</v>
      </c>
      <c r="L51" t="s">
        <v>34</v>
      </c>
    </row>
    <row r="52" spans="3:25" ht="15.75">
      <c r="F52" s="455" t="s">
        <v>23</v>
      </c>
      <c r="G52" s="455"/>
      <c r="H52" s="455"/>
      <c r="I52" s="29">
        <v>20</v>
      </c>
      <c r="K52">
        <v>1</v>
      </c>
      <c r="L52">
        <v>2</v>
      </c>
      <c r="O52" s="30"/>
    </row>
    <row r="53" spans="3:25">
      <c r="F53" s="456" t="s">
        <v>24</v>
      </c>
      <c r="G53" s="456"/>
      <c r="H53" s="456"/>
      <c r="I53" s="29">
        <f>0.7*I52/10</f>
        <v>1.4</v>
      </c>
      <c r="K53">
        <v>3</v>
      </c>
      <c r="L53">
        <v>6</v>
      </c>
      <c r="M53" t="str">
        <f>IF((K53/L53)=INT(K53/L53), "good", "bad")</f>
        <v>bad</v>
      </c>
    </row>
    <row r="54" spans="3:25">
      <c r="F54" s="456" t="s">
        <v>25</v>
      </c>
      <c r="G54" s="456"/>
      <c r="H54" s="456"/>
      <c r="I54" s="29">
        <v>2</v>
      </c>
      <c r="K54">
        <v>1</v>
      </c>
      <c r="L54">
        <v>2</v>
      </c>
      <c r="M54" t="str">
        <f>IF((K54/L54)=INT(K54/L54), "good", "bad")</f>
        <v>bad</v>
      </c>
    </row>
    <row r="55" spans="3:25">
      <c r="F55" s="456" t="s">
        <v>26</v>
      </c>
      <c r="G55" s="456"/>
      <c r="H55" s="456"/>
      <c r="I55" s="29">
        <v>0</v>
      </c>
      <c r="K55">
        <v>1</v>
      </c>
      <c r="L55">
        <v>2</v>
      </c>
      <c r="M55" t="str">
        <f>IF((K55/L55)=INT(K55/L55), "good", "bad")</f>
        <v>bad</v>
      </c>
    </row>
    <row r="56" spans="3:25">
      <c r="F56" s="456" t="s">
        <v>27</v>
      </c>
      <c r="G56" s="456"/>
      <c r="H56" s="456"/>
      <c r="I56" s="29">
        <v>0</v>
      </c>
    </row>
    <row r="57" spans="3:25"/>
    <row r="58" spans="3:25">
      <c r="Y58" t="s">
        <v>28</v>
      </c>
    </row>
    <row r="60" spans="3:25">
      <c r="C60" s="6" t="s">
        <v>35</v>
      </c>
      <c r="D60" s="6"/>
      <c r="E60" s="6"/>
      <c r="F60" s="8"/>
      <c r="G60" s="8"/>
      <c r="H60" s="8"/>
      <c r="I60" s="8"/>
      <c r="J60" s="9"/>
      <c r="K60" s="8"/>
      <c r="L60" s="8"/>
      <c r="M60" s="8"/>
      <c r="N60" s="9"/>
      <c r="O60" s="9"/>
      <c r="P60" s="8"/>
    </row>
    <row r="61" spans="3:25">
      <c r="H61" s="453" t="s">
        <v>1</v>
      </c>
      <c r="I61" s="453"/>
    </row>
    <row r="62" spans="3:25" ht="28.5" customHeight="1">
      <c r="F62" s="11"/>
      <c r="G62" s="12"/>
      <c r="H62" s="13" t="s">
        <v>2</v>
      </c>
      <c r="I62" s="13" t="s">
        <v>3</v>
      </c>
      <c r="J62" s="13" t="s">
        <v>4</v>
      </c>
      <c r="K62" s="13" t="s">
        <v>5</v>
      </c>
      <c r="L62" s="13" t="s">
        <v>6</v>
      </c>
      <c r="M62" s="13" t="s">
        <v>7</v>
      </c>
      <c r="N62" s="13" t="s">
        <v>8</v>
      </c>
      <c r="O62" s="13"/>
      <c r="P62" s="13" t="s">
        <v>9</v>
      </c>
      <c r="Q62" s="13" t="s">
        <v>10</v>
      </c>
    </row>
    <row r="63" spans="3:25">
      <c r="F63" s="15" t="s">
        <v>11</v>
      </c>
      <c r="G63" s="16"/>
      <c r="H63" s="3"/>
      <c r="I63" s="3"/>
      <c r="K63" s="3"/>
      <c r="L63" s="3"/>
      <c r="M63" s="3"/>
      <c r="P63" s="3"/>
    </row>
    <row r="64" spans="3:25">
      <c r="G64" s="17" t="s">
        <v>12</v>
      </c>
      <c r="H64">
        <v>5680</v>
      </c>
      <c r="I64">
        <f>I$6</f>
        <v>2400</v>
      </c>
      <c r="J64" s="3">
        <v>1</v>
      </c>
      <c r="K64">
        <v>180</v>
      </c>
      <c r="L64" s="18">
        <f>J64*I64/K64</f>
        <v>13.333333333333334</v>
      </c>
      <c r="M64">
        <f>3600*24</f>
        <v>86400</v>
      </c>
      <c r="N64" s="31">
        <v>3</v>
      </c>
      <c r="P64" s="19">
        <f>L64*M64*N64/1000000</f>
        <v>3.456</v>
      </c>
      <c r="Q64" s="20">
        <f>P64</f>
        <v>3.456</v>
      </c>
    </row>
    <row r="65" spans="6:18">
      <c r="G65" s="17" t="s">
        <v>13</v>
      </c>
      <c r="H65">
        <v>4928</v>
      </c>
      <c r="I65">
        <f>I$7</f>
        <v>1920</v>
      </c>
      <c r="J65" s="3">
        <v>1</v>
      </c>
      <c r="K65">
        <v>180</v>
      </c>
      <c r="L65" s="18">
        <f>J65*I65/K65</f>
        <v>10.666666666666666</v>
      </c>
      <c r="M65">
        <f>3600*24</f>
        <v>86400</v>
      </c>
      <c r="N65" s="31">
        <f>N64</f>
        <v>3</v>
      </c>
      <c r="P65" s="19">
        <f>L65*M65*N65/1000000</f>
        <v>2.7648000000000001</v>
      </c>
      <c r="Q65" s="20">
        <f>P65</f>
        <v>2.7648000000000001</v>
      </c>
    </row>
    <row r="66" spans="6:18">
      <c r="G66" s="17" t="s">
        <v>14</v>
      </c>
      <c r="H66">
        <v>64000</v>
      </c>
      <c r="I66">
        <f>I$8</f>
        <v>20000</v>
      </c>
      <c r="J66" s="3">
        <v>1</v>
      </c>
      <c r="K66">
        <v>7200</v>
      </c>
      <c r="L66" s="18">
        <f>J66*I66/K66</f>
        <v>2.7777777777777777</v>
      </c>
      <c r="M66">
        <f>3600*24</f>
        <v>86400</v>
      </c>
      <c r="N66" s="31">
        <f>N64</f>
        <v>3</v>
      </c>
      <c r="P66" s="19">
        <f>L66*M66*N66/1000000</f>
        <v>0.72</v>
      </c>
      <c r="Q66" s="20">
        <f>P66</f>
        <v>0.72</v>
      </c>
    </row>
    <row r="67" spans="6:18">
      <c r="G67" s="17" t="s">
        <v>15</v>
      </c>
      <c r="H67">
        <v>512</v>
      </c>
      <c r="I67">
        <f>H67</f>
        <v>512</v>
      </c>
      <c r="J67" s="3">
        <v>1</v>
      </c>
      <c r="K67">
        <v>1800</v>
      </c>
      <c r="L67" s="18">
        <f>J67*I67/K67</f>
        <v>0.28444444444444444</v>
      </c>
      <c r="M67">
        <f>3600*24</f>
        <v>86400</v>
      </c>
      <c r="N67" s="31">
        <f>N64</f>
        <v>3</v>
      </c>
      <c r="P67" s="19">
        <f>L67*M67*N67/1000000</f>
        <v>7.3728000000000002E-2</v>
      </c>
      <c r="Q67" s="22">
        <f>P67</f>
        <v>7.3728000000000002E-2</v>
      </c>
    </row>
    <row r="68" spans="6:18">
      <c r="G68" s="17"/>
      <c r="K68" s="3" t="str">
        <f>IF(AND( (K64/K65)=INT(K64/K65), (K66/K65)=INT(K66/K65) ), " ", "error")</f>
        <v xml:space="preserve"> </v>
      </c>
      <c r="P68" s="24">
        <f>SUM(P64:P67)</f>
        <v>7.0145280000000003</v>
      </c>
      <c r="Q68" s="20">
        <f>SUM(Q64:Q67)</f>
        <v>7.0145280000000003</v>
      </c>
    </row>
    <row r="69" spans="6:18">
      <c r="P69" s="3"/>
    </row>
    <row r="70" spans="6:18" ht="28.5" customHeight="1">
      <c r="F70" s="11"/>
      <c r="G70" s="12"/>
      <c r="H70" s="13" t="s">
        <v>2</v>
      </c>
      <c r="I70" s="13" t="s">
        <v>3</v>
      </c>
      <c r="J70" s="13" t="s">
        <v>4</v>
      </c>
      <c r="K70" s="13" t="s">
        <v>5</v>
      </c>
      <c r="L70" s="13" t="s">
        <v>6</v>
      </c>
      <c r="M70" s="13" t="s">
        <v>7</v>
      </c>
      <c r="N70" s="13" t="s">
        <v>8</v>
      </c>
      <c r="O70" s="13"/>
      <c r="P70" s="13" t="s">
        <v>9</v>
      </c>
      <c r="Q70" s="13" t="s">
        <v>10</v>
      </c>
    </row>
    <row r="71" spans="6:18">
      <c r="F71" s="15" t="s">
        <v>16</v>
      </c>
      <c r="G71" s="25"/>
      <c r="P71" s="3"/>
    </row>
    <row r="72" spans="6:18">
      <c r="G72" s="17" t="s">
        <v>17</v>
      </c>
      <c r="H72">
        <v>8480</v>
      </c>
      <c r="I72">
        <f>I$14</f>
        <v>2900</v>
      </c>
      <c r="J72" s="3">
        <v>1</v>
      </c>
      <c r="K72">
        <f>I80*64</f>
        <v>1280</v>
      </c>
      <c r="L72" s="18">
        <f>J72*I72/K72</f>
        <v>2.265625</v>
      </c>
      <c r="M72">
        <f>3600*24</f>
        <v>86400</v>
      </c>
      <c r="N72" s="3">
        <f>I83*(I81+I82)</f>
        <v>0</v>
      </c>
      <c r="P72" s="20">
        <f>L72*M72*I83*((I81+I82))/1000000</f>
        <v>0</v>
      </c>
      <c r="Q72" s="20">
        <f>L72*M72*I84*((I81+I82))/1000000</f>
        <v>0</v>
      </c>
    </row>
    <row r="73" spans="6:18">
      <c r="G73" s="17" t="s">
        <v>18</v>
      </c>
      <c r="H73">
        <v>992</v>
      </c>
      <c r="I73">
        <f>I$15</f>
        <v>600</v>
      </c>
      <c r="J73" s="3">
        <v>1</v>
      </c>
      <c r="K73">
        <f>I80*64</f>
        <v>1280</v>
      </c>
      <c r="L73" s="18">
        <f>J73*I73/K73</f>
        <v>0.46875</v>
      </c>
      <c r="M73">
        <f>3600*24</f>
        <v>86400</v>
      </c>
      <c r="N73" s="3">
        <f>N72</f>
        <v>0</v>
      </c>
      <c r="P73" s="20">
        <f>L73*M73*I83*((I81+I82))/1000000</f>
        <v>0</v>
      </c>
      <c r="Q73" s="20">
        <f>L73*M73*I84*((I81+I82))/1000000</f>
        <v>0</v>
      </c>
    </row>
    <row r="74" spans="6:18">
      <c r="G74" s="17" t="s">
        <v>19</v>
      </c>
      <c r="H74">
        <f>H65</f>
        <v>4928</v>
      </c>
      <c r="I74">
        <f>I$16</f>
        <v>1400</v>
      </c>
      <c r="J74" s="3">
        <v>1</v>
      </c>
      <c r="K74">
        <f>I80</f>
        <v>20</v>
      </c>
      <c r="L74" s="18">
        <f>J74*I74/K74</f>
        <v>70</v>
      </c>
      <c r="M74">
        <f>3600*24</f>
        <v>86400</v>
      </c>
      <c r="N74" s="3">
        <f>I84*I82</f>
        <v>0</v>
      </c>
      <c r="P74" s="22">
        <f>L74*M74*I83*I82/1000000</f>
        <v>0</v>
      </c>
      <c r="Q74" s="22">
        <f>L74*M74*I84*I82/1000000</f>
        <v>0</v>
      </c>
    </row>
    <row r="75" spans="6:18">
      <c r="P75" s="24">
        <f>SUM(P72:P74)</f>
        <v>0</v>
      </c>
      <c r="Q75" s="24">
        <f>SUM(Q72:Q74)</f>
        <v>0</v>
      </c>
    </row>
    <row r="76" spans="6:18">
      <c r="P76" s="26"/>
    </row>
    <row r="77" spans="6:18">
      <c r="F77" s="15" t="s">
        <v>20</v>
      </c>
      <c r="G77" s="27"/>
      <c r="P77" s="28">
        <f>P68+P75</f>
        <v>7.0145280000000003</v>
      </c>
      <c r="Q77" s="28">
        <f>Q68+Q75</f>
        <v>7.0145280000000003</v>
      </c>
      <c r="R77" t="s">
        <v>21</v>
      </c>
    </row>
    <row r="79" spans="6:18">
      <c r="F79" s="454" t="s">
        <v>22</v>
      </c>
      <c r="G79" s="454"/>
      <c r="H79" s="454"/>
      <c r="I79" s="454"/>
    </row>
    <row r="80" spans="6:18" ht="15.75">
      <c r="F80" s="455" t="s">
        <v>23</v>
      </c>
      <c r="G80" s="455"/>
      <c r="H80" s="455"/>
      <c r="I80" s="29">
        <v>20</v>
      </c>
      <c r="O80" s="30"/>
    </row>
    <row r="81" spans="3:25">
      <c r="F81" s="456" t="s">
        <v>24</v>
      </c>
      <c r="G81" s="456"/>
      <c r="H81" s="456"/>
      <c r="I81" s="29">
        <f>0.7*I80/10</f>
        <v>1.4</v>
      </c>
    </row>
    <row r="82" spans="3:25">
      <c r="F82" s="456" t="s">
        <v>25</v>
      </c>
      <c r="G82" s="456"/>
      <c r="H82" s="456"/>
      <c r="I82" s="29">
        <v>2</v>
      </c>
    </row>
    <row r="83" spans="3:25">
      <c r="F83" s="456" t="s">
        <v>26</v>
      </c>
      <c r="G83" s="456"/>
      <c r="H83" s="456"/>
      <c r="I83" s="29">
        <v>0</v>
      </c>
    </row>
    <row r="84" spans="3:25">
      <c r="F84" s="456" t="s">
        <v>27</v>
      </c>
      <c r="G84" s="456"/>
      <c r="H84" s="456"/>
      <c r="I84" s="29">
        <v>0</v>
      </c>
    </row>
    <row r="85" spans="3:25"/>
    <row r="86" spans="3:25">
      <c r="Y86" t="s">
        <v>28</v>
      </c>
    </row>
    <row r="90" spans="3:25">
      <c r="C90" s="6" t="s">
        <v>36</v>
      </c>
      <c r="D90" s="6"/>
      <c r="E90" s="6"/>
      <c r="F90" s="8"/>
      <c r="G90" s="8"/>
      <c r="H90" s="8"/>
      <c r="I90" s="8"/>
      <c r="J90" s="9"/>
      <c r="K90" s="8"/>
      <c r="L90" s="8"/>
      <c r="M90" s="8"/>
      <c r="N90" s="9"/>
      <c r="O90" s="9"/>
      <c r="P90" s="8"/>
    </row>
    <row r="91" spans="3:25">
      <c r="H91" s="453" t="s">
        <v>1</v>
      </c>
      <c r="I91" s="453"/>
    </row>
    <row r="92" spans="3:25" ht="28.5" customHeight="1">
      <c r="F92" s="11"/>
      <c r="G92" s="12"/>
      <c r="H92" s="13" t="s">
        <v>2</v>
      </c>
      <c r="I92" s="13" t="s">
        <v>3</v>
      </c>
      <c r="J92" s="13" t="s">
        <v>4</v>
      </c>
      <c r="K92" s="13" t="s">
        <v>5</v>
      </c>
      <c r="L92" s="13" t="s">
        <v>6</v>
      </c>
      <c r="M92" s="13" t="s">
        <v>7</v>
      </c>
      <c r="N92" s="13" t="s">
        <v>8</v>
      </c>
      <c r="O92" s="13" t="s">
        <v>37</v>
      </c>
      <c r="P92" s="13" t="s">
        <v>9</v>
      </c>
      <c r="Q92" s="13" t="s">
        <v>10</v>
      </c>
    </row>
    <row r="93" spans="3:25">
      <c r="F93" s="15" t="s">
        <v>11</v>
      </c>
      <c r="G93" s="16"/>
      <c r="H93" s="3"/>
      <c r="I93" s="3"/>
      <c r="K93" s="3"/>
      <c r="L93" s="3"/>
      <c r="M93" s="3"/>
      <c r="P93" s="3"/>
    </row>
    <row r="94" spans="3:25">
      <c r="G94" s="17" t="s">
        <v>12</v>
      </c>
      <c r="H94">
        <v>5680</v>
      </c>
      <c r="I94">
        <f>I$6</f>
        <v>2400</v>
      </c>
      <c r="J94" s="3">
        <v>1</v>
      </c>
      <c r="K94">
        <v>180</v>
      </c>
      <c r="L94" s="18">
        <f>J94*I94/K94</f>
        <v>13.333333333333334</v>
      </c>
      <c r="M94">
        <f>3600*24</f>
        <v>86400</v>
      </c>
      <c r="N94" s="31">
        <v>19.2</v>
      </c>
      <c r="P94" s="19">
        <f>L94*M94*N94/1000000</f>
        <v>22.118400000000001</v>
      </c>
      <c r="Q94" s="20">
        <f>P94</f>
        <v>22.118400000000001</v>
      </c>
    </row>
    <row r="95" spans="3:25">
      <c r="G95" s="17" t="s">
        <v>13</v>
      </c>
      <c r="H95">
        <v>4928</v>
      </c>
      <c r="I95">
        <f>I$7</f>
        <v>1920</v>
      </c>
      <c r="J95" s="3">
        <v>0</v>
      </c>
      <c r="K95">
        <v>180</v>
      </c>
      <c r="L95" s="18">
        <f>J95*I95/K95</f>
        <v>0</v>
      </c>
      <c r="M95">
        <f>3600*24</f>
        <v>86400</v>
      </c>
      <c r="N95" s="31">
        <f>N94</f>
        <v>19.2</v>
      </c>
      <c r="P95" s="19">
        <f>L95*M95*N95/1000000</f>
        <v>0</v>
      </c>
      <c r="Q95" s="20">
        <f>P95</f>
        <v>0</v>
      </c>
    </row>
    <row r="96" spans="3:25">
      <c r="G96" s="17" t="s">
        <v>14</v>
      </c>
      <c r="H96">
        <v>64000</v>
      </c>
      <c r="I96">
        <f>I$8</f>
        <v>20000</v>
      </c>
      <c r="J96" s="3">
        <v>1</v>
      </c>
      <c r="K96">
        <v>7200</v>
      </c>
      <c r="L96" s="18">
        <f>J96*I96/K96</f>
        <v>2.7777777777777777</v>
      </c>
      <c r="M96">
        <f>3600*24</f>
        <v>86400</v>
      </c>
      <c r="N96" s="31">
        <f>N94</f>
        <v>19.2</v>
      </c>
      <c r="P96" s="19">
        <f>L96*M96*N96/1000000</f>
        <v>4.6079999999999997</v>
      </c>
      <c r="Q96" s="20">
        <f>P96</f>
        <v>4.6079999999999997</v>
      </c>
    </row>
    <row r="97" spans="6:18">
      <c r="G97" s="17" t="s">
        <v>15</v>
      </c>
      <c r="H97">
        <v>512</v>
      </c>
      <c r="I97">
        <f>H97</f>
        <v>512</v>
      </c>
      <c r="J97" s="3">
        <v>1</v>
      </c>
      <c r="K97">
        <v>1800</v>
      </c>
      <c r="L97" s="18">
        <f>J97*I97/K97</f>
        <v>0.28444444444444444</v>
      </c>
      <c r="M97">
        <f>3600*24</f>
        <v>86400</v>
      </c>
      <c r="N97" s="31">
        <f>N94</f>
        <v>19.2</v>
      </c>
      <c r="P97" s="19">
        <f>L97*M97*N97/1000000</f>
        <v>0.47185919999999998</v>
      </c>
      <c r="Q97" s="22">
        <f>P97</f>
        <v>0.47185919999999998</v>
      </c>
    </row>
    <row r="98" spans="6:18">
      <c r="G98" s="17"/>
      <c r="K98" s="3" t="str">
        <f>IF(AND( (K94/K95)=INT(K94/K95), (K96/K95)=INT(K96/K95) ), " ", "error")</f>
        <v xml:space="preserve"> </v>
      </c>
      <c r="P98" s="24">
        <f>SUM(P94:P97)</f>
        <v>27.198259200000003</v>
      </c>
      <c r="Q98" s="20">
        <f>SUM(Q94:Q97)</f>
        <v>27.198259200000003</v>
      </c>
    </row>
    <row r="99" spans="6:18">
      <c r="P99" s="3"/>
    </row>
    <row r="100" spans="6:18" ht="28.5" customHeight="1">
      <c r="F100" s="11"/>
      <c r="G100" s="12"/>
      <c r="H100" s="13" t="s">
        <v>2</v>
      </c>
      <c r="I100" s="13" t="s">
        <v>3</v>
      </c>
      <c r="J100" s="13" t="s">
        <v>4</v>
      </c>
      <c r="K100" s="13" t="s">
        <v>5</v>
      </c>
      <c r="L100" s="13" t="s">
        <v>6</v>
      </c>
      <c r="M100" s="13" t="s">
        <v>7</v>
      </c>
      <c r="N100" s="13" t="s">
        <v>8</v>
      </c>
      <c r="O100" s="13" t="s">
        <v>37</v>
      </c>
      <c r="P100" s="13" t="s">
        <v>9</v>
      </c>
      <c r="Q100" s="13" t="s">
        <v>10</v>
      </c>
    </row>
    <row r="101" spans="6:18">
      <c r="F101" s="15" t="s">
        <v>16</v>
      </c>
      <c r="G101" s="25"/>
      <c r="P101" s="3"/>
    </row>
    <row r="102" spans="6:18">
      <c r="G102" s="17" t="s">
        <v>17</v>
      </c>
      <c r="H102">
        <v>8480</v>
      </c>
      <c r="I102">
        <f>I$14</f>
        <v>2900</v>
      </c>
      <c r="J102" s="3">
        <v>1</v>
      </c>
      <c r="K102">
        <f>I110*64</f>
        <v>1280</v>
      </c>
      <c r="L102" s="18">
        <f>J102*I102/K102</f>
        <v>2.265625</v>
      </c>
      <c r="M102">
        <f>3600*24</f>
        <v>86400</v>
      </c>
      <c r="P102" s="20">
        <f>L102*M102*I113*((I111+I112))/1000000</f>
        <v>1.3310999999999999</v>
      </c>
      <c r="Q102" s="20">
        <f>L102*M102*I114*((I111+I112))/1000000</f>
        <v>1.3310999999999999</v>
      </c>
    </row>
    <row r="103" spans="6:18">
      <c r="G103" s="17" t="s">
        <v>18</v>
      </c>
      <c r="H103">
        <v>992</v>
      </c>
      <c r="I103">
        <f>I$15</f>
        <v>600</v>
      </c>
      <c r="J103" s="3">
        <v>1</v>
      </c>
      <c r="K103">
        <f>I110*64</f>
        <v>1280</v>
      </c>
      <c r="L103" s="18">
        <f>J103*I103/K103</f>
        <v>0.46875</v>
      </c>
      <c r="M103">
        <f>3600*24</f>
        <v>86400</v>
      </c>
      <c r="P103" s="20">
        <f>L103*M103*I113*((I111+I112))/1000000</f>
        <v>0.27539999999999998</v>
      </c>
      <c r="Q103" s="20">
        <f>L103*M103*I114*((I111+I112))/1000000</f>
        <v>0.27539999999999998</v>
      </c>
    </row>
    <row r="104" spans="6:18">
      <c r="G104" s="17" t="s">
        <v>19</v>
      </c>
      <c r="H104">
        <f>H95</f>
        <v>4928</v>
      </c>
      <c r="I104">
        <f>I$16</f>
        <v>1400</v>
      </c>
      <c r="J104" s="3">
        <v>1</v>
      </c>
      <c r="K104">
        <f>I110</f>
        <v>20</v>
      </c>
      <c r="L104" s="18">
        <f>J104*I104/K104</f>
        <v>70</v>
      </c>
      <c r="M104">
        <f>3600*24</f>
        <v>86400</v>
      </c>
      <c r="P104" s="22">
        <f>L104*M104*I113*I112/1000000</f>
        <v>24.192</v>
      </c>
      <c r="Q104" s="22">
        <f>L104*M104*I114*I112/1000000</f>
        <v>24.192</v>
      </c>
    </row>
    <row r="105" spans="6:18">
      <c r="P105" s="24">
        <f>SUM(P102:P104)</f>
        <v>25.798500000000001</v>
      </c>
      <c r="Q105" s="24">
        <f>SUM(Q102:Q104)</f>
        <v>25.798500000000001</v>
      </c>
    </row>
    <row r="106" spans="6:18">
      <c r="P106" s="26"/>
    </row>
    <row r="107" spans="6:18">
      <c r="F107" s="15" t="s">
        <v>20</v>
      </c>
      <c r="G107" s="27"/>
      <c r="P107" s="28">
        <f>P98+P105</f>
        <v>52.9967592</v>
      </c>
      <c r="Q107" s="28">
        <f>Q98+Q105</f>
        <v>52.9967592</v>
      </c>
      <c r="R107" t="s">
        <v>21</v>
      </c>
    </row>
    <row r="109" spans="6:18">
      <c r="F109" s="454" t="s">
        <v>22</v>
      </c>
      <c r="G109" s="454"/>
      <c r="H109" s="454"/>
      <c r="I109" s="454"/>
    </row>
    <row r="110" spans="6:18" ht="15.75">
      <c r="F110" s="455" t="s">
        <v>23</v>
      </c>
      <c r="G110" s="455"/>
      <c r="H110" s="455"/>
      <c r="I110" s="29">
        <v>20</v>
      </c>
      <c r="O110" s="30"/>
    </row>
    <row r="111" spans="6:18">
      <c r="F111" s="456" t="s">
        <v>24</v>
      </c>
      <c r="G111" s="456"/>
      <c r="H111" s="456"/>
      <c r="I111" s="29">
        <f>0.7*I110/10</f>
        <v>1.4</v>
      </c>
    </row>
    <row r="112" spans="6:18">
      <c r="F112" s="456" t="s">
        <v>25</v>
      </c>
      <c r="G112" s="456"/>
      <c r="H112" s="456"/>
      <c r="I112" s="29">
        <v>2</v>
      </c>
    </row>
    <row r="113" spans="3:17">
      <c r="F113" s="456" t="s">
        <v>26</v>
      </c>
      <c r="G113" s="456"/>
      <c r="H113" s="456"/>
      <c r="I113" s="29">
        <v>2</v>
      </c>
    </row>
    <row r="114" spans="3:17">
      <c r="F114" s="456" t="s">
        <v>27</v>
      </c>
      <c r="G114" s="456"/>
      <c r="H114" s="456"/>
      <c r="I114" s="29">
        <v>2</v>
      </c>
    </row>
    <row r="115" spans="3:17"/>
    <row r="119" spans="3:17">
      <c r="C119" s="6" t="s">
        <v>38</v>
      </c>
      <c r="D119" s="6"/>
      <c r="E119" s="6"/>
      <c r="F119" s="8"/>
      <c r="G119" s="8"/>
      <c r="H119" s="8"/>
      <c r="I119" s="8"/>
      <c r="J119" s="9"/>
      <c r="K119" s="8"/>
      <c r="L119" s="8"/>
      <c r="M119" s="8"/>
      <c r="N119" s="9"/>
      <c r="O119" s="9"/>
      <c r="P119" s="8"/>
    </row>
    <row r="120" spans="3:17">
      <c r="H120" s="453" t="s">
        <v>1</v>
      </c>
      <c r="I120" s="453"/>
    </row>
    <row r="121" spans="3:17" ht="28.5" customHeight="1">
      <c r="F121" s="11"/>
      <c r="G121" s="12"/>
      <c r="H121" s="13" t="s">
        <v>2</v>
      </c>
      <c r="I121" s="13" t="s">
        <v>3</v>
      </c>
      <c r="J121" s="13" t="s">
        <v>4</v>
      </c>
      <c r="K121" s="13" t="s">
        <v>5</v>
      </c>
      <c r="L121" s="13" t="s">
        <v>6</v>
      </c>
      <c r="M121" s="13" t="s">
        <v>7</v>
      </c>
      <c r="N121" s="13" t="s">
        <v>8</v>
      </c>
      <c r="O121" s="13" t="s">
        <v>37</v>
      </c>
      <c r="P121" s="13" t="s">
        <v>9</v>
      </c>
      <c r="Q121" s="13" t="s">
        <v>10</v>
      </c>
    </row>
    <row r="122" spans="3:17">
      <c r="F122" s="15" t="s">
        <v>11</v>
      </c>
      <c r="G122" s="16"/>
      <c r="H122" s="3"/>
      <c r="I122" s="3"/>
      <c r="K122" s="3"/>
      <c r="L122" s="3"/>
      <c r="M122" s="3"/>
      <c r="P122" s="3"/>
    </row>
    <row r="123" spans="3:17">
      <c r="G123" s="17" t="s">
        <v>12</v>
      </c>
      <c r="H123">
        <v>5680</v>
      </c>
      <c r="I123">
        <f>I$6</f>
        <v>2400</v>
      </c>
      <c r="J123" s="3">
        <v>1</v>
      </c>
      <c r="K123">
        <v>180</v>
      </c>
      <c r="L123" s="18">
        <f>J123*I123/K123</f>
        <v>13.333333333333334</v>
      </c>
      <c r="M123">
        <f>3600*24</f>
        <v>86400</v>
      </c>
      <c r="N123" s="3">
        <v>30</v>
      </c>
      <c r="O123" s="3">
        <v>0.1</v>
      </c>
      <c r="P123" s="19">
        <f>L123*M123*N123*O123/1000000</f>
        <v>3.456</v>
      </c>
      <c r="Q123" s="20">
        <f>P123</f>
        <v>3.456</v>
      </c>
    </row>
    <row r="124" spans="3:17">
      <c r="G124" s="17" t="s">
        <v>13</v>
      </c>
      <c r="H124">
        <v>4928</v>
      </c>
      <c r="I124">
        <f>I$7</f>
        <v>1920</v>
      </c>
      <c r="J124" s="3">
        <v>0</v>
      </c>
      <c r="K124">
        <v>180</v>
      </c>
      <c r="L124" s="18">
        <f>J124*I124/K124</f>
        <v>0</v>
      </c>
      <c r="M124">
        <f>3600*24</f>
        <v>86400</v>
      </c>
      <c r="N124" s="3">
        <v>30</v>
      </c>
      <c r="O124" s="3">
        <v>0.1</v>
      </c>
      <c r="P124" s="19">
        <f>L124*M124*N124*O124/1000000</f>
        <v>0</v>
      </c>
      <c r="Q124" s="20">
        <f>P124</f>
        <v>0</v>
      </c>
    </row>
    <row r="125" spans="3:17">
      <c r="G125" s="17" t="s">
        <v>14</v>
      </c>
      <c r="H125">
        <v>64000</v>
      </c>
      <c r="I125">
        <f>I$8</f>
        <v>20000</v>
      </c>
      <c r="J125" s="3">
        <v>1</v>
      </c>
      <c r="K125">
        <v>7200</v>
      </c>
      <c r="L125" s="18">
        <f>J125*I125/K125</f>
        <v>2.7777777777777777</v>
      </c>
      <c r="M125">
        <f>3600*24</f>
        <v>86400</v>
      </c>
      <c r="N125" s="3">
        <v>30</v>
      </c>
      <c r="O125" s="3">
        <v>0.1</v>
      </c>
      <c r="P125" s="20">
        <f>L125*M125*N125*O125/1000000</f>
        <v>0.72</v>
      </c>
      <c r="Q125" s="20">
        <f>P125</f>
        <v>0.72</v>
      </c>
    </row>
    <row r="126" spans="3:17">
      <c r="G126" s="17" t="s">
        <v>15</v>
      </c>
      <c r="H126">
        <v>512</v>
      </c>
      <c r="I126">
        <f>H126</f>
        <v>512</v>
      </c>
      <c r="J126" s="3">
        <v>1</v>
      </c>
      <c r="K126">
        <v>1800</v>
      </c>
      <c r="L126" s="18">
        <f>J126*I126/K126</f>
        <v>0.28444444444444444</v>
      </c>
      <c r="M126">
        <f>3600*24</f>
        <v>86400</v>
      </c>
      <c r="N126" s="3">
        <v>30</v>
      </c>
      <c r="O126" s="3">
        <v>0.1</v>
      </c>
      <c r="P126" s="22">
        <f>L126*M126*N126*O126/1000000</f>
        <v>7.3728000000000002E-2</v>
      </c>
      <c r="Q126" s="22">
        <f>P126</f>
        <v>7.3728000000000002E-2</v>
      </c>
    </row>
    <row r="127" spans="3:17">
      <c r="G127" s="17"/>
      <c r="K127" s="3" t="str">
        <f>IF(AND( (K123/K124)=INT(K123/K124), (K125/K124)=INT(K125/K124) ), " ", "error")</f>
        <v xml:space="preserve"> </v>
      </c>
      <c r="P127" s="24">
        <f>SUM(P123:P126)</f>
        <v>4.2497280000000002</v>
      </c>
      <c r="Q127" s="20">
        <f>SUM(Q123:Q126)</f>
        <v>4.2497280000000002</v>
      </c>
    </row>
    <row r="128" spans="3:17">
      <c r="P128" s="3"/>
    </row>
    <row r="129" spans="6:18" ht="28.5" customHeight="1">
      <c r="F129" s="11"/>
      <c r="G129" s="12"/>
      <c r="H129" s="13" t="s">
        <v>2</v>
      </c>
      <c r="I129" s="13" t="s">
        <v>3</v>
      </c>
      <c r="J129" s="13" t="s">
        <v>4</v>
      </c>
      <c r="K129" s="13" t="s">
        <v>5</v>
      </c>
      <c r="L129" s="13" t="s">
        <v>6</v>
      </c>
      <c r="M129" s="13" t="s">
        <v>7</v>
      </c>
      <c r="N129" s="13" t="s">
        <v>8</v>
      </c>
      <c r="O129" s="13" t="s">
        <v>37</v>
      </c>
      <c r="P129" s="13" t="s">
        <v>9</v>
      </c>
      <c r="Q129" s="13" t="s">
        <v>10</v>
      </c>
    </row>
    <row r="130" spans="6:18">
      <c r="F130" s="15" t="s">
        <v>16</v>
      </c>
      <c r="G130" s="25"/>
      <c r="P130" s="3"/>
    </row>
    <row r="131" spans="6:18">
      <c r="G131" s="17" t="s">
        <v>17</v>
      </c>
      <c r="H131">
        <v>8480</v>
      </c>
      <c r="I131">
        <f>I$14</f>
        <v>2900</v>
      </c>
      <c r="J131" s="3">
        <v>1</v>
      </c>
      <c r="K131">
        <f>I139*64</f>
        <v>1280</v>
      </c>
      <c r="L131" s="18">
        <f>J131*I131/K131</f>
        <v>2.265625</v>
      </c>
      <c r="M131">
        <f>3600*24</f>
        <v>86400</v>
      </c>
      <c r="N131" s="3">
        <f>I142*(I140+I141)</f>
        <v>3.4</v>
      </c>
      <c r="P131" s="20">
        <f>L131*M131*I142*((I140+I141))/1000000</f>
        <v>0.66554999999999997</v>
      </c>
      <c r="Q131" s="20">
        <f>L131*M131*I143*((I140+I141))/1000000</f>
        <v>0.66554999999999997</v>
      </c>
    </row>
    <row r="132" spans="6:18">
      <c r="G132" s="17" t="s">
        <v>18</v>
      </c>
      <c r="H132">
        <v>992</v>
      </c>
      <c r="I132">
        <f>I$15</f>
        <v>600</v>
      </c>
      <c r="J132" s="3">
        <v>1</v>
      </c>
      <c r="K132">
        <f>I139*64</f>
        <v>1280</v>
      </c>
      <c r="L132" s="18">
        <f>J132*I132/K132</f>
        <v>0.46875</v>
      </c>
      <c r="M132">
        <f>3600*24</f>
        <v>86400</v>
      </c>
      <c r="N132" s="3">
        <f>N131</f>
        <v>3.4</v>
      </c>
      <c r="P132" s="20">
        <f>L132*M132*I142*((I140+I141))/1000000</f>
        <v>0.13769999999999999</v>
      </c>
      <c r="Q132" s="20">
        <f>L132*M132*I143*((I140+I141))/1000000</f>
        <v>0.13769999999999999</v>
      </c>
    </row>
    <row r="133" spans="6:18">
      <c r="G133" s="17" t="s">
        <v>19</v>
      </c>
      <c r="H133">
        <f>H124</f>
        <v>4928</v>
      </c>
      <c r="I133">
        <f>I$16</f>
        <v>1400</v>
      </c>
      <c r="J133" s="3">
        <v>1</v>
      </c>
      <c r="K133">
        <f>I139</f>
        <v>20</v>
      </c>
      <c r="L133" s="18">
        <f>J133*I133/K133</f>
        <v>70</v>
      </c>
      <c r="M133">
        <f>3600*24</f>
        <v>86400</v>
      </c>
      <c r="N133" s="3">
        <f>I143*I141</f>
        <v>2</v>
      </c>
      <c r="P133" s="22">
        <f>L133*M133*I142*I141/1000000</f>
        <v>12.096</v>
      </c>
      <c r="Q133" s="22">
        <f>L133*M133*I143*I141/1000000</f>
        <v>12.096</v>
      </c>
    </row>
    <row r="134" spans="6:18">
      <c r="P134" s="24">
        <f>SUM(P131:P133)</f>
        <v>12.89925</v>
      </c>
      <c r="Q134" s="24">
        <f>SUM(Q131:Q133)</f>
        <v>12.89925</v>
      </c>
    </row>
    <row r="135" spans="6:18">
      <c r="P135" s="26"/>
    </row>
    <row r="136" spans="6:18">
      <c r="F136" s="15" t="s">
        <v>20</v>
      </c>
      <c r="G136" s="27"/>
      <c r="P136" s="28">
        <f>P127+P134</f>
        <v>17.148978</v>
      </c>
      <c r="Q136" s="28">
        <f>Q127+Q134</f>
        <v>17.148978</v>
      </c>
      <c r="R136" t="s">
        <v>21</v>
      </c>
    </row>
    <row r="138" spans="6:18">
      <c r="F138" s="454" t="s">
        <v>22</v>
      </c>
      <c r="G138" s="454"/>
      <c r="H138" s="454"/>
      <c r="I138" s="454"/>
    </row>
    <row r="139" spans="6:18" ht="15.75">
      <c r="F139" s="455" t="s">
        <v>23</v>
      </c>
      <c r="G139" s="455"/>
      <c r="H139" s="455"/>
      <c r="I139" s="29">
        <v>20</v>
      </c>
      <c r="O139" s="30"/>
    </row>
    <row r="140" spans="6:18">
      <c r="F140" s="456" t="s">
        <v>24</v>
      </c>
      <c r="G140" s="456"/>
      <c r="H140" s="456"/>
      <c r="I140" s="29">
        <f>0.7*I139/10</f>
        <v>1.4</v>
      </c>
    </row>
    <row r="141" spans="6:18">
      <c r="F141" s="456" t="s">
        <v>25</v>
      </c>
      <c r="G141" s="456"/>
      <c r="H141" s="456"/>
      <c r="I141" s="29">
        <v>2</v>
      </c>
    </row>
    <row r="142" spans="6:18">
      <c r="F142" s="456" t="s">
        <v>26</v>
      </c>
      <c r="G142" s="456"/>
      <c r="H142" s="456"/>
      <c r="I142" s="29">
        <v>1</v>
      </c>
    </row>
    <row r="143" spans="6:18">
      <c r="F143" s="456" t="s">
        <v>27</v>
      </c>
      <c r="G143" s="456"/>
      <c r="H143" s="456"/>
      <c r="I143" s="29">
        <v>1</v>
      </c>
    </row>
    <row r="144" spans="6:18"/>
    <row r="149" spans="3:17">
      <c r="C149" s="6" t="s">
        <v>39</v>
      </c>
      <c r="D149" s="6"/>
      <c r="E149" s="6"/>
      <c r="F149" s="8"/>
      <c r="G149" s="8"/>
      <c r="H149" s="8"/>
      <c r="I149" s="8"/>
      <c r="J149" s="9"/>
      <c r="K149" s="8"/>
      <c r="L149" s="8"/>
      <c r="M149" s="8"/>
      <c r="N149" s="9"/>
      <c r="O149" s="9"/>
      <c r="P149" s="8"/>
    </row>
    <row r="150" spans="3:17">
      <c r="H150" s="453" t="s">
        <v>1</v>
      </c>
      <c r="I150" s="453"/>
    </row>
    <row r="151" spans="3:17" ht="28.5" customHeight="1">
      <c r="F151" s="11"/>
      <c r="G151" s="12"/>
      <c r="H151" s="13" t="s">
        <v>2</v>
      </c>
      <c r="I151" s="13" t="s">
        <v>3</v>
      </c>
      <c r="J151" s="13" t="s">
        <v>4</v>
      </c>
      <c r="K151" s="13" t="s">
        <v>5</v>
      </c>
      <c r="L151" s="13" t="s">
        <v>6</v>
      </c>
      <c r="M151" s="13" t="s">
        <v>7</v>
      </c>
      <c r="N151" s="13" t="s">
        <v>8</v>
      </c>
      <c r="O151" s="13" t="s">
        <v>37</v>
      </c>
      <c r="P151" s="13" t="s">
        <v>9</v>
      </c>
      <c r="Q151" s="13" t="s">
        <v>10</v>
      </c>
    </row>
    <row r="152" spans="3:17">
      <c r="F152" s="15" t="s">
        <v>11</v>
      </c>
      <c r="G152" s="16"/>
      <c r="H152" s="3"/>
      <c r="I152" s="3"/>
      <c r="K152" s="3"/>
      <c r="L152" s="3"/>
      <c r="M152" s="3"/>
      <c r="P152" s="3"/>
    </row>
    <row r="153" spans="3:17">
      <c r="G153" s="17" t="s">
        <v>12</v>
      </c>
      <c r="H153">
        <v>5680</v>
      </c>
      <c r="I153">
        <f>I$6</f>
        <v>2400</v>
      </c>
      <c r="J153" s="3">
        <v>1</v>
      </c>
      <c r="K153">
        <v>180</v>
      </c>
      <c r="L153" s="18">
        <f>J153*I153/K153</f>
        <v>13.333333333333334</v>
      </c>
      <c r="M153">
        <f>3600*24</f>
        <v>86400</v>
      </c>
      <c r="N153" s="3">
        <v>30</v>
      </c>
      <c r="O153" s="3">
        <v>0.35</v>
      </c>
      <c r="P153" s="19">
        <f>L153*M153*N153*O153/1000000</f>
        <v>12.096</v>
      </c>
      <c r="Q153" s="20">
        <f>P153</f>
        <v>12.096</v>
      </c>
    </row>
    <row r="154" spans="3:17">
      <c r="G154" s="17" t="s">
        <v>13</v>
      </c>
      <c r="H154">
        <v>4928</v>
      </c>
      <c r="I154">
        <f>I$7</f>
        <v>1920</v>
      </c>
      <c r="J154" s="3">
        <v>0</v>
      </c>
      <c r="K154">
        <v>180</v>
      </c>
      <c r="L154" s="18">
        <f>J154*I154/K154</f>
        <v>0</v>
      </c>
      <c r="M154">
        <f>3600*24</f>
        <v>86400</v>
      </c>
      <c r="N154" s="3">
        <v>30</v>
      </c>
      <c r="O154" s="3">
        <v>0.35</v>
      </c>
      <c r="P154" s="19">
        <f>L154*M154*N154*O154/1000000</f>
        <v>0</v>
      </c>
      <c r="Q154" s="20">
        <f>P154</f>
        <v>0</v>
      </c>
    </row>
    <row r="155" spans="3:17">
      <c r="G155" s="17" t="s">
        <v>14</v>
      </c>
      <c r="H155">
        <v>64000</v>
      </c>
      <c r="I155">
        <f>I$8</f>
        <v>20000</v>
      </c>
      <c r="J155" s="3">
        <v>1</v>
      </c>
      <c r="K155">
        <v>7200</v>
      </c>
      <c r="L155" s="18">
        <f>J155*I155/K155</f>
        <v>2.7777777777777777</v>
      </c>
      <c r="M155">
        <f>3600*24</f>
        <v>86400</v>
      </c>
      <c r="N155" s="3">
        <v>30</v>
      </c>
      <c r="O155" s="3">
        <v>0.35</v>
      </c>
      <c r="P155" s="20">
        <f>L155*M155*N155*O155/1000000</f>
        <v>2.52</v>
      </c>
      <c r="Q155" s="20">
        <f>P155</f>
        <v>2.52</v>
      </c>
    </row>
    <row r="156" spans="3:17">
      <c r="G156" s="17" t="s">
        <v>15</v>
      </c>
      <c r="H156">
        <v>512</v>
      </c>
      <c r="I156">
        <f>H156</f>
        <v>512</v>
      </c>
      <c r="J156" s="3">
        <v>1</v>
      </c>
      <c r="K156">
        <v>1800</v>
      </c>
      <c r="L156" s="18">
        <f>J156*I156/K156</f>
        <v>0.28444444444444444</v>
      </c>
      <c r="M156">
        <f>3600*24</f>
        <v>86400</v>
      </c>
      <c r="N156" s="3">
        <v>30</v>
      </c>
      <c r="O156" s="3">
        <v>0.35</v>
      </c>
      <c r="P156" s="22">
        <f>L156*M156*N156*O156/1000000</f>
        <v>0.25804799999999994</v>
      </c>
      <c r="Q156" s="22">
        <f>P156</f>
        <v>0.25804799999999994</v>
      </c>
    </row>
    <row r="157" spans="3:17">
      <c r="G157" s="17"/>
      <c r="K157" s="3" t="str">
        <f>IF(AND( (K153/K154)=INT(K153/K154), (K155/K154)=INT(K155/K154) ), " ", "error")</f>
        <v xml:space="preserve"> </v>
      </c>
      <c r="P157" s="24">
        <f>SUM(P153:P156)</f>
        <v>14.874048</v>
      </c>
      <c r="Q157" s="20">
        <f>SUM(Q153:Q156)</f>
        <v>14.874048</v>
      </c>
    </row>
    <row r="158" spans="3:17">
      <c r="P158" s="3"/>
    </row>
    <row r="159" spans="3:17" ht="28.5" customHeight="1">
      <c r="F159" s="11"/>
      <c r="G159" s="12"/>
      <c r="H159" s="13" t="s">
        <v>2</v>
      </c>
      <c r="I159" s="13" t="s">
        <v>3</v>
      </c>
      <c r="J159" s="13" t="s">
        <v>4</v>
      </c>
      <c r="K159" s="13" t="s">
        <v>5</v>
      </c>
      <c r="L159" s="13" t="s">
        <v>6</v>
      </c>
      <c r="M159" s="13" t="s">
        <v>7</v>
      </c>
      <c r="N159" s="13" t="s">
        <v>8</v>
      </c>
      <c r="O159" s="13" t="s">
        <v>37</v>
      </c>
      <c r="P159" s="13" t="s">
        <v>9</v>
      </c>
      <c r="Q159" s="13" t="s">
        <v>10</v>
      </c>
    </row>
    <row r="160" spans="3:17">
      <c r="F160" s="15" t="s">
        <v>16</v>
      </c>
      <c r="G160" s="25"/>
      <c r="P160" s="3"/>
    </row>
    <row r="161" spans="6:18">
      <c r="G161" s="17" t="s">
        <v>17</v>
      </c>
      <c r="H161">
        <v>8480</v>
      </c>
      <c r="I161">
        <f>I$14</f>
        <v>2900</v>
      </c>
      <c r="J161" s="3">
        <v>1</v>
      </c>
      <c r="K161">
        <f>I169*64</f>
        <v>1280</v>
      </c>
      <c r="L161" s="18">
        <f>J161*I161/K161</f>
        <v>2.265625</v>
      </c>
      <c r="M161">
        <f>3600*24</f>
        <v>86400</v>
      </c>
      <c r="N161" s="3">
        <f>I172*(I170+I171)</f>
        <v>3.4</v>
      </c>
      <c r="P161" s="20">
        <f>L161*M161*I172*((I170+I171))/1000000</f>
        <v>0.66554999999999997</v>
      </c>
      <c r="Q161" s="20">
        <f>L161*M161*I173*((I170+I171))/1000000</f>
        <v>0.66554999999999997</v>
      </c>
    </row>
    <row r="162" spans="6:18">
      <c r="G162" s="17" t="s">
        <v>18</v>
      </c>
      <c r="H162">
        <v>992</v>
      </c>
      <c r="I162">
        <f>I$15</f>
        <v>600</v>
      </c>
      <c r="J162" s="3">
        <v>1</v>
      </c>
      <c r="K162">
        <f>I169*64</f>
        <v>1280</v>
      </c>
      <c r="L162" s="18">
        <f>J162*I162/K162</f>
        <v>0.46875</v>
      </c>
      <c r="M162">
        <f>3600*24</f>
        <v>86400</v>
      </c>
      <c r="N162" s="3">
        <f>N161</f>
        <v>3.4</v>
      </c>
      <c r="P162" s="20">
        <f>L162*M162*I172*((I170+I171))/1000000</f>
        <v>0.13769999999999999</v>
      </c>
      <c r="Q162" s="20">
        <f>L162*M162*I173*((I170+I171))/1000000</f>
        <v>0.13769999999999999</v>
      </c>
    </row>
    <row r="163" spans="6:18">
      <c r="G163" s="17" t="s">
        <v>19</v>
      </c>
      <c r="H163">
        <f>H154</f>
        <v>4928</v>
      </c>
      <c r="I163">
        <f>I$16</f>
        <v>1400</v>
      </c>
      <c r="J163" s="3">
        <v>1</v>
      </c>
      <c r="K163">
        <f>I169</f>
        <v>20</v>
      </c>
      <c r="L163" s="18">
        <f>J163*I163/K163</f>
        <v>70</v>
      </c>
      <c r="M163">
        <f>3600*24</f>
        <v>86400</v>
      </c>
      <c r="N163" s="3">
        <f>I173*I171</f>
        <v>2</v>
      </c>
      <c r="P163" s="22">
        <f>L163*M163*I172*I171/1000000</f>
        <v>12.096</v>
      </c>
      <c r="Q163" s="22">
        <f>L163*M163*I173*I171/1000000</f>
        <v>12.096</v>
      </c>
    </row>
    <row r="164" spans="6:18">
      <c r="P164" s="24">
        <f>SUM(P161:P163)</f>
        <v>12.89925</v>
      </c>
      <c r="Q164" s="24">
        <f>SUM(Q161:Q163)</f>
        <v>12.89925</v>
      </c>
    </row>
    <row r="165" spans="6:18">
      <c r="P165" s="26"/>
    </row>
    <row r="166" spans="6:18">
      <c r="F166" s="15" t="s">
        <v>20</v>
      </c>
      <c r="G166" s="27"/>
      <c r="P166" s="28">
        <f>P157+P164</f>
        <v>27.773298</v>
      </c>
      <c r="Q166" s="28">
        <f>Q157+Q164</f>
        <v>27.773298</v>
      </c>
      <c r="R166" t="s">
        <v>21</v>
      </c>
    </row>
    <row r="168" spans="6:18">
      <c r="F168" s="454" t="s">
        <v>22</v>
      </c>
      <c r="G168" s="454"/>
      <c r="H168" s="454"/>
      <c r="I168" s="454"/>
    </row>
    <row r="169" spans="6:18" ht="15.75">
      <c r="F169" s="455" t="s">
        <v>23</v>
      </c>
      <c r="G169" s="455"/>
      <c r="H169" s="455"/>
      <c r="I169" s="29">
        <v>20</v>
      </c>
      <c r="O169" s="30"/>
    </row>
    <row r="170" spans="6:18">
      <c r="F170" s="456" t="s">
        <v>24</v>
      </c>
      <c r="G170" s="456"/>
      <c r="H170" s="456"/>
      <c r="I170" s="29">
        <f>0.7*I169/10</f>
        <v>1.4</v>
      </c>
    </row>
    <row r="171" spans="6:18">
      <c r="F171" s="456" t="s">
        <v>25</v>
      </c>
      <c r="G171" s="456"/>
      <c r="H171" s="456"/>
      <c r="I171" s="29">
        <v>2</v>
      </c>
    </row>
    <row r="172" spans="6:18">
      <c r="F172" s="456" t="s">
        <v>26</v>
      </c>
      <c r="G172" s="456"/>
      <c r="H172" s="456"/>
      <c r="I172" s="29">
        <v>1</v>
      </c>
    </row>
    <row r="173" spans="6:18">
      <c r="F173" s="456" t="s">
        <v>27</v>
      </c>
      <c r="G173" s="456"/>
      <c r="H173" s="456"/>
      <c r="I173" s="29">
        <v>1</v>
      </c>
    </row>
    <row r="174" spans="6:18"/>
    <row r="178" spans="3:17">
      <c r="C178" s="6" t="s">
        <v>40</v>
      </c>
      <c r="D178" s="6"/>
      <c r="E178" s="6"/>
      <c r="F178" s="8"/>
      <c r="G178" s="8"/>
      <c r="H178" s="8"/>
      <c r="I178" s="8"/>
      <c r="J178" s="9"/>
      <c r="K178" s="8"/>
      <c r="L178" s="8"/>
      <c r="M178" s="8"/>
      <c r="N178" s="9"/>
      <c r="O178" s="9"/>
      <c r="P178" s="8"/>
    </row>
    <row r="179" spans="3:17">
      <c r="H179" s="453" t="s">
        <v>1</v>
      </c>
      <c r="I179" s="453"/>
    </row>
    <row r="180" spans="3:17" ht="28.5" customHeight="1">
      <c r="F180" s="11"/>
      <c r="G180" s="12"/>
      <c r="H180" s="13" t="s">
        <v>2</v>
      </c>
      <c r="I180" s="13" t="s">
        <v>3</v>
      </c>
      <c r="J180" s="13" t="s">
        <v>4</v>
      </c>
      <c r="K180" s="13" t="s">
        <v>5</v>
      </c>
      <c r="L180" s="13" t="s">
        <v>6</v>
      </c>
      <c r="M180" s="13" t="s">
        <v>7</v>
      </c>
      <c r="N180" s="13" t="s">
        <v>8</v>
      </c>
      <c r="O180" s="13" t="s">
        <v>37</v>
      </c>
      <c r="P180" s="13" t="s">
        <v>9</v>
      </c>
      <c r="Q180" s="13" t="s">
        <v>10</v>
      </c>
    </row>
    <row r="181" spans="3:17">
      <c r="F181" s="15" t="s">
        <v>11</v>
      </c>
      <c r="G181" s="16"/>
      <c r="H181" s="3"/>
      <c r="I181" s="3"/>
      <c r="K181" s="3"/>
      <c r="L181" s="3"/>
      <c r="M181" s="3"/>
      <c r="P181" s="3"/>
    </row>
    <row r="182" spans="3:17">
      <c r="G182" s="17" t="s">
        <v>12</v>
      </c>
      <c r="H182">
        <v>5680</v>
      </c>
      <c r="I182">
        <f>I$6</f>
        <v>2400</v>
      </c>
      <c r="J182" s="3">
        <v>1</v>
      </c>
      <c r="K182">
        <v>180</v>
      </c>
      <c r="L182" s="18">
        <f>J182*I182/K182</f>
        <v>13.333333333333334</v>
      </c>
      <c r="M182">
        <f>3600*24</f>
        <v>86400</v>
      </c>
      <c r="N182" s="3">
        <v>30</v>
      </c>
      <c r="O182" s="3">
        <v>0.4</v>
      </c>
      <c r="P182" s="19">
        <f>L182*M182*N182*O182/1000000</f>
        <v>13.824</v>
      </c>
      <c r="Q182" s="20">
        <f>P182</f>
        <v>13.824</v>
      </c>
    </row>
    <row r="183" spans="3:17">
      <c r="G183" s="17" t="s">
        <v>13</v>
      </c>
      <c r="H183">
        <v>4928</v>
      </c>
      <c r="I183">
        <f>I$7</f>
        <v>1920</v>
      </c>
      <c r="J183" s="3">
        <v>0</v>
      </c>
      <c r="K183">
        <v>180</v>
      </c>
      <c r="L183" s="18">
        <f>J183*I183/K183</f>
        <v>0</v>
      </c>
      <c r="M183">
        <f>3600*24</f>
        <v>86400</v>
      </c>
      <c r="N183" s="3">
        <v>30</v>
      </c>
      <c r="O183" s="3">
        <v>0.4</v>
      </c>
      <c r="P183" s="19">
        <f>L183*M183*N183*O183/1000000</f>
        <v>0</v>
      </c>
      <c r="Q183" s="20">
        <f>P183</f>
        <v>0</v>
      </c>
    </row>
    <row r="184" spans="3:17">
      <c r="G184" s="17" t="s">
        <v>14</v>
      </c>
      <c r="H184">
        <v>64000</v>
      </c>
      <c r="I184">
        <f>I$8</f>
        <v>20000</v>
      </c>
      <c r="J184" s="3">
        <v>1</v>
      </c>
      <c r="K184">
        <v>7200</v>
      </c>
      <c r="L184" s="18">
        <f>J184*I184/K184</f>
        <v>2.7777777777777777</v>
      </c>
      <c r="M184">
        <f>3600*24</f>
        <v>86400</v>
      </c>
      <c r="N184" s="3">
        <v>30</v>
      </c>
      <c r="O184" s="3">
        <v>0.4</v>
      </c>
      <c r="P184" s="20">
        <f>L184*M184*N184*O184/1000000</f>
        <v>2.88</v>
      </c>
      <c r="Q184" s="20">
        <f>P184</f>
        <v>2.88</v>
      </c>
    </row>
    <row r="185" spans="3:17">
      <c r="G185" s="17" t="s">
        <v>15</v>
      </c>
      <c r="H185">
        <v>512</v>
      </c>
      <c r="I185">
        <f>H185</f>
        <v>512</v>
      </c>
      <c r="J185" s="3">
        <v>1</v>
      </c>
      <c r="K185">
        <v>1800</v>
      </c>
      <c r="L185" s="18">
        <f>J185*I185/K185</f>
        <v>0.28444444444444444</v>
      </c>
      <c r="M185">
        <f>3600*24</f>
        <v>86400</v>
      </c>
      <c r="N185" s="3">
        <v>30</v>
      </c>
      <c r="O185" s="3">
        <v>0.4</v>
      </c>
      <c r="P185" s="22">
        <f>L185*M185*N185*O185/1000000</f>
        <v>0.29491200000000001</v>
      </c>
      <c r="Q185" s="22">
        <f>P185</f>
        <v>0.29491200000000001</v>
      </c>
    </row>
    <row r="186" spans="3:17">
      <c r="G186" s="17"/>
      <c r="K186" s="3" t="str">
        <f>IF(AND( (K182/K183)=INT(K182/K183), (K184/K183)=INT(K184/K183) ), " ", "error")</f>
        <v xml:space="preserve"> </v>
      </c>
      <c r="P186" s="24">
        <f>SUM(P182:P185)</f>
        <v>16.998912000000001</v>
      </c>
      <c r="Q186" s="20">
        <f>SUM(Q182:Q185)</f>
        <v>16.998912000000001</v>
      </c>
    </row>
    <row r="187" spans="3:17">
      <c r="P187" s="3"/>
    </row>
    <row r="188" spans="3:17" ht="28.5" customHeight="1">
      <c r="F188" s="11"/>
      <c r="G188" s="12"/>
      <c r="H188" s="13" t="s">
        <v>2</v>
      </c>
      <c r="I188" s="13" t="s">
        <v>3</v>
      </c>
      <c r="J188" s="13" t="s">
        <v>4</v>
      </c>
      <c r="K188" s="13" t="s">
        <v>5</v>
      </c>
      <c r="L188" s="13" t="s">
        <v>6</v>
      </c>
      <c r="M188" s="13" t="s">
        <v>7</v>
      </c>
      <c r="N188" s="13" t="s">
        <v>8</v>
      </c>
      <c r="O188" s="13" t="s">
        <v>37</v>
      </c>
      <c r="P188" s="13" t="s">
        <v>9</v>
      </c>
      <c r="Q188" s="13" t="s">
        <v>10</v>
      </c>
    </row>
    <row r="189" spans="3:17">
      <c r="F189" s="15" t="s">
        <v>16</v>
      </c>
      <c r="G189" s="25"/>
      <c r="P189" s="3"/>
    </row>
    <row r="190" spans="3:17">
      <c r="G190" s="17" t="s">
        <v>17</v>
      </c>
      <c r="H190">
        <v>8480</v>
      </c>
      <c r="I190">
        <f>I$14</f>
        <v>2900</v>
      </c>
      <c r="J190" s="3">
        <v>1</v>
      </c>
      <c r="K190">
        <f>I198*64</f>
        <v>1280</v>
      </c>
      <c r="L190" s="18">
        <f>J190*I190/K190</f>
        <v>2.265625</v>
      </c>
      <c r="M190">
        <f>3600*24</f>
        <v>86400</v>
      </c>
      <c r="N190" s="3">
        <f>I201*(I199+I200)</f>
        <v>3.4</v>
      </c>
      <c r="P190" s="20">
        <f>L190*M190*I201*((I199+I200))/1000000</f>
        <v>0.66554999999999997</v>
      </c>
      <c r="Q190" s="20">
        <f>L190*M190*I202*((I199+I200))/1000000</f>
        <v>0.66554999999999997</v>
      </c>
    </row>
    <row r="191" spans="3:17">
      <c r="G191" s="17" t="s">
        <v>18</v>
      </c>
      <c r="H191">
        <v>992</v>
      </c>
      <c r="I191">
        <f>I$15</f>
        <v>600</v>
      </c>
      <c r="J191" s="3">
        <v>1</v>
      </c>
      <c r="K191">
        <f>I198*64</f>
        <v>1280</v>
      </c>
      <c r="L191" s="18">
        <f>J191*I191/K191</f>
        <v>0.46875</v>
      </c>
      <c r="M191">
        <f>3600*24</f>
        <v>86400</v>
      </c>
      <c r="N191" s="3">
        <f>N190</f>
        <v>3.4</v>
      </c>
      <c r="P191" s="20">
        <f>L191*M191*I201*((I199+I200))/1000000</f>
        <v>0.13769999999999999</v>
      </c>
      <c r="Q191" s="20">
        <f>L191*M191*I202*((I199+I200))/1000000</f>
        <v>0.13769999999999999</v>
      </c>
    </row>
    <row r="192" spans="3:17">
      <c r="G192" s="17" t="s">
        <v>19</v>
      </c>
      <c r="H192">
        <f>H183</f>
        <v>4928</v>
      </c>
      <c r="I192">
        <f>I$16</f>
        <v>1400</v>
      </c>
      <c r="J192" s="3">
        <v>1</v>
      </c>
      <c r="K192">
        <f>I198</f>
        <v>20</v>
      </c>
      <c r="L192" s="18">
        <f>J192*I192/K192</f>
        <v>70</v>
      </c>
      <c r="M192">
        <f>3600*24</f>
        <v>86400</v>
      </c>
      <c r="N192" s="3">
        <f>I202*I200</f>
        <v>2</v>
      </c>
      <c r="P192" s="22">
        <f>L192*M192*I201*I200/1000000</f>
        <v>12.096</v>
      </c>
      <c r="Q192" s="22">
        <f>L192*M192*I202*I200/1000000</f>
        <v>12.096</v>
      </c>
    </row>
    <row r="193" spans="6:19">
      <c r="P193" s="24">
        <f>SUM(P190:P192)</f>
        <v>12.89925</v>
      </c>
      <c r="Q193" s="24">
        <f>SUM(Q190:Q192)</f>
        <v>12.89925</v>
      </c>
    </row>
    <row r="194" spans="6:19">
      <c r="P194" s="26"/>
    </row>
    <row r="195" spans="6:19">
      <c r="F195" s="15" t="s">
        <v>20</v>
      </c>
      <c r="G195" s="27"/>
      <c r="P195" s="28">
        <f>P186+P193</f>
        <v>29.898161999999999</v>
      </c>
      <c r="Q195" s="28">
        <f>Q186+Q193</f>
        <v>29.898161999999999</v>
      </c>
      <c r="R195" t="s">
        <v>21</v>
      </c>
    </row>
    <row r="197" spans="6:19">
      <c r="F197" s="454" t="s">
        <v>22</v>
      </c>
      <c r="G197" s="454"/>
      <c r="H197" s="454"/>
      <c r="I197" s="454"/>
    </row>
    <row r="198" spans="6:19" ht="15.75">
      <c r="F198" s="455" t="s">
        <v>23</v>
      </c>
      <c r="G198" s="455"/>
      <c r="H198" s="455"/>
      <c r="I198" s="29">
        <v>20</v>
      </c>
      <c r="O198" s="30"/>
    </row>
    <row r="199" spans="6:19">
      <c r="F199" s="456" t="s">
        <v>24</v>
      </c>
      <c r="G199" s="456"/>
      <c r="H199" s="456"/>
      <c r="I199" s="29">
        <f>0.7*I198/10</f>
        <v>1.4</v>
      </c>
    </row>
    <row r="200" spans="6:19">
      <c r="F200" s="456" t="s">
        <v>25</v>
      </c>
      <c r="G200" s="456"/>
      <c r="H200" s="456"/>
      <c r="I200" s="29">
        <v>2</v>
      </c>
    </row>
    <row r="201" spans="6:19">
      <c r="F201" s="456" t="s">
        <v>26</v>
      </c>
      <c r="G201" s="456"/>
      <c r="H201" s="456"/>
      <c r="I201" s="29">
        <v>1</v>
      </c>
    </row>
    <row r="202" spans="6:19">
      <c r="F202" s="456" t="s">
        <v>27</v>
      </c>
      <c r="G202" s="456"/>
      <c r="H202" s="456"/>
      <c r="I202" s="29">
        <v>1</v>
      </c>
    </row>
    <row r="203" spans="6:19"/>
    <row r="205" spans="6:19">
      <c r="P205" s="36" t="s">
        <v>41</v>
      </c>
      <c r="Q205" s="36"/>
      <c r="R205" s="37">
        <f>P19+P49+P77+P107+P136+P166+P195</f>
        <v>184.40923720000001</v>
      </c>
      <c r="S205" s="382" t="s">
        <v>42</v>
      </c>
    </row>
    <row r="208" spans="6:19">
      <c r="Q208" s="3"/>
      <c r="R208" s="30" t="s">
        <v>43</v>
      </c>
      <c r="S208">
        <f>67*2+77</f>
        <v>211</v>
      </c>
    </row>
    <row r="211" spans="3:17">
      <c r="P211" t="s">
        <v>44</v>
      </c>
    </row>
    <row r="212" spans="3:17">
      <c r="P212" t="s">
        <v>45</v>
      </c>
    </row>
    <row r="218" spans="3:17">
      <c r="C218" s="6" t="s">
        <v>46</v>
      </c>
      <c r="D218" s="6"/>
      <c r="E218" s="6"/>
      <c r="F218" s="8"/>
      <c r="G218" s="8"/>
      <c r="H218" s="8"/>
      <c r="I218" s="8"/>
      <c r="J218" s="9"/>
      <c r="K218" s="8"/>
      <c r="L218" s="8"/>
      <c r="M218" s="8"/>
      <c r="N218" s="9"/>
      <c r="O218" s="9"/>
      <c r="P218" s="8"/>
    </row>
    <row r="219" spans="3:17">
      <c r="H219" s="453" t="s">
        <v>1</v>
      </c>
      <c r="I219" s="453"/>
    </row>
    <row r="220" spans="3:17" ht="28.5" customHeight="1">
      <c r="F220" s="11"/>
      <c r="G220" s="12"/>
      <c r="H220" s="13" t="s">
        <v>2</v>
      </c>
      <c r="I220" s="13" t="s">
        <v>3</v>
      </c>
      <c r="J220" s="13" t="s">
        <v>4</v>
      </c>
      <c r="K220" s="13" t="s">
        <v>5</v>
      </c>
      <c r="L220" s="13" t="s">
        <v>6</v>
      </c>
      <c r="M220" s="13" t="s">
        <v>7</v>
      </c>
      <c r="N220" s="13" t="s">
        <v>8</v>
      </c>
      <c r="O220" s="13" t="s">
        <v>37</v>
      </c>
      <c r="P220" s="13" t="s">
        <v>9</v>
      </c>
      <c r="Q220" s="13" t="s">
        <v>10</v>
      </c>
    </row>
    <row r="221" spans="3:17">
      <c r="F221" s="15" t="s">
        <v>11</v>
      </c>
      <c r="G221" s="16"/>
      <c r="H221" s="3"/>
      <c r="I221" s="3"/>
      <c r="K221" s="3"/>
      <c r="L221" s="3"/>
      <c r="M221" s="3"/>
      <c r="P221" s="3"/>
    </row>
    <row r="222" spans="3:17">
      <c r="G222" s="17" t="s">
        <v>12</v>
      </c>
      <c r="H222">
        <v>5680</v>
      </c>
      <c r="I222">
        <f>I$6</f>
        <v>2400</v>
      </c>
      <c r="J222" s="3">
        <v>1</v>
      </c>
      <c r="K222">
        <v>180</v>
      </c>
      <c r="L222" s="18">
        <f>J222*I222/K222</f>
        <v>13.333333333333334</v>
      </c>
      <c r="M222">
        <f>3600*24</f>
        <v>86400</v>
      </c>
      <c r="N222" s="3">
        <v>30</v>
      </c>
      <c r="O222" s="3">
        <v>9.06</v>
      </c>
      <c r="P222" s="19">
        <f>L222*M222*N222*O222/1000000</f>
        <v>313.11360000000002</v>
      </c>
      <c r="Q222" s="20">
        <f>P222</f>
        <v>313.11360000000002</v>
      </c>
    </row>
    <row r="223" spans="3:17">
      <c r="G223" s="17" t="s">
        <v>13</v>
      </c>
      <c r="H223">
        <v>4928</v>
      </c>
      <c r="I223">
        <f>I$7</f>
        <v>1920</v>
      </c>
      <c r="J223" s="3">
        <v>0</v>
      </c>
      <c r="K223">
        <v>180</v>
      </c>
      <c r="L223" s="18">
        <f>J223*I223/K223</f>
        <v>0</v>
      </c>
      <c r="M223">
        <f>3600*24</f>
        <v>86400</v>
      </c>
      <c r="N223" s="3">
        <v>30</v>
      </c>
      <c r="O223" s="3">
        <v>9.06</v>
      </c>
      <c r="P223" s="19">
        <f>L223*M223*N223*O223/1000000</f>
        <v>0</v>
      </c>
      <c r="Q223" s="20">
        <f>P223</f>
        <v>0</v>
      </c>
    </row>
    <row r="224" spans="3:17">
      <c r="G224" s="17" t="s">
        <v>14</v>
      </c>
      <c r="H224">
        <v>64000</v>
      </c>
      <c r="I224">
        <f>I$8</f>
        <v>20000</v>
      </c>
      <c r="J224" s="3">
        <v>1</v>
      </c>
      <c r="K224">
        <v>7200</v>
      </c>
      <c r="L224" s="18">
        <f>J224*I224/K224</f>
        <v>2.7777777777777777</v>
      </c>
      <c r="M224">
        <f>3600*24</f>
        <v>86400</v>
      </c>
      <c r="N224" s="3">
        <v>30</v>
      </c>
      <c r="O224" s="3">
        <v>9.06</v>
      </c>
      <c r="P224" s="20">
        <f>L224*M224*N224*O224/1000000</f>
        <v>65.231999999999999</v>
      </c>
      <c r="Q224" s="20">
        <f>P224</f>
        <v>65.231999999999999</v>
      </c>
    </row>
    <row r="225" spans="6:19">
      <c r="G225" s="17" t="s">
        <v>15</v>
      </c>
      <c r="H225">
        <v>512</v>
      </c>
      <c r="I225">
        <f>H225</f>
        <v>512</v>
      </c>
      <c r="J225" s="3">
        <v>1</v>
      </c>
      <c r="K225">
        <v>1800</v>
      </c>
      <c r="L225" s="18">
        <f>J225*I225/K225</f>
        <v>0.28444444444444444</v>
      </c>
      <c r="M225">
        <f>3600*24</f>
        <v>86400</v>
      </c>
      <c r="N225" s="3">
        <v>30</v>
      </c>
      <c r="O225" s="3">
        <v>9.06</v>
      </c>
      <c r="P225" s="22">
        <f>L225*M225*N225*O225/1000000</f>
        <v>6.6797568000000007</v>
      </c>
      <c r="Q225" s="22">
        <f>P225</f>
        <v>6.6797568000000007</v>
      </c>
    </row>
    <row r="226" spans="6:19">
      <c r="G226" s="17"/>
      <c r="K226" s="3" t="str">
        <f>IF(AND( (K222/K223)=INT(K222/K223), (K224/K223)=INT(K224/K223) ), " ", "error")</f>
        <v xml:space="preserve"> </v>
      </c>
      <c r="P226" s="24">
        <f>SUM(P222:P225)</f>
        <v>385.0253568</v>
      </c>
      <c r="Q226" s="20">
        <f>SUM(Q222:Q225)</f>
        <v>385.0253568</v>
      </c>
    </row>
    <row r="227" spans="6:19">
      <c r="P227" s="3"/>
    </row>
    <row r="228" spans="6:19" ht="28.5" customHeight="1">
      <c r="F228" s="11"/>
      <c r="G228" s="12"/>
      <c r="H228" s="13" t="s">
        <v>2</v>
      </c>
      <c r="I228" s="13" t="s">
        <v>3</v>
      </c>
      <c r="J228" s="13" t="s">
        <v>4</v>
      </c>
      <c r="K228" s="13" t="s">
        <v>5</v>
      </c>
      <c r="L228" s="13" t="s">
        <v>6</v>
      </c>
      <c r="M228" s="13" t="s">
        <v>7</v>
      </c>
      <c r="N228" s="13" t="s">
        <v>8</v>
      </c>
      <c r="O228" s="13" t="s">
        <v>37</v>
      </c>
      <c r="P228" s="13" t="s">
        <v>9</v>
      </c>
      <c r="Q228" s="13" t="s">
        <v>10</v>
      </c>
    </row>
    <row r="229" spans="6:19">
      <c r="F229" s="15" t="s">
        <v>16</v>
      </c>
      <c r="G229" s="25"/>
      <c r="P229" s="3"/>
    </row>
    <row r="230" spans="6:19">
      <c r="G230" s="17" t="s">
        <v>17</v>
      </c>
      <c r="H230">
        <v>8480</v>
      </c>
      <c r="I230">
        <f>I$14</f>
        <v>2900</v>
      </c>
      <c r="J230" s="3">
        <v>1</v>
      </c>
      <c r="K230">
        <f>I238*64</f>
        <v>1280</v>
      </c>
      <c r="L230" s="18">
        <f>J230*I230/K230</f>
        <v>2.265625</v>
      </c>
      <c r="M230">
        <f>3600*24</f>
        <v>86400</v>
      </c>
      <c r="N230" s="3">
        <f>I241*(I239+I240)</f>
        <v>68</v>
      </c>
      <c r="P230" s="20">
        <f>L230*M230*I241*((I239+I240))/1000000</f>
        <v>13.311</v>
      </c>
      <c r="Q230" s="20">
        <f>L230*M230*I242*((I239+I240))/1000000</f>
        <v>5.3243999999999998</v>
      </c>
    </row>
    <row r="231" spans="6:19">
      <c r="G231" s="17" t="s">
        <v>18</v>
      </c>
      <c r="H231">
        <v>992</v>
      </c>
      <c r="I231">
        <f>I$15</f>
        <v>600</v>
      </c>
      <c r="J231" s="3">
        <v>1</v>
      </c>
      <c r="K231">
        <f>I238*64</f>
        <v>1280</v>
      </c>
      <c r="L231" s="18">
        <f>J231*I231/K231</f>
        <v>0.46875</v>
      </c>
      <c r="M231">
        <f>3600*24</f>
        <v>86400</v>
      </c>
      <c r="N231" s="3">
        <f>I242*(I239+I240)</f>
        <v>27.2</v>
      </c>
      <c r="P231" s="20">
        <f>L231*M231*I241*((I239+I240))/1000000</f>
        <v>2.754</v>
      </c>
      <c r="Q231" s="20">
        <f>L231*M231*I242*((I239+I240))/1000000</f>
        <v>1.1015999999999999</v>
      </c>
    </row>
    <row r="232" spans="6:19">
      <c r="G232" s="17" t="s">
        <v>19</v>
      </c>
      <c r="H232">
        <f>H223</f>
        <v>4928</v>
      </c>
      <c r="I232">
        <f>I$16</f>
        <v>1400</v>
      </c>
      <c r="J232" s="3">
        <v>1</v>
      </c>
      <c r="K232">
        <f>I238</f>
        <v>20</v>
      </c>
      <c r="L232" s="18">
        <f>J232*I232/K232</f>
        <v>70</v>
      </c>
      <c r="M232">
        <f>3600*24</f>
        <v>86400</v>
      </c>
      <c r="N232" s="3">
        <f>I242*I240</f>
        <v>16</v>
      </c>
      <c r="P232" s="22">
        <f>L232*M232*I241*I240/1000000</f>
        <v>241.92</v>
      </c>
      <c r="Q232" s="22">
        <f>L232*M232*I242*I240/1000000</f>
        <v>96.768000000000001</v>
      </c>
    </row>
    <row r="233" spans="6:19">
      <c r="P233" s="24">
        <f>SUM(P230:P232)</f>
        <v>257.98500000000001</v>
      </c>
      <c r="Q233" s="24">
        <f>SUM(Q230:Q232)</f>
        <v>103.194</v>
      </c>
    </row>
    <row r="234" spans="6:19">
      <c r="P234" s="26"/>
    </row>
    <row r="235" spans="6:19">
      <c r="F235" s="15" t="s">
        <v>20</v>
      </c>
      <c r="G235" s="27"/>
      <c r="P235" s="28">
        <f>P226+P233</f>
        <v>643.01035679999995</v>
      </c>
      <c r="Q235" s="28">
        <f>Q226+Q233</f>
        <v>488.21935680000001</v>
      </c>
      <c r="R235" t="s">
        <v>21</v>
      </c>
    </row>
    <row r="237" spans="6:19">
      <c r="F237" s="454" t="s">
        <v>22</v>
      </c>
      <c r="G237" s="454"/>
      <c r="H237" s="454"/>
      <c r="I237" s="454"/>
    </row>
    <row r="238" spans="6:19" ht="15.75">
      <c r="F238" s="455" t="s">
        <v>23</v>
      </c>
      <c r="G238" s="455"/>
      <c r="H238" s="455"/>
      <c r="I238" s="29">
        <v>20</v>
      </c>
      <c r="O238" s="30"/>
      <c r="P238" s="41" t="s">
        <v>47</v>
      </c>
      <c r="Q238" s="41"/>
      <c r="R238" s="42">
        <f>P235</f>
        <v>643.01035679999995</v>
      </c>
      <c r="S238" s="383" t="s">
        <v>42</v>
      </c>
    </row>
    <row r="239" spans="6:19">
      <c r="F239" s="456" t="s">
        <v>24</v>
      </c>
      <c r="G239" s="456"/>
      <c r="H239" s="456"/>
      <c r="I239" s="29">
        <f>0.7*I238/10</f>
        <v>1.4</v>
      </c>
    </row>
    <row r="240" spans="6:19">
      <c r="F240" s="456" t="s">
        <v>25</v>
      </c>
      <c r="G240" s="456"/>
      <c r="H240" s="456"/>
      <c r="I240" s="29">
        <v>2</v>
      </c>
    </row>
    <row r="241" spans="3:20">
      <c r="F241" s="456" t="s">
        <v>26</v>
      </c>
      <c r="G241" s="456"/>
      <c r="H241" s="456"/>
      <c r="I241" s="29">
        <v>20</v>
      </c>
    </row>
    <row r="242" spans="3:20">
      <c r="F242" s="456" t="s">
        <v>27</v>
      </c>
      <c r="G242" s="456"/>
      <c r="H242" s="456"/>
      <c r="I242" s="29">
        <v>8</v>
      </c>
    </row>
    <row r="243" spans="3:20"/>
    <row r="246" spans="3:20">
      <c r="C246" s="6" t="s">
        <v>48</v>
      </c>
      <c r="D246" s="6"/>
      <c r="E246" s="6"/>
      <c r="F246" s="8"/>
      <c r="G246" s="8"/>
      <c r="H246" s="8"/>
      <c r="I246" s="8"/>
      <c r="J246" s="9"/>
      <c r="K246" s="8"/>
      <c r="L246" s="8"/>
      <c r="M246" s="8"/>
      <c r="N246" s="9"/>
      <c r="O246" s="9"/>
      <c r="P246" s="8"/>
    </row>
    <row r="247" spans="3:20">
      <c r="H247" s="453" t="s">
        <v>1</v>
      </c>
      <c r="I247" s="453"/>
    </row>
    <row r="248" spans="3:20" ht="28.5">
      <c r="F248" s="11"/>
      <c r="G248" s="12"/>
      <c r="H248" s="13" t="s">
        <v>2</v>
      </c>
      <c r="I248" s="13" t="s">
        <v>3</v>
      </c>
      <c r="J248" s="13" t="s">
        <v>4</v>
      </c>
      <c r="K248" s="13" t="s">
        <v>5</v>
      </c>
      <c r="L248" s="13" t="s">
        <v>6</v>
      </c>
      <c r="M248" s="13" t="s">
        <v>7</v>
      </c>
      <c r="N248" s="13" t="s">
        <v>8</v>
      </c>
      <c r="O248" s="13"/>
      <c r="P248" s="13" t="s">
        <v>49</v>
      </c>
      <c r="Q248" s="13" t="s">
        <v>50</v>
      </c>
      <c r="R248" s="13" t="s">
        <v>51</v>
      </c>
      <c r="S248" s="13" t="s">
        <v>52</v>
      </c>
    </row>
    <row r="249" spans="3:20">
      <c r="F249" s="15" t="s">
        <v>11</v>
      </c>
      <c r="G249" s="16"/>
      <c r="H249" s="3"/>
      <c r="I249" s="3"/>
      <c r="K249" s="3"/>
      <c r="L249" s="3"/>
      <c r="P249" s="3"/>
    </row>
    <row r="250" spans="3:20">
      <c r="G250" s="17" t="s">
        <v>12</v>
      </c>
      <c r="H250">
        <v>5680</v>
      </c>
      <c r="I250">
        <f>I$6</f>
        <v>2400</v>
      </c>
      <c r="J250" s="3">
        <v>1</v>
      </c>
      <c r="K250">
        <v>180</v>
      </c>
      <c r="L250" s="18">
        <f>J250*I250/K250</f>
        <v>13.333333333333334</v>
      </c>
      <c r="M250">
        <f>3600*24</f>
        <v>86400</v>
      </c>
      <c r="N250" s="44">
        <v>21</v>
      </c>
      <c r="P250" s="19">
        <f>L250*M250/1000000</f>
        <v>1.1519999999999999</v>
      </c>
      <c r="Q250" s="20">
        <f>P250</f>
        <v>1.1519999999999999</v>
      </c>
      <c r="R250" s="19">
        <f>L250*M250*N250/1000000</f>
        <v>24.192</v>
      </c>
      <c r="S250" s="20">
        <f>R250</f>
        <v>24.192</v>
      </c>
    </row>
    <row r="251" spans="3:20">
      <c r="G251" s="17" t="s">
        <v>13</v>
      </c>
      <c r="H251">
        <v>4928</v>
      </c>
      <c r="I251">
        <f>I$7</f>
        <v>1920</v>
      </c>
      <c r="J251" s="3">
        <v>0</v>
      </c>
      <c r="K251">
        <v>180</v>
      </c>
      <c r="L251" s="18">
        <f>J251*I251/K251</f>
        <v>0</v>
      </c>
      <c r="M251">
        <f>3600*24</f>
        <v>86400</v>
      </c>
      <c r="N251" s="4">
        <f>N250</f>
        <v>21</v>
      </c>
      <c r="P251" s="19">
        <f>L251*M251/1000000</f>
        <v>0</v>
      </c>
      <c r="Q251" s="20">
        <f>P251</f>
        <v>0</v>
      </c>
      <c r="R251" s="19">
        <f>L251*M251*N251/1000000</f>
        <v>0</v>
      </c>
      <c r="S251" s="20">
        <f>R251</f>
        <v>0</v>
      </c>
    </row>
    <row r="252" spans="3:20">
      <c r="G252" s="17" t="s">
        <v>14</v>
      </c>
      <c r="H252">
        <v>64000</v>
      </c>
      <c r="I252">
        <f>I$8</f>
        <v>20000</v>
      </c>
      <c r="J252" s="3">
        <v>1</v>
      </c>
      <c r="K252">
        <v>7200</v>
      </c>
      <c r="L252" s="18">
        <f>J252*I252/K252</f>
        <v>2.7777777777777777</v>
      </c>
      <c r="M252">
        <f>3600*24</f>
        <v>86400</v>
      </c>
      <c r="N252" s="4">
        <f>N251</f>
        <v>21</v>
      </c>
      <c r="P252" s="19">
        <f>L252*M252/1000000</f>
        <v>0.24</v>
      </c>
      <c r="Q252" s="20">
        <f>P252</f>
        <v>0.24</v>
      </c>
      <c r="R252" s="19">
        <f>L252*M252*N252/1000000</f>
        <v>5.04</v>
      </c>
      <c r="S252" s="20">
        <f>R252</f>
        <v>5.04</v>
      </c>
    </row>
    <row r="253" spans="3:20">
      <c r="G253" s="17" t="s">
        <v>15</v>
      </c>
      <c r="H253">
        <v>512</v>
      </c>
      <c r="I253">
        <f>H253</f>
        <v>512</v>
      </c>
      <c r="J253" s="3">
        <v>1</v>
      </c>
      <c r="K253">
        <v>1800</v>
      </c>
      <c r="L253" s="18">
        <f>J253*I253/K253</f>
        <v>0.28444444444444444</v>
      </c>
      <c r="M253">
        <f>3600*24</f>
        <v>86400</v>
      </c>
      <c r="N253" s="4">
        <f>N252</f>
        <v>21</v>
      </c>
      <c r="P253" s="19">
        <f>L253*M253/1000000</f>
        <v>2.4576000000000001E-2</v>
      </c>
      <c r="Q253" s="20">
        <f>P253</f>
        <v>2.4576000000000001E-2</v>
      </c>
      <c r="R253" s="19">
        <f>L253*M253*N253/1000000</f>
        <v>0.516096</v>
      </c>
      <c r="S253" s="20">
        <f>R253</f>
        <v>0.516096</v>
      </c>
    </row>
    <row r="254" spans="3:20">
      <c r="G254" s="17"/>
      <c r="K254" s="3" t="str">
        <f>IF(AND( (K250/K251)=INT(K250/K251), (K252/K251)=INT(K252/K251) ), " ", "error")</f>
        <v xml:space="preserve"> </v>
      </c>
      <c r="N254" s="46" t="s">
        <v>53</v>
      </c>
      <c r="O254" s="46"/>
      <c r="P254" s="384">
        <f>SUM(P250:P253)</f>
        <v>1.4165759999999998</v>
      </c>
      <c r="Q254" s="49">
        <f>SUM(Q250:Q253)</f>
        <v>1.4165759999999998</v>
      </c>
      <c r="R254" s="47">
        <f>SUM(R250:R253)</f>
        <v>29.748096</v>
      </c>
      <c r="S254" s="49">
        <f>SUM(S250:S253)</f>
        <v>29.748096</v>
      </c>
      <c r="T254" s="385">
        <f>P254/(3600*24)</f>
        <v>1.6395555555555554E-5</v>
      </c>
    </row>
    <row r="255" spans="3:20">
      <c r="P255" s="3"/>
    </row>
    <row r="256" spans="3:20" ht="42.75">
      <c r="F256" s="11"/>
      <c r="G256" s="12"/>
      <c r="H256" s="13" t="s">
        <v>2</v>
      </c>
      <c r="I256" s="13" t="s">
        <v>3</v>
      </c>
      <c r="J256" s="13" t="s">
        <v>4</v>
      </c>
      <c r="K256" s="13" t="s">
        <v>5</v>
      </c>
      <c r="L256" s="13" t="s">
        <v>6</v>
      </c>
      <c r="M256" s="13" t="s">
        <v>7</v>
      </c>
      <c r="N256" s="13" t="s">
        <v>8</v>
      </c>
      <c r="O256" s="13" t="s">
        <v>37</v>
      </c>
      <c r="P256" s="13" t="s">
        <v>49</v>
      </c>
      <c r="Q256" s="13" t="s">
        <v>50</v>
      </c>
      <c r="R256" s="13" t="s">
        <v>54</v>
      </c>
      <c r="S256" s="13" t="s">
        <v>55</v>
      </c>
    </row>
    <row r="257" spans="6:19">
      <c r="F257" s="15" t="s">
        <v>16</v>
      </c>
      <c r="G257" s="25"/>
      <c r="N257" s="386">
        <f>135-69</f>
        <v>66</v>
      </c>
      <c r="R257" s="3"/>
    </row>
    <row r="258" spans="6:19">
      <c r="G258" s="17" t="s">
        <v>17</v>
      </c>
      <c r="H258">
        <v>8480</v>
      </c>
      <c r="I258">
        <f>I$14</f>
        <v>2900</v>
      </c>
      <c r="J258" s="3">
        <v>1</v>
      </c>
      <c r="K258">
        <f>I266*64</f>
        <v>1280</v>
      </c>
      <c r="L258" s="18">
        <f>J258*I258/K258</f>
        <v>2.265625</v>
      </c>
      <c r="M258">
        <f>3600*24</f>
        <v>86400</v>
      </c>
      <c r="P258" s="20">
        <f t="shared" ref="P258:Q260" si="0">R258/$N$257</f>
        <v>6.0504545454545457E-2</v>
      </c>
      <c r="Q258" s="20">
        <f t="shared" si="0"/>
        <v>4.0336363636363635E-2</v>
      </c>
      <c r="R258" s="20">
        <f>L258*M258*I269*((I267+I268))/1000000</f>
        <v>3.9933000000000001</v>
      </c>
      <c r="S258" s="20">
        <f>L258*M258*I270*((I267+I268))/1000000</f>
        <v>2.6621999999999999</v>
      </c>
    </row>
    <row r="259" spans="6:19">
      <c r="G259" s="17" t="s">
        <v>18</v>
      </c>
      <c r="H259">
        <v>992</v>
      </c>
      <c r="I259">
        <f>I$15</f>
        <v>600</v>
      </c>
      <c r="J259" s="3">
        <v>1</v>
      </c>
      <c r="K259">
        <f>I266*64</f>
        <v>1280</v>
      </c>
      <c r="L259" s="18">
        <f>J259*I259/K259</f>
        <v>0.46875</v>
      </c>
      <c r="M259">
        <f>3600*24</f>
        <v>86400</v>
      </c>
      <c r="P259" s="20">
        <f t="shared" si="0"/>
        <v>1.2518181818181819E-2</v>
      </c>
      <c r="Q259" s="20">
        <f t="shared" si="0"/>
        <v>8.3454545454545448E-3</v>
      </c>
      <c r="R259" s="20">
        <f>L259*M259*I269*((I267+I268))/1000000</f>
        <v>0.82620000000000005</v>
      </c>
      <c r="S259" s="20">
        <f>L259*M259*I270*((I267+I268))/1000000</f>
        <v>0.55079999999999996</v>
      </c>
    </row>
    <row r="260" spans="6:19">
      <c r="G260" s="17" t="s">
        <v>19</v>
      </c>
      <c r="H260">
        <f>H251</f>
        <v>4928</v>
      </c>
      <c r="I260">
        <f>I$16</f>
        <v>1400</v>
      </c>
      <c r="J260" s="3">
        <v>1</v>
      </c>
      <c r="K260">
        <f>I266</f>
        <v>20</v>
      </c>
      <c r="L260" s="18">
        <f>J260*I260/K260</f>
        <v>70</v>
      </c>
      <c r="M260">
        <f>3600*24</f>
        <v>86400</v>
      </c>
      <c r="P260" s="20">
        <f t="shared" si="0"/>
        <v>1.0996363636363635</v>
      </c>
      <c r="Q260" s="20">
        <f t="shared" si="0"/>
        <v>0.73309090909090913</v>
      </c>
      <c r="R260" s="22">
        <f>L260*M260*I269*I268/1000000</f>
        <v>72.575999999999993</v>
      </c>
      <c r="S260" s="22">
        <f>L260*M260*I270*I268/1000000</f>
        <v>48.384</v>
      </c>
    </row>
    <row r="261" spans="6:19">
      <c r="N261" s="46" t="s">
        <v>56</v>
      </c>
      <c r="O261" s="46"/>
      <c r="P261" s="47">
        <f>SUM(P258:P260)</f>
        <v>1.1726590909090908</v>
      </c>
      <c r="Q261" s="47">
        <f>SUM(Q258:Q260)</f>
        <v>0.78177272727272729</v>
      </c>
      <c r="R261" s="50">
        <f>SUM(R258:R260)</f>
        <v>77.395499999999998</v>
      </c>
      <c r="S261" s="50">
        <f>SUM(S258:S260)</f>
        <v>51.597000000000001</v>
      </c>
    </row>
    <row r="262" spans="6:19">
      <c r="R262" s="26"/>
    </row>
    <row r="263" spans="6:19">
      <c r="F263" s="15" t="s">
        <v>20</v>
      </c>
      <c r="G263" s="27"/>
      <c r="N263" s="387" t="s">
        <v>57</v>
      </c>
      <c r="O263" s="52"/>
      <c r="P263" s="28">
        <f>P254+P261</f>
        <v>2.5892350909090904</v>
      </c>
      <c r="Q263" s="28">
        <f>Q254+Q261</f>
        <v>2.1983487272727271</v>
      </c>
      <c r="R263" s="53">
        <f>R254+R261</f>
        <v>107.143596</v>
      </c>
      <c r="S263" s="53">
        <f>S254+S261</f>
        <v>81.345095999999998</v>
      </c>
    </row>
    <row r="265" spans="6:19">
      <c r="F265" s="454" t="s">
        <v>22</v>
      </c>
      <c r="G265" s="454"/>
      <c r="H265" s="454"/>
      <c r="I265" s="454"/>
    </row>
    <row r="266" spans="6:19" ht="15.75">
      <c r="F266" s="455" t="s">
        <v>23</v>
      </c>
      <c r="G266" s="455"/>
      <c r="H266" s="455"/>
      <c r="I266" s="29">
        <v>20</v>
      </c>
      <c r="O266" s="30"/>
    </row>
    <row r="267" spans="6:19">
      <c r="F267" s="456" t="s">
        <v>24</v>
      </c>
      <c r="G267" s="456"/>
      <c r="H267" s="456"/>
      <c r="I267" s="29">
        <f>0.7*I266/10</f>
        <v>1.4</v>
      </c>
    </row>
    <row r="268" spans="6:19">
      <c r="F268" s="456" t="s">
        <v>25</v>
      </c>
      <c r="G268" s="456"/>
      <c r="H268" s="456"/>
      <c r="I268" s="29">
        <v>2</v>
      </c>
    </row>
    <row r="269" spans="6:19">
      <c r="F269" s="456" t="s">
        <v>63</v>
      </c>
      <c r="G269" s="456"/>
      <c r="H269" s="456"/>
      <c r="I269" s="70">
        <v>6</v>
      </c>
    </row>
    <row r="270" spans="6:19">
      <c r="F270" s="456" t="s">
        <v>71</v>
      </c>
      <c r="G270" s="456"/>
      <c r="H270" s="456"/>
      <c r="I270" s="70">
        <v>4</v>
      </c>
    </row>
    <row r="275" spans="3:20">
      <c r="C275" s="6">
        <v>23149</v>
      </c>
      <c r="D275" s="6"/>
      <c r="E275" s="6"/>
      <c r="F275" s="8"/>
      <c r="G275" s="8"/>
      <c r="H275" s="8"/>
      <c r="I275" s="8"/>
      <c r="J275" s="9"/>
      <c r="K275" s="8"/>
      <c r="L275" s="8"/>
      <c r="M275" s="8"/>
      <c r="N275" s="9"/>
      <c r="O275" s="9"/>
      <c r="P275" s="8"/>
    </row>
    <row r="276" spans="3:20">
      <c r="H276" s="453" t="s">
        <v>1</v>
      </c>
      <c r="I276" s="453"/>
    </row>
    <row r="277" spans="3:20" ht="28.5">
      <c r="F277" s="11"/>
      <c r="G277" s="12"/>
      <c r="H277" s="13" t="s">
        <v>2</v>
      </c>
      <c r="I277" s="13" t="s">
        <v>3</v>
      </c>
      <c r="J277" s="13" t="s">
        <v>4</v>
      </c>
      <c r="K277" s="13" t="s">
        <v>5</v>
      </c>
      <c r="L277" s="13" t="s">
        <v>6</v>
      </c>
      <c r="M277" s="13" t="s">
        <v>7</v>
      </c>
      <c r="N277" s="13" t="s">
        <v>8</v>
      </c>
      <c r="O277" s="13"/>
      <c r="P277" s="13" t="s">
        <v>49</v>
      </c>
      <c r="Q277" s="13" t="s">
        <v>50</v>
      </c>
      <c r="R277" s="13" t="s">
        <v>51</v>
      </c>
      <c r="S277" s="13" t="s">
        <v>52</v>
      </c>
    </row>
    <row r="278" spans="3:20">
      <c r="F278" s="15" t="s">
        <v>11</v>
      </c>
      <c r="G278" s="16"/>
      <c r="H278" s="3"/>
      <c r="I278" s="3"/>
      <c r="K278" s="3"/>
      <c r="L278" s="3"/>
      <c r="P278" s="3"/>
    </row>
    <row r="279" spans="3:20">
      <c r="G279" s="17" t="s">
        <v>12</v>
      </c>
      <c r="H279">
        <v>5680</v>
      </c>
      <c r="I279">
        <f>I$6</f>
        <v>2400</v>
      </c>
      <c r="J279" s="3">
        <v>1</v>
      </c>
      <c r="K279">
        <v>100</v>
      </c>
      <c r="L279" s="18">
        <f>J279*I279/K279</f>
        <v>24</v>
      </c>
      <c r="M279">
        <f>3600*24</f>
        <v>86400</v>
      </c>
      <c r="N279" s="44">
        <f>20+10/24</f>
        <v>20.416666666666668</v>
      </c>
      <c r="P279" s="19">
        <f>L279*M279/1000000</f>
        <v>2.0735999999999999</v>
      </c>
      <c r="Q279" s="20">
        <f>P279</f>
        <v>2.0735999999999999</v>
      </c>
      <c r="R279" s="19">
        <f>L279*M279*N279/1000000</f>
        <v>42.335999999999999</v>
      </c>
      <c r="S279" s="20">
        <f>R279</f>
        <v>42.335999999999999</v>
      </c>
    </row>
    <row r="280" spans="3:20">
      <c r="G280" s="17" t="s">
        <v>13</v>
      </c>
      <c r="H280">
        <v>4928</v>
      </c>
      <c r="I280">
        <f>I$7</f>
        <v>1920</v>
      </c>
      <c r="J280" s="3">
        <v>0</v>
      </c>
      <c r="K280">
        <v>100</v>
      </c>
      <c r="L280" s="18">
        <f>J280*I280/K280</f>
        <v>0</v>
      </c>
      <c r="M280">
        <f>3600*24</f>
        <v>86400</v>
      </c>
      <c r="N280" s="4">
        <f>N279</f>
        <v>20.416666666666668</v>
      </c>
      <c r="P280" s="19">
        <f>L280*M280/1000000</f>
        <v>0</v>
      </c>
      <c r="Q280" s="20">
        <f>P280</f>
        <v>0</v>
      </c>
      <c r="R280" s="19">
        <f>L280*M280*N280/1000000</f>
        <v>0</v>
      </c>
      <c r="S280" s="20">
        <f>R280</f>
        <v>0</v>
      </c>
    </row>
    <row r="281" spans="3:20">
      <c r="G281" s="17" t="s">
        <v>14</v>
      </c>
      <c r="H281">
        <v>64000</v>
      </c>
      <c r="I281">
        <f>I$8</f>
        <v>20000</v>
      </c>
      <c r="J281" s="3">
        <v>1</v>
      </c>
      <c r="K281">
        <v>7200</v>
      </c>
      <c r="L281" s="18">
        <f>J281*I281/K281</f>
        <v>2.7777777777777777</v>
      </c>
      <c r="M281">
        <f>3600*24</f>
        <v>86400</v>
      </c>
      <c r="N281" s="4">
        <f>N280</f>
        <v>20.416666666666668</v>
      </c>
      <c r="P281" s="19">
        <f>L281*M281/1000000</f>
        <v>0.24</v>
      </c>
      <c r="Q281" s="20">
        <f>P281</f>
        <v>0.24</v>
      </c>
      <c r="R281" s="19">
        <f>L281*M281*N281/1000000</f>
        <v>4.9000000000000004</v>
      </c>
      <c r="S281" s="20">
        <f>R281</f>
        <v>4.9000000000000004</v>
      </c>
    </row>
    <row r="282" spans="3:20">
      <c r="G282" s="17" t="s">
        <v>15</v>
      </c>
      <c r="H282">
        <v>512</v>
      </c>
      <c r="I282">
        <f>H282</f>
        <v>512</v>
      </c>
      <c r="J282" s="3">
        <v>1</v>
      </c>
      <c r="K282">
        <v>1800</v>
      </c>
      <c r="L282" s="18">
        <f>J282*I282/K282</f>
        <v>0.28444444444444444</v>
      </c>
      <c r="M282">
        <f>3600*24</f>
        <v>86400</v>
      </c>
      <c r="N282" s="4">
        <f>N281</f>
        <v>20.416666666666668</v>
      </c>
      <c r="P282" s="19">
        <f>L282*M282/1000000</f>
        <v>2.4576000000000001E-2</v>
      </c>
      <c r="Q282" s="20">
        <f>P282</f>
        <v>2.4576000000000001E-2</v>
      </c>
      <c r="R282" s="19">
        <f>L282*M282*N282/1000000</f>
        <v>0.50175999999999998</v>
      </c>
      <c r="S282" s="20">
        <f>R282</f>
        <v>0.50175999999999998</v>
      </c>
    </row>
    <row r="283" spans="3:20">
      <c r="G283" s="17"/>
      <c r="K283" s="3" t="str">
        <f>IF(AND( (K279/K280)=INT(K279/K280), (K281/K280)=INT(K281/K280) ), " ", "error")</f>
        <v xml:space="preserve"> </v>
      </c>
      <c r="N283" s="46" t="s">
        <v>53</v>
      </c>
      <c r="O283" s="46"/>
      <c r="P283" s="47">
        <f>SUM(P279:P282)</f>
        <v>2.3381760000000003</v>
      </c>
      <c r="Q283" s="49">
        <f>SUM(Q279:Q282)</f>
        <v>2.3381760000000003</v>
      </c>
      <c r="R283" s="47">
        <f>SUM(R279:R282)</f>
        <v>47.737759999999994</v>
      </c>
      <c r="S283" s="49">
        <f>SUM(S279:S282)</f>
        <v>47.737759999999994</v>
      </c>
      <c r="T283" s="385">
        <f>P283/(3600*24)</f>
        <v>2.7062222222222224E-5</v>
      </c>
    </row>
    <row r="284" spans="3:20">
      <c r="P284" s="3"/>
    </row>
    <row r="285" spans="3:20" ht="42.75">
      <c r="F285" s="11"/>
      <c r="G285" s="12"/>
      <c r="H285" s="13" t="s">
        <v>2</v>
      </c>
      <c r="I285" s="13" t="s">
        <v>3</v>
      </c>
      <c r="J285" s="13" t="s">
        <v>4</v>
      </c>
      <c r="K285" s="13" t="s">
        <v>5</v>
      </c>
      <c r="L285" s="13" t="s">
        <v>6</v>
      </c>
      <c r="M285" s="13" t="s">
        <v>7</v>
      </c>
      <c r="N285" s="13" t="s">
        <v>8</v>
      </c>
      <c r="O285" s="13" t="s">
        <v>37</v>
      </c>
      <c r="P285" s="13" t="s">
        <v>49</v>
      </c>
      <c r="Q285" s="13" t="s">
        <v>50</v>
      </c>
      <c r="R285" s="13" t="s">
        <v>54</v>
      </c>
      <c r="S285" s="13" t="s">
        <v>55</v>
      </c>
    </row>
    <row r="286" spans="3:20">
      <c r="F286" s="15" t="s">
        <v>16</v>
      </c>
      <c r="G286" s="25"/>
      <c r="N286" s="386">
        <f>135-69</f>
        <v>66</v>
      </c>
      <c r="R286" s="3"/>
    </row>
    <row r="287" spans="3:20">
      <c r="G287" s="17" t="s">
        <v>17</v>
      </c>
      <c r="H287">
        <v>8480</v>
      </c>
      <c r="I287">
        <f>I$14</f>
        <v>2900</v>
      </c>
      <c r="J287" s="3">
        <v>1</v>
      </c>
      <c r="K287">
        <f>I295*64</f>
        <v>1280</v>
      </c>
      <c r="L287" s="18">
        <f>J287*I287/K287</f>
        <v>2.265625</v>
      </c>
      <c r="M287">
        <f>3600*24</f>
        <v>86400</v>
      </c>
      <c r="P287" s="20">
        <f t="shared" ref="P287:Q289" si="1">R287/$N$257</f>
        <v>6.0504545454545457E-2</v>
      </c>
      <c r="Q287" s="20">
        <f t="shared" si="1"/>
        <v>4.0336363636363635E-2</v>
      </c>
      <c r="R287" s="20">
        <f>L287*M287*I298*((I296+I297))/1000000</f>
        <v>3.9933000000000001</v>
      </c>
      <c r="S287" s="20">
        <f>L287*M287*I299*((I296+I297))/1000000</f>
        <v>2.6621999999999999</v>
      </c>
    </row>
    <row r="288" spans="3:20">
      <c r="G288" s="17" t="s">
        <v>18</v>
      </c>
      <c r="H288">
        <v>992</v>
      </c>
      <c r="I288">
        <f>I$15</f>
        <v>600</v>
      </c>
      <c r="J288" s="3">
        <v>1</v>
      </c>
      <c r="K288">
        <f>I295*64</f>
        <v>1280</v>
      </c>
      <c r="L288" s="18">
        <f>J288*I288/K288</f>
        <v>0.46875</v>
      </c>
      <c r="M288">
        <f>3600*24</f>
        <v>86400</v>
      </c>
      <c r="P288" s="20">
        <f t="shared" si="1"/>
        <v>1.2518181818181819E-2</v>
      </c>
      <c r="Q288" s="20">
        <f t="shared" si="1"/>
        <v>8.3454545454545448E-3</v>
      </c>
      <c r="R288" s="20">
        <f>L288*M288*I298*((I296+I297))/1000000</f>
        <v>0.82620000000000005</v>
      </c>
      <c r="S288" s="20">
        <f>L288*M288*I299*((I296+I297))/1000000</f>
        <v>0.55079999999999996</v>
      </c>
    </row>
    <row r="289" spans="3:21">
      <c r="G289" s="17" t="s">
        <v>19</v>
      </c>
      <c r="H289">
        <f>H280</f>
        <v>4928</v>
      </c>
      <c r="I289">
        <f>I$16</f>
        <v>1400</v>
      </c>
      <c r="J289" s="3">
        <v>1</v>
      </c>
      <c r="K289">
        <f>I295</f>
        <v>20</v>
      </c>
      <c r="L289" s="18">
        <f>J289*I289/K289</f>
        <v>70</v>
      </c>
      <c r="M289">
        <f>3600*24</f>
        <v>86400</v>
      </c>
      <c r="P289" s="20">
        <f t="shared" si="1"/>
        <v>1.0996363636363635</v>
      </c>
      <c r="Q289" s="20">
        <f t="shared" si="1"/>
        <v>0.73309090909090913</v>
      </c>
      <c r="R289" s="22">
        <f>L289*M289*I298*I297/1000000</f>
        <v>72.575999999999993</v>
      </c>
      <c r="S289" s="22">
        <f>L289*M289*I299*I297/1000000</f>
        <v>48.384</v>
      </c>
    </row>
    <row r="290" spans="3:21">
      <c r="N290" s="46" t="s">
        <v>56</v>
      </c>
      <c r="O290" s="46"/>
      <c r="P290" s="47">
        <f>SUM(P287:P289)</f>
        <v>1.1726590909090908</v>
      </c>
      <c r="Q290" s="47">
        <f>SUM(Q287:Q289)</f>
        <v>0.78177272727272729</v>
      </c>
      <c r="R290" s="50">
        <f>SUM(R287:R289)</f>
        <v>77.395499999999998</v>
      </c>
      <c r="S290" s="50">
        <f>SUM(S287:S289)</f>
        <v>51.597000000000001</v>
      </c>
    </row>
    <row r="291" spans="3:21">
      <c r="R291" s="26"/>
    </row>
    <row r="292" spans="3:21">
      <c r="F292" s="15" t="s">
        <v>20</v>
      </c>
      <c r="G292" s="27"/>
      <c r="N292" s="387" t="s">
        <v>57</v>
      </c>
      <c r="O292" s="52"/>
      <c r="P292" s="28">
        <f>P283+P290</f>
        <v>3.5108350909090911</v>
      </c>
      <c r="Q292" s="28">
        <f>Q283+Q290</f>
        <v>3.1199487272727273</v>
      </c>
      <c r="R292" s="53">
        <f>R283+R290</f>
        <v>125.13325999999999</v>
      </c>
      <c r="S292" s="53">
        <f>S283+S290</f>
        <v>99.334759999999989</v>
      </c>
    </row>
    <row r="294" spans="3:21">
      <c r="F294" s="454" t="s">
        <v>22</v>
      </c>
      <c r="G294" s="454"/>
      <c r="H294" s="454"/>
      <c r="I294" s="454"/>
    </row>
    <row r="295" spans="3:21" ht="15.75">
      <c r="F295" s="455" t="s">
        <v>23</v>
      </c>
      <c r="G295" s="455"/>
      <c r="H295" s="455"/>
      <c r="I295" s="29">
        <v>20</v>
      </c>
      <c r="O295" s="30"/>
      <c r="P295">
        <f>1030/60</f>
        <v>17.166666666666668</v>
      </c>
      <c r="Q295">
        <f>12+619/60</f>
        <v>22.316666666666666</v>
      </c>
      <c r="R295">
        <f>17.5+22.32-24</f>
        <v>15.82</v>
      </c>
    </row>
    <row r="296" spans="3:21">
      <c r="F296" s="456" t="s">
        <v>24</v>
      </c>
      <c r="G296" s="456"/>
      <c r="H296" s="456"/>
      <c r="I296" s="29">
        <f>0.7*I295/10</f>
        <v>1.4</v>
      </c>
      <c r="N296" s="3">
        <f>1.6*3+23.4+143</f>
        <v>171.2</v>
      </c>
    </row>
    <row r="297" spans="3:21">
      <c r="F297" s="456" t="s">
        <v>25</v>
      </c>
      <c r="G297" s="456"/>
      <c r="H297" s="456"/>
      <c r="I297" s="29">
        <v>2</v>
      </c>
      <c r="N297" s="3">
        <f>1.6*3+23.4</f>
        <v>28.2</v>
      </c>
      <c r="P297">
        <f>12*13</f>
        <v>156</v>
      </c>
      <c r="Q297">
        <f>15.2+1.6+156</f>
        <v>172.8</v>
      </c>
    </row>
    <row r="298" spans="3:21">
      <c r="F298" s="456" t="s">
        <v>63</v>
      </c>
      <c r="G298" s="456"/>
      <c r="H298" s="456"/>
      <c r="I298" s="70">
        <v>6</v>
      </c>
      <c r="P298">
        <f>12-(2+19.5/24)</f>
        <v>9.1875</v>
      </c>
    </row>
    <row r="299" spans="3:21">
      <c r="F299" s="456" t="s">
        <v>71</v>
      </c>
      <c r="G299" s="456"/>
      <c r="H299" s="456"/>
      <c r="I299" s="70">
        <v>4</v>
      </c>
    </row>
    <row r="301" spans="3:21">
      <c r="C301" s="6">
        <v>23212</v>
      </c>
      <c r="D301" s="6"/>
      <c r="E301" s="6"/>
      <c r="F301" s="8"/>
      <c r="G301" s="8"/>
      <c r="H301" s="8"/>
      <c r="I301" s="8"/>
      <c r="J301" s="9"/>
      <c r="K301" s="8"/>
      <c r="L301" s="8"/>
      <c r="M301" s="8"/>
      <c r="N301" s="9"/>
      <c r="O301" s="9"/>
      <c r="P301" s="8"/>
      <c r="Q301">
        <f>11*13</f>
        <v>143</v>
      </c>
    </row>
    <row r="302" spans="3:21">
      <c r="H302" s="453" t="s">
        <v>1</v>
      </c>
      <c r="I302" s="453"/>
    </row>
    <row r="303" spans="3:21" ht="28.5">
      <c r="F303" s="11"/>
      <c r="G303" s="12"/>
      <c r="H303" s="13" t="s">
        <v>2</v>
      </c>
      <c r="I303" s="13" t="s">
        <v>3</v>
      </c>
      <c r="J303" s="13" t="s">
        <v>4</v>
      </c>
      <c r="K303" s="13" t="s">
        <v>5</v>
      </c>
      <c r="L303" s="13" t="s">
        <v>6</v>
      </c>
      <c r="M303" s="13" t="s">
        <v>7</v>
      </c>
      <c r="N303" s="13" t="s">
        <v>8</v>
      </c>
      <c r="O303" s="13"/>
      <c r="P303" s="13" t="s">
        <v>49</v>
      </c>
      <c r="Q303" s="13" t="s">
        <v>50</v>
      </c>
      <c r="R303" s="13" t="s">
        <v>51</v>
      </c>
      <c r="S303" s="13" t="s">
        <v>52</v>
      </c>
    </row>
    <row r="304" spans="3:21">
      <c r="F304" s="15" t="s">
        <v>11</v>
      </c>
      <c r="G304" s="16"/>
      <c r="H304" s="3"/>
      <c r="I304" s="3"/>
      <c r="K304" s="3"/>
      <c r="L304" s="3"/>
      <c r="P304" s="3"/>
      <c r="U304">
        <f>31.2+1.579+39</f>
        <v>71.778999999999996</v>
      </c>
    </row>
    <row r="305" spans="6:21">
      <c r="G305" s="17" t="s">
        <v>12</v>
      </c>
      <c r="H305">
        <v>5680</v>
      </c>
      <c r="I305">
        <f>I$6</f>
        <v>2400</v>
      </c>
      <c r="J305" s="3">
        <v>1</v>
      </c>
      <c r="K305">
        <v>100</v>
      </c>
      <c r="L305" s="18">
        <f>J305*I305/K305</f>
        <v>24</v>
      </c>
      <c r="M305">
        <f>3600*24</f>
        <v>86400</v>
      </c>
      <c r="N305" s="44">
        <f>13+8/24</f>
        <v>13.333333333333334</v>
      </c>
      <c r="P305" s="19">
        <f>L305*M305/1000000</f>
        <v>2.0735999999999999</v>
      </c>
      <c r="Q305" s="20">
        <f>P305</f>
        <v>2.0735999999999999</v>
      </c>
      <c r="R305" s="19">
        <f>L305*M305*N305/1000000</f>
        <v>27.648</v>
      </c>
      <c r="S305" s="20">
        <f>R305</f>
        <v>27.648</v>
      </c>
    </row>
    <row r="306" spans="6:21">
      <c r="G306" s="17" t="s">
        <v>13</v>
      </c>
      <c r="H306">
        <v>4928</v>
      </c>
      <c r="I306">
        <f>I$7</f>
        <v>1920</v>
      </c>
      <c r="J306" s="3">
        <v>0</v>
      </c>
      <c r="K306">
        <v>100</v>
      </c>
      <c r="L306" s="18">
        <f>J306*I306/K306</f>
        <v>0</v>
      </c>
      <c r="M306">
        <f>3600*24</f>
        <v>86400</v>
      </c>
      <c r="N306" s="4">
        <f>N305</f>
        <v>13.333333333333334</v>
      </c>
      <c r="P306" s="19">
        <f>L306*M306/1000000</f>
        <v>0</v>
      </c>
      <c r="Q306" s="20">
        <f>P306</f>
        <v>0</v>
      </c>
      <c r="R306" s="19">
        <f>L306*M306*N306/1000000</f>
        <v>0</v>
      </c>
      <c r="S306" s="20">
        <f>R306</f>
        <v>0</v>
      </c>
    </row>
    <row r="307" spans="6:21">
      <c r="G307" s="17" t="s">
        <v>14</v>
      </c>
      <c r="H307">
        <v>64000</v>
      </c>
      <c r="I307">
        <f>I$8</f>
        <v>20000</v>
      </c>
      <c r="J307" s="3">
        <v>1</v>
      </c>
      <c r="K307">
        <v>7200</v>
      </c>
      <c r="L307" s="18">
        <f>J307*I307/K307</f>
        <v>2.7777777777777777</v>
      </c>
      <c r="M307">
        <f>3600*24</f>
        <v>86400</v>
      </c>
      <c r="N307" s="4">
        <f>N306</f>
        <v>13.333333333333334</v>
      </c>
      <c r="P307" s="19">
        <f>L307*M307/1000000</f>
        <v>0.24</v>
      </c>
      <c r="Q307" s="20">
        <f>P307</f>
        <v>0.24</v>
      </c>
      <c r="R307" s="19">
        <f>L307*M307*N307/1000000</f>
        <v>3.2</v>
      </c>
      <c r="S307" s="20">
        <f>R307</f>
        <v>3.2</v>
      </c>
      <c r="U307">
        <f>(20+10/24)*2.338176</f>
        <v>47.737760000000002</v>
      </c>
    </row>
    <row r="308" spans="6:21">
      <c r="G308" s="17" t="s">
        <v>15</v>
      </c>
      <c r="H308">
        <v>512</v>
      </c>
      <c r="I308">
        <f>H308</f>
        <v>512</v>
      </c>
      <c r="J308" s="3">
        <v>1</v>
      </c>
      <c r="K308">
        <v>1800</v>
      </c>
      <c r="L308" s="18">
        <f>J308*I308/K308</f>
        <v>0.28444444444444444</v>
      </c>
      <c r="M308">
        <f>3600*24</f>
        <v>86400</v>
      </c>
      <c r="N308" s="4">
        <f>N307</f>
        <v>13.333333333333334</v>
      </c>
      <c r="P308" s="19">
        <f>L308*M308/1000000</f>
        <v>2.4576000000000001E-2</v>
      </c>
      <c r="Q308" s="20">
        <f>P308</f>
        <v>2.4576000000000001E-2</v>
      </c>
      <c r="R308" s="19">
        <f>L308*M308*N308/1000000</f>
        <v>0.32768000000000003</v>
      </c>
      <c r="S308" s="20">
        <f>R308</f>
        <v>0.32768000000000003</v>
      </c>
    </row>
    <row r="309" spans="6:21">
      <c r="G309" s="17"/>
      <c r="K309" s="3" t="str">
        <f>IF(AND( (K305/K306)=INT(K305/K306), (K307/K306)=INT(K307/K306) ), " ", "error")</f>
        <v xml:space="preserve"> </v>
      </c>
      <c r="N309" s="46" t="s">
        <v>53</v>
      </c>
      <c r="O309" s="46"/>
      <c r="P309" s="47">
        <f>SUM(P305:P308)</f>
        <v>2.3381760000000003</v>
      </c>
      <c r="Q309" s="48">
        <f>SUM(Q305:Q308)</f>
        <v>2.3381760000000003</v>
      </c>
      <c r="R309" s="47">
        <f>SUM(R305:R308)</f>
        <v>31.17568</v>
      </c>
      <c r="S309" s="49">
        <f>SUM(S305:S308)</f>
        <v>31.17568</v>
      </c>
      <c r="T309" s="385">
        <f>P309/(3600*24)</f>
        <v>2.7062222222222224E-5</v>
      </c>
    </row>
    <row r="310" spans="6:21">
      <c r="P310" s="3"/>
    </row>
    <row r="311" spans="6:21" ht="42.75">
      <c r="F311" s="11"/>
      <c r="G311" s="12"/>
      <c r="H311" s="13" t="s">
        <v>2</v>
      </c>
      <c r="I311" s="13" t="s">
        <v>3</v>
      </c>
      <c r="J311" s="13" t="s">
        <v>4</v>
      </c>
      <c r="K311" s="13" t="s">
        <v>5</v>
      </c>
      <c r="L311" s="13" t="s">
        <v>6</v>
      </c>
      <c r="M311" s="13" t="s">
        <v>7</v>
      </c>
      <c r="N311" s="13" t="s">
        <v>8</v>
      </c>
      <c r="O311" s="13" t="s">
        <v>37</v>
      </c>
      <c r="P311" s="13" t="s">
        <v>49</v>
      </c>
      <c r="Q311" s="13" t="s">
        <v>50</v>
      </c>
      <c r="R311" s="13" t="s">
        <v>54</v>
      </c>
      <c r="S311" s="13" t="s">
        <v>55</v>
      </c>
    </row>
    <row r="312" spans="6:21">
      <c r="F312" s="15" t="s">
        <v>16</v>
      </c>
      <c r="G312" s="25"/>
      <c r="N312" s="386">
        <f>135-69</f>
        <v>66</v>
      </c>
      <c r="R312" s="3"/>
    </row>
    <row r="313" spans="6:21">
      <c r="G313" s="17" t="s">
        <v>17</v>
      </c>
      <c r="H313">
        <v>8480</v>
      </c>
      <c r="I313">
        <f>I$14</f>
        <v>2900</v>
      </c>
      <c r="J313" s="3">
        <v>1</v>
      </c>
      <c r="K313">
        <f>I321*64</f>
        <v>1280</v>
      </c>
      <c r="L313" s="18">
        <f>J313*I313/K313</f>
        <v>2.265625</v>
      </c>
      <c r="M313">
        <f>3600*24</f>
        <v>86400</v>
      </c>
      <c r="P313" s="20">
        <f t="shared" ref="P313:Q315" si="2">R313/$N$257</f>
        <v>6.0504545454545457E-2</v>
      </c>
      <c r="Q313" s="20">
        <f t="shared" si="2"/>
        <v>4.0336363636363635E-2</v>
      </c>
      <c r="R313" s="20">
        <f>L313*M313*I324*((I322+I323))/1000000</f>
        <v>3.9933000000000001</v>
      </c>
      <c r="S313" s="20">
        <f>L313*M313*I325*((I322+I323))/1000000</f>
        <v>2.6621999999999999</v>
      </c>
    </row>
    <row r="314" spans="6:21">
      <c r="G314" s="17" t="s">
        <v>18</v>
      </c>
      <c r="H314">
        <v>992</v>
      </c>
      <c r="I314">
        <f>I$15</f>
        <v>600</v>
      </c>
      <c r="J314" s="3">
        <v>1</v>
      </c>
      <c r="K314">
        <f>I321*64</f>
        <v>1280</v>
      </c>
      <c r="L314" s="18">
        <f>J314*I314/K314</f>
        <v>0.46875</v>
      </c>
      <c r="M314">
        <f>3600*24</f>
        <v>86400</v>
      </c>
      <c r="P314" s="20">
        <f t="shared" si="2"/>
        <v>1.2518181818181819E-2</v>
      </c>
      <c r="Q314" s="20">
        <f t="shared" si="2"/>
        <v>8.3454545454545448E-3</v>
      </c>
      <c r="R314" s="20">
        <f>L314*M314*I324*((I322+I323))/1000000</f>
        <v>0.82620000000000005</v>
      </c>
      <c r="S314" s="20">
        <f>L314*M314*I325*((I322+I323))/1000000</f>
        <v>0.55079999999999996</v>
      </c>
    </row>
    <row r="315" spans="6:21">
      <c r="G315" s="17" t="s">
        <v>19</v>
      </c>
      <c r="H315">
        <f>H306</f>
        <v>4928</v>
      </c>
      <c r="I315">
        <f>I$16</f>
        <v>1400</v>
      </c>
      <c r="J315" s="3">
        <v>1</v>
      </c>
      <c r="K315">
        <f>I321</f>
        <v>20</v>
      </c>
      <c r="L315" s="18">
        <f>J315*I315/K315</f>
        <v>70</v>
      </c>
      <c r="M315">
        <f>3600*24</f>
        <v>86400</v>
      </c>
      <c r="P315" s="20">
        <f t="shared" si="2"/>
        <v>1.0996363636363635</v>
      </c>
      <c r="Q315" s="20">
        <f t="shared" si="2"/>
        <v>0.73309090909090913</v>
      </c>
      <c r="R315" s="22">
        <f>L315*M315*I324*I323/1000000</f>
        <v>72.575999999999993</v>
      </c>
      <c r="S315" s="22">
        <f>L315*M315*I325*I323/1000000</f>
        <v>48.384</v>
      </c>
    </row>
    <row r="316" spans="6:21">
      <c r="N316" s="46" t="s">
        <v>56</v>
      </c>
      <c r="O316" s="46"/>
      <c r="P316" s="47">
        <f>SUM(P313:P315)</f>
        <v>1.1726590909090908</v>
      </c>
      <c r="Q316" s="47">
        <f>SUM(Q313:Q315)</f>
        <v>0.78177272727272729</v>
      </c>
      <c r="R316" s="50">
        <f>SUM(R313:R315)</f>
        <v>77.395499999999998</v>
      </c>
      <c r="S316" s="50">
        <f>SUM(S313:S315)</f>
        <v>51.597000000000001</v>
      </c>
    </row>
    <row r="317" spans="6:21">
      <c r="R317" s="26"/>
    </row>
    <row r="318" spans="6:21">
      <c r="F318" s="15" t="s">
        <v>20</v>
      </c>
      <c r="G318" s="27"/>
      <c r="N318" s="387" t="s">
        <v>57</v>
      </c>
      <c r="O318" s="52"/>
      <c r="P318" s="28">
        <f>P309+P316</f>
        <v>3.5108350909090911</v>
      </c>
      <c r="Q318" s="28">
        <f>Q309+Q316</f>
        <v>3.1199487272727273</v>
      </c>
      <c r="R318" s="53">
        <f>R309+R316</f>
        <v>108.57118</v>
      </c>
      <c r="S318" s="53">
        <f>S309+S316</f>
        <v>82.772680000000008</v>
      </c>
    </row>
    <row r="320" spans="6:21">
      <c r="F320" s="454" t="s">
        <v>22</v>
      </c>
      <c r="G320" s="454"/>
      <c r="H320" s="454"/>
      <c r="I320" s="454"/>
    </row>
    <row r="321" spans="3:21" ht="15.75">
      <c r="F321" s="455" t="s">
        <v>23</v>
      </c>
      <c r="G321" s="455"/>
      <c r="H321" s="455"/>
      <c r="I321" s="29">
        <v>20</v>
      </c>
      <c r="O321" s="30"/>
    </row>
    <row r="322" spans="3:21">
      <c r="F322" s="456" t="s">
        <v>24</v>
      </c>
      <c r="G322" s="456"/>
      <c r="H322" s="456"/>
      <c r="I322" s="29">
        <f>0.7*I321/10</f>
        <v>1.4</v>
      </c>
    </row>
    <row r="323" spans="3:21">
      <c r="F323" s="456" t="s">
        <v>25</v>
      </c>
      <c r="G323" s="456"/>
      <c r="H323" s="456"/>
      <c r="I323" s="29">
        <v>2</v>
      </c>
    </row>
    <row r="324" spans="3:21">
      <c r="F324" s="456" t="s">
        <v>63</v>
      </c>
      <c r="G324" s="456"/>
      <c r="H324" s="456"/>
      <c r="I324" s="70">
        <v>6</v>
      </c>
    </row>
    <row r="325" spans="3:21">
      <c r="F325" s="456" t="s">
        <v>71</v>
      </c>
      <c r="G325" s="456"/>
      <c r="H325" s="456"/>
      <c r="I325" s="70">
        <v>4</v>
      </c>
    </row>
    <row r="327" spans="3:21">
      <c r="C327" s="6">
        <v>23233</v>
      </c>
      <c r="D327" s="6"/>
      <c r="E327" s="6"/>
      <c r="F327" s="8"/>
      <c r="G327" s="8"/>
      <c r="H327" s="8"/>
      <c r="I327" s="8"/>
      <c r="J327" s="9"/>
      <c r="K327" s="8"/>
      <c r="L327" s="8"/>
      <c r="M327" s="8"/>
      <c r="N327" s="9"/>
      <c r="O327" s="9"/>
      <c r="P327" s="8"/>
      <c r="Q327">
        <f>11*13</f>
        <v>143</v>
      </c>
    </row>
    <row r="328" spans="3:21">
      <c r="H328" s="453" t="s">
        <v>1</v>
      </c>
      <c r="I328" s="453"/>
    </row>
    <row r="329" spans="3:21" ht="28.5">
      <c r="F329" s="11"/>
      <c r="G329" s="12"/>
      <c r="H329" s="13" t="s">
        <v>2</v>
      </c>
      <c r="I329" s="13" t="s">
        <v>3</v>
      </c>
      <c r="J329" s="13" t="s">
        <v>4</v>
      </c>
      <c r="K329" s="13" t="s">
        <v>5</v>
      </c>
      <c r="L329" s="13" t="s">
        <v>6</v>
      </c>
      <c r="M329" s="13" t="s">
        <v>7</v>
      </c>
      <c r="N329" s="13" t="s">
        <v>8</v>
      </c>
      <c r="O329" s="13"/>
      <c r="P329" s="13" t="s">
        <v>49</v>
      </c>
      <c r="Q329" s="13" t="s">
        <v>50</v>
      </c>
      <c r="R329" s="13" t="s">
        <v>51</v>
      </c>
      <c r="S329" s="13" t="s">
        <v>52</v>
      </c>
    </row>
    <row r="330" spans="3:21">
      <c r="F330" s="15" t="s">
        <v>11</v>
      </c>
      <c r="G330" s="16"/>
      <c r="H330" s="3"/>
      <c r="I330" s="3"/>
      <c r="K330" s="3"/>
      <c r="L330" s="3"/>
      <c r="P330" s="3"/>
    </row>
    <row r="331" spans="3:21">
      <c r="G331" s="17" t="s">
        <v>12</v>
      </c>
      <c r="H331">
        <v>5680</v>
      </c>
      <c r="I331">
        <f>I$6</f>
        <v>2400</v>
      </c>
      <c r="J331" s="3">
        <v>1</v>
      </c>
      <c r="K331">
        <v>100</v>
      </c>
      <c r="L331" s="18">
        <f>J331*I331/K331</f>
        <v>24</v>
      </c>
      <c r="M331">
        <f>3600*24</f>
        <v>86400</v>
      </c>
      <c r="N331" s="44">
        <f>11+3/24</f>
        <v>11.125</v>
      </c>
      <c r="P331" s="19">
        <f>L331*M331/1000000</f>
        <v>2.0735999999999999</v>
      </c>
      <c r="Q331" s="20">
        <f>P331</f>
        <v>2.0735999999999999</v>
      </c>
      <c r="R331" s="19">
        <f>L331*M331*N331/1000000</f>
        <v>23.0688</v>
      </c>
      <c r="S331" s="20">
        <f>R331</f>
        <v>23.0688</v>
      </c>
    </row>
    <row r="332" spans="3:21">
      <c r="G332" s="17" t="s">
        <v>13</v>
      </c>
      <c r="H332">
        <v>4928</v>
      </c>
      <c r="I332">
        <f>I$7</f>
        <v>1920</v>
      </c>
      <c r="J332" s="3">
        <v>0</v>
      </c>
      <c r="K332">
        <v>100</v>
      </c>
      <c r="L332" s="18">
        <f>J332*I332/K332</f>
        <v>0</v>
      </c>
      <c r="M332">
        <f>3600*24</f>
        <v>86400</v>
      </c>
      <c r="N332" s="4">
        <f>N331</f>
        <v>11.125</v>
      </c>
      <c r="P332" s="19">
        <f>L332*M332/1000000</f>
        <v>0</v>
      </c>
      <c r="Q332" s="20">
        <f>P332</f>
        <v>0</v>
      </c>
      <c r="R332" s="19">
        <f>L332*M332*N332/1000000</f>
        <v>0</v>
      </c>
      <c r="S332" s="20">
        <f>R332</f>
        <v>0</v>
      </c>
    </row>
    <row r="333" spans="3:21">
      <c r="G333" s="17" t="s">
        <v>14</v>
      </c>
      <c r="H333">
        <v>64000</v>
      </c>
      <c r="I333">
        <f>I$8</f>
        <v>20000</v>
      </c>
      <c r="J333" s="3">
        <v>1</v>
      </c>
      <c r="K333">
        <v>7200</v>
      </c>
      <c r="L333" s="18">
        <f>J333*I333/K333</f>
        <v>2.7777777777777777</v>
      </c>
      <c r="M333">
        <f>3600*24</f>
        <v>86400</v>
      </c>
      <c r="N333" s="4">
        <f>N332</f>
        <v>11.125</v>
      </c>
      <c r="P333" s="19">
        <f>L333*M333/1000000</f>
        <v>0.24</v>
      </c>
      <c r="Q333" s="20">
        <f>P333</f>
        <v>0.24</v>
      </c>
      <c r="R333" s="19">
        <f>L333*M333*N333/1000000</f>
        <v>2.67</v>
      </c>
      <c r="S333" s="20">
        <f>R333</f>
        <v>2.67</v>
      </c>
      <c r="U333">
        <f>(20+10/24)*2.338176</f>
        <v>47.737760000000002</v>
      </c>
    </row>
    <row r="334" spans="3:21">
      <c r="G334" s="17" t="s">
        <v>15</v>
      </c>
      <c r="H334">
        <v>512</v>
      </c>
      <c r="I334">
        <f>H334</f>
        <v>512</v>
      </c>
      <c r="J334" s="3">
        <v>1</v>
      </c>
      <c r="K334">
        <v>1800</v>
      </c>
      <c r="L334" s="18">
        <f>J334*I334/K334</f>
        <v>0.28444444444444444</v>
      </c>
      <c r="M334">
        <f>3600*24</f>
        <v>86400</v>
      </c>
      <c r="N334" s="4">
        <f>N333</f>
        <v>11.125</v>
      </c>
      <c r="P334" s="19">
        <f>L334*M334/1000000</f>
        <v>2.4576000000000001E-2</v>
      </c>
      <c r="Q334" s="20">
        <f>P334</f>
        <v>2.4576000000000001E-2</v>
      </c>
      <c r="R334" s="19">
        <f>L334*M334*N334/1000000</f>
        <v>0.27340799999999998</v>
      </c>
      <c r="S334" s="20">
        <f>R334</f>
        <v>0.27340799999999998</v>
      </c>
    </row>
    <row r="335" spans="3:21">
      <c r="G335" s="17"/>
      <c r="K335" s="3" t="str">
        <f>IF(AND( (K331/K332)=INT(K331/K332), (K333/K332)=INT(K333/K332) ), " ", "error")</f>
        <v xml:space="preserve"> </v>
      </c>
      <c r="N335" s="46" t="s">
        <v>53</v>
      </c>
      <c r="O335" s="46"/>
      <c r="P335" s="47">
        <f>SUM(P331:P334)</f>
        <v>2.3381760000000003</v>
      </c>
      <c r="Q335" s="48">
        <f>SUM(Q331:Q334)</f>
        <v>2.3381760000000003</v>
      </c>
      <c r="R335" s="47">
        <f>SUM(R331:R334)</f>
        <v>26.012207999999998</v>
      </c>
      <c r="S335" s="49">
        <f>SUM(S331:S334)</f>
        <v>26.012207999999998</v>
      </c>
      <c r="T335" s="385">
        <f>P335/(3600*24)</f>
        <v>2.7062222222222224E-5</v>
      </c>
    </row>
    <row r="336" spans="3:21">
      <c r="P336" s="3"/>
    </row>
    <row r="337" spans="6:19" ht="42.75">
      <c r="F337" s="11"/>
      <c r="G337" s="12"/>
      <c r="H337" s="13" t="s">
        <v>2</v>
      </c>
      <c r="I337" s="13" t="s">
        <v>3</v>
      </c>
      <c r="J337" s="13" t="s">
        <v>4</v>
      </c>
      <c r="K337" s="13" t="s">
        <v>5</v>
      </c>
      <c r="L337" s="13" t="s">
        <v>6</v>
      </c>
      <c r="M337" s="13" t="s">
        <v>7</v>
      </c>
      <c r="N337" s="13" t="s">
        <v>8</v>
      </c>
      <c r="O337" s="13" t="s">
        <v>37</v>
      </c>
      <c r="P337" s="13" t="s">
        <v>49</v>
      </c>
      <c r="Q337" s="13" t="s">
        <v>50</v>
      </c>
      <c r="R337" s="13" t="s">
        <v>54</v>
      </c>
      <c r="S337" s="13" t="s">
        <v>55</v>
      </c>
    </row>
    <row r="338" spans="6:19">
      <c r="F338" s="15" t="s">
        <v>16</v>
      </c>
      <c r="G338" s="25"/>
      <c r="N338" s="386">
        <f>135-69</f>
        <v>66</v>
      </c>
      <c r="R338" s="3"/>
    </row>
    <row r="339" spans="6:19">
      <c r="G339" s="17" t="s">
        <v>17</v>
      </c>
      <c r="H339">
        <v>8480</v>
      </c>
      <c r="I339">
        <f>I$14</f>
        <v>2900</v>
      </c>
      <c r="J339" s="3">
        <v>1</v>
      </c>
      <c r="K339">
        <f>I347*64</f>
        <v>1280</v>
      </c>
      <c r="L339" s="18">
        <f>J339*I339/K339</f>
        <v>2.265625</v>
      </c>
      <c r="M339">
        <f>3600*24</f>
        <v>86400</v>
      </c>
      <c r="P339" s="20">
        <f t="shared" ref="P339:Q341" si="3">R339/$N$257</f>
        <v>6.0504545454545457E-2</v>
      </c>
      <c r="Q339" s="20">
        <f t="shared" si="3"/>
        <v>4.0336363636363635E-2</v>
      </c>
      <c r="R339" s="20">
        <f>L339*M339*I350*((I348+I349))/1000000</f>
        <v>3.9933000000000001</v>
      </c>
      <c r="S339" s="20">
        <f>L339*M339*I351*((I348+I349))/1000000</f>
        <v>2.6621999999999999</v>
      </c>
    </row>
    <row r="340" spans="6:19">
      <c r="G340" s="17" t="s">
        <v>18</v>
      </c>
      <c r="H340">
        <v>992</v>
      </c>
      <c r="I340">
        <f>I$15</f>
        <v>600</v>
      </c>
      <c r="J340" s="3">
        <v>1</v>
      </c>
      <c r="K340">
        <f>I347*64</f>
        <v>1280</v>
      </c>
      <c r="L340" s="18">
        <f>J340*I340/K340</f>
        <v>0.46875</v>
      </c>
      <c r="M340">
        <f>3600*24</f>
        <v>86400</v>
      </c>
      <c r="P340" s="20">
        <f t="shared" si="3"/>
        <v>1.2518181818181819E-2</v>
      </c>
      <c r="Q340" s="20">
        <f t="shared" si="3"/>
        <v>8.3454545454545448E-3</v>
      </c>
      <c r="R340" s="20">
        <f>L340*M340*I350*((I348+I349))/1000000</f>
        <v>0.82620000000000005</v>
      </c>
      <c r="S340" s="20">
        <f>L340*M340*I351*((I348+I349))/1000000</f>
        <v>0.55079999999999996</v>
      </c>
    </row>
    <row r="341" spans="6:19">
      <c r="G341" s="17" t="s">
        <v>19</v>
      </c>
      <c r="H341">
        <f>H332</f>
        <v>4928</v>
      </c>
      <c r="I341">
        <f>I$16</f>
        <v>1400</v>
      </c>
      <c r="J341" s="3">
        <v>1</v>
      </c>
      <c r="K341">
        <f>I347</f>
        <v>20</v>
      </c>
      <c r="L341" s="18">
        <f>J341*I341/K341</f>
        <v>70</v>
      </c>
      <c r="M341">
        <f>3600*24</f>
        <v>86400</v>
      </c>
      <c r="P341" s="20">
        <f t="shared" si="3"/>
        <v>1.0996363636363635</v>
      </c>
      <c r="Q341" s="20">
        <f t="shared" si="3"/>
        <v>0.73309090909090913</v>
      </c>
      <c r="R341" s="22">
        <f>L341*M341*I350*I349/1000000</f>
        <v>72.575999999999993</v>
      </c>
      <c r="S341" s="22">
        <f>L341*M341*I351*I349/1000000</f>
        <v>48.384</v>
      </c>
    </row>
    <row r="342" spans="6:19">
      <c r="N342" s="46" t="s">
        <v>56</v>
      </c>
      <c r="O342" s="46"/>
      <c r="P342" s="47">
        <f>SUM(P339:P341)</f>
        <v>1.1726590909090908</v>
      </c>
      <c r="Q342" s="47">
        <f>SUM(Q339:Q341)</f>
        <v>0.78177272727272729</v>
      </c>
      <c r="R342" s="50">
        <f>SUM(R339:R341)</f>
        <v>77.395499999999998</v>
      </c>
      <c r="S342" s="50">
        <f>SUM(S339:S341)</f>
        <v>51.597000000000001</v>
      </c>
    </row>
    <row r="343" spans="6:19">
      <c r="R343" s="26"/>
    </row>
    <row r="344" spans="6:19">
      <c r="F344" s="15" t="s">
        <v>20</v>
      </c>
      <c r="G344" s="27"/>
      <c r="N344" s="387" t="s">
        <v>57</v>
      </c>
      <c r="O344" s="52"/>
      <c r="P344" s="28">
        <f>P335+P342</f>
        <v>3.5108350909090911</v>
      </c>
      <c r="Q344" s="28">
        <f>Q335+Q342</f>
        <v>3.1199487272727273</v>
      </c>
      <c r="R344" s="53">
        <f>R335+R342</f>
        <v>103.407708</v>
      </c>
      <c r="S344" s="53">
        <f>S335+S342</f>
        <v>77.609207999999995</v>
      </c>
    </row>
    <row r="346" spans="6:19">
      <c r="F346" s="454" t="s">
        <v>22</v>
      </c>
      <c r="G346" s="454"/>
      <c r="H346" s="454"/>
      <c r="I346" s="454"/>
    </row>
    <row r="347" spans="6:19" ht="15.75">
      <c r="F347" s="455" t="s">
        <v>23</v>
      </c>
      <c r="G347" s="455"/>
      <c r="H347" s="455"/>
      <c r="I347" s="29">
        <v>20</v>
      </c>
      <c r="N347" s="3">
        <f>13*5</f>
        <v>65</v>
      </c>
      <c r="O347" s="30"/>
      <c r="P347">
        <f>26+1.6+78</f>
        <v>105.6</v>
      </c>
    </row>
    <row r="348" spans="6:19">
      <c r="F348" s="456" t="s">
        <v>24</v>
      </c>
      <c r="G348" s="456"/>
      <c r="H348" s="456"/>
      <c r="I348" s="29">
        <f>0.7*I347/10</f>
        <v>1.4</v>
      </c>
      <c r="N348" s="3">
        <f>13*6</f>
        <v>78</v>
      </c>
      <c r="P348">
        <f>13*5</f>
        <v>65</v>
      </c>
    </row>
    <row r="349" spans="6:19">
      <c r="F349" s="456" t="s">
        <v>25</v>
      </c>
      <c r="G349" s="456"/>
      <c r="H349" s="456"/>
      <c r="I349" s="29">
        <v>2</v>
      </c>
    </row>
    <row r="350" spans="6:19">
      <c r="F350" s="456" t="s">
        <v>63</v>
      </c>
      <c r="G350" s="456"/>
      <c r="H350" s="456"/>
      <c r="I350" s="70">
        <v>6</v>
      </c>
    </row>
    <row r="351" spans="6:19">
      <c r="F351" s="456" t="s">
        <v>71</v>
      </c>
      <c r="G351" s="456"/>
      <c r="H351" s="456"/>
      <c r="I351" s="70">
        <v>4</v>
      </c>
    </row>
    <row r="354" spans="3:21">
      <c r="C354" s="6">
        <v>23245</v>
      </c>
      <c r="D354" s="6"/>
      <c r="E354" s="6"/>
      <c r="F354" s="8"/>
      <c r="G354" s="8"/>
      <c r="H354" s="8"/>
      <c r="I354" s="8"/>
      <c r="J354" s="9"/>
      <c r="K354" s="8"/>
      <c r="L354" s="8"/>
      <c r="M354" s="8"/>
      <c r="N354" s="9"/>
      <c r="O354" s="9"/>
      <c r="P354" s="8"/>
      <c r="Q354">
        <f>11*13</f>
        <v>143</v>
      </c>
    </row>
    <row r="355" spans="3:21">
      <c r="H355" s="453" t="s">
        <v>1</v>
      </c>
      <c r="I355" s="453"/>
    </row>
    <row r="356" spans="3:21" ht="28.5">
      <c r="F356" s="11"/>
      <c r="G356" s="12"/>
      <c r="H356" s="13" t="s">
        <v>2</v>
      </c>
      <c r="I356" s="13" t="s">
        <v>3</v>
      </c>
      <c r="J356" s="13" t="s">
        <v>4</v>
      </c>
      <c r="K356" s="13" t="s">
        <v>5</v>
      </c>
      <c r="L356" s="13" t="s">
        <v>6</v>
      </c>
      <c r="M356" s="13" t="s">
        <v>7</v>
      </c>
      <c r="N356" s="13" t="s">
        <v>8</v>
      </c>
      <c r="O356" s="13"/>
      <c r="P356" s="13" t="s">
        <v>49</v>
      </c>
      <c r="Q356" s="13" t="s">
        <v>50</v>
      </c>
      <c r="R356" s="13" t="s">
        <v>51</v>
      </c>
      <c r="S356" s="13" t="s">
        <v>52</v>
      </c>
    </row>
    <row r="357" spans="3:21">
      <c r="F357" s="15" t="s">
        <v>11</v>
      </c>
      <c r="G357" s="16"/>
      <c r="H357" s="3"/>
      <c r="I357" s="3"/>
      <c r="K357" s="3"/>
      <c r="L357" s="3"/>
      <c r="P357" s="3"/>
    </row>
    <row r="358" spans="3:21">
      <c r="G358" s="17" t="s">
        <v>12</v>
      </c>
      <c r="H358">
        <v>5680</v>
      </c>
      <c r="I358">
        <f>I$6</f>
        <v>2400</v>
      </c>
      <c r="J358" s="3">
        <v>1</v>
      </c>
      <c r="K358">
        <v>100</v>
      </c>
      <c r="L358" s="18">
        <f>J358*I358/K358</f>
        <v>24</v>
      </c>
      <c r="M358">
        <f>3600*24</f>
        <v>86400</v>
      </c>
      <c r="N358" s="44">
        <v>9.5</v>
      </c>
      <c r="P358" s="19">
        <f>L358*M358/1000000</f>
        <v>2.0735999999999999</v>
      </c>
      <c r="Q358" s="20">
        <f>P358</f>
        <v>2.0735999999999999</v>
      </c>
      <c r="R358" s="19">
        <f>L358*M358*N358/1000000</f>
        <v>19.699200000000001</v>
      </c>
      <c r="S358" s="20">
        <f>R358</f>
        <v>19.699200000000001</v>
      </c>
    </row>
    <row r="359" spans="3:21">
      <c r="G359" s="17" t="s">
        <v>13</v>
      </c>
      <c r="H359">
        <v>4928</v>
      </c>
      <c r="I359">
        <f>I$7</f>
        <v>1920</v>
      </c>
      <c r="J359" s="3">
        <v>0</v>
      </c>
      <c r="K359">
        <v>100</v>
      </c>
      <c r="L359" s="18">
        <f>J359*I359/K359</f>
        <v>0</v>
      </c>
      <c r="M359">
        <f>3600*24</f>
        <v>86400</v>
      </c>
      <c r="N359" s="4">
        <f>N358</f>
        <v>9.5</v>
      </c>
      <c r="P359" s="19">
        <f>L359*M359/1000000</f>
        <v>0</v>
      </c>
      <c r="Q359" s="20">
        <f>P359</f>
        <v>0</v>
      </c>
      <c r="R359" s="19">
        <f>L359*M359*N359/1000000</f>
        <v>0</v>
      </c>
      <c r="S359" s="20">
        <f>R359</f>
        <v>0</v>
      </c>
    </row>
    <row r="360" spans="3:21">
      <c r="G360" s="17" t="s">
        <v>14</v>
      </c>
      <c r="H360">
        <v>64000</v>
      </c>
      <c r="I360">
        <f>I$8</f>
        <v>20000</v>
      </c>
      <c r="J360" s="3">
        <v>1</v>
      </c>
      <c r="K360">
        <v>7200</v>
      </c>
      <c r="L360" s="18">
        <f>J360*I360/K360</f>
        <v>2.7777777777777777</v>
      </c>
      <c r="M360">
        <f>3600*24</f>
        <v>86400</v>
      </c>
      <c r="N360" s="4">
        <f>N359</f>
        <v>9.5</v>
      </c>
      <c r="P360" s="19">
        <f>L360*M360/1000000</f>
        <v>0.24</v>
      </c>
      <c r="Q360" s="20">
        <f>P360</f>
        <v>0.24</v>
      </c>
      <c r="R360" s="19">
        <f>L360*M360*N360/1000000</f>
        <v>2.2799999999999998</v>
      </c>
      <c r="S360" s="20">
        <f>R360</f>
        <v>2.2799999999999998</v>
      </c>
      <c r="U360">
        <f>(20+10/24)*2.338176</f>
        <v>47.737760000000002</v>
      </c>
    </row>
    <row r="361" spans="3:21">
      <c r="G361" s="17" t="s">
        <v>15</v>
      </c>
      <c r="H361">
        <v>512</v>
      </c>
      <c r="I361">
        <f>H361</f>
        <v>512</v>
      </c>
      <c r="J361" s="3">
        <v>1</v>
      </c>
      <c r="K361">
        <v>1800</v>
      </c>
      <c r="L361" s="18">
        <f>J361*I361/K361</f>
        <v>0.28444444444444444</v>
      </c>
      <c r="M361">
        <f>3600*24</f>
        <v>86400</v>
      </c>
      <c r="N361" s="4">
        <f>N360</f>
        <v>9.5</v>
      </c>
      <c r="P361" s="19">
        <f>L361*M361/1000000</f>
        <v>2.4576000000000001E-2</v>
      </c>
      <c r="Q361" s="20">
        <f>P361</f>
        <v>2.4576000000000001E-2</v>
      </c>
      <c r="R361" s="19">
        <f>L361*M361*N361/1000000</f>
        <v>0.23347200000000001</v>
      </c>
      <c r="S361" s="20">
        <f>R361</f>
        <v>0.23347200000000001</v>
      </c>
    </row>
    <row r="362" spans="3:21">
      <c r="G362" s="17"/>
      <c r="K362" s="3" t="str">
        <f>IF(AND( (K358/K359)=INT(K358/K359), (K360/K359)=INT(K360/K359) ), " ", "error")</f>
        <v xml:space="preserve"> </v>
      </c>
      <c r="N362" s="46" t="s">
        <v>53</v>
      </c>
      <c r="O362" s="46"/>
      <c r="P362" s="47">
        <f>SUM(P358:P361)</f>
        <v>2.3381760000000003</v>
      </c>
      <c r="Q362" s="48">
        <f>SUM(Q358:Q361)</f>
        <v>2.3381760000000003</v>
      </c>
      <c r="R362" s="47">
        <f>SUM(R358:R361)</f>
        <v>22.212672000000001</v>
      </c>
      <c r="S362" s="49">
        <f>SUM(S358:S361)</f>
        <v>22.212672000000001</v>
      </c>
      <c r="T362" s="385">
        <f>P362/(3600*24)</f>
        <v>2.7062222222222224E-5</v>
      </c>
    </row>
    <row r="363" spans="3:21">
      <c r="P363" s="3"/>
    </row>
    <row r="364" spans="3:21" ht="42.75">
      <c r="F364" s="11"/>
      <c r="G364" s="12"/>
      <c r="H364" s="13" t="s">
        <v>2</v>
      </c>
      <c r="I364" s="13" t="s">
        <v>3</v>
      </c>
      <c r="J364" s="13" t="s">
        <v>4</v>
      </c>
      <c r="K364" s="13" t="s">
        <v>5</v>
      </c>
      <c r="L364" s="13" t="s">
        <v>6</v>
      </c>
      <c r="M364" s="13" t="s">
        <v>7</v>
      </c>
      <c r="N364" s="13" t="s">
        <v>8</v>
      </c>
      <c r="O364" s="13" t="s">
        <v>37</v>
      </c>
      <c r="P364" s="13" t="s">
        <v>49</v>
      </c>
      <c r="Q364" s="13" t="s">
        <v>50</v>
      </c>
      <c r="R364" s="13" t="s">
        <v>54</v>
      </c>
      <c r="S364" s="13" t="s">
        <v>55</v>
      </c>
    </row>
    <row r="365" spans="3:21">
      <c r="F365" s="15" t="s">
        <v>16</v>
      </c>
      <c r="G365" s="25"/>
      <c r="N365" s="386">
        <f>135-69</f>
        <v>66</v>
      </c>
      <c r="R365" s="3"/>
    </row>
    <row r="366" spans="3:21">
      <c r="G366" s="17" t="s">
        <v>17</v>
      </c>
      <c r="H366">
        <v>8480</v>
      </c>
      <c r="I366">
        <f>I$14</f>
        <v>2900</v>
      </c>
      <c r="J366" s="3">
        <v>1</v>
      </c>
      <c r="K366">
        <f>I374*64</f>
        <v>1280</v>
      </c>
      <c r="L366" s="18">
        <f>J366*I366/K366</f>
        <v>2.265625</v>
      </c>
      <c r="M366">
        <f>3600*24</f>
        <v>86400</v>
      </c>
      <c r="P366" s="20">
        <f t="shared" ref="P366:Q368" si="4">R366/$N$257</f>
        <v>6.0504545454545457E-2</v>
      </c>
      <c r="Q366" s="20">
        <f t="shared" si="4"/>
        <v>4.0336363636363635E-2</v>
      </c>
      <c r="R366" s="20">
        <f>L366*M366*I377*((I375+I376))/1000000</f>
        <v>3.9933000000000001</v>
      </c>
      <c r="S366" s="20">
        <f>L366*M366*I378*((I375+I376))/1000000</f>
        <v>2.6621999999999999</v>
      </c>
    </row>
    <row r="367" spans="3:21">
      <c r="G367" s="17" t="s">
        <v>18</v>
      </c>
      <c r="H367">
        <v>992</v>
      </c>
      <c r="I367">
        <f>I$15</f>
        <v>600</v>
      </c>
      <c r="J367" s="3">
        <v>1</v>
      </c>
      <c r="K367">
        <f>I374*64</f>
        <v>1280</v>
      </c>
      <c r="L367" s="18">
        <f>J367*I367/K367</f>
        <v>0.46875</v>
      </c>
      <c r="M367">
        <f>3600*24</f>
        <v>86400</v>
      </c>
      <c r="P367" s="20">
        <f t="shared" si="4"/>
        <v>1.2518181818181819E-2</v>
      </c>
      <c r="Q367" s="20">
        <f t="shared" si="4"/>
        <v>8.3454545454545448E-3</v>
      </c>
      <c r="R367" s="20">
        <f>L367*M367*I377*((I375+I376))/1000000</f>
        <v>0.82620000000000005</v>
      </c>
      <c r="S367" s="20">
        <f>L367*M367*I378*((I375+I376))/1000000</f>
        <v>0.55079999999999996</v>
      </c>
    </row>
    <row r="368" spans="3:21">
      <c r="G368" s="17" t="s">
        <v>19</v>
      </c>
      <c r="H368">
        <f>H359</f>
        <v>4928</v>
      </c>
      <c r="I368">
        <f>I$16</f>
        <v>1400</v>
      </c>
      <c r="J368" s="3">
        <v>1</v>
      </c>
      <c r="K368">
        <f>I374</f>
        <v>20</v>
      </c>
      <c r="L368" s="18">
        <f>J368*I368/K368</f>
        <v>70</v>
      </c>
      <c r="M368">
        <f>3600*24</f>
        <v>86400</v>
      </c>
      <c r="P368" s="20">
        <f t="shared" si="4"/>
        <v>1.0996363636363635</v>
      </c>
      <c r="Q368" s="20">
        <f t="shared" si="4"/>
        <v>0.73309090909090913</v>
      </c>
      <c r="R368" s="22">
        <f>L368*M368*I377*I376/1000000</f>
        <v>72.575999999999993</v>
      </c>
      <c r="S368" s="22">
        <f>L368*M368*I378*I376/1000000</f>
        <v>48.384</v>
      </c>
    </row>
    <row r="369" spans="3:21">
      <c r="N369" s="46" t="s">
        <v>56</v>
      </c>
      <c r="O369" s="46"/>
      <c r="P369" s="47">
        <f>SUM(P366:P368)</f>
        <v>1.1726590909090908</v>
      </c>
      <c r="Q369" s="47">
        <f>SUM(Q366:Q368)</f>
        <v>0.78177272727272729</v>
      </c>
      <c r="R369" s="50">
        <f>SUM(R366:R368)</f>
        <v>77.395499999999998</v>
      </c>
      <c r="S369" s="50">
        <f>SUM(S366:S368)</f>
        <v>51.597000000000001</v>
      </c>
    </row>
    <row r="370" spans="3:21">
      <c r="R370" s="26"/>
    </row>
    <row r="371" spans="3:21">
      <c r="F371" s="15" t="s">
        <v>20</v>
      </c>
      <c r="G371" s="27"/>
      <c r="N371" s="387" t="s">
        <v>57</v>
      </c>
      <c r="O371" s="52"/>
      <c r="P371" s="28">
        <f>P362+P369</f>
        <v>3.5108350909090911</v>
      </c>
      <c r="Q371" s="28">
        <f>Q362+Q369</f>
        <v>3.1199487272727273</v>
      </c>
      <c r="R371" s="53">
        <f>R362+R369</f>
        <v>99.608171999999996</v>
      </c>
      <c r="S371" s="53">
        <f>S362+S369</f>
        <v>73.809672000000006</v>
      </c>
    </row>
    <row r="373" spans="3:21">
      <c r="F373" s="454" t="s">
        <v>22</v>
      </c>
      <c r="G373" s="454"/>
      <c r="H373" s="454"/>
      <c r="I373" s="454"/>
    </row>
    <row r="374" spans="3:21" ht="15.75">
      <c r="F374" s="455" t="s">
        <v>23</v>
      </c>
      <c r="G374" s="455"/>
      <c r="H374" s="455"/>
      <c r="I374" s="29">
        <v>20</v>
      </c>
      <c r="N374" s="3">
        <f>13*5</f>
        <v>65</v>
      </c>
      <c r="O374" s="30"/>
      <c r="P374">
        <f>26+1.6+78</f>
        <v>105.6</v>
      </c>
    </row>
    <row r="375" spans="3:21">
      <c r="F375" s="456" t="s">
        <v>24</v>
      </c>
      <c r="G375" s="456"/>
      <c r="H375" s="456"/>
      <c r="I375" s="29">
        <f>0.7*I374/10</f>
        <v>1.4</v>
      </c>
      <c r="N375" s="3">
        <f>13*6</f>
        <v>78</v>
      </c>
      <c r="P375">
        <f>13*5</f>
        <v>65</v>
      </c>
    </row>
    <row r="376" spans="3:21">
      <c r="F376" s="456" t="s">
        <v>25</v>
      </c>
      <c r="G376" s="456"/>
      <c r="H376" s="456"/>
      <c r="I376" s="29">
        <v>2</v>
      </c>
    </row>
    <row r="377" spans="3:21">
      <c r="F377" s="456" t="s">
        <v>63</v>
      </c>
      <c r="G377" s="456"/>
      <c r="H377" s="456"/>
      <c r="I377" s="70">
        <v>6</v>
      </c>
    </row>
    <row r="378" spans="3:21">
      <c r="F378" s="456" t="s">
        <v>71</v>
      </c>
      <c r="G378" s="456"/>
      <c r="H378" s="456"/>
      <c r="I378" s="70">
        <v>4</v>
      </c>
    </row>
    <row r="381" spans="3:21">
      <c r="U381">
        <f>275-259</f>
        <v>16</v>
      </c>
    </row>
    <row r="382" spans="3:21">
      <c r="C382" s="6">
        <v>23254</v>
      </c>
      <c r="D382" s="6"/>
      <c r="E382" s="6"/>
      <c r="F382" s="8"/>
      <c r="G382" s="8"/>
      <c r="H382" s="8"/>
      <c r="I382" s="8"/>
      <c r="J382" s="9"/>
      <c r="K382" s="8"/>
      <c r="L382" s="8"/>
      <c r="M382" s="8"/>
      <c r="N382" s="9"/>
      <c r="O382" s="9"/>
      <c r="P382" s="8"/>
      <c r="Q382">
        <f>11*13</f>
        <v>143</v>
      </c>
      <c r="U382">
        <f>(12.75+0.5)/24</f>
        <v>0.55208333333333337</v>
      </c>
    </row>
    <row r="383" spans="3:21">
      <c r="H383" s="453" t="s">
        <v>1</v>
      </c>
      <c r="I383" s="453"/>
    </row>
    <row r="384" spans="3:21" ht="28.5">
      <c r="F384" s="11"/>
      <c r="G384" s="12"/>
      <c r="H384" s="13" t="s">
        <v>2</v>
      </c>
      <c r="I384" s="13" t="s">
        <v>3</v>
      </c>
      <c r="J384" s="13" t="s">
        <v>4</v>
      </c>
      <c r="K384" s="13" t="s">
        <v>5</v>
      </c>
      <c r="L384" s="13" t="s">
        <v>6</v>
      </c>
      <c r="M384" s="13" t="s">
        <v>7</v>
      </c>
      <c r="N384" s="13" t="s">
        <v>8</v>
      </c>
      <c r="O384" s="13"/>
      <c r="P384" s="13" t="s">
        <v>49</v>
      </c>
      <c r="Q384" s="13" t="s">
        <v>50</v>
      </c>
      <c r="R384" s="13" t="s">
        <v>51</v>
      </c>
      <c r="S384" s="13" t="s">
        <v>52</v>
      </c>
    </row>
    <row r="385" spans="6:21">
      <c r="F385" s="15" t="s">
        <v>11</v>
      </c>
      <c r="G385" s="16"/>
      <c r="H385" s="3"/>
      <c r="I385" s="3"/>
      <c r="K385" s="3"/>
      <c r="L385" s="3"/>
      <c r="P385" s="3"/>
      <c r="U385">
        <f>13*6</f>
        <v>78</v>
      </c>
    </row>
    <row r="386" spans="6:21">
      <c r="G386" s="17" t="s">
        <v>12</v>
      </c>
      <c r="H386">
        <v>5680</v>
      </c>
      <c r="I386">
        <f>I$6</f>
        <v>2400</v>
      </c>
      <c r="J386" s="3">
        <v>1</v>
      </c>
      <c r="K386">
        <v>100</v>
      </c>
      <c r="L386" s="18">
        <f>J386*I386/K386</f>
        <v>24</v>
      </c>
      <c r="M386">
        <f>3600*24</f>
        <v>86400</v>
      </c>
      <c r="N386" s="44">
        <f>11+15/24</f>
        <v>11.625</v>
      </c>
      <c r="P386" s="19">
        <f>L386*M386/1000000</f>
        <v>2.0735999999999999</v>
      </c>
      <c r="Q386" s="20">
        <f>P386</f>
        <v>2.0735999999999999</v>
      </c>
      <c r="R386" s="19">
        <f>L386*M386*N386/1000000</f>
        <v>24.105599999999999</v>
      </c>
      <c r="S386" s="20">
        <f>R386</f>
        <v>24.105599999999999</v>
      </c>
      <c r="U386">
        <f>78+4.8+27.2</f>
        <v>110</v>
      </c>
    </row>
    <row r="387" spans="6:21">
      <c r="G387" s="17" t="s">
        <v>13</v>
      </c>
      <c r="H387">
        <v>4928</v>
      </c>
      <c r="I387">
        <f>I$7</f>
        <v>1920</v>
      </c>
      <c r="J387" s="3">
        <v>0</v>
      </c>
      <c r="K387">
        <v>100</v>
      </c>
      <c r="L387" s="18">
        <f>J387*I387/K387</f>
        <v>0</v>
      </c>
      <c r="M387">
        <f>3600*24</f>
        <v>86400</v>
      </c>
      <c r="N387" s="4">
        <f>N386</f>
        <v>11.625</v>
      </c>
      <c r="P387" s="19">
        <f>L387*M387/1000000</f>
        <v>0</v>
      </c>
      <c r="Q387" s="20">
        <f>P387</f>
        <v>0</v>
      </c>
      <c r="R387" s="19">
        <f>L387*M387*N387/1000000</f>
        <v>0</v>
      </c>
      <c r="S387" s="20">
        <f>R387</f>
        <v>0</v>
      </c>
    </row>
    <row r="388" spans="6:21">
      <c r="G388" s="17" t="s">
        <v>14</v>
      </c>
      <c r="H388">
        <v>64000</v>
      </c>
      <c r="I388">
        <f>I$8</f>
        <v>20000</v>
      </c>
      <c r="J388" s="3">
        <v>1</v>
      </c>
      <c r="K388">
        <v>7200</v>
      </c>
      <c r="L388" s="18">
        <f>J388*I388/K388</f>
        <v>2.7777777777777777</v>
      </c>
      <c r="M388">
        <f>3600*24</f>
        <v>86400</v>
      </c>
      <c r="N388" s="4">
        <f>N387</f>
        <v>11.625</v>
      </c>
      <c r="P388" s="19">
        <f>L388*M388/1000000</f>
        <v>0.24</v>
      </c>
      <c r="Q388" s="20">
        <f>P388</f>
        <v>0.24</v>
      </c>
      <c r="R388" s="19">
        <f>L388*M388*N388/1000000</f>
        <v>2.79</v>
      </c>
      <c r="S388" s="20">
        <f>R388</f>
        <v>2.79</v>
      </c>
      <c r="U388">
        <f>(20+10/24)*2.338176</f>
        <v>47.737760000000002</v>
      </c>
    </row>
    <row r="389" spans="6:21">
      <c r="G389" s="17" t="s">
        <v>15</v>
      </c>
      <c r="H389">
        <v>512</v>
      </c>
      <c r="I389">
        <f>H389</f>
        <v>512</v>
      </c>
      <c r="J389" s="3">
        <v>1</v>
      </c>
      <c r="K389">
        <v>1800</v>
      </c>
      <c r="L389" s="18">
        <f>J389*I389/K389</f>
        <v>0.28444444444444444</v>
      </c>
      <c r="M389">
        <f>3600*24</f>
        <v>86400</v>
      </c>
      <c r="N389" s="4">
        <f>N388</f>
        <v>11.625</v>
      </c>
      <c r="P389" s="19">
        <f>L389*M389/1000000</f>
        <v>2.4576000000000001E-2</v>
      </c>
      <c r="Q389" s="20">
        <f>P389</f>
        <v>2.4576000000000001E-2</v>
      </c>
      <c r="R389" s="19">
        <f>L389*M389*N389/1000000</f>
        <v>0.28569600000000001</v>
      </c>
      <c r="S389" s="20">
        <f>R389</f>
        <v>0.28569600000000001</v>
      </c>
    </row>
    <row r="390" spans="6:21">
      <c r="G390" s="17"/>
      <c r="K390" s="3" t="str">
        <f>IF(AND( (K386/K387)=INT(K386/K387), (K388/K387)=INT(K388/K387) ), " ", "error")</f>
        <v xml:space="preserve"> </v>
      </c>
      <c r="N390" s="46" t="s">
        <v>53</v>
      </c>
      <c r="O390" s="46"/>
      <c r="P390" s="47">
        <f>SUM(P386:P389)</f>
        <v>2.3381760000000003</v>
      </c>
      <c r="Q390" s="48">
        <f>SUM(Q386:Q389)</f>
        <v>2.3381760000000003</v>
      </c>
      <c r="R390" s="47">
        <f>SUM(R386:R389)</f>
        <v>27.181296</v>
      </c>
      <c r="S390" s="49">
        <f>SUM(S386:S389)</f>
        <v>27.181296</v>
      </c>
      <c r="T390" s="385">
        <f>P390/(3600*24)</f>
        <v>2.7062222222222224E-5</v>
      </c>
    </row>
    <row r="391" spans="6:21">
      <c r="P391" s="3"/>
    </row>
    <row r="392" spans="6:21" ht="42.75">
      <c r="F392" s="11"/>
      <c r="G392" s="12"/>
      <c r="H392" s="13" t="s">
        <v>2</v>
      </c>
      <c r="I392" s="13" t="s">
        <v>3</v>
      </c>
      <c r="J392" s="13" t="s">
        <v>4</v>
      </c>
      <c r="K392" s="13" t="s">
        <v>5</v>
      </c>
      <c r="L392" s="13" t="s">
        <v>6</v>
      </c>
      <c r="M392" s="13" t="s">
        <v>7</v>
      </c>
      <c r="N392" s="13" t="s">
        <v>8</v>
      </c>
      <c r="O392" s="13" t="s">
        <v>37</v>
      </c>
      <c r="P392" s="13" t="s">
        <v>49</v>
      </c>
      <c r="Q392" s="13" t="s">
        <v>50</v>
      </c>
      <c r="R392" s="13" t="s">
        <v>54</v>
      </c>
      <c r="S392" s="13" t="s">
        <v>55</v>
      </c>
      <c r="U392">
        <f>13*11</f>
        <v>143</v>
      </c>
    </row>
    <row r="393" spans="6:21">
      <c r="F393" s="15" t="s">
        <v>16</v>
      </c>
      <c r="G393" s="25"/>
      <c r="N393" s="386">
        <f>135-69</f>
        <v>66</v>
      </c>
      <c r="R393" s="3"/>
    </row>
    <row r="394" spans="6:21">
      <c r="G394" s="17" t="s">
        <v>17</v>
      </c>
      <c r="H394">
        <v>8480</v>
      </c>
      <c r="I394">
        <f>I$14</f>
        <v>2900</v>
      </c>
      <c r="J394" s="3">
        <v>1</v>
      </c>
      <c r="K394">
        <f>I402*64</f>
        <v>1280</v>
      </c>
      <c r="L394" s="18">
        <f>J394*I394/K394</f>
        <v>2.265625</v>
      </c>
      <c r="M394">
        <f>3600*24</f>
        <v>86400</v>
      </c>
      <c r="P394" s="20">
        <f t="shared" ref="P394:Q396" si="5">R394/$N$257</f>
        <v>6.0504545454545457E-2</v>
      </c>
      <c r="Q394" s="20">
        <f t="shared" si="5"/>
        <v>4.0336363636363635E-2</v>
      </c>
      <c r="R394" s="20">
        <f>L394*M394*I405*((I403+I404))/1000000</f>
        <v>3.9933000000000001</v>
      </c>
      <c r="S394" s="20">
        <f>L394*M394*I406*((I403+I404))/1000000</f>
        <v>2.6621999999999999</v>
      </c>
    </row>
    <row r="395" spans="6:21">
      <c r="G395" s="17" t="s">
        <v>18</v>
      </c>
      <c r="H395">
        <v>992</v>
      </c>
      <c r="I395">
        <f>I$15</f>
        <v>600</v>
      </c>
      <c r="J395" s="3">
        <v>1</v>
      </c>
      <c r="K395">
        <f>I402*64</f>
        <v>1280</v>
      </c>
      <c r="L395" s="18">
        <f>J395*I395/K395</f>
        <v>0.46875</v>
      </c>
      <c r="M395">
        <f>3600*24</f>
        <v>86400</v>
      </c>
      <c r="P395" s="20">
        <f t="shared" si="5"/>
        <v>1.2518181818181819E-2</v>
      </c>
      <c r="Q395" s="20">
        <f t="shared" si="5"/>
        <v>8.3454545454545448E-3</v>
      </c>
      <c r="R395" s="20">
        <f>L395*M395*I405*((I403+I404))/1000000</f>
        <v>0.82620000000000005</v>
      </c>
      <c r="S395" s="20">
        <f>L395*M395*I406*((I403+I404))/1000000</f>
        <v>0.55079999999999996</v>
      </c>
    </row>
    <row r="396" spans="6:21">
      <c r="G396" s="17" t="s">
        <v>19</v>
      </c>
      <c r="H396">
        <f>H387</f>
        <v>4928</v>
      </c>
      <c r="I396">
        <f>I$16</f>
        <v>1400</v>
      </c>
      <c r="J396" s="3">
        <v>1</v>
      </c>
      <c r="K396">
        <f>I402</f>
        <v>20</v>
      </c>
      <c r="L396" s="18">
        <f>J396*I396/K396</f>
        <v>70</v>
      </c>
      <c r="M396">
        <f>3600*24</f>
        <v>86400</v>
      </c>
      <c r="P396" s="20">
        <f t="shared" si="5"/>
        <v>1.0996363636363635</v>
      </c>
      <c r="Q396" s="20">
        <f t="shared" si="5"/>
        <v>0.73309090909090913</v>
      </c>
      <c r="R396" s="22">
        <f>L396*M396*I405*I404/1000000</f>
        <v>72.575999999999993</v>
      </c>
      <c r="S396" s="22">
        <f>L396*M396*I406*I404/1000000</f>
        <v>48.384</v>
      </c>
    </row>
    <row r="397" spans="6:21">
      <c r="N397" s="46" t="s">
        <v>56</v>
      </c>
      <c r="O397" s="46"/>
      <c r="P397" s="47">
        <f>SUM(P394:P396)</f>
        <v>1.1726590909090908</v>
      </c>
      <c r="Q397" s="47">
        <f>SUM(Q394:Q396)</f>
        <v>0.78177272727272729</v>
      </c>
      <c r="R397" s="50">
        <f>SUM(R394:R396)</f>
        <v>77.395499999999998</v>
      </c>
      <c r="S397" s="50">
        <f>SUM(S394:S396)</f>
        <v>51.597000000000001</v>
      </c>
    </row>
    <row r="398" spans="6:21">
      <c r="R398" s="26"/>
    </row>
    <row r="399" spans="6:21">
      <c r="F399" s="15" t="s">
        <v>20</v>
      </c>
      <c r="G399" s="27"/>
      <c r="N399" s="387" t="s">
        <v>57</v>
      </c>
      <c r="O399" s="52"/>
      <c r="P399" s="28">
        <f>P390+P397</f>
        <v>3.5108350909090911</v>
      </c>
      <c r="Q399" s="28">
        <f>Q390+Q397</f>
        <v>3.1199487272727273</v>
      </c>
      <c r="R399" s="53">
        <f>R390+R397</f>
        <v>104.576796</v>
      </c>
      <c r="S399" s="53">
        <f>S390+S397</f>
        <v>78.778295999999997</v>
      </c>
    </row>
    <row r="401" spans="3:19">
      <c r="F401" s="454" t="s">
        <v>22</v>
      </c>
      <c r="G401" s="454"/>
      <c r="H401" s="454"/>
      <c r="I401" s="454"/>
    </row>
    <row r="402" spans="3:19" ht="15.75">
      <c r="F402" s="455" t="s">
        <v>23</v>
      </c>
      <c r="G402" s="455"/>
      <c r="H402" s="455"/>
      <c r="I402" s="29">
        <v>20</v>
      </c>
      <c r="O402" s="30"/>
    </row>
    <row r="403" spans="3:19">
      <c r="F403" s="456" t="s">
        <v>24</v>
      </c>
      <c r="G403" s="456"/>
      <c r="H403" s="456"/>
      <c r="I403" s="29">
        <f>0.7*I402/10</f>
        <v>1.4</v>
      </c>
    </row>
    <row r="404" spans="3:19">
      <c r="F404" s="456" t="s">
        <v>25</v>
      </c>
      <c r="G404" s="456"/>
      <c r="H404" s="456"/>
      <c r="I404" s="29">
        <v>2</v>
      </c>
    </row>
    <row r="405" spans="3:19">
      <c r="F405" s="456" t="s">
        <v>63</v>
      </c>
      <c r="G405" s="456"/>
      <c r="H405" s="456"/>
      <c r="I405" s="70">
        <v>6</v>
      </c>
    </row>
    <row r="406" spans="3:19">
      <c r="F406" s="456" t="s">
        <v>71</v>
      </c>
      <c r="G406" s="456"/>
      <c r="H406" s="456"/>
      <c r="I406" s="70">
        <v>4</v>
      </c>
    </row>
    <row r="413" spans="3:19">
      <c r="C413" s="6">
        <v>23275</v>
      </c>
      <c r="D413" s="6"/>
      <c r="E413" s="6"/>
      <c r="F413" s="8"/>
      <c r="G413" s="8"/>
      <c r="H413" s="8"/>
      <c r="I413" s="8"/>
      <c r="J413" s="9"/>
      <c r="K413" s="8"/>
      <c r="L413" s="8"/>
      <c r="M413" s="8"/>
      <c r="N413" s="9"/>
      <c r="O413" s="9"/>
      <c r="P413" s="8"/>
      <c r="Q413">
        <f>11*13</f>
        <v>143</v>
      </c>
    </row>
    <row r="414" spans="3:19">
      <c r="H414" s="453" t="s">
        <v>1</v>
      </c>
      <c r="I414" s="453"/>
    </row>
    <row r="415" spans="3:19" ht="28.5">
      <c r="F415" s="11"/>
      <c r="G415" s="12"/>
      <c r="H415" s="13" t="s">
        <v>2</v>
      </c>
      <c r="I415" s="13" t="s">
        <v>3</v>
      </c>
      <c r="J415" s="13" t="s">
        <v>4</v>
      </c>
      <c r="K415" s="13" t="s">
        <v>5</v>
      </c>
      <c r="L415" s="13" t="s">
        <v>6</v>
      </c>
      <c r="M415" s="13" t="s">
        <v>7</v>
      </c>
      <c r="N415" s="13" t="s">
        <v>8</v>
      </c>
      <c r="O415" s="13"/>
      <c r="P415" s="13" t="s">
        <v>49</v>
      </c>
      <c r="Q415" s="13" t="s">
        <v>50</v>
      </c>
      <c r="R415" s="13" t="s">
        <v>51</v>
      </c>
      <c r="S415" s="13" t="s">
        <v>52</v>
      </c>
    </row>
    <row r="416" spans="3:19">
      <c r="F416" s="15" t="s">
        <v>11</v>
      </c>
      <c r="G416" s="16"/>
      <c r="H416" s="3"/>
      <c r="I416" s="3"/>
      <c r="K416" s="3"/>
      <c r="L416" s="3"/>
      <c r="P416" s="3"/>
    </row>
    <row r="417" spans="6:21">
      <c r="G417" s="17" t="s">
        <v>12</v>
      </c>
      <c r="H417">
        <v>5680</v>
      </c>
      <c r="I417">
        <f>I$6</f>
        <v>2400</v>
      </c>
      <c r="J417" s="3">
        <v>1</v>
      </c>
      <c r="K417">
        <v>100</v>
      </c>
      <c r="L417" s="18">
        <f>J417*I417/K417</f>
        <v>24</v>
      </c>
      <c r="M417">
        <f>3600*24</f>
        <v>86400</v>
      </c>
      <c r="N417" s="44">
        <v>21</v>
      </c>
      <c r="P417" s="19">
        <f>L417*M417/1000000</f>
        <v>2.0735999999999999</v>
      </c>
      <c r="Q417" s="20">
        <f>P417</f>
        <v>2.0735999999999999</v>
      </c>
      <c r="R417" s="19">
        <f>L417*M417*N417/1000000</f>
        <v>43.5456</v>
      </c>
      <c r="S417" s="20">
        <f>R417</f>
        <v>43.5456</v>
      </c>
      <c r="T417">
        <f>6*13</f>
        <v>78</v>
      </c>
    </row>
    <row r="418" spans="6:21">
      <c r="G418" s="17" t="s">
        <v>13</v>
      </c>
      <c r="H418">
        <v>4928</v>
      </c>
      <c r="I418">
        <f>I$7</f>
        <v>1920</v>
      </c>
      <c r="J418" s="3">
        <v>0</v>
      </c>
      <c r="K418">
        <v>100</v>
      </c>
      <c r="L418" s="18">
        <f>J418*I418/K418</f>
        <v>0</v>
      </c>
      <c r="M418">
        <f>3600*24</f>
        <v>86400</v>
      </c>
      <c r="N418" s="4">
        <f>N417</f>
        <v>21</v>
      </c>
      <c r="P418" s="19">
        <f>L418*M418/1000000</f>
        <v>0</v>
      </c>
      <c r="Q418" s="20">
        <f>P418</f>
        <v>0</v>
      </c>
      <c r="R418" s="19">
        <f>L418*M418*N418/1000000</f>
        <v>0</v>
      </c>
      <c r="S418" s="20">
        <f>R418</f>
        <v>0</v>
      </c>
      <c r="T418">
        <f>11*13</f>
        <v>143</v>
      </c>
    </row>
    <row r="419" spans="6:21">
      <c r="G419" s="17" t="s">
        <v>14</v>
      </c>
      <c r="H419">
        <v>64000</v>
      </c>
      <c r="I419">
        <f>I$8</f>
        <v>20000</v>
      </c>
      <c r="J419" s="3">
        <v>1</v>
      </c>
      <c r="K419">
        <v>7200</v>
      </c>
      <c r="L419" s="18">
        <f>J419*I419/K419</f>
        <v>2.7777777777777777</v>
      </c>
      <c r="M419">
        <f>3600*24</f>
        <v>86400</v>
      </c>
      <c r="N419" s="4">
        <f>N418</f>
        <v>21</v>
      </c>
      <c r="P419" s="19">
        <f>L419*M419/1000000</f>
        <v>0.24</v>
      </c>
      <c r="Q419" s="20">
        <f>P419</f>
        <v>0.24</v>
      </c>
      <c r="R419" s="19">
        <f>L419*M419*N419/1000000</f>
        <v>5.04</v>
      </c>
      <c r="S419" s="20">
        <f>R419</f>
        <v>5.04</v>
      </c>
      <c r="U419">
        <f>(20+10/24)*2.338176</f>
        <v>47.737760000000002</v>
      </c>
    </row>
    <row r="420" spans="6:21">
      <c r="G420" s="17" t="s">
        <v>15</v>
      </c>
      <c r="H420">
        <v>512</v>
      </c>
      <c r="I420">
        <f>H420</f>
        <v>512</v>
      </c>
      <c r="J420" s="3">
        <v>1</v>
      </c>
      <c r="K420">
        <v>1800</v>
      </c>
      <c r="L420" s="18">
        <f>J420*I420/K420</f>
        <v>0.28444444444444444</v>
      </c>
      <c r="M420">
        <f>3600*24</f>
        <v>86400</v>
      </c>
      <c r="N420" s="4">
        <f>N419</f>
        <v>21</v>
      </c>
      <c r="P420" s="19">
        <f>L420*M420/1000000</f>
        <v>2.4576000000000001E-2</v>
      </c>
      <c r="Q420" s="20">
        <f>P420</f>
        <v>2.4576000000000001E-2</v>
      </c>
      <c r="R420" s="19">
        <f>L420*M420*N420/1000000</f>
        <v>0.516096</v>
      </c>
      <c r="S420" s="20">
        <f>R420</f>
        <v>0.516096</v>
      </c>
    </row>
    <row r="421" spans="6:21">
      <c r="G421" s="17"/>
      <c r="K421" s="3" t="str">
        <f>IF(AND( (K417/K418)=INT(K417/K418), (K419/K418)=INT(K419/K418) ), " ", "error")</f>
        <v xml:space="preserve"> </v>
      </c>
      <c r="N421" s="46" t="s">
        <v>53</v>
      </c>
      <c r="O421" s="46"/>
      <c r="P421" s="47">
        <f>SUM(P417:P420)</f>
        <v>2.3381760000000003</v>
      </c>
      <c r="Q421" s="48">
        <f>SUM(Q417:Q420)</f>
        <v>2.3381760000000003</v>
      </c>
      <c r="R421" s="47">
        <f>SUM(R417:R420)</f>
        <v>49.101695999999997</v>
      </c>
      <c r="S421" s="49">
        <f>SUM(S417:S420)</f>
        <v>49.101695999999997</v>
      </c>
      <c r="T421" s="385">
        <f>P421/(3600*24)</f>
        <v>2.7062222222222224E-5</v>
      </c>
    </row>
    <row r="422" spans="6:21">
      <c r="P422" s="3"/>
    </row>
    <row r="423" spans="6:21" ht="42.75">
      <c r="F423" s="11"/>
      <c r="G423" s="12"/>
      <c r="H423" s="13" t="s">
        <v>2</v>
      </c>
      <c r="I423" s="13" t="s">
        <v>3</v>
      </c>
      <c r="J423" s="13" t="s">
        <v>4</v>
      </c>
      <c r="K423" s="13" t="s">
        <v>5</v>
      </c>
      <c r="L423" s="13" t="s">
        <v>6</v>
      </c>
      <c r="M423" s="13" t="s">
        <v>7</v>
      </c>
      <c r="N423" s="13" t="s">
        <v>8</v>
      </c>
      <c r="O423" s="13" t="s">
        <v>37</v>
      </c>
      <c r="P423" s="13" t="s">
        <v>49</v>
      </c>
      <c r="Q423" s="13" t="s">
        <v>50</v>
      </c>
      <c r="R423" s="13" t="s">
        <v>54</v>
      </c>
      <c r="S423" s="13" t="s">
        <v>55</v>
      </c>
    </row>
    <row r="424" spans="6:21">
      <c r="F424" s="15" t="s">
        <v>16</v>
      </c>
      <c r="G424" s="25"/>
      <c r="N424" s="386">
        <f>135-69</f>
        <v>66</v>
      </c>
      <c r="R424" s="3"/>
    </row>
    <row r="425" spans="6:21">
      <c r="G425" s="17" t="s">
        <v>17</v>
      </c>
      <c r="H425">
        <v>8480</v>
      </c>
      <c r="I425">
        <f>I$14</f>
        <v>2900</v>
      </c>
      <c r="J425" s="3">
        <v>1</v>
      </c>
      <c r="K425">
        <f>I433*64</f>
        <v>1280</v>
      </c>
      <c r="L425" s="18">
        <f>J425*I425/K425</f>
        <v>2.265625</v>
      </c>
      <c r="M425">
        <f>3600*24</f>
        <v>86400</v>
      </c>
      <c r="P425" s="20">
        <f t="shared" ref="P425:Q427" si="6">R425/$N$257</f>
        <v>6.0504545454545457E-2</v>
      </c>
      <c r="Q425" s="20">
        <f t="shared" si="6"/>
        <v>4.0336363636363635E-2</v>
      </c>
      <c r="R425" s="20">
        <f>L425*M425*I436*((I434+I435))/1000000</f>
        <v>3.9933000000000001</v>
      </c>
      <c r="S425" s="20">
        <f>L425*M425*I437*((I434+I435))/1000000</f>
        <v>2.6621999999999999</v>
      </c>
    </row>
    <row r="426" spans="6:21">
      <c r="G426" s="17" t="s">
        <v>18</v>
      </c>
      <c r="H426">
        <v>992</v>
      </c>
      <c r="I426">
        <f>I$15</f>
        <v>600</v>
      </c>
      <c r="J426" s="3">
        <v>1</v>
      </c>
      <c r="K426">
        <f>I433*64</f>
        <v>1280</v>
      </c>
      <c r="L426" s="18">
        <f>J426*I426/K426</f>
        <v>0.46875</v>
      </c>
      <c r="M426">
        <f>3600*24</f>
        <v>86400</v>
      </c>
      <c r="P426" s="20">
        <f t="shared" si="6"/>
        <v>1.2518181818181819E-2</v>
      </c>
      <c r="Q426" s="20">
        <f t="shared" si="6"/>
        <v>8.3454545454545448E-3</v>
      </c>
      <c r="R426" s="20">
        <f>L426*M426*I436*((I434+I435))/1000000</f>
        <v>0.82620000000000005</v>
      </c>
      <c r="S426" s="20">
        <f>L426*M426*I437*((I434+I435))/1000000</f>
        <v>0.55079999999999996</v>
      </c>
    </row>
    <row r="427" spans="6:21">
      <c r="G427" s="17" t="s">
        <v>19</v>
      </c>
      <c r="H427">
        <f>H418</f>
        <v>4928</v>
      </c>
      <c r="I427">
        <f>I$16</f>
        <v>1400</v>
      </c>
      <c r="J427" s="3">
        <v>1</v>
      </c>
      <c r="K427">
        <f>I433</f>
        <v>20</v>
      </c>
      <c r="L427" s="18">
        <f>J427*I427/K427</f>
        <v>70</v>
      </c>
      <c r="M427">
        <f>3600*24</f>
        <v>86400</v>
      </c>
      <c r="P427" s="20">
        <f t="shared" si="6"/>
        <v>1.0996363636363635</v>
      </c>
      <c r="Q427" s="20">
        <f t="shared" si="6"/>
        <v>0.73309090909090913</v>
      </c>
      <c r="R427" s="22">
        <f>L427*M427*I436*I435/1000000</f>
        <v>72.575999999999993</v>
      </c>
      <c r="S427" s="22">
        <f>L427*M427*I437*I435/1000000</f>
        <v>48.384</v>
      </c>
    </row>
    <row r="428" spans="6:21">
      <c r="N428" s="46" t="s">
        <v>56</v>
      </c>
      <c r="O428" s="46"/>
      <c r="P428" s="47">
        <f>SUM(P425:P427)</f>
        <v>1.1726590909090908</v>
      </c>
      <c r="Q428" s="47">
        <f>SUM(Q425:Q427)</f>
        <v>0.78177272727272729</v>
      </c>
      <c r="R428" s="50">
        <f>SUM(R425:R427)</f>
        <v>77.395499999999998</v>
      </c>
      <c r="S428" s="50">
        <f>SUM(S425:S427)</f>
        <v>51.597000000000001</v>
      </c>
    </row>
    <row r="429" spans="6:21">
      <c r="R429" s="26"/>
    </row>
    <row r="430" spans="6:21">
      <c r="F430" s="15" t="s">
        <v>20</v>
      </c>
      <c r="G430" s="27"/>
      <c r="N430" s="387" t="s">
        <v>57</v>
      </c>
      <c r="O430" s="52"/>
      <c r="P430" s="28">
        <f>P421+P428</f>
        <v>3.5108350909090911</v>
      </c>
      <c r="Q430" s="28">
        <f>Q421+Q428</f>
        <v>3.1199487272727273</v>
      </c>
      <c r="R430" s="53">
        <f>R421+R428</f>
        <v>126.497196</v>
      </c>
      <c r="S430" s="53">
        <f>S421+S428</f>
        <v>100.698696</v>
      </c>
    </row>
    <row r="432" spans="6:21">
      <c r="F432" s="454" t="s">
        <v>22</v>
      </c>
      <c r="G432" s="454"/>
      <c r="H432" s="454"/>
      <c r="I432" s="454"/>
    </row>
    <row r="433" spans="3:21" ht="15.75">
      <c r="F433" s="455" t="s">
        <v>23</v>
      </c>
      <c r="G433" s="455"/>
      <c r="H433" s="455"/>
      <c r="I433" s="29">
        <v>20</v>
      </c>
      <c r="O433" s="30"/>
    </row>
    <row r="434" spans="3:21">
      <c r="F434" s="456" t="s">
        <v>24</v>
      </c>
      <c r="G434" s="456"/>
      <c r="H434" s="456"/>
      <c r="I434" s="29">
        <f>0.7*I433/10</f>
        <v>1.4</v>
      </c>
    </row>
    <row r="435" spans="3:21">
      <c r="F435" s="456" t="s">
        <v>25</v>
      </c>
      <c r="G435" s="456"/>
      <c r="H435" s="456"/>
      <c r="I435" s="29">
        <v>2</v>
      </c>
    </row>
    <row r="436" spans="3:21">
      <c r="F436" s="456" t="s">
        <v>63</v>
      </c>
      <c r="G436" s="456"/>
      <c r="H436" s="456"/>
      <c r="I436" s="70">
        <v>6</v>
      </c>
    </row>
    <row r="437" spans="3:21">
      <c r="F437" s="456" t="s">
        <v>71</v>
      </c>
      <c r="G437" s="456"/>
      <c r="H437" s="456"/>
      <c r="I437" s="70">
        <v>4</v>
      </c>
    </row>
    <row r="442" spans="3:21">
      <c r="C442" s="6">
        <v>23296</v>
      </c>
      <c r="D442" s="6"/>
      <c r="E442" s="6"/>
      <c r="F442" s="8"/>
      <c r="G442" s="8"/>
      <c r="H442" s="8"/>
      <c r="I442" s="8"/>
      <c r="J442" s="9"/>
      <c r="K442" s="8"/>
      <c r="L442" s="8"/>
      <c r="M442" s="8"/>
      <c r="N442" s="9"/>
      <c r="O442" s="9"/>
      <c r="P442" s="8"/>
      <c r="Q442">
        <f>11*13</f>
        <v>143</v>
      </c>
    </row>
    <row r="443" spans="3:21">
      <c r="H443" s="453" t="s">
        <v>1</v>
      </c>
      <c r="I443" s="453"/>
    </row>
    <row r="444" spans="3:21" ht="28.5">
      <c r="F444" s="11"/>
      <c r="G444" s="12"/>
      <c r="H444" s="13" t="s">
        <v>2</v>
      </c>
      <c r="I444" s="13" t="s">
        <v>3</v>
      </c>
      <c r="J444" s="13" t="s">
        <v>4</v>
      </c>
      <c r="K444" s="13" t="s">
        <v>5</v>
      </c>
      <c r="L444" s="13" t="s">
        <v>6</v>
      </c>
      <c r="M444" s="13" t="s">
        <v>7</v>
      </c>
      <c r="N444" s="13" t="s">
        <v>8</v>
      </c>
      <c r="O444" s="13"/>
      <c r="P444" s="13" t="s">
        <v>49</v>
      </c>
      <c r="Q444" s="13" t="s">
        <v>50</v>
      </c>
      <c r="R444" s="13" t="s">
        <v>51</v>
      </c>
      <c r="S444" s="13" t="s">
        <v>52</v>
      </c>
    </row>
    <row r="445" spans="3:21">
      <c r="F445" s="15" t="s">
        <v>11</v>
      </c>
      <c r="G445" s="16"/>
      <c r="H445" s="3"/>
      <c r="I445" s="3"/>
      <c r="K445" s="3"/>
      <c r="L445" s="3"/>
      <c r="P445" s="3"/>
    </row>
    <row r="446" spans="3:21">
      <c r="G446" s="17" t="s">
        <v>12</v>
      </c>
      <c r="H446">
        <v>5680</v>
      </c>
      <c r="I446">
        <f>I$6</f>
        <v>2400</v>
      </c>
      <c r="J446" s="3">
        <v>1</v>
      </c>
      <c r="K446">
        <v>100</v>
      </c>
      <c r="L446" s="18">
        <f>J446*I446/K446</f>
        <v>24</v>
      </c>
      <c r="M446">
        <f>3600*24</f>
        <v>86400</v>
      </c>
      <c r="N446" s="44">
        <f>20+22/24</f>
        <v>20.916666666666668</v>
      </c>
      <c r="P446" s="19">
        <f>L446*M446/1000000</f>
        <v>2.0735999999999999</v>
      </c>
      <c r="Q446" s="20">
        <f>P446</f>
        <v>2.0735999999999999</v>
      </c>
      <c r="R446" s="19">
        <f>L446*M446*N446/1000000</f>
        <v>43.372799999999998</v>
      </c>
      <c r="S446" s="20">
        <f>R446</f>
        <v>43.372799999999998</v>
      </c>
      <c r="T446">
        <f>6*13</f>
        <v>78</v>
      </c>
    </row>
    <row r="447" spans="3:21">
      <c r="G447" s="17" t="s">
        <v>13</v>
      </c>
      <c r="H447">
        <v>4928</v>
      </c>
      <c r="I447">
        <f>I$7</f>
        <v>1920</v>
      </c>
      <c r="J447" s="3">
        <v>0</v>
      </c>
      <c r="K447">
        <v>100</v>
      </c>
      <c r="L447" s="18">
        <f>J447*I447/K447</f>
        <v>0</v>
      </c>
      <c r="M447">
        <f>3600*24</f>
        <v>86400</v>
      </c>
      <c r="N447" s="4">
        <f>N446</f>
        <v>20.916666666666668</v>
      </c>
      <c r="P447" s="19">
        <f>L447*M447/1000000</f>
        <v>0</v>
      </c>
      <c r="Q447" s="20">
        <f>P447</f>
        <v>0</v>
      </c>
      <c r="R447" s="19">
        <f>L447*M447*N447/1000000</f>
        <v>0</v>
      </c>
      <c r="S447" s="20">
        <f>R447</f>
        <v>0</v>
      </c>
      <c r="T447">
        <f>11*13</f>
        <v>143</v>
      </c>
    </row>
    <row r="448" spans="3:21">
      <c r="G448" s="17" t="s">
        <v>14</v>
      </c>
      <c r="H448">
        <v>64000</v>
      </c>
      <c r="I448">
        <f>I$8</f>
        <v>20000</v>
      </c>
      <c r="J448" s="3">
        <v>1</v>
      </c>
      <c r="K448">
        <v>7200</v>
      </c>
      <c r="L448" s="18">
        <f>J448*I448/K448</f>
        <v>2.7777777777777777</v>
      </c>
      <c r="M448">
        <f>3600*24</f>
        <v>86400</v>
      </c>
      <c r="N448" s="4">
        <f>N447</f>
        <v>20.916666666666668</v>
      </c>
      <c r="P448" s="19">
        <f>L448*M448/1000000</f>
        <v>0.24</v>
      </c>
      <c r="Q448" s="20">
        <f>P448</f>
        <v>0.24</v>
      </c>
      <c r="R448" s="19">
        <f>L448*M448*N448/1000000</f>
        <v>5.0199999999999996</v>
      </c>
      <c r="S448" s="20">
        <f>R448</f>
        <v>5.0199999999999996</v>
      </c>
      <c r="U448">
        <f>(20+10/24)*2.338176</f>
        <v>47.737760000000002</v>
      </c>
    </row>
    <row r="449" spans="6:20">
      <c r="G449" s="17" t="s">
        <v>15</v>
      </c>
      <c r="H449">
        <v>512</v>
      </c>
      <c r="I449">
        <f>H449</f>
        <v>512</v>
      </c>
      <c r="J449" s="3">
        <v>1</v>
      </c>
      <c r="K449">
        <v>1800</v>
      </c>
      <c r="L449" s="18">
        <f>J449*I449/K449</f>
        <v>0.28444444444444444</v>
      </c>
      <c r="M449">
        <f>3600*24</f>
        <v>86400</v>
      </c>
      <c r="N449" s="4">
        <f>N448</f>
        <v>20.916666666666668</v>
      </c>
      <c r="P449" s="19">
        <f>L449*M449/1000000</f>
        <v>2.4576000000000001E-2</v>
      </c>
      <c r="Q449" s="20">
        <f>P449</f>
        <v>2.4576000000000001E-2</v>
      </c>
      <c r="R449" s="19">
        <f>L449*M449*N449/1000000</f>
        <v>0.51404799999999995</v>
      </c>
      <c r="S449" s="20">
        <f>R449</f>
        <v>0.51404799999999995</v>
      </c>
    </row>
    <row r="450" spans="6:20">
      <c r="G450" s="17"/>
      <c r="K450" s="3" t="str">
        <f>IF(AND( (K446/K447)=INT(K446/K447), (K448/K447)=INT(K448/K447) ), " ", "error")</f>
        <v xml:space="preserve"> </v>
      </c>
      <c r="N450" s="46" t="s">
        <v>53</v>
      </c>
      <c r="O450" s="46"/>
      <c r="P450" s="47">
        <f>SUM(P446:P449)</f>
        <v>2.3381760000000003</v>
      </c>
      <c r="Q450" s="48">
        <f>SUM(Q446:Q449)</f>
        <v>2.3381760000000003</v>
      </c>
      <c r="R450" s="47">
        <f>SUM(R446:R449)</f>
        <v>48.906847999999997</v>
      </c>
      <c r="S450" s="49">
        <f>SUM(S446:S449)</f>
        <v>48.906847999999997</v>
      </c>
      <c r="T450" s="385">
        <f>P450/(3600*24)</f>
        <v>2.7062222222222224E-5</v>
      </c>
    </row>
    <row r="451" spans="6:20">
      <c r="P451" s="3"/>
    </row>
    <row r="452" spans="6:20" ht="42.75">
      <c r="F452" s="11"/>
      <c r="G452" s="12"/>
      <c r="H452" s="13" t="s">
        <v>2</v>
      </c>
      <c r="I452" s="13" t="s">
        <v>3</v>
      </c>
      <c r="J452" s="13" t="s">
        <v>4</v>
      </c>
      <c r="K452" s="13" t="s">
        <v>5</v>
      </c>
      <c r="L452" s="13" t="s">
        <v>6</v>
      </c>
      <c r="M452" s="13" t="s">
        <v>7</v>
      </c>
      <c r="N452" s="13" t="s">
        <v>8</v>
      </c>
      <c r="O452" s="13" t="s">
        <v>37</v>
      </c>
      <c r="P452" s="13" t="s">
        <v>49</v>
      </c>
      <c r="Q452" s="13" t="s">
        <v>50</v>
      </c>
      <c r="R452" s="13" t="s">
        <v>54</v>
      </c>
      <c r="S452" s="13" t="s">
        <v>55</v>
      </c>
    </row>
    <row r="453" spans="6:20">
      <c r="F453" s="15" t="s">
        <v>16</v>
      </c>
      <c r="G453" s="25"/>
      <c r="N453" s="386">
        <f>135-69</f>
        <v>66</v>
      </c>
      <c r="R453" s="3"/>
    </row>
    <row r="454" spans="6:20">
      <c r="G454" s="17" t="s">
        <v>17</v>
      </c>
      <c r="H454">
        <v>8480</v>
      </c>
      <c r="I454">
        <f>I$14</f>
        <v>2900</v>
      </c>
      <c r="J454" s="3">
        <v>1</v>
      </c>
      <c r="K454">
        <f>I462*64</f>
        <v>1280</v>
      </c>
      <c r="L454" s="18">
        <f>J454*I454/K454</f>
        <v>2.265625</v>
      </c>
      <c r="M454">
        <f>3600*24</f>
        <v>86400</v>
      </c>
      <c r="P454" s="20">
        <f t="shared" ref="P454:Q456" si="7">R454/$N$257</f>
        <v>6.0504545454545457E-2</v>
      </c>
      <c r="Q454" s="20">
        <f t="shared" si="7"/>
        <v>4.0336363636363635E-2</v>
      </c>
      <c r="R454" s="20">
        <f>L454*M454*I465*((I463+I464))/1000000</f>
        <v>3.9933000000000001</v>
      </c>
      <c r="S454" s="20">
        <f>L454*M454*I466*((I463+I464))/1000000</f>
        <v>2.6621999999999999</v>
      </c>
    </row>
    <row r="455" spans="6:20">
      <c r="G455" s="17" t="s">
        <v>18</v>
      </c>
      <c r="H455">
        <v>992</v>
      </c>
      <c r="I455">
        <f>I$15</f>
        <v>600</v>
      </c>
      <c r="J455" s="3">
        <v>1</v>
      </c>
      <c r="K455">
        <f>I462*64</f>
        <v>1280</v>
      </c>
      <c r="L455" s="18">
        <f>J455*I455/K455</f>
        <v>0.46875</v>
      </c>
      <c r="M455">
        <f>3600*24</f>
        <v>86400</v>
      </c>
      <c r="P455" s="20">
        <f t="shared" si="7"/>
        <v>1.2518181818181819E-2</v>
      </c>
      <c r="Q455" s="20">
        <f t="shared" si="7"/>
        <v>8.3454545454545448E-3</v>
      </c>
      <c r="R455" s="20">
        <f>L455*M455*I465*((I463+I464))/1000000</f>
        <v>0.82620000000000005</v>
      </c>
      <c r="S455" s="20">
        <f>L455*M455*I466*((I463+I464))/1000000</f>
        <v>0.55079999999999996</v>
      </c>
    </row>
    <row r="456" spans="6:20">
      <c r="G456" s="17" t="s">
        <v>19</v>
      </c>
      <c r="H456">
        <f>H447</f>
        <v>4928</v>
      </c>
      <c r="I456">
        <f>I$16</f>
        <v>1400</v>
      </c>
      <c r="J456" s="3">
        <v>1</v>
      </c>
      <c r="K456">
        <f>I462</f>
        <v>20</v>
      </c>
      <c r="L456" s="18">
        <f>J456*I456/K456</f>
        <v>70</v>
      </c>
      <c r="M456">
        <f>3600*24</f>
        <v>86400</v>
      </c>
      <c r="P456" s="20">
        <f t="shared" si="7"/>
        <v>1.0996363636363635</v>
      </c>
      <c r="Q456" s="20">
        <f t="shared" si="7"/>
        <v>0.73309090909090913</v>
      </c>
      <c r="R456" s="22">
        <f>L456*M456*I465*I464/1000000</f>
        <v>72.575999999999993</v>
      </c>
      <c r="S456" s="22">
        <f>L456*M456*I466*I464/1000000</f>
        <v>48.384</v>
      </c>
    </row>
    <row r="457" spans="6:20">
      <c r="N457" s="46" t="s">
        <v>56</v>
      </c>
      <c r="O457" s="46"/>
      <c r="P457" s="47">
        <f>SUM(P454:P456)</f>
        <v>1.1726590909090908</v>
      </c>
      <c r="Q457" s="47">
        <f>SUM(Q454:Q456)</f>
        <v>0.78177272727272729</v>
      </c>
      <c r="R457" s="50">
        <f>SUM(R454:R456)</f>
        <v>77.395499999999998</v>
      </c>
      <c r="S457" s="50">
        <f>SUM(S454:S456)</f>
        <v>51.597000000000001</v>
      </c>
    </row>
    <row r="458" spans="6:20">
      <c r="R458" s="26"/>
    </row>
    <row r="459" spans="6:20">
      <c r="F459" s="15" t="s">
        <v>20</v>
      </c>
      <c r="G459" s="27"/>
      <c r="N459" s="387" t="s">
        <v>57</v>
      </c>
      <c r="O459" s="52"/>
      <c r="P459" s="28">
        <f>P450+P457</f>
        <v>3.5108350909090911</v>
      </c>
      <c r="Q459" s="28">
        <f>Q450+Q457</f>
        <v>3.1199487272727273</v>
      </c>
      <c r="R459" s="53">
        <f>R450+R457</f>
        <v>126.30234799999999</v>
      </c>
      <c r="S459" s="53">
        <f>S450+S457</f>
        <v>100.503848</v>
      </c>
    </row>
    <row r="461" spans="6:20">
      <c r="F461" s="454" t="s">
        <v>22</v>
      </c>
      <c r="G461" s="454"/>
      <c r="H461" s="454"/>
      <c r="I461" s="454"/>
    </row>
    <row r="462" spans="6:20" ht="15.75">
      <c r="F462" s="455" t="s">
        <v>23</v>
      </c>
      <c r="G462" s="455"/>
      <c r="H462" s="455"/>
      <c r="I462" s="29">
        <v>20</v>
      </c>
      <c r="O462" s="30"/>
    </row>
    <row r="463" spans="6:20">
      <c r="F463" s="456" t="s">
        <v>24</v>
      </c>
      <c r="G463" s="456"/>
      <c r="H463" s="456"/>
      <c r="I463" s="29">
        <f>0.7*I462/10</f>
        <v>1.4</v>
      </c>
    </row>
    <row r="464" spans="6:20">
      <c r="F464" s="456" t="s">
        <v>25</v>
      </c>
      <c r="G464" s="456"/>
      <c r="H464" s="456"/>
      <c r="I464" s="29">
        <v>2</v>
      </c>
    </row>
    <row r="465" spans="3:21">
      <c r="F465" s="456" t="s">
        <v>63</v>
      </c>
      <c r="G465" s="456"/>
      <c r="H465" s="456"/>
      <c r="I465" s="70">
        <v>6</v>
      </c>
    </row>
    <row r="466" spans="3:21">
      <c r="F466" s="456" t="s">
        <v>71</v>
      </c>
      <c r="G466" s="456"/>
      <c r="H466" s="456"/>
      <c r="I466" s="70">
        <v>4</v>
      </c>
    </row>
    <row r="470" spans="3:21">
      <c r="C470" s="6">
        <v>23317</v>
      </c>
      <c r="D470" s="6"/>
      <c r="E470" s="6"/>
      <c r="F470" s="8"/>
      <c r="G470" s="8"/>
      <c r="H470" s="8"/>
      <c r="I470" s="8"/>
      <c r="J470" s="9"/>
      <c r="K470" s="8"/>
      <c r="L470" s="8"/>
      <c r="M470" s="8"/>
      <c r="N470" s="9"/>
      <c r="O470" s="9"/>
      <c r="P470" s="8"/>
      <c r="Q470">
        <f>11*13</f>
        <v>143</v>
      </c>
    </row>
    <row r="471" spans="3:21">
      <c r="H471" s="453" t="s">
        <v>1</v>
      </c>
      <c r="I471" s="453"/>
    </row>
    <row r="472" spans="3:21" ht="28.5">
      <c r="F472" s="11"/>
      <c r="G472" s="12"/>
      <c r="H472" s="13" t="s">
        <v>2</v>
      </c>
      <c r="I472" s="13" t="s">
        <v>3</v>
      </c>
      <c r="J472" s="13" t="s">
        <v>4</v>
      </c>
      <c r="K472" s="13" t="s">
        <v>5</v>
      </c>
      <c r="L472" s="13" t="s">
        <v>6</v>
      </c>
      <c r="M472" s="13" t="s">
        <v>7</v>
      </c>
      <c r="N472" s="13" t="s">
        <v>8</v>
      </c>
      <c r="O472" s="13"/>
      <c r="P472" s="13" t="s">
        <v>49</v>
      </c>
      <c r="Q472" s="13" t="s">
        <v>50</v>
      </c>
      <c r="R472" s="13" t="s">
        <v>51</v>
      </c>
      <c r="S472" s="13" t="s">
        <v>52</v>
      </c>
    </row>
    <row r="473" spans="3:21">
      <c r="F473" s="15" t="s">
        <v>11</v>
      </c>
      <c r="G473" s="16"/>
      <c r="H473" s="3"/>
      <c r="I473" s="3"/>
      <c r="K473" s="3"/>
      <c r="L473" s="3"/>
      <c r="P473" s="3"/>
    </row>
    <row r="474" spans="3:21">
      <c r="G474" s="17" t="s">
        <v>12</v>
      </c>
      <c r="H474">
        <v>5680</v>
      </c>
      <c r="I474">
        <f>I$6</f>
        <v>2400</v>
      </c>
      <c r="J474" s="3">
        <v>1</v>
      </c>
      <c r="K474">
        <v>100</v>
      </c>
      <c r="L474" s="18">
        <f>J474*I474/K474</f>
        <v>24</v>
      </c>
      <c r="M474">
        <f>3600*24</f>
        <v>86400</v>
      </c>
      <c r="N474" s="44">
        <v>21.4</v>
      </c>
      <c r="P474" s="19">
        <f>L474*M474/1000000</f>
        <v>2.0735999999999999</v>
      </c>
      <c r="Q474" s="20">
        <f>P474</f>
        <v>2.0735999999999999</v>
      </c>
      <c r="R474" s="19">
        <f>L474*M474*N474/1000000</f>
        <v>44.375039999999998</v>
      </c>
      <c r="S474" s="20">
        <f>R474</f>
        <v>44.375039999999998</v>
      </c>
      <c r="T474">
        <f>6*13</f>
        <v>78</v>
      </c>
    </row>
    <row r="475" spans="3:21">
      <c r="G475" s="17" t="s">
        <v>13</v>
      </c>
      <c r="H475">
        <v>4928</v>
      </c>
      <c r="I475">
        <f>I$7</f>
        <v>1920</v>
      </c>
      <c r="J475" s="3">
        <v>0</v>
      </c>
      <c r="K475">
        <v>100</v>
      </c>
      <c r="L475" s="18">
        <f>J475*I475/K475</f>
        <v>0</v>
      </c>
      <c r="M475">
        <f>3600*24</f>
        <v>86400</v>
      </c>
      <c r="N475" s="4">
        <f>N474</f>
        <v>21.4</v>
      </c>
      <c r="P475" s="19">
        <f>L475*M475/1000000</f>
        <v>0</v>
      </c>
      <c r="Q475" s="20">
        <f>P475</f>
        <v>0</v>
      </c>
      <c r="R475" s="19">
        <f>L475*M475*N475/1000000</f>
        <v>0</v>
      </c>
      <c r="S475" s="20">
        <f>R475</f>
        <v>0</v>
      </c>
      <c r="T475">
        <f>11*13</f>
        <v>143</v>
      </c>
    </row>
    <row r="476" spans="3:21">
      <c r="G476" s="17" t="s">
        <v>14</v>
      </c>
      <c r="H476">
        <v>64000</v>
      </c>
      <c r="I476">
        <f>I$8</f>
        <v>20000</v>
      </c>
      <c r="J476" s="3">
        <v>1</v>
      </c>
      <c r="K476">
        <v>7200</v>
      </c>
      <c r="L476" s="18">
        <f>J476*I476/K476</f>
        <v>2.7777777777777777</v>
      </c>
      <c r="M476">
        <f>3600*24</f>
        <v>86400</v>
      </c>
      <c r="N476" s="4">
        <f>N475</f>
        <v>21.4</v>
      </c>
      <c r="P476" s="19">
        <f>L476*M476/1000000</f>
        <v>0.24</v>
      </c>
      <c r="Q476" s="20">
        <f>P476</f>
        <v>0.24</v>
      </c>
      <c r="R476" s="19">
        <f>L476*M476*N476/1000000</f>
        <v>5.1360000000000001</v>
      </c>
      <c r="S476" s="20">
        <f>R476</f>
        <v>5.1360000000000001</v>
      </c>
      <c r="U476">
        <f>(20+10/24)*2.338176</f>
        <v>47.737760000000002</v>
      </c>
    </row>
    <row r="477" spans="3:21">
      <c r="G477" s="17" t="s">
        <v>15</v>
      </c>
      <c r="H477">
        <v>512</v>
      </c>
      <c r="I477">
        <f>H477</f>
        <v>512</v>
      </c>
      <c r="J477" s="3">
        <v>1</v>
      </c>
      <c r="K477">
        <v>1800</v>
      </c>
      <c r="L477" s="18">
        <f>J477*I477/K477</f>
        <v>0.28444444444444444</v>
      </c>
      <c r="M477">
        <f>3600*24</f>
        <v>86400</v>
      </c>
      <c r="N477" s="4">
        <f>N476</f>
        <v>21.4</v>
      </c>
      <c r="P477" s="19">
        <f>L477*M477/1000000</f>
        <v>2.4576000000000001E-2</v>
      </c>
      <c r="Q477" s="20">
        <f>P477</f>
        <v>2.4576000000000001E-2</v>
      </c>
      <c r="R477" s="19">
        <f>L477*M477*N477/1000000</f>
        <v>0.52592639999999991</v>
      </c>
      <c r="S477" s="20">
        <f>R477</f>
        <v>0.52592639999999991</v>
      </c>
    </row>
    <row r="478" spans="3:21">
      <c r="G478" s="17"/>
      <c r="K478" s="3" t="str">
        <f>IF(AND( (K474/K475)=INT(K474/K475), (K476/K475)=INT(K476/K475) ), " ", "error")</f>
        <v xml:space="preserve"> </v>
      </c>
      <c r="N478" s="46" t="s">
        <v>53</v>
      </c>
      <c r="O478" s="46"/>
      <c r="P478" s="47">
        <f>SUM(P474:P477)</f>
        <v>2.3381760000000003</v>
      </c>
      <c r="Q478" s="48">
        <f>SUM(Q474:Q477)</f>
        <v>2.3381760000000003</v>
      </c>
      <c r="R478" s="47">
        <f>SUM(R474:R477)</f>
        <v>50.036966400000004</v>
      </c>
      <c r="S478" s="49">
        <f>SUM(S474:S477)</f>
        <v>50.036966400000004</v>
      </c>
      <c r="T478" s="385">
        <f>P478/(3600*24)</f>
        <v>2.7062222222222224E-5</v>
      </c>
    </row>
    <row r="479" spans="3:21">
      <c r="P479" s="3"/>
    </row>
    <row r="480" spans="3:21" ht="42.75">
      <c r="F480" s="11"/>
      <c r="G480" s="12"/>
      <c r="H480" s="13" t="s">
        <v>2</v>
      </c>
      <c r="I480" s="13" t="s">
        <v>3</v>
      </c>
      <c r="J480" s="13" t="s">
        <v>4</v>
      </c>
      <c r="K480" s="13" t="s">
        <v>5</v>
      </c>
      <c r="L480" s="13" t="s">
        <v>6</v>
      </c>
      <c r="M480" s="13" t="s">
        <v>7</v>
      </c>
      <c r="N480" s="13" t="s">
        <v>8</v>
      </c>
      <c r="O480" s="13" t="s">
        <v>37</v>
      </c>
      <c r="P480" s="13" t="s">
        <v>49</v>
      </c>
      <c r="Q480" s="13" t="s">
        <v>50</v>
      </c>
      <c r="R480" s="13" t="s">
        <v>54</v>
      </c>
      <c r="S480" s="13" t="s">
        <v>55</v>
      </c>
    </row>
    <row r="481" spans="6:19">
      <c r="F481" s="15" t="s">
        <v>16</v>
      </c>
      <c r="G481" s="25"/>
      <c r="N481" s="386">
        <f>135-69</f>
        <v>66</v>
      </c>
      <c r="R481" s="3"/>
    </row>
    <row r="482" spans="6:19">
      <c r="G482" s="17" t="s">
        <v>17</v>
      </c>
      <c r="H482">
        <v>8480</v>
      </c>
      <c r="I482">
        <f>I$14</f>
        <v>2900</v>
      </c>
      <c r="J482" s="3">
        <v>1</v>
      </c>
      <c r="K482">
        <f>I490*64</f>
        <v>1280</v>
      </c>
      <c r="L482" s="18">
        <f>J482*I482/K482</f>
        <v>2.265625</v>
      </c>
      <c r="M482">
        <f>3600*24</f>
        <v>86400</v>
      </c>
      <c r="P482" s="20">
        <f t="shared" ref="P482:Q484" si="8">R482/$N$257</f>
        <v>6.0504545454545457E-2</v>
      </c>
      <c r="Q482" s="20">
        <f t="shared" si="8"/>
        <v>4.0336363636363635E-2</v>
      </c>
      <c r="R482" s="20">
        <f>L482*M482*I493*((I491+I492))/1000000</f>
        <v>3.9933000000000001</v>
      </c>
      <c r="S482" s="20">
        <f>L482*M482*I494*((I491+I492))/1000000</f>
        <v>2.6621999999999999</v>
      </c>
    </row>
    <row r="483" spans="6:19">
      <c r="G483" s="17" t="s">
        <v>18</v>
      </c>
      <c r="H483">
        <v>992</v>
      </c>
      <c r="I483">
        <f>I$15</f>
        <v>600</v>
      </c>
      <c r="J483" s="3">
        <v>1</v>
      </c>
      <c r="K483">
        <f>I490*64</f>
        <v>1280</v>
      </c>
      <c r="L483" s="18">
        <f>J483*I483/K483</f>
        <v>0.46875</v>
      </c>
      <c r="M483">
        <f>3600*24</f>
        <v>86400</v>
      </c>
      <c r="P483" s="20">
        <f t="shared" si="8"/>
        <v>1.2518181818181819E-2</v>
      </c>
      <c r="Q483" s="20">
        <f t="shared" si="8"/>
        <v>8.3454545454545448E-3</v>
      </c>
      <c r="R483" s="20">
        <f>L483*M483*I493*((I491+I492))/1000000</f>
        <v>0.82620000000000005</v>
      </c>
      <c r="S483" s="20">
        <f>L483*M483*I494*((I491+I492))/1000000</f>
        <v>0.55079999999999996</v>
      </c>
    </row>
    <row r="484" spans="6:19">
      <c r="G484" s="17" t="s">
        <v>19</v>
      </c>
      <c r="H484">
        <f>H475</f>
        <v>4928</v>
      </c>
      <c r="I484">
        <f>I$16</f>
        <v>1400</v>
      </c>
      <c r="J484" s="3">
        <v>1</v>
      </c>
      <c r="K484">
        <f>I490</f>
        <v>20</v>
      </c>
      <c r="L484" s="18">
        <f>J484*I484/K484</f>
        <v>70</v>
      </c>
      <c r="M484">
        <f>3600*24</f>
        <v>86400</v>
      </c>
      <c r="P484" s="20">
        <f t="shared" si="8"/>
        <v>1.0996363636363635</v>
      </c>
      <c r="Q484" s="20">
        <f t="shared" si="8"/>
        <v>0.73309090909090913</v>
      </c>
      <c r="R484" s="22">
        <f>L484*M484*I493*I492/1000000</f>
        <v>72.575999999999993</v>
      </c>
      <c r="S484" s="22">
        <f>L484*M484*I494*I492/1000000</f>
        <v>48.384</v>
      </c>
    </row>
    <row r="485" spans="6:19">
      <c r="N485" s="46" t="s">
        <v>56</v>
      </c>
      <c r="O485" s="46"/>
      <c r="P485" s="47">
        <f>SUM(P482:P484)</f>
        <v>1.1726590909090908</v>
      </c>
      <c r="Q485" s="47">
        <f>SUM(Q482:Q484)</f>
        <v>0.78177272727272729</v>
      </c>
      <c r="R485" s="50">
        <f>SUM(R482:R484)</f>
        <v>77.395499999999998</v>
      </c>
      <c r="S485" s="50">
        <f>SUM(S482:S484)</f>
        <v>51.597000000000001</v>
      </c>
    </row>
    <row r="486" spans="6:19">
      <c r="R486" s="26"/>
    </row>
    <row r="487" spans="6:19">
      <c r="F487" s="15" t="s">
        <v>20</v>
      </c>
      <c r="G487" s="27"/>
      <c r="N487" s="387" t="s">
        <v>57</v>
      </c>
      <c r="O487" s="52"/>
      <c r="P487" s="28">
        <f>P478+P485</f>
        <v>3.5108350909090911</v>
      </c>
      <c r="Q487" s="28">
        <f>Q478+Q485</f>
        <v>3.1199487272727273</v>
      </c>
      <c r="R487" s="53">
        <f>R478+R485</f>
        <v>127.43246640000001</v>
      </c>
      <c r="S487" s="53">
        <f>S478+S485</f>
        <v>101.63396640000001</v>
      </c>
    </row>
    <row r="489" spans="6:19">
      <c r="F489" s="454" t="s">
        <v>22</v>
      </c>
      <c r="G489" s="454"/>
      <c r="H489" s="454"/>
      <c r="I489" s="454"/>
    </row>
    <row r="490" spans="6:19" ht="15.75">
      <c r="F490" s="455" t="s">
        <v>23</v>
      </c>
      <c r="G490" s="455"/>
      <c r="H490" s="455"/>
      <c r="I490" s="29">
        <v>20</v>
      </c>
      <c r="O490" s="30"/>
    </row>
    <row r="491" spans="6:19">
      <c r="F491" s="456" t="s">
        <v>24</v>
      </c>
      <c r="G491" s="456"/>
      <c r="H491" s="456"/>
      <c r="I491" s="29">
        <f>0.7*I490/10</f>
        <v>1.4</v>
      </c>
    </row>
    <row r="492" spans="6:19">
      <c r="F492" s="456" t="s">
        <v>25</v>
      </c>
      <c r="G492" s="456"/>
      <c r="H492" s="456"/>
      <c r="I492" s="29">
        <v>2</v>
      </c>
    </row>
    <row r="493" spans="6:19">
      <c r="F493" s="456" t="s">
        <v>63</v>
      </c>
      <c r="G493" s="456"/>
      <c r="H493" s="456"/>
      <c r="I493" s="70">
        <v>6</v>
      </c>
    </row>
    <row r="494" spans="6:19">
      <c r="F494" s="456" t="s">
        <v>71</v>
      </c>
      <c r="G494" s="456"/>
      <c r="H494" s="456"/>
      <c r="I494" s="70">
        <v>4</v>
      </c>
    </row>
    <row r="498" spans="3:21">
      <c r="C498" s="6">
        <v>23338</v>
      </c>
      <c r="D498" s="6"/>
      <c r="E498" s="6"/>
      <c r="F498" s="8"/>
      <c r="G498" s="8"/>
      <c r="H498" s="8"/>
      <c r="I498" s="8"/>
      <c r="J498" s="9"/>
      <c r="K498" s="8"/>
      <c r="L498" s="8"/>
      <c r="M498" s="8"/>
      <c r="N498" s="9"/>
      <c r="O498" s="9"/>
      <c r="P498" s="8"/>
      <c r="Q498">
        <f>11*13</f>
        <v>143</v>
      </c>
    </row>
    <row r="499" spans="3:21">
      <c r="H499" s="453" t="s">
        <v>1</v>
      </c>
      <c r="I499" s="453"/>
    </row>
    <row r="500" spans="3:21" ht="28.5">
      <c r="F500" s="11"/>
      <c r="G500" s="12"/>
      <c r="H500" s="13" t="s">
        <v>2</v>
      </c>
      <c r="I500" s="13" t="s">
        <v>3</v>
      </c>
      <c r="J500" s="13" t="s">
        <v>4</v>
      </c>
      <c r="K500" s="13" t="s">
        <v>5</v>
      </c>
      <c r="L500" s="13" t="s">
        <v>6</v>
      </c>
      <c r="M500" s="13" t="s">
        <v>7</v>
      </c>
      <c r="N500" s="13" t="s">
        <v>8</v>
      </c>
      <c r="O500" s="13"/>
      <c r="P500" s="13" t="s">
        <v>49</v>
      </c>
      <c r="Q500" s="13" t="s">
        <v>50</v>
      </c>
      <c r="R500" s="13" t="s">
        <v>51</v>
      </c>
      <c r="S500" s="13" t="s">
        <v>52</v>
      </c>
    </row>
    <row r="501" spans="3:21">
      <c r="F501" s="15" t="s">
        <v>11</v>
      </c>
      <c r="G501" s="16"/>
      <c r="H501" s="3"/>
      <c r="I501" s="3"/>
      <c r="K501" s="3"/>
      <c r="L501" s="3"/>
      <c r="P501" s="3"/>
    </row>
    <row r="502" spans="3:21">
      <c r="G502" s="17" t="s">
        <v>12</v>
      </c>
      <c r="H502">
        <v>5680</v>
      </c>
      <c r="I502">
        <f>I$6</f>
        <v>2400</v>
      </c>
      <c r="J502" s="3">
        <v>1</v>
      </c>
      <c r="K502">
        <v>100</v>
      </c>
      <c r="L502" s="18">
        <f>J502*I502/K502</f>
        <v>24</v>
      </c>
      <c r="M502">
        <f>3600*24</f>
        <v>86400</v>
      </c>
      <c r="N502" s="44">
        <v>21</v>
      </c>
      <c r="P502" s="19">
        <f>L502*M502/1000000</f>
        <v>2.0735999999999999</v>
      </c>
      <c r="Q502" s="20">
        <f>P502</f>
        <v>2.0735999999999999</v>
      </c>
      <c r="R502" s="19">
        <f>L502*M502*N502/1000000</f>
        <v>43.5456</v>
      </c>
      <c r="S502" s="20">
        <f>R502</f>
        <v>43.5456</v>
      </c>
      <c r="T502">
        <f>6*13</f>
        <v>78</v>
      </c>
    </row>
    <row r="503" spans="3:21">
      <c r="G503" s="17" t="s">
        <v>13</v>
      </c>
      <c r="H503">
        <v>4928</v>
      </c>
      <c r="I503">
        <f>I$7</f>
        <v>1920</v>
      </c>
      <c r="J503" s="3">
        <v>0</v>
      </c>
      <c r="K503">
        <v>100</v>
      </c>
      <c r="L503" s="18">
        <f>J503*I503/K503</f>
        <v>0</v>
      </c>
      <c r="M503">
        <f>3600*24</f>
        <v>86400</v>
      </c>
      <c r="N503" s="4">
        <f>N502</f>
        <v>21</v>
      </c>
      <c r="P503" s="19">
        <f>L503*M503/1000000</f>
        <v>0</v>
      </c>
      <c r="Q503" s="20">
        <f>P503</f>
        <v>0</v>
      </c>
      <c r="R503" s="19">
        <f>L503*M503*N503/1000000</f>
        <v>0</v>
      </c>
      <c r="S503" s="20">
        <f>R503</f>
        <v>0</v>
      </c>
      <c r="T503">
        <f>11*13</f>
        <v>143</v>
      </c>
    </row>
    <row r="504" spans="3:21">
      <c r="G504" s="17" t="s">
        <v>14</v>
      </c>
      <c r="H504">
        <v>64000</v>
      </c>
      <c r="I504">
        <f>I$8</f>
        <v>20000</v>
      </c>
      <c r="J504" s="3">
        <v>1</v>
      </c>
      <c r="K504">
        <v>7200</v>
      </c>
      <c r="L504" s="18">
        <f>J504*I504/K504</f>
        <v>2.7777777777777777</v>
      </c>
      <c r="M504">
        <f>3600*24</f>
        <v>86400</v>
      </c>
      <c r="N504" s="4">
        <f>N503</f>
        <v>21</v>
      </c>
      <c r="P504" s="19">
        <f>L504*M504/1000000</f>
        <v>0.24</v>
      </c>
      <c r="Q504" s="20">
        <f>P504</f>
        <v>0.24</v>
      </c>
      <c r="R504" s="19">
        <f>L504*M504*N504/1000000</f>
        <v>5.04</v>
      </c>
      <c r="S504" s="20">
        <f>R504</f>
        <v>5.04</v>
      </c>
      <c r="U504">
        <f>(20+10/24)*2.338176</f>
        <v>47.737760000000002</v>
      </c>
    </row>
    <row r="505" spans="3:21">
      <c r="G505" s="17" t="s">
        <v>15</v>
      </c>
      <c r="H505">
        <v>512</v>
      </c>
      <c r="I505">
        <f>H505</f>
        <v>512</v>
      </c>
      <c r="J505" s="3">
        <v>1</v>
      </c>
      <c r="K505">
        <v>1800</v>
      </c>
      <c r="L505" s="18">
        <f>J505*I505/K505</f>
        <v>0.28444444444444444</v>
      </c>
      <c r="M505">
        <f>3600*24</f>
        <v>86400</v>
      </c>
      <c r="N505" s="4">
        <f>N504</f>
        <v>21</v>
      </c>
      <c r="P505" s="19">
        <f>L505*M505/1000000</f>
        <v>2.4576000000000001E-2</v>
      </c>
      <c r="Q505" s="20">
        <f>P505</f>
        <v>2.4576000000000001E-2</v>
      </c>
      <c r="R505" s="19">
        <f>L505*M505*N505/1000000</f>
        <v>0.516096</v>
      </c>
      <c r="S505" s="20">
        <f>R505</f>
        <v>0.516096</v>
      </c>
    </row>
    <row r="506" spans="3:21">
      <c r="G506" s="17"/>
      <c r="K506" s="3" t="str">
        <f>IF(AND( (K502/K503)=INT(K502/K503), (K504/K503)=INT(K504/K503) ), " ", "error")</f>
        <v xml:space="preserve"> </v>
      </c>
      <c r="N506" s="46" t="s">
        <v>53</v>
      </c>
      <c r="O506" s="46"/>
      <c r="P506" s="47">
        <f>SUM(P502:P505)</f>
        <v>2.3381760000000003</v>
      </c>
      <c r="Q506" s="48">
        <f>SUM(Q502:Q505)</f>
        <v>2.3381760000000003</v>
      </c>
      <c r="R506" s="47">
        <f>SUM(R502:R505)</f>
        <v>49.101695999999997</v>
      </c>
      <c r="S506" s="49">
        <f>SUM(S502:S505)</f>
        <v>49.101695999999997</v>
      </c>
      <c r="T506" s="385">
        <f>P506/(3600*24)</f>
        <v>2.7062222222222224E-5</v>
      </c>
    </row>
    <row r="507" spans="3:21">
      <c r="P507" s="3"/>
    </row>
    <row r="508" spans="3:21" ht="42.75">
      <c r="F508" s="11"/>
      <c r="G508" s="12"/>
      <c r="H508" s="13" t="s">
        <v>2</v>
      </c>
      <c r="I508" s="13" t="s">
        <v>3</v>
      </c>
      <c r="J508" s="13" t="s">
        <v>4</v>
      </c>
      <c r="K508" s="13" t="s">
        <v>5</v>
      </c>
      <c r="L508" s="13" t="s">
        <v>6</v>
      </c>
      <c r="M508" s="13" t="s">
        <v>7</v>
      </c>
      <c r="N508" s="13" t="s">
        <v>8</v>
      </c>
      <c r="O508" s="13" t="s">
        <v>37</v>
      </c>
      <c r="P508" s="13" t="s">
        <v>49</v>
      </c>
      <c r="Q508" s="13" t="s">
        <v>50</v>
      </c>
      <c r="R508" s="13" t="s">
        <v>54</v>
      </c>
      <c r="S508" s="13" t="s">
        <v>55</v>
      </c>
    </row>
    <row r="509" spans="3:21">
      <c r="F509" s="15" t="s">
        <v>16</v>
      </c>
      <c r="G509" s="25"/>
      <c r="N509" s="386">
        <f>135-69</f>
        <v>66</v>
      </c>
      <c r="R509" s="3"/>
    </row>
    <row r="510" spans="3:21">
      <c r="G510" s="17" t="s">
        <v>17</v>
      </c>
      <c r="H510">
        <v>8480</v>
      </c>
      <c r="I510">
        <f>I$14</f>
        <v>2900</v>
      </c>
      <c r="J510" s="3">
        <v>1</v>
      </c>
      <c r="K510">
        <f>I518*64</f>
        <v>1280</v>
      </c>
      <c r="L510" s="18">
        <f>J510*I510/K510</f>
        <v>2.265625</v>
      </c>
      <c r="M510">
        <f>3600*24</f>
        <v>86400</v>
      </c>
      <c r="P510" s="20">
        <f t="shared" ref="P510:Q512" si="9">R510/$N$257</f>
        <v>6.0504545454545457E-2</v>
      </c>
      <c r="Q510" s="20">
        <f t="shared" si="9"/>
        <v>4.0336363636363635E-2</v>
      </c>
      <c r="R510" s="20">
        <f>L510*M510*I521*((I519+I520))/1000000</f>
        <v>3.9933000000000001</v>
      </c>
      <c r="S510" s="20">
        <f>L510*M510*I522*((I519+I520))/1000000</f>
        <v>2.6621999999999999</v>
      </c>
    </row>
    <row r="511" spans="3:21">
      <c r="G511" s="17" t="s">
        <v>18</v>
      </c>
      <c r="H511">
        <v>992</v>
      </c>
      <c r="I511">
        <f>I$15</f>
        <v>600</v>
      </c>
      <c r="J511" s="3">
        <v>1</v>
      </c>
      <c r="K511">
        <f>I518*64</f>
        <v>1280</v>
      </c>
      <c r="L511" s="18">
        <f>J511*I511/K511</f>
        <v>0.46875</v>
      </c>
      <c r="M511">
        <f>3600*24</f>
        <v>86400</v>
      </c>
      <c r="P511" s="20">
        <f t="shared" si="9"/>
        <v>1.2518181818181819E-2</v>
      </c>
      <c r="Q511" s="20">
        <f t="shared" si="9"/>
        <v>8.3454545454545448E-3</v>
      </c>
      <c r="R511" s="20">
        <f>L511*M511*I521*((I519+I520))/1000000</f>
        <v>0.82620000000000005</v>
      </c>
      <c r="S511" s="20">
        <f>L511*M511*I522*((I519+I520))/1000000</f>
        <v>0.55079999999999996</v>
      </c>
    </row>
    <row r="512" spans="3:21">
      <c r="G512" s="17" t="s">
        <v>19</v>
      </c>
      <c r="H512">
        <f>H503</f>
        <v>4928</v>
      </c>
      <c r="I512">
        <f>I$16</f>
        <v>1400</v>
      </c>
      <c r="J512" s="3">
        <v>1</v>
      </c>
      <c r="K512">
        <f>I518</f>
        <v>20</v>
      </c>
      <c r="L512" s="18">
        <f>J512*I512/K512</f>
        <v>70</v>
      </c>
      <c r="M512">
        <f>3600*24</f>
        <v>86400</v>
      </c>
      <c r="P512" s="20">
        <f t="shared" si="9"/>
        <v>1.0996363636363635</v>
      </c>
      <c r="Q512" s="20">
        <f t="shared" si="9"/>
        <v>0.73309090909090913</v>
      </c>
      <c r="R512" s="22">
        <f>L512*M512*I521*I520/1000000</f>
        <v>72.575999999999993</v>
      </c>
      <c r="S512" s="22">
        <f>L512*M512*I522*I520/1000000</f>
        <v>48.384</v>
      </c>
    </row>
    <row r="513" spans="3:19">
      <c r="N513" s="46" t="s">
        <v>56</v>
      </c>
      <c r="O513" s="46"/>
      <c r="P513" s="47">
        <f>SUM(P510:P512)</f>
        <v>1.1726590909090908</v>
      </c>
      <c r="Q513" s="47">
        <f>SUM(Q510:Q512)</f>
        <v>0.78177272727272729</v>
      </c>
      <c r="R513" s="50">
        <f>SUM(R510:R512)</f>
        <v>77.395499999999998</v>
      </c>
      <c r="S513" s="50">
        <f>SUM(S510:S512)</f>
        <v>51.597000000000001</v>
      </c>
    </row>
    <row r="514" spans="3:19">
      <c r="R514" s="26"/>
    </row>
    <row r="515" spans="3:19">
      <c r="F515" s="15" t="s">
        <v>20</v>
      </c>
      <c r="G515" s="27"/>
      <c r="N515" s="387" t="s">
        <v>57</v>
      </c>
      <c r="O515" s="52"/>
      <c r="P515" s="28">
        <f>P506+P513</f>
        <v>3.5108350909090911</v>
      </c>
      <c r="Q515" s="28">
        <f>Q506+Q513</f>
        <v>3.1199487272727273</v>
      </c>
      <c r="R515" s="53">
        <f>R506+R513</f>
        <v>126.497196</v>
      </c>
      <c r="S515" s="53">
        <f>S506+S513</f>
        <v>100.698696</v>
      </c>
    </row>
    <row r="517" spans="3:19">
      <c r="F517" s="454" t="s">
        <v>22</v>
      </c>
      <c r="G517" s="454"/>
      <c r="H517" s="454"/>
      <c r="I517" s="454"/>
    </row>
    <row r="518" spans="3:19" ht="15.75">
      <c r="F518" s="455" t="s">
        <v>23</v>
      </c>
      <c r="G518" s="455"/>
      <c r="H518" s="455"/>
      <c r="I518" s="29">
        <v>20</v>
      </c>
      <c r="O518" s="30"/>
    </row>
    <row r="519" spans="3:19">
      <c r="F519" s="456" t="s">
        <v>24</v>
      </c>
      <c r="G519" s="456"/>
      <c r="H519" s="456"/>
      <c r="I519" s="29">
        <f>0.7*I518/10</f>
        <v>1.4</v>
      </c>
    </row>
    <row r="520" spans="3:19">
      <c r="F520" s="456" t="s">
        <v>25</v>
      </c>
      <c r="G520" s="456"/>
      <c r="H520" s="456"/>
      <c r="I520" s="29">
        <v>2</v>
      </c>
    </row>
    <row r="521" spans="3:19">
      <c r="F521" s="456" t="s">
        <v>63</v>
      </c>
      <c r="G521" s="456"/>
      <c r="H521" s="456"/>
      <c r="I521" s="70">
        <v>6</v>
      </c>
    </row>
    <row r="522" spans="3:19">
      <c r="F522" s="456" t="s">
        <v>71</v>
      </c>
      <c r="G522" s="456"/>
      <c r="H522" s="456"/>
      <c r="I522" s="70">
        <v>4</v>
      </c>
    </row>
    <row r="527" spans="3:19">
      <c r="C527" s="6">
        <v>24015</v>
      </c>
      <c r="D527" s="6"/>
      <c r="E527" s="6"/>
      <c r="F527" s="8"/>
      <c r="G527" s="8"/>
      <c r="H527" s="8"/>
      <c r="I527" s="8"/>
      <c r="J527" s="9"/>
      <c r="K527" s="8"/>
      <c r="L527" s="8"/>
      <c r="M527" s="8"/>
      <c r="N527" s="9"/>
      <c r="O527" s="9"/>
      <c r="P527" s="8"/>
      <c r="Q527">
        <f>11*13</f>
        <v>143</v>
      </c>
    </row>
    <row r="528" spans="3:19">
      <c r="H528" s="453" t="s">
        <v>1</v>
      </c>
      <c r="I528" s="453"/>
    </row>
    <row r="529" spans="6:21" ht="28.5">
      <c r="F529" s="11"/>
      <c r="G529" s="12"/>
      <c r="H529" s="13" t="s">
        <v>2</v>
      </c>
      <c r="I529" s="13" t="s">
        <v>3</v>
      </c>
      <c r="J529" s="13" t="s">
        <v>4</v>
      </c>
      <c r="K529" s="13" t="s">
        <v>5</v>
      </c>
      <c r="L529" s="13" t="s">
        <v>6</v>
      </c>
      <c r="M529" s="13" t="s">
        <v>7</v>
      </c>
      <c r="N529" s="13" t="s">
        <v>8</v>
      </c>
      <c r="O529" s="13"/>
      <c r="P529" s="13" t="s">
        <v>49</v>
      </c>
      <c r="Q529" s="13" t="s">
        <v>50</v>
      </c>
      <c r="R529" s="13" t="s">
        <v>51</v>
      </c>
      <c r="S529" s="13" t="s">
        <v>52</v>
      </c>
    </row>
    <row r="530" spans="6:21">
      <c r="F530" s="15" t="s">
        <v>11</v>
      </c>
      <c r="G530" s="16"/>
      <c r="H530" s="3"/>
      <c r="I530" s="3"/>
      <c r="K530" s="3"/>
      <c r="L530" s="3"/>
      <c r="P530" s="3"/>
    </row>
    <row r="531" spans="6:21">
      <c r="G531" s="17" t="s">
        <v>12</v>
      </c>
      <c r="H531">
        <v>5680</v>
      </c>
      <c r="I531">
        <f>I$6</f>
        <v>2400</v>
      </c>
      <c r="J531" s="3">
        <v>1</v>
      </c>
      <c r="K531">
        <v>100</v>
      </c>
      <c r="L531" s="18">
        <f>J531*I531/K531</f>
        <v>24</v>
      </c>
      <c r="M531">
        <f>3600*24</f>
        <v>86400</v>
      </c>
      <c r="N531" s="44" t="b">
        <f>IF($N$27="a",O531,IF($N$27="p",P531))</f>
        <v>0</v>
      </c>
      <c r="P531" s="19">
        <f>L531*M531/1000000</f>
        <v>2.0735999999999999</v>
      </c>
      <c r="Q531" s="20">
        <f>P531</f>
        <v>2.0735999999999999</v>
      </c>
      <c r="R531" s="19">
        <f>L531*M531*N531/1000000</f>
        <v>0</v>
      </c>
      <c r="S531" s="20">
        <f>R531</f>
        <v>0</v>
      </c>
      <c r="T531">
        <f>6*13</f>
        <v>78</v>
      </c>
    </row>
    <row r="532" spans="6:21">
      <c r="G532" s="17" t="s">
        <v>13</v>
      </c>
      <c r="H532">
        <v>4928</v>
      </c>
      <c r="I532">
        <f>I$7</f>
        <v>1920</v>
      </c>
      <c r="J532" s="3">
        <v>0</v>
      </c>
      <c r="K532">
        <v>100</v>
      </c>
      <c r="L532" s="18">
        <f>J532*I532/K532</f>
        <v>0</v>
      </c>
      <c r="M532">
        <f>3600*24</f>
        <v>86400</v>
      </c>
      <c r="N532" s="4" t="b">
        <f>N531</f>
        <v>0</v>
      </c>
      <c r="P532" s="19">
        <f>L532*M532/1000000</f>
        <v>0</v>
      </c>
      <c r="Q532" s="20">
        <f>P532</f>
        <v>0</v>
      </c>
      <c r="R532" s="19">
        <f>L532*M532*N532/1000000</f>
        <v>0</v>
      </c>
      <c r="S532" s="20">
        <f>R532</f>
        <v>0</v>
      </c>
      <c r="T532">
        <f>11*13</f>
        <v>143</v>
      </c>
    </row>
    <row r="533" spans="6:21">
      <c r="G533" s="17" t="s">
        <v>14</v>
      </c>
      <c r="H533">
        <v>64000</v>
      </c>
      <c r="I533">
        <f>I$8</f>
        <v>20000</v>
      </c>
      <c r="J533" s="3">
        <v>1</v>
      </c>
      <c r="K533">
        <v>7200</v>
      </c>
      <c r="L533" s="18">
        <f>J533*I533/K533</f>
        <v>2.7777777777777777</v>
      </c>
      <c r="M533">
        <f>3600*24</f>
        <v>86400</v>
      </c>
      <c r="N533" s="4" t="b">
        <f>N532</f>
        <v>0</v>
      </c>
      <c r="P533" s="19">
        <f>L533*M533/1000000</f>
        <v>0.24</v>
      </c>
      <c r="Q533" s="20">
        <f>P533</f>
        <v>0.24</v>
      </c>
      <c r="R533" s="19">
        <f>L533*M533*N533/1000000</f>
        <v>0</v>
      </c>
      <c r="S533" s="20">
        <f>R533</f>
        <v>0</v>
      </c>
      <c r="U533">
        <f>(20+10/24)*2.338176</f>
        <v>47.737760000000002</v>
      </c>
    </row>
    <row r="534" spans="6:21">
      <c r="G534" s="17" t="s">
        <v>15</v>
      </c>
      <c r="H534">
        <v>512</v>
      </c>
      <c r="I534">
        <f>H534</f>
        <v>512</v>
      </c>
      <c r="J534" s="3">
        <v>1</v>
      </c>
      <c r="K534">
        <v>1800</v>
      </c>
      <c r="L534" s="18">
        <f>J534*I534/K534</f>
        <v>0.28444444444444444</v>
      </c>
      <c r="M534">
        <f>3600*24</f>
        <v>86400</v>
      </c>
      <c r="N534" s="4" t="b">
        <f>N533</f>
        <v>0</v>
      </c>
      <c r="P534" s="19">
        <f>L534*M534/1000000</f>
        <v>2.4576000000000001E-2</v>
      </c>
      <c r="Q534" s="20">
        <f>P534</f>
        <v>2.4576000000000001E-2</v>
      </c>
      <c r="R534" s="19">
        <f>L534*M534*N534/1000000</f>
        <v>0</v>
      </c>
      <c r="S534" s="20">
        <f>R534</f>
        <v>0</v>
      </c>
    </row>
    <row r="535" spans="6:21">
      <c r="G535" s="17"/>
      <c r="K535" s="3" t="str">
        <f>IF(AND( (K531/K532)=INT(K531/K532), (K533/K532)=INT(K533/K532) ), " ", "error")</f>
        <v xml:space="preserve"> </v>
      </c>
      <c r="N535" s="46" t="s">
        <v>53</v>
      </c>
      <c r="O535" s="46"/>
      <c r="P535" s="47">
        <f>SUM(P531:P534)</f>
        <v>2.3381760000000003</v>
      </c>
      <c r="Q535" s="48">
        <f>SUM(Q531:Q534)</f>
        <v>2.3381760000000003</v>
      </c>
      <c r="R535" s="47">
        <f>SUM(R531:R534)</f>
        <v>0</v>
      </c>
      <c r="S535" s="49">
        <f>SUM(S531:S534)</f>
        <v>0</v>
      </c>
      <c r="T535" s="385">
        <f>P535/(3600*24)</f>
        <v>2.7062222222222224E-5</v>
      </c>
    </row>
    <row r="536" spans="6:21">
      <c r="P536" s="3"/>
    </row>
    <row r="537" spans="6:21" ht="42.75">
      <c r="F537" s="11"/>
      <c r="G537" s="12"/>
      <c r="H537" s="13" t="s">
        <v>2</v>
      </c>
      <c r="I537" s="13" t="s">
        <v>3</v>
      </c>
      <c r="J537" s="13" t="s">
        <v>4</v>
      </c>
      <c r="K537" s="13" t="s">
        <v>5</v>
      </c>
      <c r="L537" s="13" t="s">
        <v>6</v>
      </c>
      <c r="M537" s="13" t="s">
        <v>7</v>
      </c>
      <c r="N537" s="13" t="s">
        <v>8</v>
      </c>
      <c r="O537" s="13" t="s">
        <v>37</v>
      </c>
      <c r="P537" s="13" t="s">
        <v>49</v>
      </c>
      <c r="Q537" s="13" t="s">
        <v>50</v>
      </c>
      <c r="R537" s="13" t="s">
        <v>54</v>
      </c>
      <c r="S537" s="13" t="s">
        <v>55</v>
      </c>
    </row>
    <row r="538" spans="6:21">
      <c r="F538" s="15" t="s">
        <v>16</v>
      </c>
      <c r="G538" s="25"/>
      <c r="N538" s="386">
        <f>135-69</f>
        <v>66</v>
      </c>
      <c r="R538" s="3"/>
    </row>
    <row r="539" spans="6:21">
      <c r="G539" s="17" t="s">
        <v>17</v>
      </c>
      <c r="H539">
        <v>8480</v>
      </c>
      <c r="I539">
        <f>I$14</f>
        <v>2900</v>
      </c>
      <c r="J539" s="3">
        <v>1</v>
      </c>
      <c r="K539">
        <f>I547*64</f>
        <v>1280</v>
      </c>
      <c r="L539" s="18">
        <f>J539*I539/K539</f>
        <v>2.265625</v>
      </c>
      <c r="M539">
        <f>3600*24</f>
        <v>86400</v>
      </c>
      <c r="P539" s="20">
        <f t="shared" ref="P539:Q541" si="10">R539/$N$257</f>
        <v>6.0504545454545457E-2</v>
      </c>
      <c r="Q539" s="20">
        <f t="shared" si="10"/>
        <v>4.0336363636363635E-2</v>
      </c>
      <c r="R539" s="20">
        <f>L539*M539*I550*((I548+I549))/1000000</f>
        <v>3.9933000000000001</v>
      </c>
      <c r="S539" s="20">
        <f>L539*M539*I551*((I548+I549))/1000000</f>
        <v>2.6621999999999999</v>
      </c>
    </row>
    <row r="540" spans="6:21">
      <c r="G540" s="17" t="s">
        <v>18</v>
      </c>
      <c r="H540">
        <v>992</v>
      </c>
      <c r="I540">
        <f>I$15</f>
        <v>600</v>
      </c>
      <c r="J540" s="3">
        <v>1</v>
      </c>
      <c r="K540">
        <f>I547*64</f>
        <v>1280</v>
      </c>
      <c r="L540" s="18">
        <f>J540*I540/K540</f>
        <v>0.46875</v>
      </c>
      <c r="M540">
        <f>3600*24</f>
        <v>86400</v>
      </c>
      <c r="P540" s="20">
        <f t="shared" si="10"/>
        <v>1.2518181818181819E-2</v>
      </c>
      <c r="Q540" s="20">
        <f t="shared" si="10"/>
        <v>8.3454545454545448E-3</v>
      </c>
      <c r="R540" s="20">
        <f>L540*M540*I550*((I548+I549))/1000000</f>
        <v>0.82620000000000005</v>
      </c>
      <c r="S540" s="20">
        <f>L540*M540*I551*((I548+I549))/1000000</f>
        <v>0.55079999999999996</v>
      </c>
    </row>
    <row r="541" spans="6:21">
      <c r="G541" s="17" t="s">
        <v>19</v>
      </c>
      <c r="H541">
        <f>H532</f>
        <v>4928</v>
      </c>
      <c r="I541">
        <f>I$16</f>
        <v>1400</v>
      </c>
      <c r="J541" s="3">
        <v>1</v>
      </c>
      <c r="K541">
        <f>I547</f>
        <v>20</v>
      </c>
      <c r="L541" s="18">
        <f>J541*I541/K541</f>
        <v>70</v>
      </c>
      <c r="M541">
        <f>3600*24</f>
        <v>86400</v>
      </c>
      <c r="P541" s="20">
        <f t="shared" si="10"/>
        <v>1.0996363636363635</v>
      </c>
      <c r="Q541" s="20">
        <f t="shared" si="10"/>
        <v>0.73309090909090913</v>
      </c>
      <c r="R541" s="22">
        <f>L541*M541*I550*I549/1000000</f>
        <v>72.575999999999993</v>
      </c>
      <c r="S541" s="22">
        <f>L541*M541*I551*I549/1000000</f>
        <v>48.384</v>
      </c>
    </row>
    <row r="542" spans="6:21">
      <c r="N542" s="46" t="s">
        <v>56</v>
      </c>
      <c r="O542" s="46"/>
      <c r="P542" s="47">
        <f>SUM(P539:P541)</f>
        <v>1.1726590909090908</v>
      </c>
      <c r="Q542" s="47">
        <f>SUM(Q539:Q541)</f>
        <v>0.78177272727272729</v>
      </c>
      <c r="R542" s="50">
        <f>SUM(R539:R541)</f>
        <v>77.395499999999998</v>
      </c>
      <c r="S542" s="50">
        <f>SUM(S539:S541)</f>
        <v>51.597000000000001</v>
      </c>
    </row>
    <row r="543" spans="6:21">
      <c r="R543" s="26"/>
    </row>
    <row r="544" spans="6:21">
      <c r="F544" s="15" t="s">
        <v>20</v>
      </c>
      <c r="G544" s="27"/>
      <c r="N544" s="387" t="s">
        <v>57</v>
      </c>
      <c r="O544" s="52"/>
      <c r="P544" s="28">
        <f>P535+P542</f>
        <v>3.5108350909090911</v>
      </c>
      <c r="Q544" s="28">
        <f>Q535+Q542</f>
        <v>3.1199487272727273</v>
      </c>
      <c r="R544" s="53">
        <f>R535+R542</f>
        <v>77.395499999999998</v>
      </c>
      <c r="S544" s="53">
        <f>S535+S542</f>
        <v>51.597000000000001</v>
      </c>
    </row>
    <row r="546" spans="3:19">
      <c r="F546" s="454" t="s">
        <v>22</v>
      </c>
      <c r="G546" s="454"/>
      <c r="H546" s="454"/>
      <c r="I546" s="454"/>
    </row>
    <row r="547" spans="3:19" ht="15.75">
      <c r="F547" s="455" t="s">
        <v>23</v>
      </c>
      <c r="G547" s="455"/>
      <c r="H547" s="455"/>
      <c r="I547" s="29">
        <v>20</v>
      </c>
      <c r="O547" s="30"/>
    </row>
    <row r="548" spans="3:19">
      <c r="F548" s="456" t="s">
        <v>24</v>
      </c>
      <c r="G548" s="456"/>
      <c r="H548" s="456"/>
      <c r="I548" s="29">
        <f>0.7*I547/10</f>
        <v>1.4</v>
      </c>
    </row>
    <row r="549" spans="3:19">
      <c r="F549" s="456" t="s">
        <v>25</v>
      </c>
      <c r="G549" s="456"/>
      <c r="H549" s="456"/>
      <c r="I549" s="29">
        <v>2</v>
      </c>
    </row>
    <row r="550" spans="3:19">
      <c r="F550" s="456" t="s">
        <v>63</v>
      </c>
      <c r="G550" s="456"/>
      <c r="H550" s="456"/>
      <c r="I550" s="70">
        <v>6</v>
      </c>
    </row>
    <row r="551" spans="3:19">
      <c r="F551" s="456" t="s">
        <v>71</v>
      </c>
      <c r="G551" s="456"/>
      <c r="H551" s="456"/>
      <c r="I551" s="70">
        <v>4</v>
      </c>
    </row>
    <row r="557" spans="3:19">
      <c r="C557" s="6">
        <v>24036</v>
      </c>
      <c r="D557" s="6"/>
      <c r="E557" s="6"/>
      <c r="F557" s="8"/>
      <c r="G557" s="8"/>
      <c r="H557" s="8"/>
      <c r="I557" s="8"/>
      <c r="J557" s="9"/>
      <c r="K557" s="8"/>
      <c r="L557" s="8"/>
      <c r="M557" s="8"/>
      <c r="N557" s="9"/>
      <c r="O557" s="9"/>
      <c r="P557" s="8"/>
      <c r="Q557">
        <f>11*13</f>
        <v>143</v>
      </c>
    </row>
    <row r="558" spans="3:19">
      <c r="H558" s="453" t="s">
        <v>1</v>
      </c>
      <c r="I558" s="453"/>
    </row>
    <row r="559" spans="3:19" ht="28.5">
      <c r="F559" s="11"/>
      <c r="G559" s="12"/>
      <c r="H559" s="13" t="s">
        <v>2</v>
      </c>
      <c r="I559" s="13" t="s">
        <v>3</v>
      </c>
      <c r="J559" s="13" t="s">
        <v>4</v>
      </c>
      <c r="K559" s="13" t="s">
        <v>5</v>
      </c>
      <c r="L559" s="13" t="s">
        <v>6</v>
      </c>
      <c r="M559" s="13" t="s">
        <v>7</v>
      </c>
      <c r="N559" s="13" t="s">
        <v>8</v>
      </c>
      <c r="O559" s="13"/>
      <c r="P559" s="13" t="s">
        <v>49</v>
      </c>
      <c r="Q559" s="13" t="s">
        <v>50</v>
      </c>
      <c r="R559" s="13" t="s">
        <v>51</v>
      </c>
      <c r="S559" s="13" t="s">
        <v>52</v>
      </c>
    </row>
    <row r="560" spans="3:19">
      <c r="F560" s="15" t="s">
        <v>11</v>
      </c>
      <c r="G560" s="16"/>
      <c r="H560" s="3"/>
      <c r="I560" s="3"/>
      <c r="K560" s="3"/>
      <c r="L560" s="3"/>
      <c r="P560" s="3"/>
    </row>
    <row r="561" spans="6:21">
      <c r="G561" s="17" t="s">
        <v>12</v>
      </c>
      <c r="H561">
        <v>5680</v>
      </c>
      <c r="I561">
        <f>I$6</f>
        <v>2400</v>
      </c>
      <c r="J561" s="3">
        <v>1</v>
      </c>
      <c r="K561">
        <v>100</v>
      </c>
      <c r="L561" s="18">
        <f>J561*I561/K561</f>
        <v>24</v>
      </c>
      <c r="M561">
        <f>3600*24</f>
        <v>86400</v>
      </c>
      <c r="N561" s="44">
        <f>21+7/24</f>
        <v>21.291666666666668</v>
      </c>
      <c r="P561" s="19">
        <f>L561*M561/1000000</f>
        <v>2.0735999999999999</v>
      </c>
      <c r="Q561" s="20">
        <f>P561</f>
        <v>2.0735999999999999</v>
      </c>
      <c r="R561" s="19">
        <f>L561*M561*N561/1000000</f>
        <v>44.150399999999998</v>
      </c>
      <c r="S561" s="20">
        <f>R561</f>
        <v>44.150399999999998</v>
      </c>
      <c r="T561">
        <f>6*13</f>
        <v>78</v>
      </c>
    </row>
    <row r="562" spans="6:21">
      <c r="G562" s="17" t="s">
        <v>13</v>
      </c>
      <c r="H562">
        <v>4928</v>
      </c>
      <c r="I562">
        <f>I$7</f>
        <v>1920</v>
      </c>
      <c r="J562" s="3">
        <v>0</v>
      </c>
      <c r="K562">
        <v>100</v>
      </c>
      <c r="L562" s="18">
        <f>J562*I562/K562</f>
        <v>0</v>
      </c>
      <c r="M562">
        <f>3600*24</f>
        <v>86400</v>
      </c>
      <c r="N562" s="4">
        <f>N561</f>
        <v>21.291666666666668</v>
      </c>
      <c r="P562" s="19">
        <f>L562*M562/1000000</f>
        <v>0</v>
      </c>
      <c r="Q562" s="20">
        <f>P562</f>
        <v>0</v>
      </c>
      <c r="R562" s="19">
        <f>L562*M562*N562/1000000</f>
        <v>0</v>
      </c>
      <c r="S562" s="20">
        <f>R562</f>
        <v>0</v>
      </c>
      <c r="T562">
        <f>11*13</f>
        <v>143</v>
      </c>
    </row>
    <row r="563" spans="6:21">
      <c r="G563" s="17" t="s">
        <v>14</v>
      </c>
      <c r="H563">
        <v>64000</v>
      </c>
      <c r="I563">
        <f>I$8</f>
        <v>20000</v>
      </c>
      <c r="J563" s="3">
        <v>1</v>
      </c>
      <c r="K563">
        <v>7200</v>
      </c>
      <c r="L563" s="18">
        <f>J563*I563/K563</f>
        <v>2.7777777777777777</v>
      </c>
      <c r="M563">
        <f>3600*24</f>
        <v>86400</v>
      </c>
      <c r="N563" s="4">
        <f>N562</f>
        <v>21.291666666666668</v>
      </c>
      <c r="P563" s="19">
        <f>L563*M563/1000000</f>
        <v>0.24</v>
      </c>
      <c r="Q563" s="20">
        <f>P563</f>
        <v>0.24</v>
      </c>
      <c r="R563" s="19">
        <f>L563*M563*N563/1000000</f>
        <v>5.1100000000000003</v>
      </c>
      <c r="S563" s="20">
        <f>R563</f>
        <v>5.1100000000000003</v>
      </c>
      <c r="U563">
        <f>(20+10/24)*2.338176</f>
        <v>47.737760000000002</v>
      </c>
    </row>
    <row r="564" spans="6:21">
      <c r="G564" s="17" t="s">
        <v>15</v>
      </c>
      <c r="H564">
        <v>512</v>
      </c>
      <c r="I564">
        <f>H564</f>
        <v>512</v>
      </c>
      <c r="J564" s="3">
        <v>1</v>
      </c>
      <c r="K564">
        <v>1800</v>
      </c>
      <c r="L564" s="18">
        <f>J564*I564/K564</f>
        <v>0.28444444444444444</v>
      </c>
      <c r="M564">
        <f>3600*24</f>
        <v>86400</v>
      </c>
      <c r="N564" s="4">
        <f>N563</f>
        <v>21.291666666666668</v>
      </c>
      <c r="P564" s="19">
        <f>L564*M564/1000000</f>
        <v>2.4576000000000001E-2</v>
      </c>
      <c r="Q564" s="20">
        <f>P564</f>
        <v>2.4576000000000001E-2</v>
      </c>
      <c r="R564" s="19">
        <f>L564*M564*N564/1000000</f>
        <v>0.52326399999999995</v>
      </c>
      <c r="S564" s="20">
        <f>R564</f>
        <v>0.52326399999999995</v>
      </c>
    </row>
    <row r="565" spans="6:21">
      <c r="G565" s="17"/>
      <c r="K565" s="3" t="str">
        <f>IF(AND( (K561/K562)=INT(K561/K562), (K563/K562)=INT(K563/K562) ), " ", "error")</f>
        <v xml:space="preserve"> </v>
      </c>
      <c r="N565" s="46" t="s">
        <v>53</v>
      </c>
      <c r="O565" s="46"/>
      <c r="P565" s="47">
        <f>SUM(P561:P564)</f>
        <v>2.3381760000000003</v>
      </c>
      <c r="Q565" s="48">
        <f>SUM(Q561:Q564)</f>
        <v>2.3381760000000003</v>
      </c>
      <c r="R565" s="47">
        <f>SUM(R561:R564)</f>
        <v>49.783663999999995</v>
      </c>
      <c r="S565" s="49">
        <f>SUM(S561:S564)</f>
        <v>49.783663999999995</v>
      </c>
      <c r="T565" s="385">
        <f>P565/(3600*24)</f>
        <v>2.7062222222222224E-5</v>
      </c>
    </row>
    <row r="566" spans="6:21">
      <c r="P566" s="3"/>
    </row>
    <row r="567" spans="6:21" ht="42.75">
      <c r="F567" s="11"/>
      <c r="G567" s="12"/>
      <c r="H567" s="13" t="s">
        <v>2</v>
      </c>
      <c r="I567" s="13" t="s">
        <v>3</v>
      </c>
      <c r="J567" s="13" t="s">
        <v>4</v>
      </c>
      <c r="K567" s="13" t="s">
        <v>5</v>
      </c>
      <c r="L567" s="13" t="s">
        <v>6</v>
      </c>
      <c r="M567" s="13" t="s">
        <v>7</v>
      </c>
      <c r="N567" s="13" t="s">
        <v>8</v>
      </c>
      <c r="O567" s="13" t="s">
        <v>37</v>
      </c>
      <c r="P567" s="13" t="s">
        <v>49</v>
      </c>
      <c r="Q567" s="13" t="s">
        <v>50</v>
      </c>
      <c r="R567" s="13" t="s">
        <v>54</v>
      </c>
      <c r="S567" s="13" t="s">
        <v>55</v>
      </c>
    </row>
    <row r="568" spans="6:21">
      <c r="F568" s="15" t="s">
        <v>16</v>
      </c>
      <c r="G568" s="25"/>
      <c r="N568" s="386">
        <f>135-69</f>
        <v>66</v>
      </c>
      <c r="R568" s="3"/>
    </row>
    <row r="569" spans="6:21">
      <c r="G569" s="17" t="s">
        <v>17</v>
      </c>
      <c r="H569">
        <v>8480</v>
      </c>
      <c r="I569">
        <f>I$14</f>
        <v>2900</v>
      </c>
      <c r="J569" s="3">
        <v>1</v>
      </c>
      <c r="K569">
        <f>I577*64</f>
        <v>1280</v>
      </c>
      <c r="L569" s="18">
        <f>J569*I569/K569</f>
        <v>2.265625</v>
      </c>
      <c r="M569">
        <f>3600*24</f>
        <v>86400</v>
      </c>
      <c r="P569" s="20">
        <f t="shared" ref="P569:Q571" si="11">R569/$N$257</f>
        <v>6.0504545454545457E-2</v>
      </c>
      <c r="Q569" s="20">
        <f t="shared" si="11"/>
        <v>4.0336363636363635E-2</v>
      </c>
      <c r="R569" s="20">
        <f>L569*M569*I580*((I578+I579))/1000000</f>
        <v>3.9933000000000001</v>
      </c>
      <c r="S569" s="20">
        <f>L569*M569*I581*((I578+I579))/1000000</f>
        <v>2.6621999999999999</v>
      </c>
    </row>
    <row r="570" spans="6:21">
      <c r="G570" s="17" t="s">
        <v>18</v>
      </c>
      <c r="H570">
        <v>992</v>
      </c>
      <c r="I570">
        <f>I$15</f>
        <v>600</v>
      </c>
      <c r="J570" s="3">
        <v>1</v>
      </c>
      <c r="K570">
        <f>I577*64</f>
        <v>1280</v>
      </c>
      <c r="L570" s="18">
        <f>J570*I570/K570</f>
        <v>0.46875</v>
      </c>
      <c r="M570">
        <f>3600*24</f>
        <v>86400</v>
      </c>
      <c r="P570" s="20">
        <f t="shared" si="11"/>
        <v>1.2518181818181819E-2</v>
      </c>
      <c r="Q570" s="20">
        <f t="shared" si="11"/>
        <v>8.3454545454545448E-3</v>
      </c>
      <c r="R570" s="20">
        <f>L570*M570*I580*((I578+I579))/1000000</f>
        <v>0.82620000000000005</v>
      </c>
      <c r="S570" s="20">
        <f>L570*M570*I581*((I578+I579))/1000000</f>
        <v>0.55079999999999996</v>
      </c>
    </row>
    <row r="571" spans="6:21">
      <c r="G571" s="17" t="s">
        <v>19</v>
      </c>
      <c r="H571">
        <f>H562</f>
        <v>4928</v>
      </c>
      <c r="I571">
        <f>I$16</f>
        <v>1400</v>
      </c>
      <c r="J571" s="3">
        <v>1</v>
      </c>
      <c r="K571">
        <f>I577</f>
        <v>20</v>
      </c>
      <c r="L571" s="18">
        <f>J571*I571/K571</f>
        <v>70</v>
      </c>
      <c r="M571">
        <f>3600*24</f>
        <v>86400</v>
      </c>
      <c r="P571" s="20">
        <f t="shared" si="11"/>
        <v>1.0996363636363635</v>
      </c>
      <c r="Q571" s="20">
        <f t="shared" si="11"/>
        <v>0.73309090909090913</v>
      </c>
      <c r="R571" s="22">
        <f>L571*M571*I580*I579/1000000</f>
        <v>72.575999999999993</v>
      </c>
      <c r="S571" s="22">
        <f>L571*M571*I581*I579/1000000</f>
        <v>48.384</v>
      </c>
    </row>
    <row r="572" spans="6:21">
      <c r="N572" s="46" t="s">
        <v>56</v>
      </c>
      <c r="O572" s="46"/>
      <c r="P572" s="47">
        <f>SUM(P569:P571)</f>
        <v>1.1726590909090908</v>
      </c>
      <c r="Q572" s="47">
        <f>SUM(Q569:Q571)</f>
        <v>0.78177272727272729</v>
      </c>
      <c r="R572" s="50">
        <f>SUM(R569:R571)</f>
        <v>77.395499999999998</v>
      </c>
      <c r="S572" s="50">
        <f>SUM(S569:S571)</f>
        <v>51.597000000000001</v>
      </c>
    </row>
    <row r="573" spans="6:21">
      <c r="R573" s="26"/>
    </row>
    <row r="574" spans="6:21">
      <c r="F574" s="15" t="s">
        <v>20</v>
      </c>
      <c r="G574" s="27"/>
      <c r="N574" s="387" t="s">
        <v>57</v>
      </c>
      <c r="O574" s="52"/>
      <c r="P574" s="28">
        <f>P565+P572</f>
        <v>3.5108350909090911</v>
      </c>
      <c r="Q574" s="28">
        <f>Q565+Q572</f>
        <v>3.1199487272727273</v>
      </c>
      <c r="R574" s="53">
        <f>R565+R572</f>
        <v>127.17916399999999</v>
      </c>
      <c r="S574" s="53">
        <f>S565+S572</f>
        <v>101.380664</v>
      </c>
    </row>
    <row r="576" spans="6:21">
      <c r="F576" s="454" t="s">
        <v>22</v>
      </c>
      <c r="G576" s="454"/>
      <c r="H576" s="454"/>
      <c r="I576" s="454"/>
    </row>
    <row r="577" spans="3:20" ht="15.75">
      <c r="F577" s="455" t="s">
        <v>23</v>
      </c>
      <c r="G577" s="455"/>
      <c r="H577" s="455"/>
      <c r="I577" s="29">
        <v>20</v>
      </c>
      <c r="O577" s="30"/>
    </row>
    <row r="578" spans="3:20">
      <c r="F578" s="456" t="s">
        <v>24</v>
      </c>
      <c r="G578" s="456"/>
      <c r="H578" s="456"/>
      <c r="I578" s="29">
        <f>0.7*I577/10</f>
        <v>1.4</v>
      </c>
    </row>
    <row r="579" spans="3:20">
      <c r="F579" s="456" t="s">
        <v>25</v>
      </c>
      <c r="G579" s="456"/>
      <c r="H579" s="456"/>
      <c r="I579" s="29">
        <v>2</v>
      </c>
    </row>
    <row r="580" spans="3:20">
      <c r="F580" s="456" t="s">
        <v>63</v>
      </c>
      <c r="G580" s="456"/>
      <c r="H580" s="456"/>
      <c r="I580" s="70">
        <v>6</v>
      </c>
    </row>
    <row r="581" spans="3:20">
      <c r="F581" s="456" t="s">
        <v>71</v>
      </c>
      <c r="G581" s="456"/>
      <c r="H581" s="456"/>
      <c r="I581" s="70">
        <v>4</v>
      </c>
    </row>
    <row r="587" spans="3:20">
      <c r="C587" s="6">
        <v>24057</v>
      </c>
      <c r="D587" s="6"/>
      <c r="E587" s="6"/>
      <c r="F587" s="8"/>
      <c r="G587" s="8"/>
      <c r="H587" s="8"/>
      <c r="I587" s="8"/>
      <c r="J587" s="9"/>
      <c r="K587" s="8"/>
      <c r="L587" s="8"/>
      <c r="M587" s="8"/>
      <c r="N587" s="9"/>
      <c r="O587" s="9"/>
      <c r="P587" s="8"/>
      <c r="Q587">
        <f>11*13</f>
        <v>143</v>
      </c>
    </row>
    <row r="588" spans="3:20">
      <c r="H588" s="453" t="s">
        <v>1</v>
      </c>
      <c r="I588" s="453"/>
    </row>
    <row r="589" spans="3:20" ht="28.5">
      <c r="F589" s="11"/>
      <c r="G589" s="12"/>
      <c r="H589" s="13" t="s">
        <v>2</v>
      </c>
      <c r="I589" s="13" t="s">
        <v>3</v>
      </c>
      <c r="J589" s="13" t="s">
        <v>4</v>
      </c>
      <c r="K589" s="13" t="s">
        <v>5</v>
      </c>
      <c r="L589" s="13" t="s">
        <v>6</v>
      </c>
      <c r="M589" s="13" t="s">
        <v>7</v>
      </c>
      <c r="N589" s="13" t="s">
        <v>8</v>
      </c>
      <c r="O589" s="13"/>
      <c r="P589" s="13" t="s">
        <v>49</v>
      </c>
      <c r="Q589" s="13" t="s">
        <v>50</v>
      </c>
      <c r="R589" s="13" t="s">
        <v>51</v>
      </c>
      <c r="S589" s="13" t="s">
        <v>52</v>
      </c>
    </row>
    <row r="590" spans="3:20">
      <c r="F590" s="15" t="s">
        <v>11</v>
      </c>
      <c r="G590" s="16"/>
      <c r="H590" s="3"/>
      <c r="I590" s="3"/>
      <c r="K590" s="3"/>
      <c r="L590" s="3"/>
      <c r="P590" s="3"/>
    </row>
    <row r="591" spans="3:20">
      <c r="G591" s="17" t="s">
        <v>12</v>
      </c>
      <c r="H591">
        <v>5680</v>
      </c>
      <c r="I591">
        <f>I$6</f>
        <v>2400</v>
      </c>
      <c r="J591" s="3">
        <v>1</v>
      </c>
      <c r="K591">
        <v>100</v>
      </c>
      <c r="L591" s="18">
        <f>J591*I591/K591</f>
        <v>24</v>
      </c>
      <c r="M591">
        <f>3600*24</f>
        <v>86400</v>
      </c>
      <c r="N591" s="44">
        <f>20+10/24</f>
        <v>20.416666666666668</v>
      </c>
      <c r="P591" s="19">
        <f>L591*M591/1000000</f>
        <v>2.0735999999999999</v>
      </c>
      <c r="Q591" s="20">
        <f>P591</f>
        <v>2.0735999999999999</v>
      </c>
      <c r="R591" s="19">
        <f>L591*M591*N591/1000000</f>
        <v>42.335999999999999</v>
      </c>
      <c r="S591" s="20">
        <f>R591</f>
        <v>42.335999999999999</v>
      </c>
      <c r="T591">
        <f>6*13</f>
        <v>78</v>
      </c>
    </row>
    <row r="592" spans="3:20">
      <c r="G592" s="17" t="s">
        <v>13</v>
      </c>
      <c r="H592">
        <v>4928</v>
      </c>
      <c r="I592">
        <f>I$7</f>
        <v>1920</v>
      </c>
      <c r="J592" s="3">
        <v>0</v>
      </c>
      <c r="K592">
        <v>100</v>
      </c>
      <c r="L592" s="18">
        <f>J592*I592/K592</f>
        <v>0</v>
      </c>
      <c r="M592">
        <f>3600*24</f>
        <v>86400</v>
      </c>
      <c r="N592" s="4">
        <f>N591</f>
        <v>20.416666666666668</v>
      </c>
      <c r="P592" s="19">
        <f>L592*M592/1000000</f>
        <v>0</v>
      </c>
      <c r="Q592" s="20">
        <f>P592</f>
        <v>0</v>
      </c>
      <c r="R592" s="19">
        <f>L592*M592*N592/1000000</f>
        <v>0</v>
      </c>
      <c r="S592" s="20">
        <f>R592</f>
        <v>0</v>
      </c>
      <c r="T592">
        <f>11*13</f>
        <v>143</v>
      </c>
    </row>
    <row r="593" spans="6:21">
      <c r="G593" s="17" t="s">
        <v>14</v>
      </c>
      <c r="H593">
        <v>64000</v>
      </c>
      <c r="I593">
        <f>I$8</f>
        <v>20000</v>
      </c>
      <c r="J593" s="3">
        <v>1</v>
      </c>
      <c r="K593">
        <v>7200</v>
      </c>
      <c r="L593" s="18">
        <f>J593*I593/K593</f>
        <v>2.7777777777777777</v>
      </c>
      <c r="M593">
        <f>3600*24</f>
        <v>86400</v>
      </c>
      <c r="N593" s="4">
        <f>N592</f>
        <v>20.416666666666668</v>
      </c>
      <c r="P593" s="19">
        <f>L593*M593/1000000</f>
        <v>0.24</v>
      </c>
      <c r="Q593" s="20">
        <f>P593</f>
        <v>0.24</v>
      </c>
      <c r="R593" s="19">
        <f>L593*M593*N593/1000000</f>
        <v>4.9000000000000004</v>
      </c>
      <c r="S593" s="20">
        <f>R593</f>
        <v>4.9000000000000004</v>
      </c>
      <c r="U593">
        <f>(20+10/24)*2.338176</f>
        <v>47.737760000000002</v>
      </c>
    </row>
    <row r="594" spans="6:21">
      <c r="G594" s="17" t="s">
        <v>15</v>
      </c>
      <c r="H594">
        <v>512</v>
      </c>
      <c r="I594">
        <f>H594</f>
        <v>512</v>
      </c>
      <c r="J594" s="3">
        <v>1</v>
      </c>
      <c r="K594">
        <v>1800</v>
      </c>
      <c r="L594" s="18">
        <f>J594*I594/K594</f>
        <v>0.28444444444444444</v>
      </c>
      <c r="M594">
        <f>3600*24</f>
        <v>86400</v>
      </c>
      <c r="N594" s="4">
        <f>N593</f>
        <v>20.416666666666668</v>
      </c>
      <c r="P594" s="19">
        <f>L594*M594/1000000</f>
        <v>2.4576000000000001E-2</v>
      </c>
      <c r="Q594" s="20">
        <f>P594</f>
        <v>2.4576000000000001E-2</v>
      </c>
      <c r="R594" s="19">
        <f>L594*M594*N594/1000000</f>
        <v>0.50175999999999998</v>
      </c>
      <c r="S594" s="20">
        <f>R594</f>
        <v>0.50175999999999998</v>
      </c>
    </row>
    <row r="595" spans="6:21">
      <c r="G595" s="17"/>
      <c r="K595" s="3" t="str">
        <f>IF(AND( (K591/K592)=INT(K591/K592), (K593/K592)=INT(K593/K592) ), " ", "error")</f>
        <v xml:space="preserve"> </v>
      </c>
      <c r="N595" s="46" t="s">
        <v>53</v>
      </c>
      <c r="O595" s="46"/>
      <c r="P595" s="47">
        <f>SUM(P591:P594)</f>
        <v>2.3381760000000003</v>
      </c>
      <c r="Q595" s="48">
        <f>SUM(Q591:Q594)</f>
        <v>2.3381760000000003</v>
      </c>
      <c r="R595" s="47">
        <f>SUM(R591:R594)</f>
        <v>47.737759999999994</v>
      </c>
      <c r="S595" s="49">
        <f>SUM(S591:S594)</f>
        <v>47.737759999999994</v>
      </c>
      <c r="T595" s="385">
        <f>P595/(3600*24)</f>
        <v>2.7062222222222224E-5</v>
      </c>
    </row>
    <row r="596" spans="6:21">
      <c r="P596" s="3"/>
    </row>
    <row r="597" spans="6:21" ht="42.75">
      <c r="F597" s="11"/>
      <c r="G597" s="12"/>
      <c r="H597" s="13" t="s">
        <v>2</v>
      </c>
      <c r="I597" s="13" t="s">
        <v>3</v>
      </c>
      <c r="J597" s="13" t="s">
        <v>4</v>
      </c>
      <c r="K597" s="13" t="s">
        <v>5</v>
      </c>
      <c r="L597" s="13" t="s">
        <v>6</v>
      </c>
      <c r="M597" s="13" t="s">
        <v>7</v>
      </c>
      <c r="N597" s="13" t="s">
        <v>8</v>
      </c>
      <c r="O597" s="13" t="s">
        <v>37</v>
      </c>
      <c r="P597" s="13" t="s">
        <v>49</v>
      </c>
      <c r="Q597" s="13" t="s">
        <v>50</v>
      </c>
      <c r="R597" s="13" t="s">
        <v>54</v>
      </c>
      <c r="S597" s="13" t="s">
        <v>55</v>
      </c>
    </row>
    <row r="598" spans="6:21">
      <c r="F598" s="15" t="s">
        <v>16</v>
      </c>
      <c r="G598" s="25"/>
      <c r="N598" s="386">
        <f>135-69</f>
        <v>66</v>
      </c>
      <c r="R598" s="3"/>
    </row>
    <row r="599" spans="6:21">
      <c r="G599" s="17" t="s">
        <v>17</v>
      </c>
      <c r="H599">
        <v>8480</v>
      </c>
      <c r="I599">
        <f>I$14</f>
        <v>2900</v>
      </c>
      <c r="J599" s="3">
        <v>1</v>
      </c>
      <c r="K599">
        <f>I607*64</f>
        <v>1280</v>
      </c>
      <c r="L599" s="18">
        <f>J599*I599/K599</f>
        <v>2.265625</v>
      </c>
      <c r="M599">
        <f>3600*24</f>
        <v>86400</v>
      </c>
      <c r="P599" s="20">
        <f t="shared" ref="P599:Q601" si="12">R599/$N$257</f>
        <v>6.0504545454545457E-2</v>
      </c>
      <c r="Q599" s="20">
        <f t="shared" si="12"/>
        <v>4.0336363636363635E-2</v>
      </c>
      <c r="R599" s="20">
        <f>L599*M599*I610*((I608+I609))/1000000</f>
        <v>3.9933000000000001</v>
      </c>
      <c r="S599" s="20">
        <f>L599*M599*I611*((I608+I609))/1000000</f>
        <v>2.6621999999999999</v>
      </c>
    </row>
    <row r="600" spans="6:21">
      <c r="G600" s="17" t="s">
        <v>18</v>
      </c>
      <c r="H600">
        <v>992</v>
      </c>
      <c r="I600">
        <f>I$15</f>
        <v>600</v>
      </c>
      <c r="J600" s="3">
        <v>1</v>
      </c>
      <c r="K600">
        <f>I607*64</f>
        <v>1280</v>
      </c>
      <c r="L600" s="18">
        <f>J600*I600/K600</f>
        <v>0.46875</v>
      </c>
      <c r="M600">
        <f>3600*24</f>
        <v>86400</v>
      </c>
      <c r="P600" s="20">
        <f t="shared" si="12"/>
        <v>1.2518181818181819E-2</v>
      </c>
      <c r="Q600" s="20">
        <f t="shared" si="12"/>
        <v>8.3454545454545448E-3</v>
      </c>
      <c r="R600" s="20">
        <f>L600*M600*I610*((I608+I609))/1000000</f>
        <v>0.82620000000000005</v>
      </c>
      <c r="S600" s="20">
        <f>L600*M600*I611*((I608+I609))/1000000</f>
        <v>0.55079999999999996</v>
      </c>
    </row>
    <row r="601" spans="6:21">
      <c r="G601" s="17" t="s">
        <v>19</v>
      </c>
      <c r="H601">
        <f>H592</f>
        <v>4928</v>
      </c>
      <c r="I601">
        <f>I$16</f>
        <v>1400</v>
      </c>
      <c r="J601" s="3">
        <v>1</v>
      </c>
      <c r="K601">
        <f>I607</f>
        <v>20</v>
      </c>
      <c r="L601" s="18">
        <f>J601*I601/K601</f>
        <v>70</v>
      </c>
      <c r="M601">
        <f>3600*24</f>
        <v>86400</v>
      </c>
      <c r="P601" s="20">
        <f t="shared" si="12"/>
        <v>1.0996363636363635</v>
      </c>
      <c r="Q601" s="20">
        <f t="shared" si="12"/>
        <v>0.73309090909090913</v>
      </c>
      <c r="R601" s="22">
        <f>L601*M601*I610*I609/1000000</f>
        <v>72.575999999999993</v>
      </c>
      <c r="S601" s="22">
        <f>L601*M601*I611*I609/1000000</f>
        <v>48.384</v>
      </c>
    </row>
    <row r="602" spans="6:21">
      <c r="N602" s="46" t="s">
        <v>56</v>
      </c>
      <c r="O602" s="46"/>
      <c r="P602" s="47">
        <f>SUM(P599:P601)</f>
        <v>1.1726590909090908</v>
      </c>
      <c r="Q602" s="47">
        <f>SUM(Q599:Q601)</f>
        <v>0.78177272727272729</v>
      </c>
      <c r="R602" s="50">
        <f>SUM(R599:R601)</f>
        <v>77.395499999999998</v>
      </c>
      <c r="S602" s="50">
        <f>SUM(S599:S601)</f>
        <v>51.597000000000001</v>
      </c>
    </row>
    <row r="603" spans="6:21">
      <c r="R603" s="26"/>
    </row>
    <row r="604" spans="6:21">
      <c r="F604" s="15" t="s">
        <v>20</v>
      </c>
      <c r="G604" s="27"/>
      <c r="N604" s="387" t="s">
        <v>57</v>
      </c>
      <c r="O604" s="52"/>
      <c r="P604" s="28">
        <f>P595+P602</f>
        <v>3.5108350909090911</v>
      </c>
      <c r="Q604" s="28">
        <f>Q595+Q602</f>
        <v>3.1199487272727273</v>
      </c>
      <c r="R604" s="53">
        <f>R595+R602</f>
        <v>125.13325999999999</v>
      </c>
      <c r="S604" s="53">
        <f>S595+S602</f>
        <v>99.334759999999989</v>
      </c>
    </row>
    <row r="606" spans="6:21">
      <c r="F606" s="454" t="s">
        <v>22</v>
      </c>
      <c r="G606" s="454"/>
      <c r="H606" s="454"/>
      <c r="I606" s="454"/>
    </row>
    <row r="607" spans="6:21" ht="15.75">
      <c r="F607" s="455" t="s">
        <v>23</v>
      </c>
      <c r="G607" s="455"/>
      <c r="H607" s="455"/>
      <c r="I607" s="29">
        <v>20</v>
      </c>
      <c r="O607" s="30"/>
    </row>
    <row r="608" spans="6:21">
      <c r="F608" s="456" t="s">
        <v>24</v>
      </c>
      <c r="G608" s="456"/>
      <c r="H608" s="456"/>
      <c r="I608" s="29">
        <f>0.7*I607/10</f>
        <v>1.4</v>
      </c>
      <c r="R608">
        <v>78</v>
      </c>
    </row>
    <row r="609" spans="3:23">
      <c r="F609" s="456" t="s">
        <v>25</v>
      </c>
      <c r="G609" s="456"/>
      <c r="H609" s="456"/>
      <c r="I609" s="29">
        <v>2</v>
      </c>
      <c r="P609" t="s">
        <v>1941</v>
      </c>
      <c r="R609">
        <f>10*2.3</f>
        <v>23</v>
      </c>
      <c r="S609">
        <f>R609+R608</f>
        <v>101</v>
      </c>
    </row>
    <row r="610" spans="3:23">
      <c r="F610" s="456" t="s">
        <v>63</v>
      </c>
      <c r="G610" s="456"/>
      <c r="H610" s="456"/>
      <c r="I610" s="70">
        <v>6</v>
      </c>
      <c r="P610">
        <f>366-277.25+83</f>
        <v>171.75</v>
      </c>
      <c r="R610">
        <f>366-276.8</f>
        <v>89.199999999999989</v>
      </c>
    </row>
    <row r="611" spans="3:23">
      <c r="F611" s="456" t="s">
        <v>71</v>
      </c>
      <c r="G611" s="456"/>
      <c r="H611" s="456"/>
      <c r="I611" s="70">
        <v>4</v>
      </c>
      <c r="P611">
        <v>1.6</v>
      </c>
      <c r="Q611">
        <f>P611+P612</f>
        <v>619.90000000000009</v>
      </c>
      <c r="R611">
        <f>83+R610</f>
        <v>172.2</v>
      </c>
    </row>
    <row r="612" spans="3:23">
      <c r="P612">
        <f>P610*(0.6+1.6+1.4)</f>
        <v>618.30000000000007</v>
      </c>
      <c r="Q612">
        <f>Q611+P613+P614</f>
        <v>720.90000000000009</v>
      </c>
      <c r="R612">
        <f>R611*1.4</f>
        <v>241.07999999999996</v>
      </c>
      <c r="S612">
        <f>R612+R613+1.6</f>
        <v>621.52</v>
      </c>
      <c r="U612">
        <f>2.2*168</f>
        <v>369.6</v>
      </c>
    </row>
    <row r="613" spans="3:23">
      <c r="P613">
        <f>23</f>
        <v>23</v>
      </c>
      <c r="R613">
        <f>R611*(1.6+0.6)</f>
        <v>378.84000000000003</v>
      </c>
    </row>
    <row r="614" spans="3:23">
      <c r="C614" s="6">
        <v>24099</v>
      </c>
      <c r="D614" s="6"/>
      <c r="E614" s="6"/>
      <c r="F614" s="8"/>
      <c r="G614" s="8"/>
      <c r="H614" s="8"/>
      <c r="I614" s="8"/>
      <c r="J614" s="9"/>
      <c r="K614" s="8"/>
      <c r="L614" s="8"/>
      <c r="M614" s="8"/>
      <c r="N614" s="9"/>
      <c r="O614" s="9"/>
      <c r="P614" s="8">
        <f>78</f>
        <v>78</v>
      </c>
      <c r="Q614">
        <f>11*13</f>
        <v>143</v>
      </c>
      <c r="U614">
        <f>1.4*168</f>
        <v>235.2</v>
      </c>
    </row>
    <row r="615" spans="3:23">
      <c r="H615" s="453" t="s">
        <v>1</v>
      </c>
      <c r="I615" s="453"/>
    </row>
    <row r="616" spans="3:23" ht="28.5">
      <c r="F616" s="11"/>
      <c r="G616" s="12"/>
      <c r="H616" s="13" t="s">
        <v>2</v>
      </c>
      <c r="I616" s="13" t="s">
        <v>3</v>
      </c>
      <c r="J616" s="13" t="s">
        <v>4</v>
      </c>
      <c r="K616" s="13" t="s">
        <v>5</v>
      </c>
      <c r="L616" s="13" t="s">
        <v>6</v>
      </c>
      <c r="M616" s="13" t="s">
        <v>7</v>
      </c>
      <c r="N616" s="13" t="s">
        <v>8</v>
      </c>
      <c r="O616" s="13"/>
      <c r="P616" s="13" t="s">
        <v>49</v>
      </c>
      <c r="Q616" s="13" t="s">
        <v>50</v>
      </c>
      <c r="R616" s="13" t="s">
        <v>51</v>
      </c>
      <c r="S616" s="13" t="s">
        <v>52</v>
      </c>
    </row>
    <row r="617" spans="3:23">
      <c r="F617" s="15" t="s">
        <v>11</v>
      </c>
      <c r="G617" s="16"/>
      <c r="H617" s="3"/>
      <c r="I617" s="3"/>
      <c r="K617" s="3"/>
      <c r="L617" s="3"/>
      <c r="P617" s="3"/>
    </row>
    <row r="618" spans="3:23">
      <c r="G618" s="17" t="s">
        <v>12</v>
      </c>
      <c r="H618">
        <v>5680</v>
      </c>
      <c r="I618">
        <f>I$6</f>
        <v>2400</v>
      </c>
      <c r="J618" s="3">
        <v>1</v>
      </c>
      <c r="K618">
        <v>100</v>
      </c>
      <c r="L618" s="18">
        <f>J618*I618/K618</f>
        <v>24</v>
      </c>
      <c r="M618">
        <f>3600*24</f>
        <v>86400</v>
      </c>
      <c r="N618" s="44">
        <f>19+5/24</f>
        <v>19.208333333333332</v>
      </c>
      <c r="P618" s="19">
        <f>L618*M618/1000000</f>
        <v>2.0735999999999999</v>
      </c>
      <c r="Q618" s="20">
        <f>P618</f>
        <v>2.0735999999999999</v>
      </c>
      <c r="R618" s="19">
        <f>L618*M618*N618/1000000</f>
        <v>39.830399999999997</v>
      </c>
      <c r="S618" s="20">
        <f>R618</f>
        <v>39.830399999999997</v>
      </c>
      <c r="T618">
        <f>6*13</f>
        <v>78</v>
      </c>
    </row>
    <row r="619" spans="3:23">
      <c r="G619" s="17" t="s">
        <v>13</v>
      </c>
      <c r="H619">
        <v>4928</v>
      </c>
      <c r="I619">
        <f>I$7</f>
        <v>1920</v>
      </c>
      <c r="J619" s="3">
        <v>0</v>
      </c>
      <c r="K619">
        <v>100</v>
      </c>
      <c r="L619" s="18">
        <f>J619*I619/K619</f>
        <v>0</v>
      </c>
      <c r="M619">
        <f>3600*24</f>
        <v>86400</v>
      </c>
      <c r="N619" s="4">
        <f>N618</f>
        <v>19.208333333333332</v>
      </c>
      <c r="P619" s="19">
        <f>L619*M619/1000000</f>
        <v>0</v>
      </c>
      <c r="Q619" s="20">
        <f>P619</f>
        <v>0</v>
      </c>
      <c r="R619" s="19">
        <f>L619*M619*N619/1000000</f>
        <v>0</v>
      </c>
      <c r="S619" s="20">
        <f>R619</f>
        <v>0</v>
      </c>
      <c r="T619">
        <f>11*13</f>
        <v>143</v>
      </c>
    </row>
    <row r="620" spans="3:23">
      <c r="G620" s="17" t="s">
        <v>14</v>
      </c>
      <c r="H620">
        <v>64000</v>
      </c>
      <c r="I620">
        <f>I$8</f>
        <v>20000</v>
      </c>
      <c r="J620" s="3">
        <v>1</v>
      </c>
      <c r="K620">
        <v>7200</v>
      </c>
      <c r="L620" s="18">
        <f>J620*I620/K620</f>
        <v>2.7777777777777777</v>
      </c>
      <c r="M620">
        <f>3600*24</f>
        <v>86400</v>
      </c>
      <c r="N620" s="4">
        <f>N619</f>
        <v>19.208333333333332</v>
      </c>
      <c r="P620" s="19">
        <f>L620*M620/1000000</f>
        <v>0.24</v>
      </c>
      <c r="Q620" s="20">
        <f>P620</f>
        <v>0.24</v>
      </c>
      <c r="R620" s="19">
        <f>L620*M620*N620/1000000</f>
        <v>4.6100000000000003</v>
      </c>
      <c r="S620" s="20">
        <f>R620</f>
        <v>4.6100000000000003</v>
      </c>
      <c r="U620">
        <f>(20+10/24)*2.338176</f>
        <v>47.737760000000002</v>
      </c>
    </row>
    <row r="621" spans="3:23">
      <c r="G621" s="17" t="s">
        <v>15</v>
      </c>
      <c r="H621">
        <v>512</v>
      </c>
      <c r="I621">
        <f>H621</f>
        <v>512</v>
      </c>
      <c r="J621" s="3">
        <v>1</v>
      </c>
      <c r="K621">
        <v>1800</v>
      </c>
      <c r="L621" s="18">
        <f>J621*I621/K621</f>
        <v>0.28444444444444444</v>
      </c>
      <c r="M621">
        <f>3600*24</f>
        <v>86400</v>
      </c>
      <c r="N621" s="4">
        <f>N620</f>
        <v>19.208333333333332</v>
      </c>
      <c r="P621" s="19">
        <f>L621*M621/1000000</f>
        <v>2.4576000000000001E-2</v>
      </c>
      <c r="Q621" s="20">
        <f>P621</f>
        <v>2.4576000000000001E-2</v>
      </c>
      <c r="R621" s="19">
        <f>L621*M621*N621/1000000</f>
        <v>0.47206399999999998</v>
      </c>
      <c r="S621" s="20">
        <f>R621</f>
        <v>0.47206399999999998</v>
      </c>
    </row>
    <row r="622" spans="3:23">
      <c r="G622" s="17"/>
      <c r="K622" s="3" t="str">
        <f>IF(AND( (K618/K619)=INT(K618/K619), (K620/K619)=INT(K620/K619) ), " ", "error")</f>
        <v xml:space="preserve"> </v>
      </c>
      <c r="N622" s="46" t="s">
        <v>53</v>
      </c>
      <c r="O622" s="46"/>
      <c r="P622" s="47">
        <f>SUM(P618:P621)</f>
        <v>2.3381760000000003</v>
      </c>
      <c r="Q622" s="48">
        <f>SUM(Q618:Q621)</f>
        <v>2.3381760000000003</v>
      </c>
      <c r="R622" s="47">
        <f>SUM(R618:R621)</f>
        <v>44.912464</v>
      </c>
      <c r="S622" s="49">
        <f>SUM(S618:S621)</f>
        <v>44.912464</v>
      </c>
      <c r="T622" s="385">
        <f>P622/(3600*24)</f>
        <v>2.7062222222222224E-5</v>
      </c>
      <c r="V622">
        <f>S622+11.5*1.6</f>
        <v>63.312464000000006</v>
      </c>
      <c r="W622">
        <f>11.5*1.6</f>
        <v>18.400000000000002</v>
      </c>
    </row>
    <row r="623" spans="3:23">
      <c r="P623" s="3"/>
      <c r="V623">
        <f>11.5*1.6</f>
        <v>18.400000000000002</v>
      </c>
    </row>
    <row r="624" spans="3:23" ht="42.75">
      <c r="F624" s="11"/>
      <c r="G624" s="12"/>
      <c r="H624" s="13" t="s">
        <v>2</v>
      </c>
      <c r="I624" s="13" t="s">
        <v>3</v>
      </c>
      <c r="J624" s="13" t="s">
        <v>4</v>
      </c>
      <c r="K624" s="13" t="s">
        <v>5</v>
      </c>
      <c r="L624" s="13" t="s">
        <v>6</v>
      </c>
      <c r="M624" s="13" t="s">
        <v>7</v>
      </c>
      <c r="N624" s="13" t="s">
        <v>8</v>
      </c>
      <c r="O624" s="13" t="s">
        <v>37</v>
      </c>
      <c r="P624" s="13" t="s">
        <v>49</v>
      </c>
      <c r="Q624" s="13" t="s">
        <v>50</v>
      </c>
      <c r="R624" s="13" t="s">
        <v>54</v>
      </c>
      <c r="S624" s="13" t="s">
        <v>55</v>
      </c>
    </row>
    <row r="625" spans="6:21">
      <c r="F625" s="15" t="s">
        <v>16</v>
      </c>
      <c r="G625" s="25"/>
      <c r="N625" s="386">
        <f>135-69</f>
        <v>66</v>
      </c>
      <c r="R625" s="3"/>
    </row>
    <row r="626" spans="6:21">
      <c r="G626" s="17" t="s">
        <v>17</v>
      </c>
      <c r="H626">
        <v>8480</v>
      </c>
      <c r="I626">
        <f>I$14</f>
        <v>2900</v>
      </c>
      <c r="J626" s="3">
        <v>1</v>
      </c>
      <c r="K626">
        <f>I634*64</f>
        <v>1280</v>
      </c>
      <c r="L626" s="18">
        <f>J626*I626/K626</f>
        <v>2.265625</v>
      </c>
      <c r="M626">
        <f>3600*24</f>
        <v>86400</v>
      </c>
      <c r="P626" s="20">
        <f t="shared" ref="P626:Q628" si="13">R626/$N$257</f>
        <v>6.0504545454545457E-2</v>
      </c>
      <c r="Q626" s="20">
        <f t="shared" si="13"/>
        <v>4.0336363636363635E-2</v>
      </c>
      <c r="R626" s="20">
        <f>L626*M626*I637*((I635+I636))/1000000</f>
        <v>3.9933000000000001</v>
      </c>
      <c r="S626" s="20">
        <f>L626*M626*I638*((I635+I636))/1000000</f>
        <v>2.6621999999999999</v>
      </c>
    </row>
    <row r="627" spans="6:21">
      <c r="G627" s="17" t="s">
        <v>18</v>
      </c>
      <c r="H627">
        <v>992</v>
      </c>
      <c r="I627">
        <f>I$15</f>
        <v>600</v>
      </c>
      <c r="J627" s="3">
        <v>1</v>
      </c>
      <c r="K627">
        <f>I634*64</f>
        <v>1280</v>
      </c>
      <c r="L627" s="18">
        <f>J627*I627/K627</f>
        <v>0.46875</v>
      </c>
      <c r="M627">
        <f>3600*24</f>
        <v>86400</v>
      </c>
      <c r="P627" s="20">
        <f t="shared" si="13"/>
        <v>1.2518181818181819E-2</v>
      </c>
      <c r="Q627" s="20">
        <f t="shared" si="13"/>
        <v>8.3454545454545448E-3</v>
      </c>
      <c r="R627" s="20">
        <f>L627*M627*I637*((I635+I636))/1000000</f>
        <v>0.82620000000000005</v>
      </c>
      <c r="S627" s="20">
        <f>L627*M627*I638*((I635+I636))/1000000</f>
        <v>0.55079999999999996</v>
      </c>
    </row>
    <row r="628" spans="6:21">
      <c r="G628" s="17" t="s">
        <v>19</v>
      </c>
      <c r="H628">
        <f>H619</f>
        <v>4928</v>
      </c>
      <c r="I628">
        <f>I$16</f>
        <v>1400</v>
      </c>
      <c r="J628" s="3">
        <v>1</v>
      </c>
      <c r="K628">
        <f>I634</f>
        <v>20</v>
      </c>
      <c r="L628" s="18">
        <f>J628*I628/K628</f>
        <v>70</v>
      </c>
      <c r="M628">
        <f>3600*24</f>
        <v>86400</v>
      </c>
      <c r="P628" s="20">
        <f t="shared" si="13"/>
        <v>1.0996363636363635</v>
      </c>
      <c r="Q628" s="20">
        <f t="shared" si="13"/>
        <v>0.73309090909090913</v>
      </c>
      <c r="R628" s="22">
        <f>L628*M628*I637*I636/1000000</f>
        <v>72.575999999999993</v>
      </c>
      <c r="S628" s="22">
        <f>L628*M628*I638*I636/1000000</f>
        <v>48.384</v>
      </c>
      <c r="U628">
        <f>65.7+78</f>
        <v>143.69999999999999</v>
      </c>
    </row>
    <row r="629" spans="6:21">
      <c r="N629" s="46" t="s">
        <v>56</v>
      </c>
      <c r="O629" s="46"/>
      <c r="P629" s="47">
        <f>SUM(P626:P628)</f>
        <v>1.1726590909090908</v>
      </c>
      <c r="Q629" s="47">
        <f>SUM(Q626:Q628)</f>
        <v>0.78177272727272729</v>
      </c>
      <c r="R629" s="50">
        <f>SUM(R626:R628)</f>
        <v>77.395499999999998</v>
      </c>
      <c r="S629" s="50">
        <f>SUM(S626:S628)</f>
        <v>51.597000000000001</v>
      </c>
    </row>
    <row r="630" spans="6:21">
      <c r="R630" s="26"/>
    </row>
    <row r="631" spans="6:21">
      <c r="F631" s="15" t="s">
        <v>20</v>
      </c>
      <c r="G631" s="27"/>
      <c r="N631" s="387" t="s">
        <v>57</v>
      </c>
      <c r="O631" s="52"/>
      <c r="P631" s="28">
        <f>P622+P629</f>
        <v>3.5108350909090911</v>
      </c>
      <c r="Q631" s="28">
        <f>Q622+Q629</f>
        <v>3.1199487272727273</v>
      </c>
      <c r="R631" s="53">
        <f>R622+R629</f>
        <v>122.307964</v>
      </c>
      <c r="S631" s="53">
        <f>S622+S629</f>
        <v>96.509464000000008</v>
      </c>
    </row>
    <row r="633" spans="6:21">
      <c r="F633" s="454" t="s">
        <v>22</v>
      </c>
      <c r="G633" s="454"/>
      <c r="H633" s="454"/>
      <c r="I633" s="454"/>
    </row>
    <row r="634" spans="6:21" ht="15.75">
      <c r="F634" s="455" t="s">
        <v>23</v>
      </c>
      <c r="G634" s="455"/>
      <c r="H634" s="455"/>
      <c r="I634" s="29">
        <v>20</v>
      </c>
      <c r="O634" s="30"/>
    </row>
    <row r="635" spans="6:21">
      <c r="F635" s="456" t="s">
        <v>24</v>
      </c>
      <c r="G635" s="456"/>
      <c r="H635" s="456"/>
      <c r="I635" s="29">
        <f>0.7*I634/10</f>
        <v>1.4</v>
      </c>
    </row>
    <row r="636" spans="6:21">
      <c r="F636" s="456" t="s">
        <v>25</v>
      </c>
      <c r="G636" s="456"/>
      <c r="H636" s="456"/>
      <c r="I636" s="29">
        <v>2</v>
      </c>
    </row>
    <row r="637" spans="6:21">
      <c r="F637" s="456" t="s">
        <v>63</v>
      </c>
      <c r="G637" s="456"/>
      <c r="H637" s="456"/>
      <c r="I637" s="70">
        <v>6</v>
      </c>
    </row>
    <row r="638" spans="6:21">
      <c r="F638" s="456" t="s">
        <v>71</v>
      </c>
      <c r="G638" s="456"/>
      <c r="H638" s="456"/>
      <c r="I638" s="70">
        <v>4</v>
      </c>
    </row>
  </sheetData>
  <mergeCells count="154">
    <mergeCell ref="F638:H638"/>
    <mergeCell ref="F609:H609"/>
    <mergeCell ref="F610:H610"/>
    <mergeCell ref="F611:H611"/>
    <mergeCell ref="H615:I615"/>
    <mergeCell ref="F633:I633"/>
    <mergeCell ref="F634:H634"/>
    <mergeCell ref="F635:H635"/>
    <mergeCell ref="F636:H636"/>
    <mergeCell ref="F637:H637"/>
    <mergeCell ref="F577:H577"/>
    <mergeCell ref="F578:H578"/>
    <mergeCell ref="F579:H579"/>
    <mergeCell ref="F580:H580"/>
    <mergeCell ref="F581:H581"/>
    <mergeCell ref="H588:I588"/>
    <mergeCell ref="F606:I606"/>
    <mergeCell ref="F607:H607"/>
    <mergeCell ref="F608:H608"/>
    <mergeCell ref="H528:I528"/>
    <mergeCell ref="F546:I546"/>
    <mergeCell ref="F547:H547"/>
    <mergeCell ref="F548:H548"/>
    <mergeCell ref="F549:H549"/>
    <mergeCell ref="F550:H550"/>
    <mergeCell ref="F551:H551"/>
    <mergeCell ref="H558:I558"/>
    <mergeCell ref="F576:I576"/>
    <mergeCell ref="F493:H493"/>
    <mergeCell ref="F494:H494"/>
    <mergeCell ref="H499:I499"/>
    <mergeCell ref="F517:I517"/>
    <mergeCell ref="F518:H518"/>
    <mergeCell ref="F519:H519"/>
    <mergeCell ref="F520:H520"/>
    <mergeCell ref="F521:H521"/>
    <mergeCell ref="F522:H522"/>
    <mergeCell ref="F463:H463"/>
    <mergeCell ref="F464:H464"/>
    <mergeCell ref="F465:H465"/>
    <mergeCell ref="F466:H466"/>
    <mergeCell ref="H471:I471"/>
    <mergeCell ref="F489:I489"/>
    <mergeCell ref="F490:H490"/>
    <mergeCell ref="F491:H491"/>
    <mergeCell ref="F492:H492"/>
    <mergeCell ref="F432:I432"/>
    <mergeCell ref="F433:H433"/>
    <mergeCell ref="F434:H434"/>
    <mergeCell ref="F435:H435"/>
    <mergeCell ref="F436:H436"/>
    <mergeCell ref="F437:H437"/>
    <mergeCell ref="H443:I443"/>
    <mergeCell ref="F461:I461"/>
    <mergeCell ref="F462:H462"/>
    <mergeCell ref="F378:H378"/>
    <mergeCell ref="H383:I383"/>
    <mergeCell ref="F401:I401"/>
    <mergeCell ref="F402:H402"/>
    <mergeCell ref="F403:H403"/>
    <mergeCell ref="F404:H404"/>
    <mergeCell ref="F405:H405"/>
    <mergeCell ref="F406:H406"/>
    <mergeCell ref="H414:I414"/>
    <mergeCell ref="F349:H349"/>
    <mergeCell ref="F350:H350"/>
    <mergeCell ref="F351:H351"/>
    <mergeCell ref="H355:I355"/>
    <mergeCell ref="F373:I373"/>
    <mergeCell ref="F374:H374"/>
    <mergeCell ref="F375:H375"/>
    <mergeCell ref="F376:H376"/>
    <mergeCell ref="F377:H377"/>
    <mergeCell ref="F321:H321"/>
    <mergeCell ref="F322:H322"/>
    <mergeCell ref="F323:H323"/>
    <mergeCell ref="F324:H324"/>
    <mergeCell ref="F325:H325"/>
    <mergeCell ref="H328:I328"/>
    <mergeCell ref="F346:I346"/>
    <mergeCell ref="F347:H347"/>
    <mergeCell ref="F348:H348"/>
    <mergeCell ref="H276:I276"/>
    <mergeCell ref="F294:I294"/>
    <mergeCell ref="F295:H295"/>
    <mergeCell ref="F296:H296"/>
    <mergeCell ref="F297:H297"/>
    <mergeCell ref="F298:H298"/>
    <mergeCell ref="F299:H299"/>
    <mergeCell ref="H302:I302"/>
    <mergeCell ref="F320:I320"/>
    <mergeCell ref="F241:H241"/>
    <mergeCell ref="F242:H242"/>
    <mergeCell ref="H247:I247"/>
    <mergeCell ref="F265:I265"/>
    <mergeCell ref="F266:H266"/>
    <mergeCell ref="F267:H267"/>
    <mergeCell ref="F268:H268"/>
    <mergeCell ref="F269:H269"/>
    <mergeCell ref="F270:H270"/>
    <mergeCell ref="F199:H199"/>
    <mergeCell ref="F200:H200"/>
    <mergeCell ref="F201:H201"/>
    <mergeCell ref="F202:H202"/>
    <mergeCell ref="H219:I219"/>
    <mergeCell ref="F237:I237"/>
    <mergeCell ref="F238:H238"/>
    <mergeCell ref="F239:H239"/>
    <mergeCell ref="F240:H240"/>
    <mergeCell ref="F168:I168"/>
    <mergeCell ref="F169:H169"/>
    <mergeCell ref="F170:H170"/>
    <mergeCell ref="F171:H171"/>
    <mergeCell ref="F172:H172"/>
    <mergeCell ref="F173:H173"/>
    <mergeCell ref="H179:I179"/>
    <mergeCell ref="F197:I197"/>
    <mergeCell ref="F198:H198"/>
    <mergeCell ref="F114:H114"/>
    <mergeCell ref="H120:I120"/>
    <mergeCell ref="F138:I138"/>
    <mergeCell ref="F139:H139"/>
    <mergeCell ref="F140:H140"/>
    <mergeCell ref="F141:H141"/>
    <mergeCell ref="F142:H142"/>
    <mergeCell ref="F143:H143"/>
    <mergeCell ref="H150:I150"/>
    <mergeCell ref="F82:H82"/>
    <mergeCell ref="F83:H83"/>
    <mergeCell ref="F84:H84"/>
    <mergeCell ref="H91:I91"/>
    <mergeCell ref="F109:I109"/>
    <mergeCell ref="F110:H110"/>
    <mergeCell ref="F111:H111"/>
    <mergeCell ref="F112:H112"/>
    <mergeCell ref="F113:H113"/>
    <mergeCell ref="F52:H52"/>
    <mergeCell ref="F53:H53"/>
    <mergeCell ref="F54:H54"/>
    <mergeCell ref="F55:H55"/>
    <mergeCell ref="F56:H56"/>
    <mergeCell ref="H61:I61"/>
    <mergeCell ref="F79:I79"/>
    <mergeCell ref="F80:H80"/>
    <mergeCell ref="F81:H81"/>
    <mergeCell ref="H3:I3"/>
    <mergeCell ref="F21:I21"/>
    <mergeCell ref="F22:H22"/>
    <mergeCell ref="F23:H23"/>
    <mergeCell ref="F24:H24"/>
    <mergeCell ref="F25:H25"/>
    <mergeCell ref="F26:H26"/>
    <mergeCell ref="H33:I33"/>
    <mergeCell ref="F51:I51"/>
  </mergeCells>
  <conditionalFormatting sqref="K10">
    <cfRule type="colorScale" priority="31">
      <colorScale>
        <cfvo type="min"/>
        <cfvo type="percentile" val="50"/>
        <cfvo type="max"/>
        <color rgb="FFF8696B"/>
        <color rgb="FFFFEB84"/>
        <color rgb="FF63BE7B"/>
      </colorScale>
    </cfRule>
    <cfRule type="containsText" dxfId="21" priority="30" operator="containsText" text="error">
      <formula>NOT(ISERROR(SEARCH("error",K10)))</formula>
    </cfRule>
  </conditionalFormatting>
  <conditionalFormatting sqref="K40">
    <cfRule type="containsText" dxfId="20" priority="44" operator="containsText" text="error">
      <formula>NOT(ISERROR(SEARCH("error",K40)))</formula>
    </cfRule>
    <cfRule type="colorScale" priority="45">
      <colorScale>
        <cfvo type="min"/>
        <cfvo type="percentile" val="50"/>
        <cfvo type="max"/>
        <color rgb="FFF8696B"/>
        <color rgb="FFFFEB84"/>
        <color rgb="FF63BE7B"/>
      </colorScale>
    </cfRule>
  </conditionalFormatting>
  <conditionalFormatting sqref="K68">
    <cfRule type="colorScale" priority="43">
      <colorScale>
        <cfvo type="min"/>
        <cfvo type="percentile" val="50"/>
        <cfvo type="max"/>
        <color rgb="FFF8696B"/>
        <color rgb="FFFFEB84"/>
        <color rgb="FF63BE7B"/>
      </colorScale>
    </cfRule>
    <cfRule type="containsText" dxfId="19" priority="42" operator="containsText" text="error">
      <formula>NOT(ISERROR(SEARCH("error",K68)))</formula>
    </cfRule>
  </conditionalFormatting>
  <conditionalFormatting sqref="K98">
    <cfRule type="containsText" dxfId="18" priority="40" operator="containsText" text="error">
      <formula>NOT(ISERROR(SEARCH("error",K98)))</formula>
    </cfRule>
    <cfRule type="colorScale" priority="41">
      <colorScale>
        <cfvo type="min"/>
        <cfvo type="percentile" val="50"/>
        <cfvo type="max"/>
        <color rgb="FFF8696B"/>
        <color rgb="FFFFEB84"/>
        <color rgb="FF63BE7B"/>
      </colorScale>
    </cfRule>
  </conditionalFormatting>
  <conditionalFormatting sqref="K127">
    <cfRule type="colorScale" priority="39">
      <colorScale>
        <cfvo type="min"/>
        <cfvo type="percentile" val="50"/>
        <cfvo type="max"/>
        <color rgb="FFF8696B"/>
        <color rgb="FFFFEB84"/>
        <color rgb="FF63BE7B"/>
      </colorScale>
    </cfRule>
    <cfRule type="containsText" dxfId="17" priority="38" operator="containsText" text="error">
      <formula>NOT(ISERROR(SEARCH("error",K127)))</formula>
    </cfRule>
  </conditionalFormatting>
  <conditionalFormatting sqref="K157">
    <cfRule type="colorScale" priority="37">
      <colorScale>
        <cfvo type="min"/>
        <cfvo type="percentile" val="50"/>
        <cfvo type="max"/>
        <color rgb="FFF8696B"/>
        <color rgb="FFFFEB84"/>
        <color rgb="FF63BE7B"/>
      </colorScale>
    </cfRule>
    <cfRule type="containsText" dxfId="16" priority="36" operator="containsText" text="error">
      <formula>NOT(ISERROR(SEARCH("error",K157)))</formula>
    </cfRule>
  </conditionalFormatting>
  <conditionalFormatting sqref="K186">
    <cfRule type="colorScale" priority="33">
      <colorScale>
        <cfvo type="min"/>
        <cfvo type="percentile" val="50"/>
        <cfvo type="max"/>
        <color rgb="FFF8696B"/>
        <color rgb="FFFFEB84"/>
        <color rgb="FF63BE7B"/>
      </colorScale>
    </cfRule>
    <cfRule type="containsText" dxfId="15" priority="32" operator="containsText" text="error">
      <formula>NOT(ISERROR(SEARCH("error",K186)))</formula>
    </cfRule>
  </conditionalFormatting>
  <conditionalFormatting sqref="K226">
    <cfRule type="colorScale" priority="35">
      <colorScale>
        <cfvo type="min"/>
        <cfvo type="percentile" val="50"/>
        <cfvo type="max"/>
        <color rgb="FFF8696B"/>
        <color rgb="FFFFEB84"/>
        <color rgb="FF63BE7B"/>
      </colorScale>
    </cfRule>
    <cfRule type="containsText" dxfId="14" priority="34" operator="containsText" text="error">
      <formula>NOT(ISERROR(SEARCH("error",K226)))</formula>
    </cfRule>
  </conditionalFormatting>
  <conditionalFormatting sqref="K254">
    <cfRule type="colorScale" priority="29">
      <colorScale>
        <cfvo type="min"/>
        <cfvo type="percentile" val="50"/>
        <cfvo type="max"/>
        <color rgb="FFF8696B"/>
        <color rgb="FFFFEB84"/>
        <color rgb="FF63BE7B"/>
      </colorScale>
    </cfRule>
    <cfRule type="containsText" dxfId="13" priority="28" operator="containsText" text="error">
      <formula>NOT(ISERROR(SEARCH("error",K254)))</formula>
    </cfRule>
  </conditionalFormatting>
  <conditionalFormatting sqref="K283">
    <cfRule type="colorScale" priority="27">
      <colorScale>
        <cfvo type="min"/>
        <cfvo type="percentile" val="50"/>
        <cfvo type="max"/>
        <color rgb="FFF8696B"/>
        <color rgb="FFFFEB84"/>
        <color rgb="FF63BE7B"/>
      </colorScale>
    </cfRule>
    <cfRule type="containsText" dxfId="12" priority="26" operator="containsText" text="error">
      <formula>NOT(ISERROR(SEARCH("error",K283)))</formula>
    </cfRule>
  </conditionalFormatting>
  <conditionalFormatting sqref="K309">
    <cfRule type="containsText" dxfId="11" priority="24" operator="containsText" text="error">
      <formula>NOT(ISERROR(SEARCH("error",K309)))</formula>
    </cfRule>
    <cfRule type="colorScale" priority="25">
      <colorScale>
        <cfvo type="min"/>
        <cfvo type="percentile" val="50"/>
        <cfvo type="max"/>
        <color rgb="FFF8696B"/>
        <color rgb="FFFFEB84"/>
        <color rgb="FF63BE7B"/>
      </colorScale>
    </cfRule>
  </conditionalFormatting>
  <conditionalFormatting sqref="K335">
    <cfRule type="colorScale" priority="19">
      <colorScale>
        <cfvo type="min"/>
        <cfvo type="percentile" val="50"/>
        <cfvo type="max"/>
        <color rgb="FFF8696B"/>
        <color rgb="FFFFEB84"/>
        <color rgb="FF63BE7B"/>
      </colorScale>
    </cfRule>
    <cfRule type="containsText" dxfId="10" priority="18" operator="containsText" text="error">
      <formula>NOT(ISERROR(SEARCH("error",K335)))</formula>
    </cfRule>
  </conditionalFormatting>
  <conditionalFormatting sqref="K362">
    <cfRule type="colorScale" priority="17">
      <colorScale>
        <cfvo type="min"/>
        <cfvo type="percentile" val="50"/>
        <cfvo type="max"/>
        <color rgb="FFF8696B"/>
        <color rgb="FFFFEB84"/>
        <color rgb="FF63BE7B"/>
      </colorScale>
    </cfRule>
    <cfRule type="containsText" dxfId="9" priority="16" operator="containsText" text="error">
      <formula>NOT(ISERROR(SEARCH("error",K362)))</formula>
    </cfRule>
  </conditionalFormatting>
  <conditionalFormatting sqref="K390">
    <cfRule type="colorScale" priority="23">
      <colorScale>
        <cfvo type="min"/>
        <cfvo type="percentile" val="50"/>
        <cfvo type="max"/>
        <color rgb="FFF8696B"/>
        <color rgb="FFFFEB84"/>
        <color rgb="FF63BE7B"/>
      </colorScale>
    </cfRule>
    <cfRule type="containsText" dxfId="8" priority="22" operator="containsText" text="error">
      <formula>NOT(ISERROR(SEARCH("error",K390)))</formula>
    </cfRule>
  </conditionalFormatting>
  <conditionalFormatting sqref="K421">
    <cfRule type="colorScale" priority="21">
      <colorScale>
        <cfvo type="min"/>
        <cfvo type="percentile" val="50"/>
        <cfvo type="max"/>
        <color rgb="FFF8696B"/>
        <color rgb="FFFFEB84"/>
        <color rgb="FF63BE7B"/>
      </colorScale>
    </cfRule>
    <cfRule type="containsText" dxfId="7" priority="20" operator="containsText" text="error">
      <formula>NOT(ISERROR(SEARCH("error",K421)))</formula>
    </cfRule>
  </conditionalFormatting>
  <conditionalFormatting sqref="K450">
    <cfRule type="colorScale" priority="15">
      <colorScale>
        <cfvo type="min"/>
        <cfvo type="percentile" val="50"/>
        <cfvo type="max"/>
        <color rgb="FFF8696B"/>
        <color rgb="FFFFEB84"/>
        <color rgb="FF63BE7B"/>
      </colorScale>
    </cfRule>
    <cfRule type="containsText" dxfId="6" priority="14" operator="containsText" text="error">
      <formula>NOT(ISERROR(SEARCH("error",K450)))</formula>
    </cfRule>
  </conditionalFormatting>
  <conditionalFormatting sqref="K478">
    <cfRule type="containsText" dxfId="5" priority="12" operator="containsText" text="error">
      <formula>NOT(ISERROR(SEARCH("error",K478)))</formula>
    </cfRule>
    <cfRule type="colorScale" priority="13">
      <colorScale>
        <cfvo type="min"/>
        <cfvo type="percentile" val="50"/>
        <cfvo type="max"/>
        <color rgb="FFF8696B"/>
        <color rgb="FFFFEB84"/>
        <color rgb="FF63BE7B"/>
      </colorScale>
    </cfRule>
  </conditionalFormatting>
  <conditionalFormatting sqref="K506">
    <cfRule type="colorScale" priority="11">
      <colorScale>
        <cfvo type="min"/>
        <cfvo type="percentile" val="50"/>
        <cfvo type="max"/>
        <color rgb="FFF8696B"/>
        <color rgb="FFFFEB84"/>
        <color rgb="FF63BE7B"/>
      </colorScale>
    </cfRule>
    <cfRule type="containsText" dxfId="4" priority="10" operator="containsText" text="error">
      <formula>NOT(ISERROR(SEARCH("error",K506)))</formula>
    </cfRule>
  </conditionalFormatting>
  <conditionalFormatting sqref="K535">
    <cfRule type="colorScale" priority="9">
      <colorScale>
        <cfvo type="min"/>
        <cfvo type="percentile" val="50"/>
        <cfvo type="max"/>
        <color rgb="FFF8696B"/>
        <color rgb="FFFFEB84"/>
        <color rgb="FF63BE7B"/>
      </colorScale>
    </cfRule>
    <cfRule type="containsText" dxfId="3" priority="8" operator="containsText" text="error">
      <formula>NOT(ISERROR(SEARCH("error",K535)))</formula>
    </cfRule>
  </conditionalFormatting>
  <conditionalFormatting sqref="K565">
    <cfRule type="colorScale" priority="7">
      <colorScale>
        <cfvo type="min"/>
        <cfvo type="percentile" val="50"/>
        <cfvo type="max"/>
        <color rgb="FFF8696B"/>
        <color rgb="FFFFEB84"/>
        <color rgb="FF63BE7B"/>
      </colorScale>
    </cfRule>
    <cfRule type="containsText" dxfId="2" priority="6" operator="containsText" text="error">
      <formula>NOT(ISERROR(SEARCH("error",K565)))</formula>
    </cfRule>
  </conditionalFormatting>
  <conditionalFormatting sqref="K595">
    <cfRule type="colorScale" priority="5">
      <colorScale>
        <cfvo type="min"/>
        <cfvo type="percentile" val="50"/>
        <cfvo type="max"/>
        <color rgb="FFF8696B"/>
        <color rgb="FFFFEB84"/>
        <color rgb="FF63BE7B"/>
      </colorScale>
    </cfRule>
    <cfRule type="containsText" dxfId="1" priority="4" operator="containsText" text="error">
      <formula>NOT(ISERROR(SEARCH("error",K595)))</formula>
    </cfRule>
  </conditionalFormatting>
  <conditionalFormatting sqref="K622">
    <cfRule type="colorScale" priority="3">
      <colorScale>
        <cfvo type="min"/>
        <cfvo type="percentile" val="50"/>
        <cfvo type="max"/>
        <color rgb="FFF8696B"/>
        <color rgb="FFFFEB84"/>
        <color rgb="FF63BE7B"/>
      </colorScale>
    </cfRule>
    <cfRule type="containsText" dxfId="0" priority="2" operator="containsText" text="error">
      <formula>NOT(ISERROR(SEARCH("error",K622)))</formula>
    </cfRule>
  </conditionalFormatting>
  <pageMargins left="0.7" right="0.7" top="0.75" bottom="0.75" header="0.511811023622047" footer="0.511811023622047"/>
  <pageSetup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71"/>
  <sheetViews>
    <sheetView zoomScale="110" zoomScaleNormal="110" workbookViewId="0"/>
  </sheetViews>
  <sheetFormatPr defaultColWidth="11.59765625" defaultRowHeight="13.5" customHeight="1"/>
  <cols>
    <col min="7" max="7" width="37.59765625" customWidth="1"/>
    <col min="8" max="8" width="22.265625" customWidth="1"/>
    <col min="9" max="9" width="33.73046875" customWidth="1"/>
  </cols>
  <sheetData>
    <row r="1" spans="1:9" ht="13.5" customHeight="1">
      <c r="A1" s="153" t="s">
        <v>1942</v>
      </c>
      <c r="B1" s="153" t="s">
        <v>1943</v>
      </c>
      <c r="C1" s="153">
        <v>589408807</v>
      </c>
      <c r="D1" s="153">
        <v>1</v>
      </c>
      <c r="E1" s="153" t="s">
        <v>373</v>
      </c>
      <c r="F1" s="153" t="s">
        <v>1944</v>
      </c>
      <c r="G1" s="153" t="s">
        <v>375</v>
      </c>
      <c r="H1" s="153"/>
      <c r="I1" s="153" t="s">
        <v>1945</v>
      </c>
    </row>
    <row r="2" spans="1:9" ht="13.5" customHeight="1">
      <c r="A2" s="153" t="s">
        <v>1946</v>
      </c>
      <c r="B2" s="153" t="s">
        <v>1947</v>
      </c>
      <c r="C2" s="153">
        <v>589408810</v>
      </c>
      <c r="D2" s="153">
        <v>1</v>
      </c>
      <c r="E2" s="153" t="s">
        <v>373</v>
      </c>
      <c r="F2" s="153" t="s">
        <v>1944</v>
      </c>
      <c r="G2" s="153" t="s">
        <v>382</v>
      </c>
      <c r="H2" s="153"/>
      <c r="I2" s="153" t="s">
        <v>1945</v>
      </c>
    </row>
    <row r="3" spans="1:9" ht="13.5" customHeight="1">
      <c r="A3" s="79" t="s">
        <v>1948</v>
      </c>
      <c r="B3" s="79" t="s">
        <v>1949</v>
      </c>
      <c r="C3" s="79">
        <v>589408830</v>
      </c>
      <c r="D3" s="79">
        <v>1</v>
      </c>
      <c r="E3" s="79" t="s">
        <v>373</v>
      </c>
      <c r="F3" s="79" t="s">
        <v>1950</v>
      </c>
      <c r="G3" s="79" t="s">
        <v>389</v>
      </c>
      <c r="H3" s="79"/>
      <c r="I3" s="79"/>
    </row>
    <row r="4" spans="1:9" ht="13.5" customHeight="1">
      <c r="A4" s="79" t="s">
        <v>1951</v>
      </c>
      <c r="B4" s="79" t="s">
        <v>1952</v>
      </c>
      <c r="C4" s="79">
        <v>589408833</v>
      </c>
      <c r="D4" s="79">
        <v>1</v>
      </c>
      <c r="E4" s="79" t="s">
        <v>373</v>
      </c>
      <c r="F4" s="79" t="s">
        <v>1950</v>
      </c>
      <c r="G4" s="79" t="s">
        <v>395</v>
      </c>
      <c r="H4" s="79"/>
      <c r="I4" s="79"/>
    </row>
    <row r="5" spans="1:9" ht="13.5" customHeight="1">
      <c r="A5" s="153" t="s">
        <v>1953</v>
      </c>
      <c r="B5" s="153" t="s">
        <v>1954</v>
      </c>
      <c r="C5" s="153">
        <v>589445947</v>
      </c>
      <c r="D5" s="153">
        <v>1</v>
      </c>
      <c r="E5" s="153" t="s">
        <v>373</v>
      </c>
      <c r="F5" s="153" t="s">
        <v>1955</v>
      </c>
      <c r="G5" s="153" t="s">
        <v>375</v>
      </c>
      <c r="H5" s="153"/>
      <c r="I5" s="153" t="s">
        <v>1956</v>
      </c>
    </row>
    <row r="6" spans="1:9" ht="13.5" customHeight="1">
      <c r="A6" s="153" t="s">
        <v>1957</v>
      </c>
      <c r="B6" s="153" t="s">
        <v>1958</v>
      </c>
      <c r="C6" s="153">
        <v>589445950</v>
      </c>
      <c r="D6" s="153">
        <v>1</v>
      </c>
      <c r="E6" s="153" t="s">
        <v>373</v>
      </c>
      <c r="F6" s="153" t="s">
        <v>1955</v>
      </c>
      <c r="G6" s="153" t="s">
        <v>382</v>
      </c>
      <c r="H6" s="153"/>
      <c r="I6" s="153" t="s">
        <v>1956</v>
      </c>
    </row>
    <row r="7" spans="1:9" ht="13.5" customHeight="1">
      <c r="A7" s="79" t="s">
        <v>1959</v>
      </c>
      <c r="B7" s="79" t="s">
        <v>1960</v>
      </c>
      <c r="C7" s="79">
        <v>589445970</v>
      </c>
      <c r="D7" s="79">
        <v>1</v>
      </c>
      <c r="E7" s="79" t="s">
        <v>373</v>
      </c>
      <c r="F7" s="79" t="s">
        <v>1961</v>
      </c>
      <c r="G7" s="79" t="s">
        <v>389</v>
      </c>
      <c r="H7" s="79"/>
      <c r="I7" s="79"/>
    </row>
    <row r="8" spans="1:9" ht="13.5" customHeight="1">
      <c r="A8" s="79" t="s">
        <v>1962</v>
      </c>
      <c r="B8" s="79" t="s">
        <v>1963</v>
      </c>
      <c r="C8" s="79">
        <v>589445973</v>
      </c>
      <c r="D8" s="79">
        <v>1</v>
      </c>
      <c r="E8" s="79" t="s">
        <v>373</v>
      </c>
      <c r="F8" s="79" t="s">
        <v>1961</v>
      </c>
      <c r="G8" s="79" t="s">
        <v>395</v>
      </c>
      <c r="H8" s="79"/>
      <c r="I8" s="79"/>
    </row>
    <row r="9" spans="1:9" ht="13.5" customHeight="1">
      <c r="A9" s="79" t="s">
        <v>1964</v>
      </c>
      <c r="B9" s="79" t="s">
        <v>1965</v>
      </c>
      <c r="C9" s="79">
        <v>589456411</v>
      </c>
      <c r="D9" s="79">
        <v>1</v>
      </c>
      <c r="E9" s="79" t="s">
        <v>373</v>
      </c>
      <c r="F9" s="79" t="s">
        <v>1966</v>
      </c>
      <c r="G9" s="79" t="s">
        <v>375</v>
      </c>
      <c r="H9" s="79"/>
      <c r="I9" s="79" t="s">
        <v>1967</v>
      </c>
    </row>
    <row r="10" spans="1:9" ht="13.5" customHeight="1">
      <c r="A10" s="79" t="s">
        <v>1968</v>
      </c>
      <c r="B10" s="79" t="s">
        <v>1969</v>
      </c>
      <c r="C10" s="79">
        <v>589456414</v>
      </c>
      <c r="D10" s="79">
        <v>1</v>
      </c>
      <c r="E10" s="79" t="s">
        <v>373</v>
      </c>
      <c r="F10" s="79" t="s">
        <v>1966</v>
      </c>
      <c r="G10" s="79" t="s">
        <v>375</v>
      </c>
      <c r="H10" s="79"/>
      <c r="I10" s="79" t="s">
        <v>1967</v>
      </c>
    </row>
    <row r="11" spans="1:9" ht="13.5" customHeight="1">
      <c r="A11" s="79" t="s">
        <v>1970</v>
      </c>
      <c r="B11" s="79" t="s">
        <v>1971</v>
      </c>
      <c r="C11" s="79">
        <v>589456465</v>
      </c>
      <c r="D11" s="79">
        <v>1</v>
      </c>
      <c r="E11" s="79" t="s">
        <v>373</v>
      </c>
      <c r="F11" s="79" t="s">
        <v>1966</v>
      </c>
      <c r="G11" s="79" t="s">
        <v>382</v>
      </c>
      <c r="H11" s="79"/>
      <c r="I11" s="79" t="s">
        <v>1967</v>
      </c>
    </row>
    <row r="12" spans="1:9" ht="13.5" customHeight="1">
      <c r="A12" s="79" t="s">
        <v>1972</v>
      </c>
      <c r="B12" s="79" t="s">
        <v>1973</v>
      </c>
      <c r="C12" s="79">
        <v>589456468</v>
      </c>
      <c r="D12" s="79">
        <v>1</v>
      </c>
      <c r="E12" s="79" t="s">
        <v>373</v>
      </c>
      <c r="F12" s="79" t="s">
        <v>1966</v>
      </c>
      <c r="G12" s="79" t="s">
        <v>382</v>
      </c>
      <c r="H12" s="79"/>
      <c r="I12" s="79" t="s">
        <v>1967</v>
      </c>
    </row>
    <row r="13" spans="1:9" ht="13.5" customHeight="1">
      <c r="A13" s="79" t="s">
        <v>1974</v>
      </c>
      <c r="B13" s="79" t="s">
        <v>1975</v>
      </c>
      <c r="C13" s="79">
        <v>589456579</v>
      </c>
      <c r="D13" s="79">
        <v>1</v>
      </c>
      <c r="E13" s="79" t="s">
        <v>373</v>
      </c>
      <c r="F13" s="79" t="s">
        <v>1966</v>
      </c>
      <c r="G13" s="79" t="s">
        <v>389</v>
      </c>
      <c r="H13" s="79"/>
      <c r="I13" s="79" t="s">
        <v>1967</v>
      </c>
    </row>
    <row r="14" spans="1:9" ht="13.5" customHeight="1">
      <c r="A14" s="79" t="s">
        <v>1976</v>
      </c>
      <c r="B14" s="79" t="s">
        <v>1977</v>
      </c>
      <c r="C14" s="79">
        <v>589456582</v>
      </c>
      <c r="D14" s="79">
        <v>1</v>
      </c>
      <c r="E14" s="79" t="s">
        <v>373</v>
      </c>
      <c r="F14" s="79" t="s">
        <v>1966</v>
      </c>
      <c r="G14" s="79" t="s">
        <v>389</v>
      </c>
      <c r="H14" s="79"/>
      <c r="I14" s="79" t="s">
        <v>1967</v>
      </c>
    </row>
    <row r="15" spans="1:9" ht="14.25">
      <c r="A15" s="79" t="s">
        <v>1978</v>
      </c>
      <c r="B15" s="79" t="s">
        <v>1979</v>
      </c>
      <c r="C15" s="79">
        <v>589456585</v>
      </c>
      <c r="D15" s="79">
        <v>1</v>
      </c>
      <c r="E15" s="79" t="s">
        <v>373</v>
      </c>
      <c r="F15" s="79" t="s">
        <v>1966</v>
      </c>
      <c r="G15" s="79" t="s">
        <v>395</v>
      </c>
      <c r="H15" s="79"/>
      <c r="I15" s="79" t="s">
        <v>1967</v>
      </c>
    </row>
    <row r="16" spans="1:9" ht="14.25">
      <c r="A16" s="79" t="s">
        <v>1980</v>
      </c>
      <c r="B16" s="79" t="s">
        <v>1981</v>
      </c>
      <c r="C16" s="79">
        <v>589456588</v>
      </c>
      <c r="D16" s="79">
        <v>1</v>
      </c>
      <c r="E16" s="79" t="s">
        <v>373</v>
      </c>
      <c r="F16" s="79" t="s">
        <v>1966</v>
      </c>
      <c r="G16" s="79" t="s">
        <v>395</v>
      </c>
      <c r="H16" s="79"/>
      <c r="I16" s="79" t="s">
        <v>1967</v>
      </c>
    </row>
    <row r="17" spans="1:9" ht="14.25">
      <c r="A17" s="153" t="s">
        <v>1982</v>
      </c>
      <c r="B17" s="153" t="s">
        <v>1983</v>
      </c>
      <c r="C17" s="153">
        <v>589505647</v>
      </c>
      <c r="D17" s="153">
        <v>1</v>
      </c>
      <c r="E17" s="153" t="s">
        <v>373</v>
      </c>
      <c r="F17" s="153" t="s">
        <v>1984</v>
      </c>
      <c r="G17" s="153" t="s">
        <v>375</v>
      </c>
      <c r="H17" s="153"/>
      <c r="I17" s="153" t="s">
        <v>1985</v>
      </c>
    </row>
    <row r="18" spans="1:9" ht="14.25">
      <c r="A18" s="153" t="s">
        <v>1986</v>
      </c>
      <c r="B18" s="153" t="s">
        <v>1987</v>
      </c>
      <c r="C18" s="153">
        <v>589505650</v>
      </c>
      <c r="D18" s="153">
        <v>1</v>
      </c>
      <c r="E18" s="153" t="s">
        <v>373</v>
      </c>
      <c r="F18" s="153" t="s">
        <v>1984</v>
      </c>
      <c r="G18" s="153" t="s">
        <v>382</v>
      </c>
      <c r="H18" s="153"/>
      <c r="I18" s="153" t="s">
        <v>1985</v>
      </c>
    </row>
    <row r="19" spans="1:9" ht="14.25">
      <c r="A19" s="79" t="s">
        <v>1988</v>
      </c>
      <c r="B19" s="79" t="s">
        <v>1989</v>
      </c>
      <c r="C19" s="79">
        <v>589505670</v>
      </c>
      <c r="D19" s="79">
        <v>1</v>
      </c>
      <c r="E19" s="79" t="s">
        <v>373</v>
      </c>
      <c r="F19" s="79" t="s">
        <v>1990</v>
      </c>
      <c r="G19" s="79" t="s">
        <v>389</v>
      </c>
      <c r="H19" s="79"/>
      <c r="I19" s="79"/>
    </row>
    <row r="20" spans="1:9" ht="14.25">
      <c r="A20" s="79" t="s">
        <v>1991</v>
      </c>
      <c r="B20" s="79" t="s">
        <v>1992</v>
      </c>
      <c r="C20" s="79">
        <v>589505673</v>
      </c>
      <c r="D20" s="79">
        <v>1</v>
      </c>
      <c r="E20" s="79" t="s">
        <v>373</v>
      </c>
      <c r="F20" s="79" t="s">
        <v>1990</v>
      </c>
      <c r="G20" s="79" t="s">
        <v>395</v>
      </c>
      <c r="H20" s="79"/>
      <c r="I20" s="79"/>
    </row>
    <row r="21" spans="1:9" ht="14.25">
      <c r="A21" s="153" t="s">
        <v>1993</v>
      </c>
      <c r="B21" s="153" t="s">
        <v>1994</v>
      </c>
      <c r="C21" s="153">
        <v>589584847</v>
      </c>
      <c r="D21" s="153">
        <v>1</v>
      </c>
      <c r="E21" s="153" t="s">
        <v>373</v>
      </c>
      <c r="F21" s="153" t="s">
        <v>1995</v>
      </c>
      <c r="G21" s="153" t="s">
        <v>375</v>
      </c>
      <c r="H21" s="153"/>
      <c r="I21" s="153" t="s">
        <v>727</v>
      </c>
    </row>
    <row r="22" spans="1:9" ht="14.25">
      <c r="A22" s="153" t="s">
        <v>1996</v>
      </c>
      <c r="B22" s="153" t="s">
        <v>1997</v>
      </c>
      <c r="C22" s="153">
        <v>589584850</v>
      </c>
      <c r="D22" s="153">
        <v>1</v>
      </c>
      <c r="E22" s="153" t="s">
        <v>373</v>
      </c>
      <c r="F22" s="153" t="s">
        <v>1995</v>
      </c>
      <c r="G22" s="153" t="s">
        <v>382</v>
      </c>
      <c r="H22" s="153"/>
      <c r="I22" s="153" t="s">
        <v>727</v>
      </c>
    </row>
    <row r="23" spans="1:9" ht="14.25">
      <c r="A23" s="79" t="s">
        <v>1998</v>
      </c>
      <c r="B23" s="79" t="s">
        <v>1999</v>
      </c>
      <c r="C23" s="79">
        <v>589584870</v>
      </c>
      <c r="D23" s="79">
        <v>1</v>
      </c>
      <c r="E23" s="79" t="s">
        <v>373</v>
      </c>
      <c r="F23" s="79" t="s">
        <v>2000</v>
      </c>
      <c r="G23" s="79" t="s">
        <v>389</v>
      </c>
      <c r="H23" s="79"/>
      <c r="I23" s="79"/>
    </row>
    <row r="24" spans="1:9" ht="14.25">
      <c r="A24" s="79" t="s">
        <v>2001</v>
      </c>
      <c r="B24" s="79" t="s">
        <v>2002</v>
      </c>
      <c r="C24" s="79">
        <v>589584873</v>
      </c>
      <c r="D24" s="79">
        <v>1</v>
      </c>
      <c r="E24" s="79" t="s">
        <v>373</v>
      </c>
      <c r="F24" s="79" t="s">
        <v>2000</v>
      </c>
      <c r="G24" s="79" t="s">
        <v>395</v>
      </c>
      <c r="H24" s="79"/>
      <c r="I24" s="79"/>
    </row>
    <row r="25" spans="1:9" ht="14.25">
      <c r="A25" s="153" t="s">
        <v>2003</v>
      </c>
      <c r="B25" s="153" t="s">
        <v>2004</v>
      </c>
      <c r="C25" s="153">
        <v>589672147</v>
      </c>
      <c r="D25" s="153">
        <v>1</v>
      </c>
      <c r="E25" s="153" t="s">
        <v>373</v>
      </c>
      <c r="F25" s="153" t="s">
        <v>2005</v>
      </c>
      <c r="G25" s="153" t="s">
        <v>375</v>
      </c>
      <c r="H25" s="153"/>
      <c r="I25" s="153" t="s">
        <v>2006</v>
      </c>
    </row>
    <row r="26" spans="1:9" ht="14.25">
      <c r="A26" s="153" t="s">
        <v>2007</v>
      </c>
      <c r="B26" s="153" t="s">
        <v>2008</v>
      </c>
      <c r="C26" s="153">
        <v>589672150</v>
      </c>
      <c r="D26" s="153">
        <v>1</v>
      </c>
      <c r="E26" s="153" t="s">
        <v>373</v>
      </c>
      <c r="F26" s="153" t="s">
        <v>2005</v>
      </c>
      <c r="G26" s="153" t="s">
        <v>382</v>
      </c>
      <c r="H26" s="153"/>
      <c r="I26" s="153" t="s">
        <v>2006</v>
      </c>
    </row>
    <row r="27" spans="1:9" ht="14.25">
      <c r="A27" s="79" t="s">
        <v>2009</v>
      </c>
      <c r="B27" s="79" t="s">
        <v>2010</v>
      </c>
      <c r="C27" s="79">
        <v>589672170</v>
      </c>
      <c r="D27" s="79">
        <v>1</v>
      </c>
      <c r="E27" s="79" t="s">
        <v>373</v>
      </c>
      <c r="F27" s="79" t="s">
        <v>1034</v>
      </c>
      <c r="G27" s="79" t="s">
        <v>389</v>
      </c>
      <c r="H27" s="79"/>
      <c r="I27" s="79"/>
    </row>
    <row r="28" spans="1:9" ht="14.25">
      <c r="A28" s="79" t="s">
        <v>2011</v>
      </c>
      <c r="B28" s="79" t="s">
        <v>2012</v>
      </c>
      <c r="C28" s="79">
        <v>589672173</v>
      </c>
      <c r="D28" s="79">
        <v>1</v>
      </c>
      <c r="E28" s="79" t="s">
        <v>373</v>
      </c>
      <c r="F28" s="79" t="s">
        <v>1034</v>
      </c>
      <c r="G28" s="79" t="s">
        <v>395</v>
      </c>
      <c r="H28" s="79"/>
      <c r="I28" s="79"/>
    </row>
    <row r="29" spans="1:9" ht="14.25">
      <c r="A29" s="153" t="s">
        <v>2013</v>
      </c>
      <c r="B29" s="153" t="s">
        <v>2014</v>
      </c>
      <c r="C29" s="153">
        <v>589762387</v>
      </c>
      <c r="D29" s="153">
        <v>1</v>
      </c>
      <c r="E29" s="153" t="s">
        <v>373</v>
      </c>
      <c r="F29" s="153" t="s">
        <v>2015</v>
      </c>
      <c r="G29" s="153" t="s">
        <v>375</v>
      </c>
      <c r="H29" s="153"/>
      <c r="I29" s="153" t="s">
        <v>2016</v>
      </c>
    </row>
    <row r="30" spans="1:9" ht="14.25">
      <c r="A30" s="153" t="s">
        <v>2017</v>
      </c>
      <c r="B30" s="153" t="s">
        <v>2018</v>
      </c>
      <c r="C30" s="153">
        <v>589762390</v>
      </c>
      <c r="D30" s="153">
        <v>1</v>
      </c>
      <c r="E30" s="153" t="s">
        <v>373</v>
      </c>
      <c r="F30" s="153" t="s">
        <v>2015</v>
      </c>
      <c r="G30" s="153" t="s">
        <v>382</v>
      </c>
      <c r="H30" s="153"/>
      <c r="I30" s="153" t="s">
        <v>2016</v>
      </c>
    </row>
    <row r="31" spans="1:9" ht="14.25">
      <c r="A31" s="79" t="s">
        <v>2019</v>
      </c>
      <c r="B31" s="79" t="s">
        <v>2020</v>
      </c>
      <c r="C31" s="79">
        <v>589762410</v>
      </c>
      <c r="D31" s="79">
        <v>1</v>
      </c>
      <c r="E31" s="79" t="s">
        <v>373</v>
      </c>
      <c r="F31" s="79" t="s">
        <v>2021</v>
      </c>
      <c r="G31" s="79" t="s">
        <v>389</v>
      </c>
      <c r="H31" s="79"/>
      <c r="I31" s="79"/>
    </row>
    <row r="32" spans="1:9" ht="14.25">
      <c r="A32" s="79" t="s">
        <v>2022</v>
      </c>
      <c r="B32" s="79" t="s">
        <v>2023</v>
      </c>
      <c r="C32" s="79">
        <v>589762413</v>
      </c>
      <c r="D32" s="79">
        <v>1</v>
      </c>
      <c r="E32" s="79" t="s">
        <v>373</v>
      </c>
      <c r="F32" s="79" t="s">
        <v>2021</v>
      </c>
      <c r="G32" s="79" t="s">
        <v>395</v>
      </c>
      <c r="H32" s="79"/>
      <c r="I32" s="79"/>
    </row>
    <row r="33" spans="1:9" ht="14.25">
      <c r="A33" s="153" t="s">
        <v>2024</v>
      </c>
      <c r="B33" s="153" t="s">
        <v>2025</v>
      </c>
      <c r="C33" s="153">
        <v>589844827</v>
      </c>
      <c r="D33" s="153">
        <v>1</v>
      </c>
      <c r="E33" s="153" t="s">
        <v>373</v>
      </c>
      <c r="F33" s="153" t="s">
        <v>2026</v>
      </c>
      <c r="G33" s="153" t="s">
        <v>375</v>
      </c>
      <c r="H33" s="153"/>
      <c r="I33" s="153" t="s">
        <v>2027</v>
      </c>
    </row>
    <row r="34" spans="1:9" ht="14.25">
      <c r="A34" s="153" t="s">
        <v>2028</v>
      </c>
      <c r="B34" s="153" t="s">
        <v>2029</v>
      </c>
      <c r="C34" s="153">
        <v>589844830</v>
      </c>
      <c r="D34" s="153">
        <v>1</v>
      </c>
      <c r="E34" s="153" t="s">
        <v>373</v>
      </c>
      <c r="F34" s="153" t="s">
        <v>2026</v>
      </c>
      <c r="G34" s="153" t="s">
        <v>382</v>
      </c>
      <c r="H34" s="153"/>
      <c r="I34" s="153" t="s">
        <v>2027</v>
      </c>
    </row>
    <row r="35" spans="1:9" ht="14.25">
      <c r="A35" s="79" t="s">
        <v>2030</v>
      </c>
      <c r="B35" s="79" t="s">
        <v>2031</v>
      </c>
      <c r="C35" s="79">
        <v>589844850</v>
      </c>
      <c r="D35" s="79">
        <v>1</v>
      </c>
      <c r="E35" s="79" t="s">
        <v>373</v>
      </c>
      <c r="F35" s="79" t="s">
        <v>2032</v>
      </c>
      <c r="G35" s="79" t="s">
        <v>389</v>
      </c>
      <c r="H35" s="79"/>
      <c r="I35" s="79"/>
    </row>
    <row r="36" spans="1:9" ht="14.25">
      <c r="A36" s="79" t="s">
        <v>2033</v>
      </c>
      <c r="B36" s="79" t="s">
        <v>2034</v>
      </c>
      <c r="C36" s="79">
        <v>589844853</v>
      </c>
      <c r="D36" s="79">
        <v>1</v>
      </c>
      <c r="E36" s="79" t="s">
        <v>373</v>
      </c>
      <c r="F36" s="79" t="s">
        <v>2032</v>
      </c>
      <c r="G36" s="79" t="s">
        <v>395</v>
      </c>
      <c r="H36" s="79"/>
      <c r="I36" s="79"/>
    </row>
    <row r="37" spans="1:9" ht="14.25">
      <c r="A37" s="153" t="s">
        <v>2035</v>
      </c>
      <c r="B37" s="153" t="s">
        <v>2036</v>
      </c>
      <c r="C37" s="153">
        <v>589882387</v>
      </c>
      <c r="D37" s="153">
        <v>1</v>
      </c>
      <c r="E37" s="153" t="s">
        <v>373</v>
      </c>
      <c r="F37" s="153" t="s">
        <v>2037</v>
      </c>
      <c r="G37" s="153" t="s">
        <v>375</v>
      </c>
      <c r="H37" s="153"/>
      <c r="I37" s="153" t="s">
        <v>731</v>
      </c>
    </row>
    <row r="38" spans="1:9" ht="14.25">
      <c r="A38" s="153" t="s">
        <v>2038</v>
      </c>
      <c r="B38" s="153" t="s">
        <v>2039</v>
      </c>
      <c r="C38" s="153">
        <v>589882390</v>
      </c>
      <c r="D38" s="153">
        <v>1</v>
      </c>
      <c r="E38" s="153" t="s">
        <v>373</v>
      </c>
      <c r="F38" s="153" t="s">
        <v>2037</v>
      </c>
      <c r="G38" s="153" t="s">
        <v>382</v>
      </c>
      <c r="H38" s="153"/>
      <c r="I38" s="153" t="s">
        <v>731</v>
      </c>
    </row>
    <row r="39" spans="1:9" ht="14.25">
      <c r="A39" s="79" t="s">
        <v>2040</v>
      </c>
      <c r="B39" s="79" t="s">
        <v>2041</v>
      </c>
      <c r="C39" s="79">
        <v>589882410</v>
      </c>
      <c r="D39" s="79">
        <v>1</v>
      </c>
      <c r="E39" s="79" t="s">
        <v>373</v>
      </c>
      <c r="F39" s="79" t="s">
        <v>1000</v>
      </c>
      <c r="G39" s="79" t="s">
        <v>389</v>
      </c>
      <c r="H39" s="79"/>
      <c r="I39" s="79"/>
    </row>
    <row r="40" spans="1:9" ht="14.25">
      <c r="A40" s="79" t="s">
        <v>2042</v>
      </c>
      <c r="B40" s="79" t="s">
        <v>2043</v>
      </c>
      <c r="C40" s="79">
        <v>589882413</v>
      </c>
      <c r="D40" s="79">
        <v>1</v>
      </c>
      <c r="E40" s="79" t="s">
        <v>373</v>
      </c>
      <c r="F40" s="79" t="s">
        <v>1000</v>
      </c>
      <c r="G40" s="79" t="s">
        <v>395</v>
      </c>
      <c r="H40" s="79"/>
      <c r="I40" s="79"/>
    </row>
    <row r="41" spans="1:9" ht="14.25">
      <c r="A41" s="153" t="s">
        <v>2044</v>
      </c>
      <c r="B41" s="153" t="s">
        <v>2045</v>
      </c>
      <c r="C41" s="153">
        <v>589937887</v>
      </c>
      <c r="D41" s="153">
        <v>1</v>
      </c>
      <c r="E41" s="153" t="s">
        <v>373</v>
      </c>
      <c r="F41" s="153" t="s">
        <v>2046</v>
      </c>
      <c r="G41" s="153" t="s">
        <v>375</v>
      </c>
      <c r="H41" s="153"/>
      <c r="I41" s="153" t="s">
        <v>2047</v>
      </c>
    </row>
    <row r="42" spans="1:9" ht="14.25">
      <c r="A42" s="153" t="s">
        <v>2048</v>
      </c>
      <c r="B42" s="153" t="s">
        <v>2049</v>
      </c>
      <c r="C42" s="153">
        <v>589937890</v>
      </c>
      <c r="D42" s="153">
        <v>1</v>
      </c>
      <c r="E42" s="153" t="s">
        <v>373</v>
      </c>
      <c r="F42" s="153" t="s">
        <v>2046</v>
      </c>
      <c r="G42" s="153" t="s">
        <v>382</v>
      </c>
      <c r="H42" s="153"/>
      <c r="I42" s="153" t="s">
        <v>2047</v>
      </c>
    </row>
    <row r="43" spans="1:9" ht="14.25">
      <c r="A43" s="79" t="s">
        <v>2050</v>
      </c>
      <c r="B43" s="79" t="s">
        <v>2051</v>
      </c>
      <c r="C43" s="79">
        <v>589937910</v>
      </c>
      <c r="D43" s="79">
        <v>1</v>
      </c>
      <c r="E43" s="79" t="s">
        <v>373</v>
      </c>
      <c r="F43" s="79" t="s">
        <v>2052</v>
      </c>
      <c r="G43" s="79" t="s">
        <v>389</v>
      </c>
      <c r="H43" s="79"/>
      <c r="I43" s="79"/>
    </row>
    <row r="44" spans="1:9" ht="14.25">
      <c r="A44" s="79" t="s">
        <v>2053</v>
      </c>
      <c r="B44" s="79" t="s">
        <v>2054</v>
      </c>
      <c r="C44" s="79">
        <v>589937913</v>
      </c>
      <c r="D44" s="79">
        <v>1</v>
      </c>
      <c r="E44" s="79" t="s">
        <v>373</v>
      </c>
      <c r="F44" s="79" t="s">
        <v>2052</v>
      </c>
      <c r="G44" s="79" t="s">
        <v>395</v>
      </c>
      <c r="H44" s="79"/>
      <c r="I44" s="79"/>
    </row>
    <row r="45" spans="1:9" ht="14.25">
      <c r="A45" s="153" t="s">
        <v>2055</v>
      </c>
      <c r="B45" s="153" t="s">
        <v>2056</v>
      </c>
      <c r="C45" s="153">
        <v>590020087</v>
      </c>
      <c r="D45" s="153">
        <v>1</v>
      </c>
      <c r="E45" s="153" t="s">
        <v>373</v>
      </c>
      <c r="F45" s="153" t="s">
        <v>2057</v>
      </c>
      <c r="G45" s="153" t="s">
        <v>375</v>
      </c>
      <c r="H45" s="153"/>
      <c r="I45" s="153" t="s">
        <v>2058</v>
      </c>
    </row>
    <row r="46" spans="1:9" ht="14.25">
      <c r="A46" s="153" t="s">
        <v>2059</v>
      </c>
      <c r="B46" s="153" t="s">
        <v>2060</v>
      </c>
      <c r="C46" s="153">
        <v>590020090</v>
      </c>
      <c r="D46" s="153">
        <v>1</v>
      </c>
      <c r="E46" s="153" t="s">
        <v>373</v>
      </c>
      <c r="F46" s="153" t="s">
        <v>2057</v>
      </c>
      <c r="G46" s="153" t="s">
        <v>382</v>
      </c>
      <c r="H46" s="153"/>
      <c r="I46" s="153" t="s">
        <v>2058</v>
      </c>
    </row>
    <row r="47" spans="1:9" ht="14.25">
      <c r="A47" s="79" t="s">
        <v>2061</v>
      </c>
      <c r="B47" s="79" t="s">
        <v>2062</v>
      </c>
      <c r="C47" s="79">
        <v>590020110</v>
      </c>
      <c r="D47" s="79">
        <v>1</v>
      </c>
      <c r="E47" s="79" t="s">
        <v>373</v>
      </c>
      <c r="F47" s="79" t="s">
        <v>2063</v>
      </c>
      <c r="G47" s="79" t="s">
        <v>389</v>
      </c>
      <c r="H47" s="79"/>
      <c r="I47" s="79"/>
    </row>
    <row r="48" spans="1:9" ht="14.25">
      <c r="A48" s="79" t="s">
        <v>2064</v>
      </c>
      <c r="B48" s="79" t="s">
        <v>2065</v>
      </c>
      <c r="C48" s="79">
        <v>590020113</v>
      </c>
      <c r="D48" s="79">
        <v>1</v>
      </c>
      <c r="E48" s="79" t="s">
        <v>373</v>
      </c>
      <c r="F48" s="79" t="s">
        <v>2063</v>
      </c>
      <c r="G48" s="79" t="s">
        <v>395</v>
      </c>
      <c r="H48" s="79"/>
      <c r="I48" s="79"/>
    </row>
    <row r="49" spans="1:9" ht="14.25">
      <c r="A49" s="153" t="s">
        <v>2066</v>
      </c>
      <c r="B49" s="153" t="s">
        <v>2067</v>
      </c>
      <c r="C49" s="153">
        <v>590052787</v>
      </c>
      <c r="D49" s="153">
        <v>1</v>
      </c>
      <c r="E49" s="153" t="s">
        <v>373</v>
      </c>
      <c r="F49" s="153" t="s">
        <v>2068</v>
      </c>
      <c r="G49" s="153" t="s">
        <v>375</v>
      </c>
      <c r="H49" s="153"/>
      <c r="I49" s="153" t="s">
        <v>735</v>
      </c>
    </row>
    <row r="50" spans="1:9" ht="14.25">
      <c r="A50" s="153" t="s">
        <v>2069</v>
      </c>
      <c r="B50" s="153" t="s">
        <v>2070</v>
      </c>
      <c r="C50" s="153">
        <v>590052790</v>
      </c>
      <c r="D50" s="153">
        <v>1</v>
      </c>
      <c r="E50" s="153" t="s">
        <v>373</v>
      </c>
      <c r="F50" s="153" t="s">
        <v>2068</v>
      </c>
      <c r="G50" s="153" t="s">
        <v>382</v>
      </c>
      <c r="H50" s="153"/>
      <c r="I50" s="153" t="s">
        <v>735</v>
      </c>
    </row>
    <row r="51" spans="1:9" ht="14.25">
      <c r="A51" s="79" t="s">
        <v>2071</v>
      </c>
      <c r="B51" s="79" t="s">
        <v>2072</v>
      </c>
      <c r="C51" s="79">
        <v>590052810</v>
      </c>
      <c r="D51" s="79">
        <v>1</v>
      </c>
      <c r="E51" s="79" t="s">
        <v>373</v>
      </c>
      <c r="F51" s="79" t="s">
        <v>2073</v>
      </c>
      <c r="G51" s="79" t="s">
        <v>389</v>
      </c>
      <c r="H51" s="79"/>
      <c r="I51" s="79"/>
    </row>
    <row r="52" spans="1:9" ht="14.25">
      <c r="A52" s="79" t="s">
        <v>2074</v>
      </c>
      <c r="B52" s="79" t="s">
        <v>2075</v>
      </c>
      <c r="C52" s="79">
        <v>590052813</v>
      </c>
      <c r="D52" s="79">
        <v>1</v>
      </c>
      <c r="E52" s="79" t="s">
        <v>373</v>
      </c>
      <c r="F52" s="79" t="s">
        <v>2073</v>
      </c>
      <c r="G52" s="79" t="s">
        <v>395</v>
      </c>
      <c r="H52" s="79"/>
      <c r="I52" s="79"/>
    </row>
    <row r="53" spans="1:9" ht="14.25">
      <c r="A53" s="153" t="s">
        <v>2076</v>
      </c>
      <c r="B53" s="153" t="s">
        <v>2077</v>
      </c>
      <c r="C53" s="153">
        <v>590107687</v>
      </c>
      <c r="D53" s="153">
        <v>1</v>
      </c>
      <c r="E53" s="153" t="s">
        <v>373</v>
      </c>
      <c r="F53" s="153" t="s">
        <v>2078</v>
      </c>
      <c r="G53" s="153" t="s">
        <v>375</v>
      </c>
      <c r="H53" s="153"/>
      <c r="I53" s="153" t="s">
        <v>2079</v>
      </c>
    </row>
    <row r="54" spans="1:9" ht="14.25">
      <c r="A54" s="153" t="s">
        <v>2080</v>
      </c>
      <c r="B54" s="153" t="s">
        <v>2081</v>
      </c>
      <c r="C54" s="153">
        <v>590107690</v>
      </c>
      <c r="D54" s="153">
        <v>1</v>
      </c>
      <c r="E54" s="153" t="s">
        <v>373</v>
      </c>
      <c r="F54" s="153" t="s">
        <v>2078</v>
      </c>
      <c r="G54" s="153" t="s">
        <v>382</v>
      </c>
      <c r="H54" s="153"/>
      <c r="I54" s="153" t="s">
        <v>2079</v>
      </c>
    </row>
    <row r="55" spans="1:9" ht="14.25">
      <c r="A55" s="79" t="s">
        <v>2082</v>
      </c>
      <c r="B55" s="79" t="s">
        <v>2083</v>
      </c>
      <c r="C55" s="79">
        <v>590107710</v>
      </c>
      <c r="D55" s="79">
        <v>1</v>
      </c>
      <c r="E55" s="79" t="s">
        <v>373</v>
      </c>
      <c r="F55" s="79" t="s">
        <v>2084</v>
      </c>
      <c r="G55" s="79" t="s">
        <v>389</v>
      </c>
      <c r="H55" s="79"/>
      <c r="I55" s="79"/>
    </row>
    <row r="56" spans="1:9" ht="14.25">
      <c r="A56" s="79" t="s">
        <v>2085</v>
      </c>
      <c r="B56" s="79" t="s">
        <v>2086</v>
      </c>
      <c r="C56" s="79">
        <v>590107713</v>
      </c>
      <c r="D56" s="79">
        <v>1</v>
      </c>
      <c r="E56" s="79" t="s">
        <v>373</v>
      </c>
      <c r="F56" s="79" t="s">
        <v>2084</v>
      </c>
      <c r="G56" s="79" t="s">
        <v>395</v>
      </c>
      <c r="H56" s="79"/>
      <c r="I56" s="79"/>
    </row>
    <row r="57" spans="1:9" ht="14.25">
      <c r="A57" s="153" t="s">
        <v>2087</v>
      </c>
      <c r="B57" s="153" t="s">
        <v>2088</v>
      </c>
      <c r="C57" s="153">
        <v>590138707</v>
      </c>
      <c r="D57" s="153">
        <v>1</v>
      </c>
      <c r="E57" s="153" t="s">
        <v>373</v>
      </c>
      <c r="F57" s="153" t="s">
        <v>2089</v>
      </c>
      <c r="G57" s="153" t="s">
        <v>375</v>
      </c>
      <c r="H57" s="153"/>
      <c r="I57" s="153" t="s">
        <v>739</v>
      </c>
    </row>
    <row r="58" spans="1:9" ht="14.25">
      <c r="A58" s="153" t="s">
        <v>2090</v>
      </c>
      <c r="B58" s="153" t="s">
        <v>2091</v>
      </c>
      <c r="C58" s="153">
        <v>590138710</v>
      </c>
      <c r="D58" s="153">
        <v>1</v>
      </c>
      <c r="E58" s="153" t="s">
        <v>373</v>
      </c>
      <c r="F58" s="153" t="s">
        <v>2089</v>
      </c>
      <c r="G58" s="153" t="s">
        <v>382</v>
      </c>
      <c r="H58" s="153"/>
      <c r="I58" s="153" t="s">
        <v>739</v>
      </c>
    </row>
    <row r="59" spans="1:9" ht="14.25">
      <c r="A59" s="79" t="s">
        <v>2092</v>
      </c>
      <c r="B59" s="79" t="s">
        <v>2093</v>
      </c>
      <c r="C59" s="79">
        <v>590138730</v>
      </c>
      <c r="D59" s="79">
        <v>1</v>
      </c>
      <c r="E59" s="79" t="s">
        <v>373</v>
      </c>
      <c r="F59" s="79" t="s">
        <v>2094</v>
      </c>
      <c r="G59" s="79" t="s">
        <v>389</v>
      </c>
      <c r="H59" s="79"/>
      <c r="I59" s="79"/>
    </row>
    <row r="60" spans="1:9" ht="14.25">
      <c r="A60" s="79" t="s">
        <v>2095</v>
      </c>
      <c r="B60" s="79" t="s">
        <v>2096</v>
      </c>
      <c r="C60" s="79">
        <v>590138733</v>
      </c>
      <c r="D60" s="79">
        <v>1</v>
      </c>
      <c r="E60" s="79" t="s">
        <v>373</v>
      </c>
      <c r="F60" s="79" t="s">
        <v>2094</v>
      </c>
      <c r="G60" s="79" t="s">
        <v>395</v>
      </c>
      <c r="H60" s="79"/>
      <c r="I60" s="79"/>
    </row>
    <row r="61" spans="1:9" ht="14.25">
      <c r="A61" s="81" t="s">
        <v>2097</v>
      </c>
      <c r="B61" s="81" t="s">
        <v>2098</v>
      </c>
      <c r="C61" s="81">
        <v>590206916</v>
      </c>
      <c r="D61" s="81">
        <v>0</v>
      </c>
      <c r="E61" s="81" t="s">
        <v>1124</v>
      </c>
      <c r="F61" s="81" t="s">
        <v>2099</v>
      </c>
      <c r="G61" s="81" t="s">
        <v>2100</v>
      </c>
      <c r="H61" s="81"/>
      <c r="I61" s="81" t="s">
        <v>2101</v>
      </c>
    </row>
    <row r="62" spans="1:9" ht="14.25">
      <c r="A62" s="79" t="s">
        <v>2097</v>
      </c>
      <c r="B62" s="79" t="s">
        <v>2098</v>
      </c>
      <c r="C62" s="79">
        <v>590206916</v>
      </c>
      <c r="D62" s="79">
        <v>0</v>
      </c>
      <c r="E62" s="79" t="s">
        <v>1124</v>
      </c>
      <c r="F62" s="79" t="s">
        <v>2102</v>
      </c>
      <c r="G62" s="79" t="s">
        <v>2103</v>
      </c>
      <c r="H62" s="79"/>
      <c r="I62" s="79"/>
    </row>
    <row r="63" spans="1:9" ht="14.25">
      <c r="A63" s="79" t="s">
        <v>2097</v>
      </c>
      <c r="B63" s="79" t="s">
        <v>2098</v>
      </c>
      <c r="C63" s="79">
        <v>590206916</v>
      </c>
      <c r="D63" s="79">
        <v>0</v>
      </c>
      <c r="E63" s="79" t="s">
        <v>1124</v>
      </c>
      <c r="F63" s="79" t="s">
        <v>2102</v>
      </c>
      <c r="G63" s="79" t="s">
        <v>2104</v>
      </c>
      <c r="H63" s="79"/>
      <c r="I63" s="79"/>
    </row>
    <row r="64" spans="1:9" ht="14.25">
      <c r="A64" s="79" t="s">
        <v>2105</v>
      </c>
      <c r="B64" s="79" t="s">
        <v>2106</v>
      </c>
      <c r="C64" s="79">
        <v>590206917</v>
      </c>
      <c r="D64" s="79">
        <v>0</v>
      </c>
      <c r="E64" s="79" t="s">
        <v>1124</v>
      </c>
      <c r="F64" s="79" t="s">
        <v>2102</v>
      </c>
      <c r="G64" s="79" t="s">
        <v>2107</v>
      </c>
      <c r="H64" s="79"/>
      <c r="I64" s="79"/>
    </row>
    <row r="65" spans="1:9" ht="14.25">
      <c r="A65" s="79" t="s">
        <v>2105</v>
      </c>
      <c r="B65" s="79" t="s">
        <v>2106</v>
      </c>
      <c r="C65" s="79">
        <v>590206917</v>
      </c>
      <c r="D65" s="79">
        <v>0</v>
      </c>
      <c r="E65" s="79" t="s">
        <v>1124</v>
      </c>
      <c r="F65" s="79" t="s">
        <v>2102</v>
      </c>
      <c r="G65" s="79" t="s">
        <v>2108</v>
      </c>
      <c r="H65" s="79"/>
      <c r="I65" s="79"/>
    </row>
    <row r="66" spans="1:9" ht="14.25">
      <c r="A66" s="79" t="s">
        <v>2105</v>
      </c>
      <c r="B66" s="79" t="s">
        <v>2106</v>
      </c>
      <c r="C66" s="79">
        <v>590206917</v>
      </c>
      <c r="D66" s="79">
        <v>0</v>
      </c>
      <c r="E66" s="79" t="s">
        <v>1124</v>
      </c>
      <c r="F66" s="79" t="s">
        <v>2102</v>
      </c>
      <c r="G66" s="79" t="s">
        <v>2109</v>
      </c>
      <c r="H66" s="79"/>
      <c r="I66" s="79"/>
    </row>
    <row r="67" spans="1:9" ht="14.25">
      <c r="A67" s="79" t="s">
        <v>2110</v>
      </c>
      <c r="B67" s="79" t="s">
        <v>2111</v>
      </c>
      <c r="C67" s="79">
        <v>590206920</v>
      </c>
      <c r="D67" s="79">
        <v>0</v>
      </c>
      <c r="E67" s="79" t="s">
        <v>1124</v>
      </c>
      <c r="F67" s="79" t="s">
        <v>2102</v>
      </c>
      <c r="G67" s="79" t="s">
        <v>2112</v>
      </c>
      <c r="H67" s="79"/>
      <c r="I67" s="79"/>
    </row>
    <row r="68" spans="1:9" ht="14.25">
      <c r="A68" s="79" t="s">
        <v>2110</v>
      </c>
      <c r="B68" s="79" t="s">
        <v>2111</v>
      </c>
      <c r="C68" s="79">
        <v>590206920</v>
      </c>
      <c r="D68" s="79">
        <v>0</v>
      </c>
      <c r="E68" s="79" t="s">
        <v>1124</v>
      </c>
      <c r="F68" s="79" t="s">
        <v>2102</v>
      </c>
      <c r="G68" s="79" t="s">
        <v>2113</v>
      </c>
      <c r="H68" s="79"/>
      <c r="I68" s="79"/>
    </row>
    <row r="69" spans="1:9" ht="14.25">
      <c r="A69" s="79" t="s">
        <v>2110</v>
      </c>
      <c r="B69" s="79" t="s">
        <v>2111</v>
      </c>
      <c r="C69" s="79">
        <v>590206920</v>
      </c>
      <c r="D69" s="79">
        <v>0</v>
      </c>
      <c r="E69" s="79" t="s">
        <v>1124</v>
      </c>
      <c r="F69" s="79" t="s">
        <v>2102</v>
      </c>
      <c r="G69" s="79" t="s">
        <v>2109</v>
      </c>
      <c r="H69" s="79"/>
      <c r="I69" s="79"/>
    </row>
    <row r="70" spans="1:9" ht="14.25">
      <c r="A70" s="79" t="s">
        <v>2114</v>
      </c>
      <c r="B70" s="79" t="s">
        <v>2115</v>
      </c>
      <c r="C70" s="79">
        <v>590206923</v>
      </c>
      <c r="D70" s="79">
        <v>0</v>
      </c>
      <c r="E70" s="79" t="s">
        <v>1124</v>
      </c>
      <c r="F70" s="79" t="s">
        <v>2102</v>
      </c>
      <c r="G70" s="79" t="s">
        <v>2116</v>
      </c>
      <c r="H70" s="79"/>
      <c r="I70" s="79"/>
    </row>
    <row r="71" spans="1:9" ht="14.25">
      <c r="A71" s="79" t="s">
        <v>2114</v>
      </c>
      <c r="B71" s="79" t="s">
        <v>2115</v>
      </c>
      <c r="C71" s="79">
        <v>590206923</v>
      </c>
      <c r="D71" s="79">
        <v>0</v>
      </c>
      <c r="E71" s="79" t="s">
        <v>1124</v>
      </c>
      <c r="F71" s="79" t="s">
        <v>2102</v>
      </c>
      <c r="G71" s="79" t="s">
        <v>2117</v>
      </c>
      <c r="H71" s="79"/>
      <c r="I71" s="79"/>
    </row>
    <row r="72" spans="1:9" ht="14.25">
      <c r="A72" s="79" t="s">
        <v>2114</v>
      </c>
      <c r="B72" s="79" t="s">
        <v>2115</v>
      </c>
      <c r="C72" s="79">
        <v>590206923</v>
      </c>
      <c r="D72" s="79">
        <v>0</v>
      </c>
      <c r="E72" s="79" t="s">
        <v>1124</v>
      </c>
      <c r="F72" s="79" t="s">
        <v>2102</v>
      </c>
      <c r="G72" s="79" t="s">
        <v>2109</v>
      </c>
      <c r="H72" s="79"/>
      <c r="I72" s="79"/>
    </row>
    <row r="73" spans="1:9" ht="14.25">
      <c r="A73" s="79" t="s">
        <v>2118</v>
      </c>
      <c r="B73" s="79" t="s">
        <v>2119</v>
      </c>
      <c r="C73" s="79">
        <v>590206926</v>
      </c>
      <c r="D73" s="79">
        <v>0</v>
      </c>
      <c r="E73" s="79" t="s">
        <v>1124</v>
      </c>
      <c r="F73" s="79" t="s">
        <v>2102</v>
      </c>
      <c r="G73" s="79" t="s">
        <v>2120</v>
      </c>
      <c r="H73" s="79"/>
      <c r="I73" s="79"/>
    </row>
    <row r="74" spans="1:9" ht="14.25">
      <c r="A74" s="79" t="s">
        <v>2118</v>
      </c>
      <c r="B74" s="79" t="s">
        <v>2119</v>
      </c>
      <c r="C74" s="79">
        <v>590206926</v>
      </c>
      <c r="D74" s="79">
        <v>0</v>
      </c>
      <c r="E74" s="79" t="s">
        <v>1124</v>
      </c>
      <c r="F74" s="79" t="s">
        <v>2102</v>
      </c>
      <c r="G74" s="79" t="s">
        <v>2121</v>
      </c>
      <c r="H74" s="79"/>
      <c r="I74" s="79"/>
    </row>
    <row r="75" spans="1:9" ht="14.25">
      <c r="A75" s="79" t="s">
        <v>2118</v>
      </c>
      <c r="B75" s="79" t="s">
        <v>2119</v>
      </c>
      <c r="C75" s="79">
        <v>590206926</v>
      </c>
      <c r="D75" s="79">
        <v>0</v>
      </c>
      <c r="E75" s="79" t="s">
        <v>1124</v>
      </c>
      <c r="F75" s="79" t="s">
        <v>2102</v>
      </c>
      <c r="G75" s="79" t="s">
        <v>2109</v>
      </c>
      <c r="H75" s="79"/>
      <c r="I75" s="79"/>
    </row>
    <row r="76" spans="1:9" ht="14.25">
      <c r="A76" s="79" t="s">
        <v>2122</v>
      </c>
      <c r="B76" s="79" t="s">
        <v>2123</v>
      </c>
      <c r="C76" s="79">
        <v>590206929</v>
      </c>
      <c r="D76" s="79">
        <v>0</v>
      </c>
      <c r="E76" s="79" t="s">
        <v>1124</v>
      </c>
      <c r="F76" s="79" t="s">
        <v>2102</v>
      </c>
      <c r="G76" s="79" t="s">
        <v>2124</v>
      </c>
      <c r="H76" s="79"/>
      <c r="I76" s="79"/>
    </row>
    <row r="77" spans="1:9" ht="14.25">
      <c r="A77" s="79" t="s">
        <v>2122</v>
      </c>
      <c r="B77" s="79" t="s">
        <v>2123</v>
      </c>
      <c r="C77" s="79">
        <v>590206929</v>
      </c>
      <c r="D77" s="79">
        <v>0</v>
      </c>
      <c r="E77" s="79" t="s">
        <v>1124</v>
      </c>
      <c r="F77" s="79" t="s">
        <v>2102</v>
      </c>
      <c r="G77" s="79" t="s">
        <v>2125</v>
      </c>
      <c r="H77" s="79"/>
      <c r="I77" s="79"/>
    </row>
    <row r="78" spans="1:9" ht="14.25">
      <c r="A78" s="79" t="s">
        <v>2122</v>
      </c>
      <c r="B78" s="79" t="s">
        <v>2123</v>
      </c>
      <c r="C78" s="79">
        <v>590206929</v>
      </c>
      <c r="D78" s="79">
        <v>0</v>
      </c>
      <c r="E78" s="79" t="s">
        <v>1124</v>
      </c>
      <c r="F78" s="79" t="s">
        <v>2102</v>
      </c>
      <c r="G78" s="79" t="s">
        <v>2109</v>
      </c>
      <c r="H78" s="79"/>
      <c r="I78" s="79"/>
    </row>
    <row r="79" spans="1:9" ht="14.25">
      <c r="A79" s="79" t="s">
        <v>2126</v>
      </c>
      <c r="B79" s="79" t="s">
        <v>2127</v>
      </c>
      <c r="C79" s="79">
        <v>590206932</v>
      </c>
      <c r="D79" s="79">
        <v>0</v>
      </c>
      <c r="E79" s="79" t="s">
        <v>1124</v>
      </c>
      <c r="F79" s="79" t="s">
        <v>2102</v>
      </c>
      <c r="G79" s="79" t="s">
        <v>2128</v>
      </c>
      <c r="H79" s="79"/>
      <c r="I79" s="79"/>
    </row>
    <row r="80" spans="1:9" ht="14.25">
      <c r="A80" s="79" t="s">
        <v>2126</v>
      </c>
      <c r="B80" s="79" t="s">
        <v>2127</v>
      </c>
      <c r="C80" s="79">
        <v>590206932</v>
      </c>
      <c r="D80" s="79">
        <v>0</v>
      </c>
      <c r="E80" s="79" t="s">
        <v>1124</v>
      </c>
      <c r="F80" s="79" t="s">
        <v>2102</v>
      </c>
      <c r="G80" s="79" t="s">
        <v>2129</v>
      </c>
      <c r="H80" s="79"/>
      <c r="I80" s="79"/>
    </row>
    <row r="81" spans="1:9" ht="14.25">
      <c r="A81" s="79" t="s">
        <v>2126</v>
      </c>
      <c r="B81" s="79" t="s">
        <v>2127</v>
      </c>
      <c r="C81" s="79">
        <v>590206932</v>
      </c>
      <c r="D81" s="79">
        <v>0</v>
      </c>
      <c r="E81" s="79" t="s">
        <v>1124</v>
      </c>
      <c r="F81" s="79" t="s">
        <v>2102</v>
      </c>
      <c r="G81" s="79" t="s">
        <v>2109</v>
      </c>
      <c r="H81" s="79"/>
      <c r="I81" s="79"/>
    </row>
    <row r="82" spans="1:9" ht="14.25">
      <c r="A82" s="79" t="s">
        <v>2130</v>
      </c>
      <c r="B82" s="79" t="s">
        <v>2131</v>
      </c>
      <c r="C82" s="79">
        <v>590206935</v>
      </c>
      <c r="D82" s="79">
        <v>0</v>
      </c>
      <c r="E82" s="79" t="s">
        <v>1124</v>
      </c>
      <c r="F82" s="79" t="s">
        <v>2102</v>
      </c>
      <c r="G82" s="79" t="s">
        <v>2132</v>
      </c>
      <c r="H82" s="79"/>
      <c r="I82" s="79"/>
    </row>
    <row r="83" spans="1:9" ht="14.25">
      <c r="A83" s="79" t="s">
        <v>2130</v>
      </c>
      <c r="B83" s="79" t="s">
        <v>2131</v>
      </c>
      <c r="C83" s="79">
        <v>590206935</v>
      </c>
      <c r="D83" s="79">
        <v>0</v>
      </c>
      <c r="E83" s="79" t="s">
        <v>1124</v>
      </c>
      <c r="F83" s="79" t="s">
        <v>2102</v>
      </c>
      <c r="G83" s="79" t="s">
        <v>2133</v>
      </c>
      <c r="H83" s="79"/>
      <c r="I83" s="79"/>
    </row>
    <row r="84" spans="1:9" ht="14.25">
      <c r="A84" s="79" t="s">
        <v>2130</v>
      </c>
      <c r="B84" s="79" t="s">
        <v>2131</v>
      </c>
      <c r="C84" s="79">
        <v>590206935</v>
      </c>
      <c r="D84" s="79">
        <v>0</v>
      </c>
      <c r="E84" s="79" t="s">
        <v>1124</v>
      </c>
      <c r="F84" s="79" t="s">
        <v>2102</v>
      </c>
      <c r="G84" s="79" t="s">
        <v>2109</v>
      </c>
      <c r="H84" s="79"/>
      <c r="I84" s="79"/>
    </row>
    <row r="85" spans="1:9" ht="14.25">
      <c r="A85" s="79" t="s">
        <v>2134</v>
      </c>
      <c r="B85" s="79" t="s">
        <v>2135</v>
      </c>
      <c r="C85" s="79">
        <v>590206938</v>
      </c>
      <c r="D85" s="79">
        <v>0</v>
      </c>
      <c r="E85" s="79" t="s">
        <v>1124</v>
      </c>
      <c r="F85" s="79" t="s">
        <v>2102</v>
      </c>
      <c r="G85" s="79" t="s">
        <v>2136</v>
      </c>
      <c r="H85" s="79"/>
      <c r="I85" s="79"/>
    </row>
    <row r="86" spans="1:9" ht="14.25">
      <c r="A86" s="79" t="s">
        <v>2134</v>
      </c>
      <c r="B86" s="79" t="s">
        <v>2135</v>
      </c>
      <c r="C86" s="79">
        <v>590206938</v>
      </c>
      <c r="D86" s="79">
        <v>0</v>
      </c>
      <c r="E86" s="79" t="s">
        <v>1124</v>
      </c>
      <c r="F86" s="79" t="s">
        <v>2102</v>
      </c>
      <c r="G86" s="79" t="s">
        <v>2137</v>
      </c>
      <c r="H86" s="79"/>
      <c r="I86" s="79"/>
    </row>
    <row r="87" spans="1:9" ht="14.25">
      <c r="A87" s="79" t="s">
        <v>2134</v>
      </c>
      <c r="B87" s="79" t="s">
        <v>2135</v>
      </c>
      <c r="C87" s="79">
        <v>590206938</v>
      </c>
      <c r="D87" s="79">
        <v>0</v>
      </c>
      <c r="E87" s="79" t="s">
        <v>1124</v>
      </c>
      <c r="F87" s="79" t="s">
        <v>2102</v>
      </c>
      <c r="G87" s="79" t="s">
        <v>2109</v>
      </c>
      <c r="H87" s="79"/>
      <c r="I87" s="79"/>
    </row>
    <row r="88" spans="1:9" ht="14.25">
      <c r="A88" s="79" t="s">
        <v>2138</v>
      </c>
      <c r="B88" s="79" t="s">
        <v>2139</v>
      </c>
      <c r="C88" s="79">
        <v>590206941</v>
      </c>
      <c r="D88" s="79">
        <v>0</v>
      </c>
      <c r="E88" s="79" t="s">
        <v>1124</v>
      </c>
      <c r="F88" s="79" t="s">
        <v>2102</v>
      </c>
      <c r="G88" s="79" t="s">
        <v>2140</v>
      </c>
      <c r="H88" s="79"/>
      <c r="I88" s="79"/>
    </row>
    <row r="89" spans="1:9" ht="14.25">
      <c r="A89" s="79" t="s">
        <v>2138</v>
      </c>
      <c r="B89" s="79" t="s">
        <v>2139</v>
      </c>
      <c r="C89" s="79">
        <v>590206941</v>
      </c>
      <c r="D89" s="79">
        <v>0</v>
      </c>
      <c r="E89" s="79" t="s">
        <v>1124</v>
      </c>
      <c r="F89" s="79" t="s">
        <v>2102</v>
      </c>
      <c r="G89" s="79" t="s">
        <v>2141</v>
      </c>
      <c r="H89" s="79"/>
      <c r="I89" s="79"/>
    </row>
    <row r="90" spans="1:9" ht="14.25">
      <c r="A90" s="79" t="s">
        <v>2138</v>
      </c>
      <c r="B90" s="79" t="s">
        <v>2139</v>
      </c>
      <c r="C90" s="79">
        <v>590206941</v>
      </c>
      <c r="D90" s="79">
        <v>0</v>
      </c>
      <c r="E90" s="79" t="s">
        <v>1124</v>
      </c>
      <c r="F90" s="79" t="s">
        <v>2102</v>
      </c>
      <c r="G90" s="79" t="s">
        <v>2109</v>
      </c>
      <c r="H90" s="79"/>
      <c r="I90" s="79"/>
    </row>
    <row r="91" spans="1:9" ht="14.25">
      <c r="A91" s="79" t="s">
        <v>2142</v>
      </c>
      <c r="B91" s="79" t="s">
        <v>2143</v>
      </c>
      <c r="C91" s="79">
        <v>590206944</v>
      </c>
      <c r="D91" s="79">
        <v>0</v>
      </c>
      <c r="E91" s="79" t="s">
        <v>1124</v>
      </c>
      <c r="F91" s="79" t="s">
        <v>2102</v>
      </c>
      <c r="G91" s="79" t="s">
        <v>2144</v>
      </c>
      <c r="H91" s="79"/>
      <c r="I91" s="79"/>
    </row>
    <row r="92" spans="1:9" ht="14.25">
      <c r="A92" s="79" t="s">
        <v>2142</v>
      </c>
      <c r="B92" s="79" t="s">
        <v>2143</v>
      </c>
      <c r="C92" s="79">
        <v>590206944</v>
      </c>
      <c r="D92" s="79">
        <v>0</v>
      </c>
      <c r="E92" s="79" t="s">
        <v>1124</v>
      </c>
      <c r="F92" s="79" t="s">
        <v>2102</v>
      </c>
      <c r="G92" s="79" t="s">
        <v>2145</v>
      </c>
      <c r="H92" s="79"/>
      <c r="I92" s="79"/>
    </row>
    <row r="93" spans="1:9" ht="14.25">
      <c r="A93" s="79" t="s">
        <v>2142</v>
      </c>
      <c r="B93" s="79" t="s">
        <v>2143</v>
      </c>
      <c r="C93" s="79">
        <v>590206944</v>
      </c>
      <c r="D93" s="79">
        <v>0</v>
      </c>
      <c r="E93" s="79" t="s">
        <v>1124</v>
      </c>
      <c r="F93" s="79" t="s">
        <v>2102</v>
      </c>
      <c r="G93" s="79" t="s">
        <v>2109</v>
      </c>
      <c r="H93" s="79"/>
      <c r="I93" s="79"/>
    </row>
    <row r="94" spans="1:9" ht="14.25">
      <c r="A94" s="79" t="s">
        <v>2146</v>
      </c>
      <c r="B94" s="79" t="s">
        <v>2147</v>
      </c>
      <c r="C94" s="79">
        <v>590206947</v>
      </c>
      <c r="D94" s="79">
        <v>0</v>
      </c>
      <c r="E94" s="79" t="s">
        <v>1124</v>
      </c>
      <c r="F94" s="79" t="s">
        <v>2102</v>
      </c>
      <c r="G94" s="79" t="s">
        <v>2148</v>
      </c>
      <c r="H94" s="79"/>
      <c r="I94" s="79"/>
    </row>
    <row r="95" spans="1:9" ht="14.25">
      <c r="A95" s="79" t="s">
        <v>2146</v>
      </c>
      <c r="B95" s="79" t="s">
        <v>2147</v>
      </c>
      <c r="C95" s="79">
        <v>590206947</v>
      </c>
      <c r="D95" s="79">
        <v>0</v>
      </c>
      <c r="E95" s="79" t="s">
        <v>1124</v>
      </c>
      <c r="F95" s="79" t="s">
        <v>2102</v>
      </c>
      <c r="G95" s="79" t="s">
        <v>2149</v>
      </c>
      <c r="H95" s="79"/>
      <c r="I95" s="79"/>
    </row>
    <row r="96" spans="1:9" ht="14.25">
      <c r="A96" s="79" t="s">
        <v>2146</v>
      </c>
      <c r="B96" s="79" t="s">
        <v>2147</v>
      </c>
      <c r="C96" s="79">
        <v>590206947</v>
      </c>
      <c r="D96" s="79">
        <v>0</v>
      </c>
      <c r="E96" s="79" t="s">
        <v>1124</v>
      </c>
      <c r="F96" s="79" t="s">
        <v>2102</v>
      </c>
      <c r="G96" s="79" t="s">
        <v>2109</v>
      </c>
      <c r="H96" s="79"/>
      <c r="I96" s="79"/>
    </row>
    <row r="97" spans="1:9" ht="14.25">
      <c r="A97" s="79" t="s">
        <v>2150</v>
      </c>
      <c r="B97" s="79" t="s">
        <v>2151</v>
      </c>
      <c r="C97" s="79">
        <v>590206950</v>
      </c>
      <c r="D97" s="79">
        <v>0</v>
      </c>
      <c r="E97" s="79" t="s">
        <v>1124</v>
      </c>
      <c r="F97" s="79" t="s">
        <v>2102</v>
      </c>
      <c r="G97" s="79" t="s">
        <v>2152</v>
      </c>
      <c r="H97" s="79"/>
      <c r="I97" s="79"/>
    </row>
    <row r="98" spans="1:9" ht="14.25">
      <c r="A98" s="79" t="s">
        <v>2150</v>
      </c>
      <c r="B98" s="79" t="s">
        <v>2151</v>
      </c>
      <c r="C98" s="79">
        <v>590206950</v>
      </c>
      <c r="D98" s="79">
        <v>0</v>
      </c>
      <c r="E98" s="79" t="s">
        <v>1124</v>
      </c>
      <c r="F98" s="79" t="s">
        <v>2102</v>
      </c>
      <c r="G98" s="79" t="s">
        <v>2109</v>
      </c>
      <c r="H98" s="79"/>
      <c r="I98" s="79"/>
    </row>
    <row r="99" spans="1:9" ht="14.25">
      <c r="A99" s="79" t="s">
        <v>2153</v>
      </c>
      <c r="B99" s="79" t="s">
        <v>2154</v>
      </c>
      <c r="C99" s="79">
        <v>590206953</v>
      </c>
      <c r="D99" s="79">
        <v>0</v>
      </c>
      <c r="E99" s="79" t="s">
        <v>1124</v>
      </c>
      <c r="F99" s="79" t="s">
        <v>2102</v>
      </c>
      <c r="G99" s="79" t="s">
        <v>2155</v>
      </c>
      <c r="H99" s="79"/>
      <c r="I99" s="79"/>
    </row>
    <row r="100" spans="1:9" ht="14.25">
      <c r="A100" s="79" t="s">
        <v>2153</v>
      </c>
      <c r="B100" s="79" t="s">
        <v>2154</v>
      </c>
      <c r="C100" s="79">
        <v>590206953</v>
      </c>
      <c r="D100" s="79">
        <v>0</v>
      </c>
      <c r="E100" s="79" t="s">
        <v>1124</v>
      </c>
      <c r="F100" s="79" t="s">
        <v>2102</v>
      </c>
      <c r="G100" s="79" t="s">
        <v>2109</v>
      </c>
      <c r="H100" s="79"/>
      <c r="I100" s="79"/>
    </row>
    <row r="101" spans="1:9" ht="14.25">
      <c r="A101" s="79" t="s">
        <v>2156</v>
      </c>
      <c r="B101" s="79" t="s">
        <v>2157</v>
      </c>
      <c r="C101" s="79">
        <v>590206956</v>
      </c>
      <c r="D101" s="79">
        <v>0</v>
      </c>
      <c r="E101" s="79" t="s">
        <v>1124</v>
      </c>
      <c r="F101" s="79" t="s">
        <v>2102</v>
      </c>
      <c r="G101" s="79" t="s">
        <v>2158</v>
      </c>
      <c r="H101" s="79"/>
      <c r="I101" s="79"/>
    </row>
    <row r="102" spans="1:9" ht="14.25">
      <c r="A102" s="79" t="s">
        <v>2156</v>
      </c>
      <c r="B102" s="79" t="s">
        <v>2157</v>
      </c>
      <c r="C102" s="79">
        <v>590206956</v>
      </c>
      <c r="D102" s="79">
        <v>0</v>
      </c>
      <c r="E102" s="79" t="s">
        <v>1124</v>
      </c>
      <c r="F102" s="79" t="s">
        <v>2102</v>
      </c>
      <c r="G102" s="79" t="s">
        <v>2159</v>
      </c>
      <c r="H102" s="79"/>
      <c r="I102" s="79"/>
    </row>
    <row r="103" spans="1:9" ht="14.25">
      <c r="A103" s="79" t="s">
        <v>2156</v>
      </c>
      <c r="B103" s="79" t="s">
        <v>2157</v>
      </c>
      <c r="C103" s="79">
        <v>590206956</v>
      </c>
      <c r="D103" s="79">
        <v>0</v>
      </c>
      <c r="E103" s="79" t="s">
        <v>1124</v>
      </c>
      <c r="F103" s="79" t="s">
        <v>2102</v>
      </c>
      <c r="G103" s="79" t="s">
        <v>2160</v>
      </c>
      <c r="H103" s="79"/>
      <c r="I103" s="79"/>
    </row>
    <row r="104" spans="1:9" ht="14.25">
      <c r="A104" s="79" t="s">
        <v>2156</v>
      </c>
      <c r="B104" s="79" t="s">
        <v>2157</v>
      </c>
      <c r="C104" s="79">
        <v>590206956</v>
      </c>
      <c r="D104" s="79">
        <v>0</v>
      </c>
      <c r="E104" s="79" t="s">
        <v>1124</v>
      </c>
      <c r="F104" s="79" t="s">
        <v>2102</v>
      </c>
      <c r="G104" s="79" t="s">
        <v>2161</v>
      </c>
      <c r="H104" s="79"/>
      <c r="I104" s="79"/>
    </row>
    <row r="105" spans="1:9" ht="14.25">
      <c r="A105" s="79" t="s">
        <v>2156</v>
      </c>
      <c r="B105" s="79" t="s">
        <v>2157</v>
      </c>
      <c r="C105" s="79">
        <v>590206956</v>
      </c>
      <c r="D105" s="79">
        <v>0</v>
      </c>
      <c r="E105" s="79" t="s">
        <v>1124</v>
      </c>
      <c r="F105" s="79" t="s">
        <v>2102</v>
      </c>
      <c r="G105" s="79" t="s">
        <v>2162</v>
      </c>
      <c r="H105" s="79"/>
      <c r="I105" s="79"/>
    </row>
    <row r="106" spans="1:9" ht="14.25">
      <c r="A106" s="79" t="s">
        <v>2156</v>
      </c>
      <c r="B106" s="79" t="s">
        <v>2157</v>
      </c>
      <c r="C106" s="79">
        <v>590206956</v>
      </c>
      <c r="D106" s="79">
        <v>0</v>
      </c>
      <c r="E106" s="79" t="s">
        <v>1124</v>
      </c>
      <c r="F106" s="79" t="s">
        <v>2102</v>
      </c>
      <c r="G106" s="79" t="s">
        <v>1294</v>
      </c>
      <c r="H106" s="79"/>
      <c r="I106" s="79"/>
    </row>
    <row r="107" spans="1:9" ht="14.25">
      <c r="A107" s="81" t="s">
        <v>2163</v>
      </c>
      <c r="B107" s="81" t="s">
        <v>2164</v>
      </c>
      <c r="C107" s="81">
        <v>590206986</v>
      </c>
      <c r="D107" s="81">
        <v>7</v>
      </c>
      <c r="E107" s="81" t="s">
        <v>373</v>
      </c>
      <c r="F107" s="81" t="s">
        <v>2099</v>
      </c>
      <c r="G107" s="81" t="s">
        <v>2165</v>
      </c>
      <c r="H107" s="81" t="s">
        <v>2166</v>
      </c>
      <c r="I107" s="81" t="s">
        <v>2101</v>
      </c>
    </row>
    <row r="108" spans="1:9" ht="14.25">
      <c r="A108" s="81" t="s">
        <v>2167</v>
      </c>
      <c r="B108" s="81" t="s">
        <v>2168</v>
      </c>
      <c r="C108" s="81">
        <v>590206991</v>
      </c>
      <c r="D108" s="81">
        <v>1</v>
      </c>
      <c r="E108" s="81" t="s">
        <v>373</v>
      </c>
      <c r="F108" s="81" t="s">
        <v>2099</v>
      </c>
      <c r="G108" s="81" t="s">
        <v>389</v>
      </c>
      <c r="H108" s="81"/>
      <c r="I108" s="81" t="s">
        <v>2101</v>
      </c>
    </row>
    <row r="109" spans="1:9" ht="14.25">
      <c r="A109" s="81" t="s">
        <v>2169</v>
      </c>
      <c r="B109" s="81" t="s">
        <v>2170</v>
      </c>
      <c r="C109" s="81">
        <v>590206995</v>
      </c>
      <c r="D109" s="81">
        <v>1</v>
      </c>
      <c r="E109" s="81" t="s">
        <v>373</v>
      </c>
      <c r="F109" s="81" t="s">
        <v>2099</v>
      </c>
      <c r="G109" s="81" t="s">
        <v>389</v>
      </c>
      <c r="H109" s="81"/>
      <c r="I109" s="81" t="s">
        <v>2101</v>
      </c>
    </row>
    <row r="110" spans="1:9" ht="14.25">
      <c r="A110" s="81" t="s">
        <v>2171</v>
      </c>
      <c r="B110" s="81" t="s">
        <v>2172</v>
      </c>
      <c r="C110" s="81">
        <v>590207000</v>
      </c>
      <c r="D110" s="81">
        <v>1</v>
      </c>
      <c r="E110" s="81" t="s">
        <v>373</v>
      </c>
      <c r="F110" s="81" t="s">
        <v>2099</v>
      </c>
      <c r="G110" s="81" t="s">
        <v>395</v>
      </c>
      <c r="H110" s="81"/>
      <c r="I110" s="81" t="s">
        <v>2101</v>
      </c>
    </row>
    <row r="111" spans="1:9" ht="14.25">
      <c r="A111" s="81" t="s">
        <v>2173</v>
      </c>
      <c r="B111" s="81" t="s">
        <v>2174</v>
      </c>
      <c r="C111" s="81">
        <v>590207004</v>
      </c>
      <c r="D111" s="81">
        <v>1</v>
      </c>
      <c r="E111" s="81" t="s">
        <v>373</v>
      </c>
      <c r="F111" s="81" t="s">
        <v>2099</v>
      </c>
      <c r="G111" s="81" t="s">
        <v>395</v>
      </c>
      <c r="H111" s="81"/>
      <c r="I111" s="81" t="s">
        <v>2101</v>
      </c>
    </row>
    <row r="112" spans="1:9" ht="14.25">
      <c r="A112" s="81" t="s">
        <v>2175</v>
      </c>
      <c r="B112" s="81" t="s">
        <v>2176</v>
      </c>
      <c r="C112" s="81">
        <v>590207009</v>
      </c>
      <c r="D112" s="81">
        <v>2</v>
      </c>
      <c r="E112" s="81" t="s">
        <v>373</v>
      </c>
      <c r="F112" s="81" t="s">
        <v>2177</v>
      </c>
      <c r="G112" s="81" t="s">
        <v>375</v>
      </c>
      <c r="H112" s="81"/>
      <c r="I112" s="81" t="s">
        <v>2101</v>
      </c>
    </row>
    <row r="113" spans="1:9" ht="14.25">
      <c r="A113" s="81" t="s">
        <v>2178</v>
      </c>
      <c r="B113" s="81" t="s">
        <v>2179</v>
      </c>
      <c r="C113" s="81">
        <v>590207013</v>
      </c>
      <c r="D113" s="81">
        <v>1</v>
      </c>
      <c r="E113" s="81" t="s">
        <v>373</v>
      </c>
      <c r="F113" s="81" t="s">
        <v>2177</v>
      </c>
      <c r="G113" s="81" t="s">
        <v>375</v>
      </c>
      <c r="H113" s="81"/>
      <c r="I113" s="81" t="s">
        <v>2101</v>
      </c>
    </row>
    <row r="114" spans="1:9" ht="14.25">
      <c r="A114" s="81" t="s">
        <v>2180</v>
      </c>
      <c r="B114" s="81" t="s">
        <v>2181</v>
      </c>
      <c r="C114" s="81">
        <v>590207018</v>
      </c>
      <c r="D114" s="81">
        <v>1</v>
      </c>
      <c r="E114" s="81" t="s">
        <v>373</v>
      </c>
      <c r="F114" s="81" t="s">
        <v>2177</v>
      </c>
      <c r="G114" s="81" t="s">
        <v>382</v>
      </c>
      <c r="H114" s="81"/>
      <c r="I114" s="81" t="s">
        <v>2101</v>
      </c>
    </row>
    <row r="115" spans="1:9" ht="14.25">
      <c r="A115" s="81" t="s">
        <v>2182</v>
      </c>
      <c r="B115" s="81" t="s">
        <v>2183</v>
      </c>
      <c r="C115" s="81">
        <v>590207022</v>
      </c>
      <c r="D115" s="81">
        <v>1</v>
      </c>
      <c r="E115" s="81" t="s">
        <v>373</v>
      </c>
      <c r="F115" s="81" t="s">
        <v>2177</v>
      </c>
      <c r="G115" s="81" t="s">
        <v>382</v>
      </c>
      <c r="H115" s="81"/>
      <c r="I115" s="81" t="s">
        <v>2101</v>
      </c>
    </row>
    <row r="116" spans="1:9" ht="14.25">
      <c r="A116" s="153" t="s">
        <v>2184</v>
      </c>
      <c r="B116" s="153" t="s">
        <v>2185</v>
      </c>
      <c r="C116" s="153">
        <v>590222827</v>
      </c>
      <c r="D116" s="153">
        <v>1</v>
      </c>
      <c r="E116" s="153" t="s">
        <v>373</v>
      </c>
      <c r="F116" s="153" t="s">
        <v>2186</v>
      </c>
      <c r="G116" s="153" t="s">
        <v>375</v>
      </c>
      <c r="H116" s="153"/>
      <c r="I116" s="153" t="s">
        <v>2187</v>
      </c>
    </row>
    <row r="117" spans="1:9" ht="14.25">
      <c r="A117" s="153" t="s">
        <v>2188</v>
      </c>
      <c r="B117" s="153" t="s">
        <v>2189</v>
      </c>
      <c r="C117" s="153">
        <v>590222830</v>
      </c>
      <c r="D117" s="153">
        <v>1</v>
      </c>
      <c r="E117" s="153" t="s">
        <v>373</v>
      </c>
      <c r="F117" s="153" t="s">
        <v>2186</v>
      </c>
      <c r="G117" s="153" t="s">
        <v>382</v>
      </c>
      <c r="H117" s="153"/>
      <c r="I117" s="153" t="s">
        <v>2187</v>
      </c>
    </row>
    <row r="118" spans="1:9" ht="14.25">
      <c r="A118" s="79" t="s">
        <v>2190</v>
      </c>
      <c r="B118" s="79" t="s">
        <v>2191</v>
      </c>
      <c r="C118" s="79">
        <v>590222850</v>
      </c>
      <c r="D118" s="79">
        <v>1</v>
      </c>
      <c r="E118" s="79" t="s">
        <v>373</v>
      </c>
      <c r="F118" s="79" t="s">
        <v>2192</v>
      </c>
      <c r="G118" s="79" t="s">
        <v>389</v>
      </c>
      <c r="H118" s="79"/>
      <c r="I118" s="79"/>
    </row>
    <row r="119" spans="1:9" ht="14.25">
      <c r="A119" s="79" t="s">
        <v>2193</v>
      </c>
      <c r="B119" s="79" t="s">
        <v>2194</v>
      </c>
      <c r="C119" s="79">
        <v>590222853</v>
      </c>
      <c r="D119" s="79">
        <v>1</v>
      </c>
      <c r="E119" s="79" t="s">
        <v>373</v>
      </c>
      <c r="F119" s="79" t="s">
        <v>2192</v>
      </c>
      <c r="G119" s="79" t="s">
        <v>395</v>
      </c>
      <c r="H119" s="79"/>
      <c r="I119" s="79"/>
    </row>
    <row r="120" spans="1:9" ht="14.25">
      <c r="A120" s="81" t="s">
        <v>2195</v>
      </c>
      <c r="B120" s="81" t="s">
        <v>2196</v>
      </c>
      <c r="C120" s="81">
        <v>590247716</v>
      </c>
      <c r="D120" s="81">
        <v>7</v>
      </c>
      <c r="E120" s="81" t="s">
        <v>373</v>
      </c>
      <c r="F120" s="81" t="s">
        <v>2197</v>
      </c>
      <c r="G120" s="81" t="s">
        <v>866</v>
      </c>
      <c r="H120" s="81" t="s">
        <v>867</v>
      </c>
      <c r="I120" s="81" t="s">
        <v>2198</v>
      </c>
    </row>
    <row r="121" spans="1:9" ht="14.25">
      <c r="A121" s="81" t="s">
        <v>2199</v>
      </c>
      <c r="B121" s="81" t="s">
        <v>2200</v>
      </c>
      <c r="C121" s="81">
        <v>590247726</v>
      </c>
      <c r="D121" s="81">
        <v>0</v>
      </c>
      <c r="E121" s="81" t="s">
        <v>1124</v>
      </c>
      <c r="F121" s="81" t="s">
        <v>2197</v>
      </c>
      <c r="G121" s="81" t="s">
        <v>2201</v>
      </c>
      <c r="H121" s="81"/>
      <c r="I121" s="81" t="s">
        <v>2198</v>
      </c>
    </row>
    <row r="122" spans="1:9" ht="14.25">
      <c r="A122" s="81" t="s">
        <v>2202</v>
      </c>
      <c r="B122" s="81" t="s">
        <v>2203</v>
      </c>
      <c r="C122" s="81">
        <v>590247731</v>
      </c>
      <c r="D122" s="81">
        <v>0</v>
      </c>
      <c r="E122" s="81" t="s">
        <v>1124</v>
      </c>
      <c r="F122" s="81" t="s">
        <v>2197</v>
      </c>
      <c r="G122" s="81" t="s">
        <v>2204</v>
      </c>
      <c r="H122" s="81"/>
      <c r="I122" s="81" t="s">
        <v>2198</v>
      </c>
    </row>
    <row r="123" spans="1:9" ht="14.25">
      <c r="A123" s="81" t="s">
        <v>2205</v>
      </c>
      <c r="B123" s="81" t="s">
        <v>2206</v>
      </c>
      <c r="C123" s="81">
        <v>590247741</v>
      </c>
      <c r="D123" s="81">
        <v>0</v>
      </c>
      <c r="E123" s="81" t="s">
        <v>1124</v>
      </c>
      <c r="F123" s="81" t="s">
        <v>2207</v>
      </c>
      <c r="G123" s="81" t="s">
        <v>2208</v>
      </c>
      <c r="H123" s="81"/>
      <c r="I123" s="81" t="s">
        <v>2198</v>
      </c>
    </row>
    <row r="124" spans="1:9" ht="14.25">
      <c r="A124" s="81" t="s">
        <v>2209</v>
      </c>
      <c r="B124" s="81" t="s">
        <v>2210</v>
      </c>
      <c r="C124" s="81">
        <v>590247751</v>
      </c>
      <c r="D124" s="81">
        <v>0</v>
      </c>
      <c r="E124" s="81" t="s">
        <v>1124</v>
      </c>
      <c r="F124" s="81" t="s">
        <v>2207</v>
      </c>
      <c r="G124" s="81" t="s">
        <v>2211</v>
      </c>
      <c r="H124" s="81"/>
      <c r="I124" s="81" t="s">
        <v>2198</v>
      </c>
    </row>
    <row r="125" spans="1:9" ht="14.25">
      <c r="A125" s="81" t="s">
        <v>2212</v>
      </c>
      <c r="B125" s="81" t="s">
        <v>2213</v>
      </c>
      <c r="C125" s="81">
        <v>590247761</v>
      </c>
      <c r="D125" s="81">
        <v>0</v>
      </c>
      <c r="E125" s="81" t="s">
        <v>1124</v>
      </c>
      <c r="F125" s="81" t="s">
        <v>2207</v>
      </c>
      <c r="G125" s="81" t="s">
        <v>2214</v>
      </c>
      <c r="H125" s="81"/>
      <c r="I125" s="81" t="s">
        <v>2198</v>
      </c>
    </row>
    <row r="126" spans="1:9" ht="14.25">
      <c r="A126" s="79" t="s">
        <v>2212</v>
      </c>
      <c r="B126" s="79" t="s">
        <v>2213</v>
      </c>
      <c r="C126" s="79">
        <v>590247761</v>
      </c>
      <c r="D126" s="79">
        <v>0</v>
      </c>
      <c r="E126" s="79" t="s">
        <v>1124</v>
      </c>
      <c r="F126" s="79" t="s">
        <v>2215</v>
      </c>
      <c r="G126" s="79" t="s">
        <v>2216</v>
      </c>
      <c r="H126" s="79"/>
      <c r="I126" s="79"/>
    </row>
    <row r="127" spans="1:9" ht="14.25">
      <c r="A127" s="79" t="s">
        <v>2212</v>
      </c>
      <c r="B127" s="79" t="s">
        <v>2213</v>
      </c>
      <c r="C127" s="79">
        <v>590247761</v>
      </c>
      <c r="D127" s="79">
        <v>0</v>
      </c>
      <c r="E127" s="79" t="s">
        <v>1124</v>
      </c>
      <c r="F127" s="79" t="s">
        <v>2215</v>
      </c>
      <c r="G127" s="79" t="s">
        <v>2104</v>
      </c>
      <c r="H127" s="79"/>
      <c r="I127" s="79"/>
    </row>
    <row r="128" spans="1:9" ht="14.25">
      <c r="A128" s="79" t="s">
        <v>2217</v>
      </c>
      <c r="B128" s="79" t="s">
        <v>2218</v>
      </c>
      <c r="C128" s="79">
        <v>590247762</v>
      </c>
      <c r="D128" s="79">
        <v>0</v>
      </c>
      <c r="E128" s="79" t="s">
        <v>1124</v>
      </c>
      <c r="F128" s="79" t="s">
        <v>2215</v>
      </c>
      <c r="G128" s="79" t="s">
        <v>2219</v>
      </c>
      <c r="H128" s="79"/>
      <c r="I128" s="79"/>
    </row>
    <row r="129" spans="1:9" ht="14.25">
      <c r="A129" s="79" t="s">
        <v>2217</v>
      </c>
      <c r="B129" s="79" t="s">
        <v>2218</v>
      </c>
      <c r="C129" s="79">
        <v>590247762</v>
      </c>
      <c r="D129" s="79">
        <v>0</v>
      </c>
      <c r="E129" s="79" t="s">
        <v>1124</v>
      </c>
      <c r="F129" s="79" t="s">
        <v>2215</v>
      </c>
      <c r="G129" s="79" t="s">
        <v>2104</v>
      </c>
      <c r="H129" s="79"/>
      <c r="I129" s="79"/>
    </row>
    <row r="130" spans="1:9" ht="14.25">
      <c r="A130" s="79" t="s">
        <v>2220</v>
      </c>
      <c r="B130" s="79" t="s">
        <v>2221</v>
      </c>
      <c r="C130" s="79">
        <v>590247763</v>
      </c>
      <c r="D130" s="79">
        <v>0</v>
      </c>
      <c r="E130" s="79" t="s">
        <v>1124</v>
      </c>
      <c r="F130" s="79" t="s">
        <v>2215</v>
      </c>
      <c r="G130" s="79" t="s">
        <v>2222</v>
      </c>
      <c r="H130" s="79"/>
      <c r="I130" s="79"/>
    </row>
    <row r="131" spans="1:9" ht="14.25">
      <c r="A131" s="79" t="s">
        <v>2220</v>
      </c>
      <c r="B131" s="79" t="s">
        <v>2221</v>
      </c>
      <c r="C131" s="79">
        <v>590247763</v>
      </c>
      <c r="D131" s="79">
        <v>0</v>
      </c>
      <c r="E131" s="79" t="s">
        <v>1124</v>
      </c>
      <c r="F131" s="79" t="s">
        <v>2215</v>
      </c>
      <c r="G131" s="79" t="s">
        <v>2104</v>
      </c>
      <c r="H131" s="79"/>
      <c r="I131" s="79"/>
    </row>
    <row r="132" spans="1:9" ht="14.25">
      <c r="A132" s="79" t="s">
        <v>2223</v>
      </c>
      <c r="B132" s="79" t="s">
        <v>2224</v>
      </c>
      <c r="C132" s="79">
        <v>590247764</v>
      </c>
      <c r="D132" s="79">
        <v>0</v>
      </c>
      <c r="E132" s="79" t="s">
        <v>1124</v>
      </c>
      <c r="F132" s="79" t="s">
        <v>2215</v>
      </c>
      <c r="G132" s="79" t="s">
        <v>2225</v>
      </c>
      <c r="H132" s="79"/>
      <c r="I132" s="79"/>
    </row>
    <row r="133" spans="1:9" ht="14.25">
      <c r="A133" s="79" t="s">
        <v>2223</v>
      </c>
      <c r="B133" s="79" t="s">
        <v>2224</v>
      </c>
      <c r="C133" s="79">
        <v>590247764</v>
      </c>
      <c r="D133" s="79">
        <v>0</v>
      </c>
      <c r="E133" s="79" t="s">
        <v>1124</v>
      </c>
      <c r="F133" s="79" t="s">
        <v>2215</v>
      </c>
      <c r="G133" s="79" t="s">
        <v>2226</v>
      </c>
      <c r="H133" s="79"/>
      <c r="I133" s="79"/>
    </row>
    <row r="134" spans="1:9" ht="14.25">
      <c r="A134" s="79" t="s">
        <v>2223</v>
      </c>
      <c r="B134" s="79" t="s">
        <v>2224</v>
      </c>
      <c r="C134" s="79">
        <v>590247764</v>
      </c>
      <c r="D134" s="79">
        <v>0</v>
      </c>
      <c r="E134" s="79" t="s">
        <v>1124</v>
      </c>
      <c r="F134" s="79" t="s">
        <v>2215</v>
      </c>
      <c r="G134" s="79" t="s">
        <v>2104</v>
      </c>
      <c r="H134" s="79"/>
      <c r="I134" s="79"/>
    </row>
    <row r="135" spans="1:9" ht="14.25">
      <c r="A135" s="79" t="s">
        <v>2227</v>
      </c>
      <c r="B135" s="79" t="s">
        <v>2228</v>
      </c>
      <c r="C135" s="79">
        <v>590247765</v>
      </c>
      <c r="D135" s="79">
        <v>0</v>
      </c>
      <c r="E135" s="79" t="s">
        <v>1124</v>
      </c>
      <c r="F135" s="79" t="s">
        <v>2215</v>
      </c>
      <c r="G135" s="79" t="s">
        <v>2229</v>
      </c>
      <c r="H135" s="79"/>
      <c r="I135" s="79"/>
    </row>
    <row r="136" spans="1:9" ht="14.25">
      <c r="A136" s="79" t="s">
        <v>2227</v>
      </c>
      <c r="B136" s="79" t="s">
        <v>2228</v>
      </c>
      <c r="C136" s="79">
        <v>590247765</v>
      </c>
      <c r="D136" s="79">
        <v>0</v>
      </c>
      <c r="E136" s="79" t="s">
        <v>1124</v>
      </c>
      <c r="F136" s="79" t="s">
        <v>2215</v>
      </c>
      <c r="G136" s="79" t="s">
        <v>2104</v>
      </c>
      <c r="H136" s="79"/>
      <c r="I136" s="79"/>
    </row>
    <row r="137" spans="1:9" ht="14.25">
      <c r="A137" s="79" t="s">
        <v>2230</v>
      </c>
      <c r="B137" s="79" t="s">
        <v>2231</v>
      </c>
      <c r="C137" s="79">
        <v>590247766</v>
      </c>
      <c r="D137" s="79">
        <v>0</v>
      </c>
      <c r="E137" s="79" t="s">
        <v>1124</v>
      </c>
      <c r="F137" s="79" t="s">
        <v>2215</v>
      </c>
      <c r="G137" s="79" t="s">
        <v>2232</v>
      </c>
      <c r="H137" s="79"/>
      <c r="I137" s="79"/>
    </row>
    <row r="138" spans="1:9" ht="14.25">
      <c r="A138" s="79" t="s">
        <v>2230</v>
      </c>
      <c r="B138" s="79" t="s">
        <v>2231</v>
      </c>
      <c r="C138" s="79">
        <v>590247766</v>
      </c>
      <c r="D138" s="79">
        <v>0</v>
      </c>
      <c r="E138" s="79" t="s">
        <v>1124</v>
      </c>
      <c r="F138" s="79" t="s">
        <v>2215</v>
      </c>
      <c r="G138" s="79" t="s">
        <v>2233</v>
      </c>
      <c r="H138" s="79"/>
      <c r="I138" s="79"/>
    </row>
    <row r="139" spans="1:9" ht="14.25">
      <c r="A139" s="79" t="s">
        <v>2230</v>
      </c>
      <c r="B139" s="79" t="s">
        <v>2231</v>
      </c>
      <c r="C139" s="79">
        <v>590247766</v>
      </c>
      <c r="D139" s="79">
        <v>0</v>
      </c>
      <c r="E139" s="79" t="s">
        <v>1124</v>
      </c>
      <c r="F139" s="79" t="s">
        <v>2215</v>
      </c>
      <c r="G139" s="79" t="s">
        <v>2234</v>
      </c>
      <c r="H139" s="79"/>
      <c r="I139" s="79"/>
    </row>
    <row r="140" spans="1:9" ht="14.25">
      <c r="A140" s="79" t="s">
        <v>2230</v>
      </c>
      <c r="B140" s="79" t="s">
        <v>2231</v>
      </c>
      <c r="C140" s="79">
        <v>590247766</v>
      </c>
      <c r="D140" s="79">
        <v>0</v>
      </c>
      <c r="E140" s="79" t="s">
        <v>1124</v>
      </c>
      <c r="F140" s="79" t="s">
        <v>2215</v>
      </c>
      <c r="G140" s="79" t="s">
        <v>2235</v>
      </c>
      <c r="H140" s="79"/>
      <c r="I140" s="79"/>
    </row>
    <row r="141" spans="1:9" ht="14.25">
      <c r="A141" s="79" t="s">
        <v>2230</v>
      </c>
      <c r="B141" s="79" t="s">
        <v>2231</v>
      </c>
      <c r="C141" s="79">
        <v>590247766</v>
      </c>
      <c r="D141" s="79">
        <v>0</v>
      </c>
      <c r="E141" s="79" t="s">
        <v>1124</v>
      </c>
      <c r="F141" s="79" t="s">
        <v>2215</v>
      </c>
      <c r="G141" s="79" t="s">
        <v>2236</v>
      </c>
      <c r="H141" s="79"/>
      <c r="I141" s="79"/>
    </row>
    <row r="142" spans="1:9" ht="14.25">
      <c r="A142" s="79" t="s">
        <v>2230</v>
      </c>
      <c r="B142" s="79" t="s">
        <v>2231</v>
      </c>
      <c r="C142" s="79">
        <v>590247766</v>
      </c>
      <c r="D142" s="79">
        <v>0</v>
      </c>
      <c r="E142" s="79" t="s">
        <v>1124</v>
      </c>
      <c r="F142" s="79" t="s">
        <v>2215</v>
      </c>
      <c r="G142" s="79" t="s">
        <v>2104</v>
      </c>
      <c r="H142" s="79"/>
      <c r="I142" s="79"/>
    </row>
    <row r="143" spans="1:9" ht="14.25">
      <c r="A143" s="79" t="s">
        <v>2237</v>
      </c>
      <c r="B143" s="79" t="s">
        <v>2238</v>
      </c>
      <c r="C143" s="79">
        <v>590247767</v>
      </c>
      <c r="D143" s="79">
        <v>0</v>
      </c>
      <c r="E143" s="79" t="s">
        <v>1124</v>
      </c>
      <c r="F143" s="79" t="s">
        <v>2215</v>
      </c>
      <c r="G143" s="79" t="s">
        <v>2239</v>
      </c>
      <c r="H143" s="79"/>
      <c r="I143" s="79"/>
    </row>
    <row r="144" spans="1:9" ht="14.25">
      <c r="A144" s="79" t="s">
        <v>2237</v>
      </c>
      <c r="B144" s="79" t="s">
        <v>2238</v>
      </c>
      <c r="C144" s="79">
        <v>590247767</v>
      </c>
      <c r="D144" s="79">
        <v>0</v>
      </c>
      <c r="E144" s="79" t="s">
        <v>1124</v>
      </c>
      <c r="F144" s="79" t="s">
        <v>2215</v>
      </c>
      <c r="G144" s="79" t="s">
        <v>2104</v>
      </c>
      <c r="H144" s="79"/>
      <c r="I144" s="79"/>
    </row>
    <row r="145" spans="1:9" ht="14.25">
      <c r="A145" s="79" t="s">
        <v>2240</v>
      </c>
      <c r="B145" s="79" t="s">
        <v>2241</v>
      </c>
      <c r="C145" s="79">
        <v>590247768</v>
      </c>
      <c r="D145" s="79">
        <v>0</v>
      </c>
      <c r="E145" s="79" t="s">
        <v>1124</v>
      </c>
      <c r="F145" s="79" t="s">
        <v>2215</v>
      </c>
      <c r="G145" s="79" t="s">
        <v>2242</v>
      </c>
      <c r="H145" s="79"/>
      <c r="I145" s="79"/>
    </row>
    <row r="146" spans="1:9" ht="14.25">
      <c r="A146" s="79" t="s">
        <v>2240</v>
      </c>
      <c r="B146" s="79" t="s">
        <v>2241</v>
      </c>
      <c r="C146" s="79">
        <v>590247768</v>
      </c>
      <c r="D146" s="79">
        <v>0</v>
      </c>
      <c r="E146" s="79" t="s">
        <v>1124</v>
      </c>
      <c r="F146" s="79" t="s">
        <v>2215</v>
      </c>
      <c r="G146" s="79" t="s">
        <v>2104</v>
      </c>
      <c r="H146" s="79"/>
      <c r="I146" s="79"/>
    </row>
    <row r="147" spans="1:9" ht="14.25">
      <c r="A147" s="79" t="s">
        <v>2243</v>
      </c>
      <c r="B147" s="79" t="s">
        <v>2244</v>
      </c>
      <c r="C147" s="79">
        <v>590247769</v>
      </c>
      <c r="D147" s="79">
        <v>0</v>
      </c>
      <c r="E147" s="79" t="s">
        <v>1124</v>
      </c>
      <c r="F147" s="79" t="s">
        <v>2215</v>
      </c>
      <c r="G147" s="79" t="s">
        <v>2245</v>
      </c>
      <c r="H147" s="79"/>
      <c r="I147" s="79"/>
    </row>
    <row r="148" spans="1:9" ht="14.25">
      <c r="A148" s="79" t="s">
        <v>2243</v>
      </c>
      <c r="B148" s="79" t="s">
        <v>2244</v>
      </c>
      <c r="C148" s="79">
        <v>590247769</v>
      </c>
      <c r="D148" s="79">
        <v>0</v>
      </c>
      <c r="E148" s="79" t="s">
        <v>1124</v>
      </c>
      <c r="F148" s="79" t="s">
        <v>2215</v>
      </c>
      <c r="G148" s="79" t="s">
        <v>2104</v>
      </c>
      <c r="H148" s="79"/>
      <c r="I148" s="79"/>
    </row>
    <row r="149" spans="1:9" ht="14.25">
      <c r="A149" s="79" t="s">
        <v>2246</v>
      </c>
      <c r="B149" s="79" t="s">
        <v>2247</v>
      </c>
      <c r="C149" s="79">
        <v>590247770</v>
      </c>
      <c r="D149" s="79">
        <v>0</v>
      </c>
      <c r="E149" s="79" t="s">
        <v>1124</v>
      </c>
      <c r="F149" s="79" t="s">
        <v>2215</v>
      </c>
      <c r="G149" s="79" t="s">
        <v>2160</v>
      </c>
      <c r="H149" s="79"/>
      <c r="I149" s="79"/>
    </row>
    <row r="150" spans="1:9" ht="14.25">
      <c r="A150" s="79" t="s">
        <v>2246</v>
      </c>
      <c r="B150" s="79" t="s">
        <v>2247</v>
      </c>
      <c r="C150" s="79">
        <v>590247770</v>
      </c>
      <c r="D150" s="79">
        <v>0</v>
      </c>
      <c r="E150" s="79" t="s">
        <v>1124</v>
      </c>
      <c r="F150" s="79" t="s">
        <v>2215</v>
      </c>
      <c r="G150" s="79" t="s">
        <v>2104</v>
      </c>
      <c r="H150" s="79"/>
      <c r="I150" s="79"/>
    </row>
    <row r="151" spans="1:9" ht="14.25">
      <c r="A151" s="79" t="s">
        <v>2248</v>
      </c>
      <c r="B151" s="79" t="s">
        <v>2249</v>
      </c>
      <c r="C151" s="79">
        <v>590247771</v>
      </c>
      <c r="D151" s="79">
        <v>0</v>
      </c>
      <c r="E151" s="79" t="s">
        <v>1124</v>
      </c>
      <c r="F151" s="79" t="s">
        <v>2215</v>
      </c>
      <c r="G151" s="79" t="s">
        <v>2250</v>
      </c>
      <c r="H151" s="79"/>
      <c r="I151" s="79"/>
    </row>
    <row r="152" spans="1:9" ht="14.25">
      <c r="A152" s="79" t="s">
        <v>2248</v>
      </c>
      <c r="B152" s="79" t="s">
        <v>2249</v>
      </c>
      <c r="C152" s="79">
        <v>590247771</v>
      </c>
      <c r="D152" s="79">
        <v>0</v>
      </c>
      <c r="E152" s="79" t="s">
        <v>1124</v>
      </c>
      <c r="F152" s="79" t="s">
        <v>2215</v>
      </c>
      <c r="G152" s="79" t="s">
        <v>2251</v>
      </c>
      <c r="H152" s="79"/>
      <c r="I152" s="79"/>
    </row>
    <row r="153" spans="1:9" ht="14.25">
      <c r="A153" s="79" t="s">
        <v>2248</v>
      </c>
      <c r="B153" s="79" t="s">
        <v>2249</v>
      </c>
      <c r="C153" s="79">
        <v>590247771</v>
      </c>
      <c r="D153" s="79">
        <v>0</v>
      </c>
      <c r="E153" s="79" t="s">
        <v>1124</v>
      </c>
      <c r="F153" s="79" t="s">
        <v>2215</v>
      </c>
      <c r="G153" s="79" t="s">
        <v>2252</v>
      </c>
      <c r="H153" s="79"/>
      <c r="I153" s="79"/>
    </row>
    <row r="154" spans="1:9" ht="14.25">
      <c r="A154" s="79" t="s">
        <v>2248</v>
      </c>
      <c r="B154" s="79" t="s">
        <v>2249</v>
      </c>
      <c r="C154" s="79">
        <v>590247771</v>
      </c>
      <c r="D154" s="79">
        <v>0</v>
      </c>
      <c r="E154" s="79" t="s">
        <v>1124</v>
      </c>
      <c r="F154" s="79" t="s">
        <v>2215</v>
      </c>
      <c r="G154" s="79" t="s">
        <v>2253</v>
      </c>
      <c r="H154" s="79"/>
      <c r="I154" s="79"/>
    </row>
    <row r="155" spans="1:9" ht="14.25">
      <c r="A155" s="79" t="s">
        <v>2248</v>
      </c>
      <c r="B155" s="79" t="s">
        <v>2249</v>
      </c>
      <c r="C155" s="79">
        <v>590247771</v>
      </c>
      <c r="D155" s="79">
        <v>0</v>
      </c>
      <c r="E155" s="79" t="s">
        <v>1124</v>
      </c>
      <c r="F155" s="79" t="s">
        <v>2215</v>
      </c>
      <c r="G155" s="79" t="s">
        <v>2254</v>
      </c>
      <c r="H155" s="79"/>
      <c r="I155" s="79"/>
    </row>
    <row r="156" spans="1:9" ht="14.25">
      <c r="A156" s="79" t="s">
        <v>2248</v>
      </c>
      <c r="B156" s="79" t="s">
        <v>2249</v>
      </c>
      <c r="C156" s="79">
        <v>590247771</v>
      </c>
      <c r="D156" s="79">
        <v>0</v>
      </c>
      <c r="E156" s="79" t="s">
        <v>1124</v>
      </c>
      <c r="F156" s="79" t="s">
        <v>2215</v>
      </c>
      <c r="G156" s="79" t="s">
        <v>2104</v>
      </c>
      <c r="H156" s="79"/>
      <c r="I156" s="79"/>
    </row>
    <row r="157" spans="1:9" ht="14.25">
      <c r="A157" s="79" t="s">
        <v>2255</v>
      </c>
      <c r="B157" s="79" t="s">
        <v>2256</v>
      </c>
      <c r="C157" s="79">
        <v>590247772</v>
      </c>
      <c r="D157" s="79">
        <v>0</v>
      </c>
      <c r="E157" s="79" t="s">
        <v>1124</v>
      </c>
      <c r="F157" s="79" t="s">
        <v>2215</v>
      </c>
      <c r="G157" s="79" t="s">
        <v>2257</v>
      </c>
      <c r="H157" s="79"/>
      <c r="I157" s="79"/>
    </row>
    <row r="158" spans="1:9" ht="14.25">
      <c r="A158" s="79" t="s">
        <v>2255</v>
      </c>
      <c r="B158" s="79" t="s">
        <v>2256</v>
      </c>
      <c r="C158" s="79">
        <v>590247772</v>
      </c>
      <c r="D158" s="79">
        <v>0</v>
      </c>
      <c r="E158" s="79" t="s">
        <v>1124</v>
      </c>
      <c r="F158" s="79" t="s">
        <v>2215</v>
      </c>
      <c r="G158" s="79" t="s">
        <v>2258</v>
      </c>
      <c r="H158" s="79"/>
      <c r="I158" s="79"/>
    </row>
    <row r="159" spans="1:9" ht="14.25">
      <c r="A159" s="79" t="s">
        <v>2255</v>
      </c>
      <c r="B159" s="79" t="s">
        <v>2256</v>
      </c>
      <c r="C159" s="79">
        <v>590247772</v>
      </c>
      <c r="D159" s="79">
        <v>0</v>
      </c>
      <c r="E159" s="79" t="s">
        <v>1124</v>
      </c>
      <c r="F159" s="79" t="s">
        <v>2215</v>
      </c>
      <c r="G159" s="79" t="s">
        <v>2259</v>
      </c>
      <c r="H159" s="79"/>
      <c r="I159" s="79"/>
    </row>
    <row r="160" spans="1:9" ht="14.25">
      <c r="A160" s="79" t="s">
        <v>2255</v>
      </c>
      <c r="B160" s="79" t="s">
        <v>2256</v>
      </c>
      <c r="C160" s="79">
        <v>590247772</v>
      </c>
      <c r="D160" s="79">
        <v>0</v>
      </c>
      <c r="E160" s="79" t="s">
        <v>1124</v>
      </c>
      <c r="F160" s="79" t="s">
        <v>2215</v>
      </c>
      <c r="G160" s="79" t="s">
        <v>2260</v>
      </c>
      <c r="H160" s="79"/>
      <c r="I160" s="79"/>
    </row>
    <row r="161" spans="1:9" ht="14.25">
      <c r="A161" s="79" t="s">
        <v>2255</v>
      </c>
      <c r="B161" s="79" t="s">
        <v>2256</v>
      </c>
      <c r="C161" s="79">
        <v>590247772</v>
      </c>
      <c r="D161" s="79">
        <v>0</v>
      </c>
      <c r="E161" s="79" t="s">
        <v>1124</v>
      </c>
      <c r="F161" s="79" t="s">
        <v>2215</v>
      </c>
      <c r="G161" s="79" t="s">
        <v>2261</v>
      </c>
      <c r="H161" s="79"/>
      <c r="I161" s="79"/>
    </row>
    <row r="162" spans="1:9" ht="14.25">
      <c r="A162" s="79" t="s">
        <v>2255</v>
      </c>
      <c r="B162" s="79" t="s">
        <v>2256</v>
      </c>
      <c r="C162" s="79">
        <v>590247772</v>
      </c>
      <c r="D162" s="79">
        <v>0</v>
      </c>
      <c r="E162" s="79" t="s">
        <v>1124</v>
      </c>
      <c r="F162" s="79" t="s">
        <v>2215</v>
      </c>
      <c r="G162" s="79" t="s">
        <v>2104</v>
      </c>
      <c r="H162" s="79"/>
      <c r="I162" s="79"/>
    </row>
    <row r="163" spans="1:9" ht="14.25">
      <c r="A163" s="79" t="s">
        <v>2262</v>
      </c>
      <c r="B163" s="79" t="s">
        <v>2263</v>
      </c>
      <c r="C163" s="79">
        <v>590247773</v>
      </c>
      <c r="D163" s="79">
        <v>0</v>
      </c>
      <c r="E163" s="79" t="s">
        <v>1124</v>
      </c>
      <c r="F163" s="79" t="s">
        <v>2215</v>
      </c>
      <c r="G163" s="79" t="s">
        <v>2264</v>
      </c>
      <c r="H163" s="79"/>
      <c r="I163" s="79"/>
    </row>
    <row r="164" spans="1:9" ht="14.25">
      <c r="A164" s="79" t="s">
        <v>2262</v>
      </c>
      <c r="B164" s="79" t="s">
        <v>2263</v>
      </c>
      <c r="C164" s="79">
        <v>590247773</v>
      </c>
      <c r="D164" s="79">
        <v>0</v>
      </c>
      <c r="E164" s="79" t="s">
        <v>1124</v>
      </c>
      <c r="F164" s="79" t="s">
        <v>2215</v>
      </c>
      <c r="G164" s="79" t="s">
        <v>2265</v>
      </c>
      <c r="H164" s="79"/>
      <c r="I164" s="79"/>
    </row>
    <row r="165" spans="1:9" ht="14.25">
      <c r="A165" s="79" t="s">
        <v>2262</v>
      </c>
      <c r="B165" s="79" t="s">
        <v>2263</v>
      </c>
      <c r="C165" s="79">
        <v>590247773</v>
      </c>
      <c r="D165" s="79">
        <v>0</v>
      </c>
      <c r="E165" s="79" t="s">
        <v>1124</v>
      </c>
      <c r="F165" s="79" t="s">
        <v>2215</v>
      </c>
      <c r="G165" s="79" t="s">
        <v>2266</v>
      </c>
      <c r="H165" s="79"/>
      <c r="I165" s="79"/>
    </row>
    <row r="166" spans="1:9" ht="14.25">
      <c r="A166" s="79" t="s">
        <v>2262</v>
      </c>
      <c r="B166" s="79" t="s">
        <v>2263</v>
      </c>
      <c r="C166" s="79">
        <v>590247773</v>
      </c>
      <c r="D166" s="79">
        <v>0</v>
      </c>
      <c r="E166" s="79" t="s">
        <v>1124</v>
      </c>
      <c r="F166" s="79" t="s">
        <v>2215</v>
      </c>
      <c r="G166" s="79" t="s">
        <v>2267</v>
      </c>
      <c r="H166" s="79"/>
      <c r="I166" s="79"/>
    </row>
    <row r="167" spans="1:9" ht="14.25">
      <c r="A167" s="79" t="s">
        <v>2262</v>
      </c>
      <c r="B167" s="79" t="s">
        <v>2263</v>
      </c>
      <c r="C167" s="79">
        <v>590247773</v>
      </c>
      <c r="D167" s="79">
        <v>0</v>
      </c>
      <c r="E167" s="79" t="s">
        <v>1124</v>
      </c>
      <c r="F167" s="79" t="s">
        <v>2215</v>
      </c>
      <c r="G167" s="79" t="s">
        <v>2104</v>
      </c>
      <c r="H167" s="79"/>
      <c r="I167" s="79"/>
    </row>
    <row r="168" spans="1:9" ht="14.25">
      <c r="A168" s="79" t="s">
        <v>2268</v>
      </c>
      <c r="B168" s="79" t="s">
        <v>2269</v>
      </c>
      <c r="C168" s="79">
        <v>590247774</v>
      </c>
      <c r="D168" s="79">
        <v>0</v>
      </c>
      <c r="E168" s="79" t="s">
        <v>1124</v>
      </c>
      <c r="F168" s="79" t="s">
        <v>2215</v>
      </c>
      <c r="G168" s="79" t="s">
        <v>2270</v>
      </c>
      <c r="H168" s="79"/>
      <c r="I168" s="79"/>
    </row>
    <row r="169" spans="1:9" ht="14.25">
      <c r="A169" s="79" t="s">
        <v>2268</v>
      </c>
      <c r="B169" s="79" t="s">
        <v>2269</v>
      </c>
      <c r="C169" s="79">
        <v>590247774</v>
      </c>
      <c r="D169" s="79">
        <v>0</v>
      </c>
      <c r="E169" s="79" t="s">
        <v>1124</v>
      </c>
      <c r="F169" s="79" t="s">
        <v>2215</v>
      </c>
      <c r="G169" s="79" t="s">
        <v>2271</v>
      </c>
      <c r="H169" s="79"/>
      <c r="I169" s="79"/>
    </row>
    <row r="170" spans="1:9" ht="14.25">
      <c r="A170" s="79" t="s">
        <v>2268</v>
      </c>
      <c r="B170" s="79" t="s">
        <v>2269</v>
      </c>
      <c r="C170" s="79">
        <v>590247774</v>
      </c>
      <c r="D170" s="79">
        <v>0</v>
      </c>
      <c r="E170" s="79" t="s">
        <v>1124</v>
      </c>
      <c r="F170" s="79" t="s">
        <v>2215</v>
      </c>
      <c r="G170" s="79" t="s">
        <v>2272</v>
      </c>
      <c r="H170" s="79"/>
      <c r="I170" s="79"/>
    </row>
    <row r="171" spans="1:9" ht="14.25">
      <c r="A171" s="79" t="s">
        <v>2268</v>
      </c>
      <c r="B171" s="79" t="s">
        <v>2269</v>
      </c>
      <c r="C171" s="79">
        <v>590247774</v>
      </c>
      <c r="D171" s="79">
        <v>0</v>
      </c>
      <c r="E171" s="79" t="s">
        <v>1124</v>
      </c>
      <c r="F171" s="79" t="s">
        <v>2215</v>
      </c>
      <c r="G171" s="79" t="s">
        <v>2273</v>
      </c>
      <c r="H171" s="79"/>
      <c r="I171" s="79"/>
    </row>
    <row r="172" spans="1:9" ht="14.25">
      <c r="A172" s="79" t="s">
        <v>2268</v>
      </c>
      <c r="B172" s="79" t="s">
        <v>2269</v>
      </c>
      <c r="C172" s="79">
        <v>590247774</v>
      </c>
      <c r="D172" s="79">
        <v>0</v>
      </c>
      <c r="E172" s="79" t="s">
        <v>1124</v>
      </c>
      <c r="F172" s="79" t="s">
        <v>2215</v>
      </c>
      <c r="G172" s="79" t="s">
        <v>2104</v>
      </c>
      <c r="H172" s="79"/>
      <c r="I172" s="79"/>
    </row>
    <row r="173" spans="1:9" ht="14.25">
      <c r="A173" s="79" t="s">
        <v>2274</v>
      </c>
      <c r="B173" s="79" t="s">
        <v>2275</v>
      </c>
      <c r="C173" s="79">
        <v>590247775</v>
      </c>
      <c r="D173" s="79">
        <v>0</v>
      </c>
      <c r="E173" s="79" t="s">
        <v>1124</v>
      </c>
      <c r="F173" s="79" t="s">
        <v>2215</v>
      </c>
      <c r="G173" s="79" t="s">
        <v>2276</v>
      </c>
      <c r="H173" s="79"/>
      <c r="I173" s="79"/>
    </row>
    <row r="174" spans="1:9" ht="14.25">
      <c r="A174" s="79" t="s">
        <v>2274</v>
      </c>
      <c r="B174" s="79" t="s">
        <v>2275</v>
      </c>
      <c r="C174" s="79">
        <v>590247775</v>
      </c>
      <c r="D174" s="79">
        <v>0</v>
      </c>
      <c r="E174" s="79" t="s">
        <v>1124</v>
      </c>
      <c r="F174" s="79" t="s">
        <v>2215</v>
      </c>
      <c r="G174" s="79" t="s">
        <v>2277</v>
      </c>
      <c r="H174" s="79"/>
      <c r="I174" s="79"/>
    </row>
    <row r="175" spans="1:9" ht="14.25">
      <c r="A175" s="79" t="s">
        <v>2274</v>
      </c>
      <c r="B175" s="79" t="s">
        <v>2275</v>
      </c>
      <c r="C175" s="79">
        <v>590247775</v>
      </c>
      <c r="D175" s="79">
        <v>0</v>
      </c>
      <c r="E175" s="79" t="s">
        <v>1124</v>
      </c>
      <c r="F175" s="79" t="s">
        <v>2215</v>
      </c>
      <c r="G175" s="79" t="s">
        <v>2278</v>
      </c>
      <c r="H175" s="79"/>
      <c r="I175" s="79"/>
    </row>
    <row r="176" spans="1:9" ht="14.25">
      <c r="A176" s="79" t="s">
        <v>2274</v>
      </c>
      <c r="B176" s="79" t="s">
        <v>2275</v>
      </c>
      <c r="C176" s="79">
        <v>590247775</v>
      </c>
      <c r="D176" s="79">
        <v>0</v>
      </c>
      <c r="E176" s="79" t="s">
        <v>1124</v>
      </c>
      <c r="F176" s="79" t="s">
        <v>2215</v>
      </c>
      <c r="G176" s="79" t="s">
        <v>2279</v>
      </c>
      <c r="H176" s="79"/>
      <c r="I176" s="79"/>
    </row>
    <row r="177" spans="1:9" ht="14.25">
      <c r="A177" s="79" t="s">
        <v>2274</v>
      </c>
      <c r="B177" s="79" t="s">
        <v>2275</v>
      </c>
      <c r="C177" s="79">
        <v>590247775</v>
      </c>
      <c r="D177" s="79">
        <v>0</v>
      </c>
      <c r="E177" s="79" t="s">
        <v>1124</v>
      </c>
      <c r="F177" s="79" t="s">
        <v>2215</v>
      </c>
      <c r="G177" s="79" t="s">
        <v>2104</v>
      </c>
      <c r="H177" s="79"/>
      <c r="I177" s="79"/>
    </row>
    <row r="178" spans="1:9" ht="14.25">
      <c r="A178" s="79" t="s">
        <v>2280</v>
      </c>
      <c r="B178" s="79" t="s">
        <v>2281</v>
      </c>
      <c r="C178" s="79">
        <v>590247776</v>
      </c>
      <c r="D178" s="79">
        <v>0</v>
      </c>
      <c r="E178" s="79" t="s">
        <v>1124</v>
      </c>
      <c r="F178" s="79" t="s">
        <v>2215</v>
      </c>
      <c r="G178" s="79" t="s">
        <v>2282</v>
      </c>
      <c r="H178" s="79"/>
      <c r="I178" s="79"/>
    </row>
    <row r="179" spans="1:9" ht="14.25">
      <c r="A179" s="79" t="s">
        <v>2280</v>
      </c>
      <c r="B179" s="79" t="s">
        <v>2281</v>
      </c>
      <c r="C179" s="79">
        <v>590247776</v>
      </c>
      <c r="D179" s="79">
        <v>0</v>
      </c>
      <c r="E179" s="79" t="s">
        <v>1124</v>
      </c>
      <c r="F179" s="79" t="s">
        <v>2215</v>
      </c>
      <c r="G179" s="79" t="s">
        <v>2283</v>
      </c>
      <c r="H179" s="79"/>
      <c r="I179" s="79"/>
    </row>
    <row r="180" spans="1:9" ht="14.25">
      <c r="A180" s="79" t="s">
        <v>2280</v>
      </c>
      <c r="B180" s="79" t="s">
        <v>2281</v>
      </c>
      <c r="C180" s="79">
        <v>590247776</v>
      </c>
      <c r="D180" s="79">
        <v>0</v>
      </c>
      <c r="E180" s="79" t="s">
        <v>1124</v>
      </c>
      <c r="F180" s="79" t="s">
        <v>2215</v>
      </c>
      <c r="G180" s="79" t="s">
        <v>2104</v>
      </c>
      <c r="H180" s="79"/>
      <c r="I180" s="79"/>
    </row>
    <row r="181" spans="1:9" ht="14.25">
      <c r="A181" s="79" t="s">
        <v>2284</v>
      </c>
      <c r="B181" s="79" t="s">
        <v>2285</v>
      </c>
      <c r="C181" s="79">
        <v>590247777</v>
      </c>
      <c r="D181" s="79">
        <v>0</v>
      </c>
      <c r="E181" s="79" t="s">
        <v>1124</v>
      </c>
      <c r="F181" s="79" t="s">
        <v>2215</v>
      </c>
      <c r="G181" s="79" t="s">
        <v>2286</v>
      </c>
      <c r="H181" s="79"/>
      <c r="I181" s="79"/>
    </row>
    <row r="182" spans="1:9" ht="14.25">
      <c r="A182" s="79" t="s">
        <v>2284</v>
      </c>
      <c r="B182" s="79" t="s">
        <v>2285</v>
      </c>
      <c r="C182" s="79">
        <v>590247777</v>
      </c>
      <c r="D182" s="79">
        <v>0</v>
      </c>
      <c r="E182" s="79" t="s">
        <v>1124</v>
      </c>
      <c r="F182" s="79" t="s">
        <v>2215</v>
      </c>
      <c r="G182" s="79" t="s">
        <v>2287</v>
      </c>
      <c r="H182" s="79"/>
      <c r="I182" s="79"/>
    </row>
    <row r="183" spans="1:9" ht="14.25">
      <c r="A183" s="79" t="s">
        <v>2284</v>
      </c>
      <c r="B183" s="79" t="s">
        <v>2285</v>
      </c>
      <c r="C183" s="79">
        <v>590247777</v>
      </c>
      <c r="D183" s="79">
        <v>0</v>
      </c>
      <c r="E183" s="79" t="s">
        <v>1124</v>
      </c>
      <c r="F183" s="79" t="s">
        <v>2215</v>
      </c>
      <c r="G183" s="79" t="s">
        <v>2288</v>
      </c>
      <c r="H183" s="79"/>
      <c r="I183" s="79"/>
    </row>
    <row r="184" spans="1:9" ht="14.25">
      <c r="A184" s="79" t="s">
        <v>2284</v>
      </c>
      <c r="B184" s="79" t="s">
        <v>2285</v>
      </c>
      <c r="C184" s="79">
        <v>590247777</v>
      </c>
      <c r="D184" s="79">
        <v>0</v>
      </c>
      <c r="E184" s="79" t="s">
        <v>1124</v>
      </c>
      <c r="F184" s="79" t="s">
        <v>2215</v>
      </c>
      <c r="G184" s="79" t="s">
        <v>2289</v>
      </c>
      <c r="H184" s="79"/>
      <c r="I184" s="79"/>
    </row>
    <row r="185" spans="1:9" ht="14.25">
      <c r="A185" s="79" t="s">
        <v>2284</v>
      </c>
      <c r="B185" s="79" t="s">
        <v>2285</v>
      </c>
      <c r="C185" s="79">
        <v>590247777</v>
      </c>
      <c r="D185" s="79">
        <v>0</v>
      </c>
      <c r="E185" s="79" t="s">
        <v>1124</v>
      </c>
      <c r="F185" s="79" t="s">
        <v>2290</v>
      </c>
      <c r="G185" s="79" t="s">
        <v>2291</v>
      </c>
      <c r="H185" s="79"/>
      <c r="I185" s="79"/>
    </row>
    <row r="186" spans="1:9" ht="14.25">
      <c r="A186" s="79" t="s">
        <v>2284</v>
      </c>
      <c r="B186" s="79" t="s">
        <v>2285</v>
      </c>
      <c r="C186" s="79">
        <v>590247777</v>
      </c>
      <c r="D186" s="79">
        <v>0</v>
      </c>
      <c r="E186" s="79" t="s">
        <v>1124</v>
      </c>
      <c r="F186" s="79" t="s">
        <v>2290</v>
      </c>
      <c r="G186" s="79" t="s">
        <v>2109</v>
      </c>
      <c r="H186" s="79"/>
      <c r="I186" s="79"/>
    </row>
    <row r="187" spans="1:9" ht="14.25">
      <c r="A187" s="79" t="s">
        <v>2284</v>
      </c>
      <c r="B187" s="79" t="s">
        <v>2285</v>
      </c>
      <c r="C187" s="79">
        <v>590247777</v>
      </c>
      <c r="D187" s="79">
        <v>0</v>
      </c>
      <c r="E187" s="79" t="s">
        <v>1124</v>
      </c>
      <c r="F187" s="79" t="s">
        <v>2292</v>
      </c>
      <c r="G187" s="79" t="s">
        <v>2293</v>
      </c>
      <c r="H187" s="79"/>
      <c r="I187" s="79"/>
    </row>
    <row r="188" spans="1:9" ht="14.25">
      <c r="A188" s="79" t="s">
        <v>2284</v>
      </c>
      <c r="B188" s="79" t="s">
        <v>2285</v>
      </c>
      <c r="C188" s="79">
        <v>590247777</v>
      </c>
      <c r="D188" s="79">
        <v>0</v>
      </c>
      <c r="E188" s="79" t="s">
        <v>1124</v>
      </c>
      <c r="F188" s="79" t="s">
        <v>2292</v>
      </c>
      <c r="G188" s="79" t="s">
        <v>2103</v>
      </c>
      <c r="H188" s="79"/>
      <c r="I188" s="79"/>
    </row>
    <row r="189" spans="1:9" ht="14.25">
      <c r="A189" s="79" t="s">
        <v>2284</v>
      </c>
      <c r="B189" s="79" t="s">
        <v>2285</v>
      </c>
      <c r="C189" s="79">
        <v>590247777</v>
      </c>
      <c r="D189" s="79">
        <v>0</v>
      </c>
      <c r="E189" s="79" t="s">
        <v>1124</v>
      </c>
      <c r="F189" s="79" t="s">
        <v>2292</v>
      </c>
      <c r="G189" s="79" t="s">
        <v>2294</v>
      </c>
      <c r="H189" s="79"/>
      <c r="I189" s="79"/>
    </row>
    <row r="190" spans="1:9" ht="14.25">
      <c r="A190" s="79" t="s">
        <v>2284</v>
      </c>
      <c r="B190" s="79" t="s">
        <v>2285</v>
      </c>
      <c r="C190" s="79">
        <v>590247777</v>
      </c>
      <c r="D190" s="79">
        <v>0</v>
      </c>
      <c r="E190" s="79" t="s">
        <v>1124</v>
      </c>
      <c r="F190" s="79" t="s">
        <v>2292</v>
      </c>
      <c r="G190" s="79" t="s">
        <v>2295</v>
      </c>
      <c r="H190" s="79"/>
      <c r="I190" s="79"/>
    </row>
    <row r="191" spans="1:9" ht="14.25">
      <c r="A191" s="79" t="s">
        <v>2296</v>
      </c>
      <c r="B191" s="79" t="s">
        <v>2297</v>
      </c>
      <c r="C191" s="79">
        <v>590247779</v>
      </c>
      <c r="D191" s="79">
        <v>0</v>
      </c>
      <c r="E191" s="79" t="s">
        <v>1124</v>
      </c>
      <c r="F191" s="79" t="s">
        <v>2292</v>
      </c>
      <c r="G191" s="79" t="s">
        <v>2298</v>
      </c>
      <c r="H191" s="79"/>
      <c r="I191" s="79"/>
    </row>
    <row r="192" spans="1:9" ht="14.25">
      <c r="A192" s="79" t="s">
        <v>2296</v>
      </c>
      <c r="B192" s="79" t="s">
        <v>2297</v>
      </c>
      <c r="C192" s="79">
        <v>590247779</v>
      </c>
      <c r="D192" s="79">
        <v>0</v>
      </c>
      <c r="E192" s="79" t="s">
        <v>1124</v>
      </c>
      <c r="F192" s="79" t="s">
        <v>2292</v>
      </c>
      <c r="G192" s="79" t="s">
        <v>1294</v>
      </c>
      <c r="H192" s="79"/>
      <c r="I192" s="79"/>
    </row>
    <row r="193" spans="1:9" ht="14.25">
      <c r="A193" s="79" t="s">
        <v>2299</v>
      </c>
      <c r="B193" s="79" t="s">
        <v>2300</v>
      </c>
      <c r="C193" s="79">
        <v>590247780</v>
      </c>
      <c r="D193" s="79">
        <v>0</v>
      </c>
      <c r="E193" s="79" t="s">
        <v>1124</v>
      </c>
      <c r="F193" s="79" t="s">
        <v>2290</v>
      </c>
      <c r="G193" s="79" t="s">
        <v>2301</v>
      </c>
      <c r="H193" s="79"/>
      <c r="I193" s="79"/>
    </row>
    <row r="194" spans="1:9" ht="14.25">
      <c r="A194" s="79" t="s">
        <v>2299</v>
      </c>
      <c r="B194" s="79" t="s">
        <v>2300</v>
      </c>
      <c r="C194" s="79">
        <v>590247780</v>
      </c>
      <c r="D194" s="79">
        <v>0</v>
      </c>
      <c r="E194" s="79" t="s">
        <v>1124</v>
      </c>
      <c r="F194" s="79" t="s">
        <v>2290</v>
      </c>
      <c r="G194" s="79" t="s">
        <v>2302</v>
      </c>
      <c r="H194" s="79"/>
      <c r="I194" s="79"/>
    </row>
    <row r="195" spans="1:9" ht="14.25">
      <c r="A195" s="79" t="s">
        <v>2299</v>
      </c>
      <c r="B195" s="79" t="s">
        <v>2300</v>
      </c>
      <c r="C195" s="79">
        <v>590247780</v>
      </c>
      <c r="D195" s="79">
        <v>0</v>
      </c>
      <c r="E195" s="79" t="s">
        <v>1124</v>
      </c>
      <c r="F195" s="79" t="s">
        <v>2290</v>
      </c>
      <c r="G195" s="79" t="s">
        <v>2109</v>
      </c>
      <c r="H195" s="79"/>
      <c r="I195" s="79"/>
    </row>
    <row r="196" spans="1:9" ht="14.25">
      <c r="A196" s="79" t="s">
        <v>2303</v>
      </c>
      <c r="B196" s="79" t="s">
        <v>2304</v>
      </c>
      <c r="C196" s="79">
        <v>590247783</v>
      </c>
      <c r="D196" s="79">
        <v>0</v>
      </c>
      <c r="E196" s="79" t="s">
        <v>1124</v>
      </c>
      <c r="F196" s="79" t="s">
        <v>2290</v>
      </c>
      <c r="G196" s="79" t="s">
        <v>2305</v>
      </c>
      <c r="H196" s="79"/>
      <c r="I196" s="79"/>
    </row>
    <row r="197" spans="1:9" ht="14.25">
      <c r="A197" s="79" t="s">
        <v>2303</v>
      </c>
      <c r="B197" s="79" t="s">
        <v>2304</v>
      </c>
      <c r="C197" s="79">
        <v>590247783</v>
      </c>
      <c r="D197" s="79">
        <v>0</v>
      </c>
      <c r="E197" s="79" t="s">
        <v>1124</v>
      </c>
      <c r="F197" s="79" t="s">
        <v>2290</v>
      </c>
      <c r="G197" s="79" t="s">
        <v>2306</v>
      </c>
      <c r="H197" s="79"/>
      <c r="I197" s="79"/>
    </row>
    <row r="198" spans="1:9" ht="14.25">
      <c r="A198" s="79" t="s">
        <v>2303</v>
      </c>
      <c r="B198" s="79" t="s">
        <v>2304</v>
      </c>
      <c r="C198" s="79">
        <v>590247783</v>
      </c>
      <c r="D198" s="79">
        <v>0</v>
      </c>
      <c r="E198" s="79" t="s">
        <v>1124</v>
      </c>
      <c r="F198" s="79" t="s">
        <v>2290</v>
      </c>
      <c r="G198" s="79" t="s">
        <v>2109</v>
      </c>
      <c r="H198" s="79"/>
      <c r="I198" s="79"/>
    </row>
    <row r="199" spans="1:9" ht="14.25">
      <c r="A199" s="79" t="s">
        <v>2307</v>
      </c>
      <c r="B199" s="79" t="s">
        <v>2308</v>
      </c>
      <c r="C199" s="79">
        <v>590247786</v>
      </c>
      <c r="D199" s="79">
        <v>0</v>
      </c>
      <c r="E199" s="79" t="s">
        <v>1124</v>
      </c>
      <c r="F199" s="79" t="s">
        <v>2290</v>
      </c>
      <c r="G199" s="79" t="s">
        <v>2309</v>
      </c>
      <c r="H199" s="79"/>
      <c r="I199" s="79"/>
    </row>
    <row r="200" spans="1:9" ht="14.25">
      <c r="A200" s="79" t="s">
        <v>2307</v>
      </c>
      <c r="B200" s="79" t="s">
        <v>2308</v>
      </c>
      <c r="C200" s="79">
        <v>590247786</v>
      </c>
      <c r="D200" s="79">
        <v>0</v>
      </c>
      <c r="E200" s="79" t="s">
        <v>1124</v>
      </c>
      <c r="F200" s="79" t="s">
        <v>2290</v>
      </c>
      <c r="G200" s="79" t="s">
        <v>2310</v>
      </c>
      <c r="H200" s="79"/>
      <c r="I200" s="79"/>
    </row>
    <row r="201" spans="1:9" ht="14.25">
      <c r="A201" s="79" t="s">
        <v>2307</v>
      </c>
      <c r="B201" s="79" t="s">
        <v>2308</v>
      </c>
      <c r="C201" s="79">
        <v>590247786</v>
      </c>
      <c r="D201" s="79">
        <v>0</v>
      </c>
      <c r="E201" s="79" t="s">
        <v>1124</v>
      </c>
      <c r="F201" s="79" t="s">
        <v>2290</v>
      </c>
      <c r="G201" s="79" t="s">
        <v>2109</v>
      </c>
      <c r="H201" s="79"/>
      <c r="I201" s="79"/>
    </row>
    <row r="202" spans="1:9" ht="14.25">
      <c r="A202" s="79" t="s">
        <v>2311</v>
      </c>
      <c r="B202" s="79" t="s">
        <v>2312</v>
      </c>
      <c r="C202" s="79">
        <v>590247789</v>
      </c>
      <c r="D202" s="79">
        <v>0</v>
      </c>
      <c r="E202" s="79" t="s">
        <v>1124</v>
      </c>
      <c r="F202" s="79" t="s">
        <v>2290</v>
      </c>
      <c r="G202" s="79" t="s">
        <v>2313</v>
      </c>
      <c r="H202" s="79"/>
      <c r="I202" s="79"/>
    </row>
    <row r="203" spans="1:9" ht="14.25">
      <c r="A203" s="79" t="s">
        <v>2311</v>
      </c>
      <c r="B203" s="79" t="s">
        <v>2312</v>
      </c>
      <c r="C203" s="79">
        <v>590247789</v>
      </c>
      <c r="D203" s="79">
        <v>0</v>
      </c>
      <c r="E203" s="79" t="s">
        <v>1124</v>
      </c>
      <c r="F203" s="79" t="s">
        <v>2290</v>
      </c>
      <c r="G203" s="79" t="s">
        <v>2314</v>
      </c>
      <c r="H203" s="79"/>
      <c r="I203" s="79"/>
    </row>
    <row r="204" spans="1:9" ht="14.25">
      <c r="A204" s="79" t="s">
        <v>2311</v>
      </c>
      <c r="B204" s="79" t="s">
        <v>2312</v>
      </c>
      <c r="C204" s="79">
        <v>590247789</v>
      </c>
      <c r="D204" s="79">
        <v>0</v>
      </c>
      <c r="E204" s="79" t="s">
        <v>1124</v>
      </c>
      <c r="F204" s="79" t="s">
        <v>2290</v>
      </c>
      <c r="G204" s="79" t="s">
        <v>2109</v>
      </c>
      <c r="H204" s="79"/>
      <c r="I204" s="79"/>
    </row>
    <row r="205" spans="1:9" ht="14.25">
      <c r="A205" s="79" t="s">
        <v>2315</v>
      </c>
      <c r="B205" s="79" t="s">
        <v>2316</v>
      </c>
      <c r="C205" s="79">
        <v>590247792</v>
      </c>
      <c r="D205" s="79">
        <v>0</v>
      </c>
      <c r="E205" s="79" t="s">
        <v>1124</v>
      </c>
      <c r="F205" s="79" t="s">
        <v>2290</v>
      </c>
      <c r="G205" s="79" t="s">
        <v>2158</v>
      </c>
      <c r="H205" s="79"/>
      <c r="I205" s="79"/>
    </row>
    <row r="206" spans="1:9" ht="14.25">
      <c r="A206" s="79" t="s">
        <v>2315</v>
      </c>
      <c r="B206" s="79" t="s">
        <v>2316</v>
      </c>
      <c r="C206" s="79">
        <v>590247792</v>
      </c>
      <c r="D206" s="79">
        <v>0</v>
      </c>
      <c r="E206" s="79" t="s">
        <v>1124</v>
      </c>
      <c r="F206" s="79" t="s">
        <v>2290</v>
      </c>
      <c r="G206" s="79" t="s">
        <v>2149</v>
      </c>
      <c r="H206" s="79"/>
      <c r="I206" s="79"/>
    </row>
    <row r="207" spans="1:9" ht="14.25">
      <c r="A207" s="79" t="s">
        <v>2315</v>
      </c>
      <c r="B207" s="79" t="s">
        <v>2316</v>
      </c>
      <c r="C207" s="79">
        <v>590247792</v>
      </c>
      <c r="D207" s="79">
        <v>0</v>
      </c>
      <c r="E207" s="79" t="s">
        <v>1124</v>
      </c>
      <c r="F207" s="79" t="s">
        <v>2290</v>
      </c>
      <c r="G207" s="79" t="s">
        <v>2109</v>
      </c>
      <c r="H207" s="79"/>
      <c r="I207" s="79"/>
    </row>
    <row r="208" spans="1:9" ht="14.25">
      <c r="A208" s="79" t="s">
        <v>2317</v>
      </c>
      <c r="B208" s="79" t="s">
        <v>2318</v>
      </c>
      <c r="C208" s="79">
        <v>590247795</v>
      </c>
      <c r="D208" s="79">
        <v>0</v>
      </c>
      <c r="E208" s="79" t="s">
        <v>1124</v>
      </c>
      <c r="F208" s="79" t="s">
        <v>2290</v>
      </c>
      <c r="G208" s="79" t="s">
        <v>2319</v>
      </c>
      <c r="H208" s="79"/>
      <c r="I208" s="79"/>
    </row>
    <row r="209" spans="1:9" ht="14.25">
      <c r="A209" s="79" t="s">
        <v>2317</v>
      </c>
      <c r="B209" s="79" t="s">
        <v>2318</v>
      </c>
      <c r="C209" s="79">
        <v>590247795</v>
      </c>
      <c r="D209" s="79">
        <v>0</v>
      </c>
      <c r="E209" s="79" t="s">
        <v>1124</v>
      </c>
      <c r="F209" s="79" t="s">
        <v>2290</v>
      </c>
      <c r="G209" s="79" t="s">
        <v>2145</v>
      </c>
      <c r="H209" s="79"/>
      <c r="I209" s="79"/>
    </row>
    <row r="210" spans="1:9" ht="14.25">
      <c r="A210" s="79" t="s">
        <v>2317</v>
      </c>
      <c r="B210" s="79" t="s">
        <v>2318</v>
      </c>
      <c r="C210" s="79">
        <v>590247795</v>
      </c>
      <c r="D210" s="79">
        <v>0</v>
      </c>
      <c r="E210" s="79" t="s">
        <v>1124</v>
      </c>
      <c r="F210" s="79" t="s">
        <v>2290</v>
      </c>
      <c r="G210" s="79" t="s">
        <v>2109</v>
      </c>
      <c r="H210" s="79"/>
      <c r="I210" s="79"/>
    </row>
    <row r="211" spans="1:9" ht="14.25">
      <c r="A211" s="79" t="s">
        <v>2320</v>
      </c>
      <c r="B211" s="79" t="s">
        <v>2321</v>
      </c>
      <c r="C211" s="79">
        <v>590247798</v>
      </c>
      <c r="D211" s="79">
        <v>0</v>
      </c>
      <c r="E211" s="79" t="s">
        <v>1124</v>
      </c>
      <c r="F211" s="79" t="s">
        <v>2290</v>
      </c>
      <c r="G211" s="79" t="s">
        <v>2322</v>
      </c>
      <c r="H211" s="79"/>
      <c r="I211" s="79"/>
    </row>
    <row r="212" spans="1:9" ht="14.25">
      <c r="A212" s="79" t="s">
        <v>2320</v>
      </c>
      <c r="B212" s="79" t="s">
        <v>2321</v>
      </c>
      <c r="C212" s="79">
        <v>590247798</v>
      </c>
      <c r="D212" s="79">
        <v>0</v>
      </c>
      <c r="E212" s="79" t="s">
        <v>1124</v>
      </c>
      <c r="F212" s="79" t="s">
        <v>2290</v>
      </c>
      <c r="G212" s="79" t="s">
        <v>2141</v>
      </c>
      <c r="H212" s="79"/>
      <c r="I212" s="79"/>
    </row>
    <row r="213" spans="1:9" ht="14.25">
      <c r="A213" s="79" t="s">
        <v>2320</v>
      </c>
      <c r="B213" s="79" t="s">
        <v>2321</v>
      </c>
      <c r="C213" s="79">
        <v>590247798</v>
      </c>
      <c r="D213" s="79">
        <v>0</v>
      </c>
      <c r="E213" s="79" t="s">
        <v>1124</v>
      </c>
      <c r="F213" s="79" t="s">
        <v>2290</v>
      </c>
      <c r="G213" s="79" t="s">
        <v>2109</v>
      </c>
      <c r="H213" s="79"/>
      <c r="I213" s="79"/>
    </row>
    <row r="214" spans="1:9" ht="14.25">
      <c r="A214" s="79" t="s">
        <v>2323</v>
      </c>
      <c r="B214" s="79" t="s">
        <v>2324</v>
      </c>
      <c r="C214" s="79">
        <v>590247801</v>
      </c>
      <c r="D214" s="79">
        <v>0</v>
      </c>
      <c r="E214" s="79" t="s">
        <v>1124</v>
      </c>
      <c r="F214" s="79" t="s">
        <v>2290</v>
      </c>
      <c r="G214" s="79" t="s">
        <v>2325</v>
      </c>
      <c r="H214" s="79"/>
      <c r="I214" s="79"/>
    </row>
    <row r="215" spans="1:9" ht="14.25">
      <c r="A215" s="79" t="s">
        <v>2323</v>
      </c>
      <c r="B215" s="79" t="s">
        <v>2324</v>
      </c>
      <c r="C215" s="79">
        <v>590247801</v>
      </c>
      <c r="D215" s="79">
        <v>0</v>
      </c>
      <c r="E215" s="79" t="s">
        <v>1124</v>
      </c>
      <c r="F215" s="79" t="s">
        <v>2290</v>
      </c>
      <c r="G215" s="79" t="s">
        <v>2137</v>
      </c>
      <c r="H215" s="79"/>
      <c r="I215" s="79"/>
    </row>
    <row r="216" spans="1:9" ht="14.25">
      <c r="A216" s="79" t="s">
        <v>2323</v>
      </c>
      <c r="B216" s="79" t="s">
        <v>2324</v>
      </c>
      <c r="C216" s="79">
        <v>590247801</v>
      </c>
      <c r="D216" s="79">
        <v>0</v>
      </c>
      <c r="E216" s="79" t="s">
        <v>1124</v>
      </c>
      <c r="F216" s="79" t="s">
        <v>2290</v>
      </c>
      <c r="G216" s="79" t="s">
        <v>2109</v>
      </c>
      <c r="H216" s="79"/>
      <c r="I216" s="79"/>
    </row>
    <row r="217" spans="1:9" ht="14.25">
      <c r="A217" s="79" t="s">
        <v>2326</v>
      </c>
      <c r="B217" s="79" t="s">
        <v>2327</v>
      </c>
      <c r="C217" s="79">
        <v>590247804</v>
      </c>
      <c r="D217" s="79">
        <v>0</v>
      </c>
      <c r="E217" s="79" t="s">
        <v>1124</v>
      </c>
      <c r="F217" s="79" t="s">
        <v>2290</v>
      </c>
      <c r="G217" s="79" t="s">
        <v>2328</v>
      </c>
      <c r="H217" s="79"/>
      <c r="I217" s="79"/>
    </row>
    <row r="218" spans="1:9" ht="14.25">
      <c r="A218" s="79" t="s">
        <v>2326</v>
      </c>
      <c r="B218" s="79" t="s">
        <v>2327</v>
      </c>
      <c r="C218" s="79">
        <v>590247804</v>
      </c>
      <c r="D218" s="79">
        <v>0</v>
      </c>
      <c r="E218" s="79" t="s">
        <v>1124</v>
      </c>
      <c r="F218" s="79" t="s">
        <v>2290</v>
      </c>
      <c r="G218" s="79" t="s">
        <v>2133</v>
      </c>
      <c r="H218" s="79"/>
      <c r="I218" s="79"/>
    </row>
    <row r="219" spans="1:9" ht="14.25">
      <c r="A219" s="79" t="s">
        <v>2326</v>
      </c>
      <c r="B219" s="79" t="s">
        <v>2327</v>
      </c>
      <c r="C219" s="79">
        <v>590247804</v>
      </c>
      <c r="D219" s="79">
        <v>0</v>
      </c>
      <c r="E219" s="79" t="s">
        <v>1124</v>
      </c>
      <c r="F219" s="79" t="s">
        <v>2290</v>
      </c>
      <c r="G219" s="79" t="s">
        <v>2109</v>
      </c>
      <c r="H219" s="79"/>
      <c r="I219" s="79"/>
    </row>
    <row r="220" spans="1:9" ht="14.25">
      <c r="A220" s="79" t="s">
        <v>2329</v>
      </c>
      <c r="B220" s="79" t="s">
        <v>2330</v>
      </c>
      <c r="C220" s="79">
        <v>590247807</v>
      </c>
      <c r="D220" s="79">
        <v>0</v>
      </c>
      <c r="E220" s="79" t="s">
        <v>1124</v>
      </c>
      <c r="F220" s="79" t="s">
        <v>2215</v>
      </c>
      <c r="G220" s="79" t="s">
        <v>2331</v>
      </c>
      <c r="H220" s="79"/>
      <c r="I220" s="79"/>
    </row>
    <row r="221" spans="1:9" ht="14.25">
      <c r="A221" s="79" t="s">
        <v>2329</v>
      </c>
      <c r="B221" s="79" t="s">
        <v>2330</v>
      </c>
      <c r="C221" s="79">
        <v>590247807</v>
      </c>
      <c r="D221" s="79">
        <v>0</v>
      </c>
      <c r="E221" s="79" t="s">
        <v>1124</v>
      </c>
      <c r="F221" s="79" t="s">
        <v>2215</v>
      </c>
      <c r="G221" s="79" t="s">
        <v>2289</v>
      </c>
      <c r="H221" s="79"/>
      <c r="I221" s="79"/>
    </row>
    <row r="222" spans="1:9" ht="14.25">
      <c r="A222" s="79" t="s">
        <v>2329</v>
      </c>
      <c r="B222" s="79" t="s">
        <v>2330</v>
      </c>
      <c r="C222" s="79">
        <v>590247807</v>
      </c>
      <c r="D222" s="79">
        <v>0</v>
      </c>
      <c r="E222" s="79" t="s">
        <v>1124</v>
      </c>
      <c r="F222" s="79" t="s">
        <v>2290</v>
      </c>
      <c r="G222" s="79" t="s">
        <v>2332</v>
      </c>
      <c r="H222" s="79"/>
      <c r="I222" s="79"/>
    </row>
    <row r="223" spans="1:9" ht="14.25">
      <c r="A223" s="79" t="s">
        <v>2329</v>
      </c>
      <c r="B223" s="79" t="s">
        <v>2330</v>
      </c>
      <c r="C223" s="79">
        <v>590247807</v>
      </c>
      <c r="D223" s="79">
        <v>0</v>
      </c>
      <c r="E223" s="79" t="s">
        <v>1124</v>
      </c>
      <c r="F223" s="79" t="s">
        <v>2290</v>
      </c>
      <c r="G223" s="79" t="s">
        <v>2129</v>
      </c>
      <c r="H223" s="79"/>
      <c r="I223" s="79"/>
    </row>
    <row r="224" spans="1:9" ht="14.25">
      <c r="A224" s="79" t="s">
        <v>2329</v>
      </c>
      <c r="B224" s="79" t="s">
        <v>2330</v>
      </c>
      <c r="C224" s="79">
        <v>590247807</v>
      </c>
      <c r="D224" s="79">
        <v>0</v>
      </c>
      <c r="E224" s="79" t="s">
        <v>1124</v>
      </c>
      <c r="F224" s="79" t="s">
        <v>2290</v>
      </c>
      <c r="G224" s="79" t="s">
        <v>2109</v>
      </c>
      <c r="H224" s="79"/>
      <c r="I224" s="79"/>
    </row>
    <row r="225" spans="1:9" ht="14.25">
      <c r="A225" s="79" t="s">
        <v>2329</v>
      </c>
      <c r="B225" s="79" t="s">
        <v>2330</v>
      </c>
      <c r="C225" s="79">
        <v>590247807</v>
      </c>
      <c r="D225" s="79">
        <v>0</v>
      </c>
      <c r="E225" s="79" t="s">
        <v>1124</v>
      </c>
      <c r="F225" s="79" t="s">
        <v>2333</v>
      </c>
      <c r="G225" s="79" t="s">
        <v>2334</v>
      </c>
      <c r="H225" s="79"/>
      <c r="I225" s="79"/>
    </row>
    <row r="226" spans="1:9" ht="14.25">
      <c r="A226" s="79" t="s">
        <v>2329</v>
      </c>
      <c r="B226" s="79" t="s">
        <v>2330</v>
      </c>
      <c r="C226" s="79">
        <v>590247807</v>
      </c>
      <c r="D226" s="79">
        <v>0</v>
      </c>
      <c r="E226" s="79" t="s">
        <v>1124</v>
      </c>
      <c r="F226" s="79" t="s">
        <v>2333</v>
      </c>
      <c r="G226" s="79" t="s">
        <v>2103</v>
      </c>
      <c r="H226" s="79"/>
      <c r="I226" s="79"/>
    </row>
    <row r="227" spans="1:9" ht="14.25">
      <c r="A227" s="79" t="s">
        <v>2329</v>
      </c>
      <c r="B227" s="79" t="s">
        <v>2330</v>
      </c>
      <c r="C227" s="79">
        <v>590247807</v>
      </c>
      <c r="D227" s="79">
        <v>0</v>
      </c>
      <c r="E227" s="79" t="s">
        <v>1124</v>
      </c>
      <c r="F227" s="79" t="s">
        <v>2333</v>
      </c>
      <c r="G227" s="79" t="s">
        <v>2335</v>
      </c>
      <c r="H227" s="79"/>
      <c r="I227" s="79"/>
    </row>
    <row r="228" spans="1:9" ht="14.25">
      <c r="A228" s="79" t="s">
        <v>2329</v>
      </c>
      <c r="B228" s="79" t="s">
        <v>2330</v>
      </c>
      <c r="C228" s="79">
        <v>590247807</v>
      </c>
      <c r="D228" s="79">
        <v>0</v>
      </c>
      <c r="E228" s="79" t="s">
        <v>1124</v>
      </c>
      <c r="F228" s="79" t="s">
        <v>2333</v>
      </c>
      <c r="G228" s="79" t="s">
        <v>2295</v>
      </c>
      <c r="H228" s="79"/>
      <c r="I228" s="79"/>
    </row>
    <row r="229" spans="1:9" ht="14.25">
      <c r="A229" s="79" t="s">
        <v>2336</v>
      </c>
      <c r="B229" s="79" t="s">
        <v>2337</v>
      </c>
      <c r="C229" s="79">
        <v>590247809</v>
      </c>
      <c r="D229" s="79">
        <v>0</v>
      </c>
      <c r="E229" s="79" t="s">
        <v>1124</v>
      </c>
      <c r="F229" s="79" t="s">
        <v>2333</v>
      </c>
      <c r="G229" s="79" t="s">
        <v>2298</v>
      </c>
      <c r="H229" s="79"/>
      <c r="I229" s="79"/>
    </row>
    <row r="230" spans="1:9" ht="14.25">
      <c r="A230" s="79" t="s">
        <v>2336</v>
      </c>
      <c r="B230" s="79" t="s">
        <v>2337</v>
      </c>
      <c r="C230" s="79">
        <v>590247809</v>
      </c>
      <c r="D230" s="79">
        <v>0</v>
      </c>
      <c r="E230" s="79" t="s">
        <v>1124</v>
      </c>
      <c r="F230" s="79" t="s">
        <v>2333</v>
      </c>
      <c r="G230" s="79" t="s">
        <v>1294</v>
      </c>
      <c r="H230" s="79"/>
      <c r="I230" s="79"/>
    </row>
    <row r="231" spans="1:9" ht="14.25">
      <c r="A231" s="79" t="s">
        <v>2338</v>
      </c>
      <c r="B231" s="79" t="s">
        <v>2339</v>
      </c>
      <c r="C231" s="79">
        <v>590247810</v>
      </c>
      <c r="D231" s="79">
        <v>0</v>
      </c>
      <c r="E231" s="79" t="s">
        <v>1124</v>
      </c>
      <c r="F231" s="79" t="s">
        <v>2290</v>
      </c>
      <c r="G231" s="79" t="s">
        <v>2340</v>
      </c>
      <c r="H231" s="79"/>
      <c r="I231" s="79"/>
    </row>
    <row r="232" spans="1:9" ht="14.25">
      <c r="A232" s="79" t="s">
        <v>2338</v>
      </c>
      <c r="B232" s="79" t="s">
        <v>2339</v>
      </c>
      <c r="C232" s="79">
        <v>590247810</v>
      </c>
      <c r="D232" s="79">
        <v>0</v>
      </c>
      <c r="E232" s="79" t="s">
        <v>1124</v>
      </c>
      <c r="F232" s="79" t="s">
        <v>2290</v>
      </c>
      <c r="G232" s="79" t="s">
        <v>2125</v>
      </c>
      <c r="H232" s="79"/>
      <c r="I232" s="79"/>
    </row>
    <row r="233" spans="1:9" ht="14.25">
      <c r="A233" s="79" t="s">
        <v>2338</v>
      </c>
      <c r="B233" s="79" t="s">
        <v>2339</v>
      </c>
      <c r="C233" s="79">
        <v>590247810</v>
      </c>
      <c r="D233" s="79">
        <v>0</v>
      </c>
      <c r="E233" s="79" t="s">
        <v>1124</v>
      </c>
      <c r="F233" s="79" t="s">
        <v>2290</v>
      </c>
      <c r="G233" s="79" t="s">
        <v>2109</v>
      </c>
      <c r="H233" s="79"/>
      <c r="I233" s="79"/>
    </row>
    <row r="234" spans="1:9" ht="14.25">
      <c r="A234" s="79" t="s">
        <v>2341</v>
      </c>
      <c r="B234" s="79" t="s">
        <v>2342</v>
      </c>
      <c r="C234" s="79">
        <v>590247813</v>
      </c>
      <c r="D234" s="79">
        <v>0</v>
      </c>
      <c r="E234" s="79" t="s">
        <v>1124</v>
      </c>
      <c r="F234" s="79" t="s">
        <v>2290</v>
      </c>
      <c r="G234" s="79" t="s">
        <v>2343</v>
      </c>
      <c r="H234" s="79"/>
      <c r="I234" s="79"/>
    </row>
    <row r="235" spans="1:9" ht="14.25">
      <c r="A235" s="79" t="s">
        <v>2341</v>
      </c>
      <c r="B235" s="79" t="s">
        <v>2342</v>
      </c>
      <c r="C235" s="79">
        <v>590247813</v>
      </c>
      <c r="D235" s="79">
        <v>0</v>
      </c>
      <c r="E235" s="79" t="s">
        <v>1124</v>
      </c>
      <c r="F235" s="79" t="s">
        <v>2290</v>
      </c>
      <c r="G235" s="79" t="s">
        <v>2121</v>
      </c>
      <c r="H235" s="79"/>
      <c r="I235" s="79"/>
    </row>
    <row r="236" spans="1:9" ht="14.25">
      <c r="A236" s="79" t="s">
        <v>2341</v>
      </c>
      <c r="B236" s="79" t="s">
        <v>2342</v>
      </c>
      <c r="C236" s="79">
        <v>590247813</v>
      </c>
      <c r="D236" s="79">
        <v>0</v>
      </c>
      <c r="E236" s="79" t="s">
        <v>1124</v>
      </c>
      <c r="F236" s="79" t="s">
        <v>2290</v>
      </c>
      <c r="G236" s="79" t="s">
        <v>2109</v>
      </c>
      <c r="H236" s="79"/>
      <c r="I236" s="79"/>
    </row>
    <row r="237" spans="1:9" ht="14.25">
      <c r="A237" s="79" t="s">
        <v>2344</v>
      </c>
      <c r="B237" s="79" t="s">
        <v>2345</v>
      </c>
      <c r="C237" s="79">
        <v>590247816</v>
      </c>
      <c r="D237" s="79">
        <v>0</v>
      </c>
      <c r="E237" s="79" t="s">
        <v>1124</v>
      </c>
      <c r="F237" s="79" t="s">
        <v>2290</v>
      </c>
      <c r="G237" s="79" t="s">
        <v>2346</v>
      </c>
      <c r="H237" s="79"/>
      <c r="I237" s="79"/>
    </row>
    <row r="238" spans="1:9" ht="14.25">
      <c r="A238" s="79" t="s">
        <v>2344</v>
      </c>
      <c r="B238" s="79" t="s">
        <v>2345</v>
      </c>
      <c r="C238" s="79">
        <v>590247816</v>
      </c>
      <c r="D238" s="79">
        <v>0</v>
      </c>
      <c r="E238" s="79" t="s">
        <v>1124</v>
      </c>
      <c r="F238" s="79" t="s">
        <v>2290</v>
      </c>
      <c r="G238" s="79" t="s">
        <v>2117</v>
      </c>
      <c r="H238" s="79"/>
      <c r="I238" s="79"/>
    </row>
    <row r="239" spans="1:9" ht="14.25">
      <c r="A239" s="79" t="s">
        <v>2344</v>
      </c>
      <c r="B239" s="79" t="s">
        <v>2345</v>
      </c>
      <c r="C239" s="79">
        <v>590247816</v>
      </c>
      <c r="D239" s="79">
        <v>0</v>
      </c>
      <c r="E239" s="79" t="s">
        <v>1124</v>
      </c>
      <c r="F239" s="79" t="s">
        <v>2290</v>
      </c>
      <c r="G239" s="79" t="s">
        <v>2109</v>
      </c>
      <c r="H239" s="79"/>
      <c r="I239" s="79"/>
    </row>
    <row r="240" spans="1:9" ht="14.25">
      <c r="A240" s="79" t="s">
        <v>2347</v>
      </c>
      <c r="B240" s="79" t="s">
        <v>2348</v>
      </c>
      <c r="C240" s="79">
        <v>590247819</v>
      </c>
      <c r="D240" s="79">
        <v>0</v>
      </c>
      <c r="E240" s="79" t="s">
        <v>1124</v>
      </c>
      <c r="F240" s="79" t="s">
        <v>2290</v>
      </c>
      <c r="G240" s="79" t="s">
        <v>2349</v>
      </c>
      <c r="H240" s="79"/>
      <c r="I240" s="79"/>
    </row>
    <row r="241" spans="1:9" ht="14.25">
      <c r="A241" s="79" t="s">
        <v>2347</v>
      </c>
      <c r="B241" s="79" t="s">
        <v>2348</v>
      </c>
      <c r="C241" s="79">
        <v>590247819</v>
      </c>
      <c r="D241" s="79">
        <v>0</v>
      </c>
      <c r="E241" s="79" t="s">
        <v>1124</v>
      </c>
      <c r="F241" s="79" t="s">
        <v>2290</v>
      </c>
      <c r="G241" s="79" t="s">
        <v>2113</v>
      </c>
      <c r="H241" s="79"/>
      <c r="I241" s="79"/>
    </row>
    <row r="242" spans="1:9" ht="14.25">
      <c r="A242" s="79" t="s">
        <v>2347</v>
      </c>
      <c r="B242" s="79" t="s">
        <v>2348</v>
      </c>
      <c r="C242" s="79">
        <v>590247819</v>
      </c>
      <c r="D242" s="79">
        <v>0</v>
      </c>
      <c r="E242" s="79" t="s">
        <v>1124</v>
      </c>
      <c r="F242" s="79" t="s">
        <v>2290</v>
      </c>
      <c r="G242" s="79" t="s">
        <v>2109</v>
      </c>
      <c r="H242" s="79"/>
      <c r="I242" s="79"/>
    </row>
    <row r="243" spans="1:9" ht="14.25">
      <c r="A243" s="79" t="s">
        <v>2350</v>
      </c>
      <c r="B243" s="79" t="s">
        <v>2351</v>
      </c>
      <c r="C243" s="79">
        <v>590247822</v>
      </c>
      <c r="D243" s="79">
        <v>0</v>
      </c>
      <c r="E243" s="79" t="s">
        <v>1124</v>
      </c>
      <c r="F243" s="79" t="s">
        <v>2290</v>
      </c>
      <c r="G243" s="79" t="s">
        <v>2352</v>
      </c>
      <c r="H243" s="79"/>
      <c r="I243" s="79"/>
    </row>
    <row r="244" spans="1:9" ht="14.25">
      <c r="A244" s="79" t="s">
        <v>2350</v>
      </c>
      <c r="B244" s="79" t="s">
        <v>2351</v>
      </c>
      <c r="C244" s="79">
        <v>590247822</v>
      </c>
      <c r="D244" s="79">
        <v>0</v>
      </c>
      <c r="E244" s="79" t="s">
        <v>1124</v>
      </c>
      <c r="F244" s="79" t="s">
        <v>2290</v>
      </c>
      <c r="G244" s="79" t="s">
        <v>2108</v>
      </c>
      <c r="H244" s="79"/>
      <c r="I244" s="79"/>
    </row>
    <row r="245" spans="1:9" ht="14.25">
      <c r="A245" s="79" t="s">
        <v>2350</v>
      </c>
      <c r="B245" s="79" t="s">
        <v>2351</v>
      </c>
      <c r="C245" s="79">
        <v>590247822</v>
      </c>
      <c r="D245" s="79">
        <v>0</v>
      </c>
      <c r="E245" s="79" t="s">
        <v>1124</v>
      </c>
      <c r="F245" s="79" t="s">
        <v>2290</v>
      </c>
      <c r="G245" s="79" t="s">
        <v>2109</v>
      </c>
      <c r="H245" s="79"/>
      <c r="I245" s="79"/>
    </row>
    <row r="246" spans="1:9" ht="14.25">
      <c r="A246" s="79" t="s">
        <v>2353</v>
      </c>
      <c r="B246" s="79" t="s">
        <v>2354</v>
      </c>
      <c r="C246" s="79">
        <v>590247825</v>
      </c>
      <c r="D246" s="79">
        <v>0</v>
      </c>
      <c r="E246" s="79" t="s">
        <v>1124</v>
      </c>
      <c r="F246" s="79" t="s">
        <v>2290</v>
      </c>
      <c r="G246" s="79" t="s">
        <v>2355</v>
      </c>
      <c r="H246" s="79"/>
      <c r="I246" s="79"/>
    </row>
    <row r="247" spans="1:9" ht="14.25">
      <c r="A247" s="79" t="s">
        <v>2353</v>
      </c>
      <c r="B247" s="79" t="s">
        <v>2354</v>
      </c>
      <c r="C247" s="79">
        <v>590247825</v>
      </c>
      <c r="D247" s="79">
        <v>0</v>
      </c>
      <c r="E247" s="79" t="s">
        <v>1124</v>
      </c>
      <c r="F247" s="79" t="s">
        <v>2290</v>
      </c>
      <c r="G247" s="79" t="s">
        <v>2356</v>
      </c>
      <c r="H247" s="79"/>
      <c r="I247" s="79"/>
    </row>
    <row r="248" spans="1:9" ht="14.25">
      <c r="A248" s="79" t="s">
        <v>2353</v>
      </c>
      <c r="B248" s="79" t="s">
        <v>2354</v>
      </c>
      <c r="C248" s="79">
        <v>590247825</v>
      </c>
      <c r="D248" s="79">
        <v>0</v>
      </c>
      <c r="E248" s="79" t="s">
        <v>1124</v>
      </c>
      <c r="F248" s="79" t="s">
        <v>2290</v>
      </c>
      <c r="G248" s="79" t="s">
        <v>2109</v>
      </c>
      <c r="H248" s="79"/>
      <c r="I248" s="79"/>
    </row>
    <row r="249" spans="1:9" ht="14.25">
      <c r="A249" s="79" t="s">
        <v>2357</v>
      </c>
      <c r="B249" s="79" t="s">
        <v>2358</v>
      </c>
      <c r="C249" s="79">
        <v>590247828</v>
      </c>
      <c r="D249" s="79">
        <v>0</v>
      </c>
      <c r="E249" s="79" t="s">
        <v>1124</v>
      </c>
      <c r="F249" s="79" t="s">
        <v>2290</v>
      </c>
      <c r="G249" s="79" t="s">
        <v>2359</v>
      </c>
      <c r="H249" s="79"/>
      <c r="I249" s="79"/>
    </row>
    <row r="250" spans="1:9" ht="14.25">
      <c r="A250" s="79" t="s">
        <v>2357</v>
      </c>
      <c r="B250" s="79" t="s">
        <v>2358</v>
      </c>
      <c r="C250" s="79">
        <v>590247828</v>
      </c>
      <c r="D250" s="79">
        <v>0</v>
      </c>
      <c r="E250" s="79" t="s">
        <v>1124</v>
      </c>
      <c r="F250" s="79" t="s">
        <v>2290</v>
      </c>
      <c r="G250" s="79" t="s">
        <v>2360</v>
      </c>
      <c r="H250" s="79"/>
      <c r="I250" s="79"/>
    </row>
    <row r="251" spans="1:9" ht="14.25">
      <c r="A251" s="79" t="s">
        <v>2357</v>
      </c>
      <c r="B251" s="79" t="s">
        <v>2358</v>
      </c>
      <c r="C251" s="79">
        <v>590247828</v>
      </c>
      <c r="D251" s="79">
        <v>0</v>
      </c>
      <c r="E251" s="79" t="s">
        <v>1124</v>
      </c>
      <c r="F251" s="79" t="s">
        <v>2290</v>
      </c>
      <c r="G251" s="79" t="s">
        <v>1294</v>
      </c>
      <c r="H251" s="79"/>
      <c r="I251" s="79"/>
    </row>
    <row r="252" spans="1:9" ht="14.25">
      <c r="A252" s="79" t="s">
        <v>2361</v>
      </c>
      <c r="B252" s="79" t="s">
        <v>2362</v>
      </c>
      <c r="C252" s="79">
        <v>590247837</v>
      </c>
      <c r="D252" s="79">
        <v>0</v>
      </c>
      <c r="E252" s="79" t="s">
        <v>1124</v>
      </c>
      <c r="F252" s="79" t="s">
        <v>2215</v>
      </c>
      <c r="G252" s="79" t="s">
        <v>2363</v>
      </c>
      <c r="H252" s="79"/>
      <c r="I252" s="79"/>
    </row>
    <row r="253" spans="1:9" ht="14.25">
      <c r="A253" s="79" t="s">
        <v>2361</v>
      </c>
      <c r="B253" s="79" t="s">
        <v>2362</v>
      </c>
      <c r="C253" s="79">
        <v>590247837</v>
      </c>
      <c r="D253" s="79">
        <v>0</v>
      </c>
      <c r="E253" s="79" t="s">
        <v>1124</v>
      </c>
      <c r="F253" s="79" t="s">
        <v>2215</v>
      </c>
      <c r="G253" s="79" t="s">
        <v>2289</v>
      </c>
      <c r="H253" s="79"/>
      <c r="I253" s="79"/>
    </row>
    <row r="254" spans="1:9" ht="14.25">
      <c r="A254" s="79" t="s">
        <v>2361</v>
      </c>
      <c r="B254" s="79" t="s">
        <v>2362</v>
      </c>
      <c r="C254" s="79">
        <v>590247837</v>
      </c>
      <c r="D254" s="79">
        <v>0</v>
      </c>
      <c r="E254" s="79" t="s">
        <v>1124</v>
      </c>
      <c r="F254" s="79" t="s">
        <v>2364</v>
      </c>
      <c r="G254" s="79" t="s">
        <v>2365</v>
      </c>
      <c r="H254" s="79"/>
      <c r="I254" s="79"/>
    </row>
    <row r="255" spans="1:9" ht="14.25">
      <c r="A255" s="79" t="s">
        <v>2361</v>
      </c>
      <c r="B255" s="79" t="s">
        <v>2362</v>
      </c>
      <c r="C255" s="79">
        <v>590247837</v>
      </c>
      <c r="D255" s="79">
        <v>0</v>
      </c>
      <c r="E255" s="79" t="s">
        <v>1124</v>
      </c>
      <c r="F255" s="79" t="s">
        <v>2364</v>
      </c>
      <c r="G255" s="79" t="s">
        <v>2103</v>
      </c>
      <c r="H255" s="79"/>
      <c r="I255" s="79"/>
    </row>
    <row r="256" spans="1:9" ht="14.25">
      <c r="A256" s="79" t="s">
        <v>2361</v>
      </c>
      <c r="B256" s="79" t="s">
        <v>2362</v>
      </c>
      <c r="C256" s="79">
        <v>590247837</v>
      </c>
      <c r="D256" s="79">
        <v>0</v>
      </c>
      <c r="E256" s="79" t="s">
        <v>1124</v>
      </c>
      <c r="F256" s="79" t="s">
        <v>2364</v>
      </c>
      <c r="G256" s="79" t="s">
        <v>2366</v>
      </c>
      <c r="H256" s="79"/>
      <c r="I256" s="79"/>
    </row>
    <row r="257" spans="1:9" ht="14.25">
      <c r="A257" s="79" t="s">
        <v>2361</v>
      </c>
      <c r="B257" s="79" t="s">
        <v>2362</v>
      </c>
      <c r="C257" s="79">
        <v>590247837</v>
      </c>
      <c r="D257" s="79">
        <v>0</v>
      </c>
      <c r="E257" s="79" t="s">
        <v>1124</v>
      </c>
      <c r="F257" s="79" t="s">
        <v>2364</v>
      </c>
      <c r="G257" s="79" t="s">
        <v>2295</v>
      </c>
      <c r="H257" s="79"/>
      <c r="I257" s="79"/>
    </row>
    <row r="258" spans="1:9" ht="14.25">
      <c r="A258" s="79" t="s">
        <v>2367</v>
      </c>
      <c r="B258" s="79" t="s">
        <v>2368</v>
      </c>
      <c r="C258" s="79">
        <v>590247839</v>
      </c>
      <c r="D258" s="79">
        <v>0</v>
      </c>
      <c r="E258" s="79" t="s">
        <v>1124</v>
      </c>
      <c r="F258" s="79" t="s">
        <v>2364</v>
      </c>
      <c r="G258" s="79" t="s">
        <v>2298</v>
      </c>
      <c r="H258" s="79"/>
      <c r="I258" s="79"/>
    </row>
    <row r="259" spans="1:9" ht="14.25">
      <c r="A259" s="79" t="s">
        <v>2367</v>
      </c>
      <c r="B259" s="79" t="s">
        <v>2368</v>
      </c>
      <c r="C259" s="79">
        <v>590247839</v>
      </c>
      <c r="D259" s="79">
        <v>0</v>
      </c>
      <c r="E259" s="79" t="s">
        <v>1124</v>
      </c>
      <c r="F259" s="79" t="s">
        <v>2364</v>
      </c>
      <c r="G259" s="79" t="s">
        <v>1294</v>
      </c>
      <c r="H259" s="79"/>
      <c r="I259" s="79"/>
    </row>
    <row r="260" spans="1:9" ht="14.25">
      <c r="A260" s="79" t="s">
        <v>2369</v>
      </c>
      <c r="B260" s="79" t="s">
        <v>2370</v>
      </c>
      <c r="C260" s="79">
        <v>590247867</v>
      </c>
      <c r="D260" s="79">
        <v>0</v>
      </c>
      <c r="E260" s="79" t="s">
        <v>1124</v>
      </c>
      <c r="F260" s="79" t="s">
        <v>2215</v>
      </c>
      <c r="G260" s="79" t="s">
        <v>2371</v>
      </c>
      <c r="H260" s="79"/>
      <c r="I260" s="79"/>
    </row>
    <row r="261" spans="1:9" ht="14.25">
      <c r="A261" s="79" t="s">
        <v>2369</v>
      </c>
      <c r="B261" s="79" t="s">
        <v>2370</v>
      </c>
      <c r="C261" s="79">
        <v>590247867</v>
      </c>
      <c r="D261" s="79">
        <v>0</v>
      </c>
      <c r="E261" s="79" t="s">
        <v>1124</v>
      </c>
      <c r="F261" s="79" t="s">
        <v>2215</v>
      </c>
      <c r="G261" s="79" t="s">
        <v>2289</v>
      </c>
      <c r="H261" s="79"/>
      <c r="I261" s="79"/>
    </row>
    <row r="262" spans="1:9" ht="14.25">
      <c r="A262" s="79" t="s">
        <v>2369</v>
      </c>
      <c r="B262" s="79" t="s">
        <v>2370</v>
      </c>
      <c r="C262" s="79">
        <v>590247867</v>
      </c>
      <c r="D262" s="79">
        <v>0</v>
      </c>
      <c r="E262" s="79" t="s">
        <v>1124</v>
      </c>
      <c r="F262" s="79" t="s">
        <v>2372</v>
      </c>
      <c r="G262" s="79" t="s">
        <v>2373</v>
      </c>
      <c r="H262" s="79"/>
      <c r="I262" s="79"/>
    </row>
    <row r="263" spans="1:9" ht="14.25">
      <c r="A263" s="79" t="s">
        <v>2369</v>
      </c>
      <c r="B263" s="79" t="s">
        <v>2370</v>
      </c>
      <c r="C263" s="79">
        <v>590247867</v>
      </c>
      <c r="D263" s="79">
        <v>0</v>
      </c>
      <c r="E263" s="79" t="s">
        <v>1124</v>
      </c>
      <c r="F263" s="79" t="s">
        <v>2372</v>
      </c>
      <c r="G263" s="79" t="s">
        <v>2103</v>
      </c>
      <c r="H263" s="79"/>
      <c r="I263" s="79"/>
    </row>
    <row r="264" spans="1:9" ht="14.25">
      <c r="A264" s="79" t="s">
        <v>2369</v>
      </c>
      <c r="B264" s="79" t="s">
        <v>2370</v>
      </c>
      <c r="C264" s="79">
        <v>590247867</v>
      </c>
      <c r="D264" s="79">
        <v>0</v>
      </c>
      <c r="E264" s="79" t="s">
        <v>1124</v>
      </c>
      <c r="F264" s="79" t="s">
        <v>2372</v>
      </c>
      <c r="G264" s="79" t="s">
        <v>2152</v>
      </c>
      <c r="H264" s="79"/>
      <c r="I264" s="79"/>
    </row>
    <row r="265" spans="1:9" ht="14.25">
      <c r="A265" s="79" t="s">
        <v>2369</v>
      </c>
      <c r="B265" s="79" t="s">
        <v>2370</v>
      </c>
      <c r="C265" s="79">
        <v>590247867</v>
      </c>
      <c r="D265" s="79">
        <v>0</v>
      </c>
      <c r="E265" s="79" t="s">
        <v>1124</v>
      </c>
      <c r="F265" s="79" t="s">
        <v>2372</v>
      </c>
      <c r="G265" s="79" t="s">
        <v>2295</v>
      </c>
      <c r="H265" s="79"/>
      <c r="I265" s="79"/>
    </row>
    <row r="266" spans="1:9" ht="14.25">
      <c r="A266" s="79" t="s">
        <v>2374</v>
      </c>
      <c r="B266" s="79" t="s">
        <v>2375</v>
      </c>
      <c r="C266" s="79">
        <v>590247869</v>
      </c>
      <c r="D266" s="79">
        <v>0</v>
      </c>
      <c r="E266" s="79" t="s">
        <v>1124</v>
      </c>
      <c r="F266" s="79" t="s">
        <v>2372</v>
      </c>
      <c r="G266" s="79" t="s">
        <v>2298</v>
      </c>
      <c r="H266" s="79"/>
      <c r="I266" s="79"/>
    </row>
    <row r="267" spans="1:9" ht="14.25">
      <c r="A267" s="79" t="s">
        <v>2374</v>
      </c>
      <c r="B267" s="79" t="s">
        <v>2375</v>
      </c>
      <c r="C267" s="79">
        <v>590247869</v>
      </c>
      <c r="D267" s="79">
        <v>0</v>
      </c>
      <c r="E267" s="79" t="s">
        <v>1124</v>
      </c>
      <c r="F267" s="79" t="s">
        <v>2372</v>
      </c>
      <c r="G267" s="79" t="s">
        <v>1294</v>
      </c>
      <c r="H267" s="79"/>
      <c r="I267" s="79"/>
    </row>
    <row r="268" spans="1:9" ht="14.25">
      <c r="A268" s="79" t="s">
        <v>2376</v>
      </c>
      <c r="B268" s="79" t="s">
        <v>2377</v>
      </c>
      <c r="C268" s="79">
        <v>590247897</v>
      </c>
      <c r="D268" s="79">
        <v>0</v>
      </c>
      <c r="E268" s="79" t="s">
        <v>1124</v>
      </c>
      <c r="F268" s="79" t="s">
        <v>2215</v>
      </c>
      <c r="G268" s="79" t="s">
        <v>2378</v>
      </c>
      <c r="H268" s="79"/>
      <c r="I268" s="79"/>
    </row>
    <row r="269" spans="1:9" ht="14.25">
      <c r="A269" s="79" t="s">
        <v>2376</v>
      </c>
      <c r="B269" s="79" t="s">
        <v>2377</v>
      </c>
      <c r="C269" s="79">
        <v>590247897</v>
      </c>
      <c r="D269" s="79">
        <v>0</v>
      </c>
      <c r="E269" s="79" t="s">
        <v>1124</v>
      </c>
      <c r="F269" s="79" t="s">
        <v>2215</v>
      </c>
      <c r="G269" s="79" t="s">
        <v>2289</v>
      </c>
      <c r="H269" s="79"/>
      <c r="I269" s="79"/>
    </row>
    <row r="270" spans="1:9" ht="14.25">
      <c r="A270" s="79" t="s">
        <v>2376</v>
      </c>
      <c r="B270" s="79" t="s">
        <v>2377</v>
      </c>
      <c r="C270" s="79">
        <v>590247897</v>
      </c>
      <c r="D270" s="79">
        <v>0</v>
      </c>
      <c r="E270" s="79" t="s">
        <v>1124</v>
      </c>
      <c r="F270" s="79" t="s">
        <v>2379</v>
      </c>
      <c r="G270" s="79" t="s">
        <v>2380</v>
      </c>
      <c r="H270" s="79"/>
      <c r="I270" s="79"/>
    </row>
    <row r="271" spans="1:9" ht="14.25">
      <c r="A271" s="79" t="s">
        <v>2376</v>
      </c>
      <c r="B271" s="79" t="s">
        <v>2377</v>
      </c>
      <c r="C271" s="79">
        <v>590247897</v>
      </c>
      <c r="D271" s="79">
        <v>0</v>
      </c>
      <c r="E271" s="79" t="s">
        <v>1124</v>
      </c>
      <c r="F271" s="79" t="s">
        <v>2379</v>
      </c>
      <c r="G271" s="79" t="s">
        <v>2103</v>
      </c>
      <c r="H271" s="79"/>
      <c r="I271" s="79"/>
    </row>
    <row r="272" spans="1:9" ht="14.25">
      <c r="A272" s="79" t="s">
        <v>2376</v>
      </c>
      <c r="B272" s="79" t="s">
        <v>2377</v>
      </c>
      <c r="C272" s="79">
        <v>590247897</v>
      </c>
      <c r="D272" s="79">
        <v>0</v>
      </c>
      <c r="E272" s="79" t="s">
        <v>1124</v>
      </c>
      <c r="F272" s="79" t="s">
        <v>2379</v>
      </c>
      <c r="G272" s="79" t="s">
        <v>2381</v>
      </c>
      <c r="H272" s="79"/>
      <c r="I272" s="79"/>
    </row>
    <row r="273" spans="1:9" ht="14.25">
      <c r="A273" s="79" t="s">
        <v>2376</v>
      </c>
      <c r="B273" s="79" t="s">
        <v>2377</v>
      </c>
      <c r="C273" s="79">
        <v>590247897</v>
      </c>
      <c r="D273" s="79">
        <v>0</v>
      </c>
      <c r="E273" s="79" t="s">
        <v>1124</v>
      </c>
      <c r="F273" s="79" t="s">
        <v>2379</v>
      </c>
      <c r="G273" s="79" t="s">
        <v>2295</v>
      </c>
      <c r="H273" s="79"/>
      <c r="I273" s="79"/>
    </row>
    <row r="274" spans="1:9" ht="14.25">
      <c r="A274" s="79" t="s">
        <v>2382</v>
      </c>
      <c r="B274" s="79" t="s">
        <v>2383</v>
      </c>
      <c r="C274" s="79">
        <v>590247899</v>
      </c>
      <c r="D274" s="79">
        <v>0</v>
      </c>
      <c r="E274" s="79" t="s">
        <v>1124</v>
      </c>
      <c r="F274" s="79" t="s">
        <v>2379</v>
      </c>
      <c r="G274" s="79" t="s">
        <v>2298</v>
      </c>
      <c r="H274" s="79"/>
      <c r="I274" s="79"/>
    </row>
    <row r="275" spans="1:9" ht="14.25">
      <c r="A275" s="79" t="s">
        <v>2382</v>
      </c>
      <c r="B275" s="79" t="s">
        <v>2383</v>
      </c>
      <c r="C275" s="79">
        <v>590247899</v>
      </c>
      <c r="D275" s="79">
        <v>0</v>
      </c>
      <c r="E275" s="79" t="s">
        <v>1124</v>
      </c>
      <c r="F275" s="79" t="s">
        <v>2379</v>
      </c>
      <c r="G275" s="79" t="s">
        <v>1294</v>
      </c>
      <c r="H275" s="79"/>
      <c r="I275" s="79"/>
    </row>
    <row r="276" spans="1:9" ht="14.25">
      <c r="A276" s="79" t="s">
        <v>2384</v>
      </c>
      <c r="B276" s="79" t="s">
        <v>2385</v>
      </c>
      <c r="C276" s="79">
        <v>590247927</v>
      </c>
      <c r="D276" s="79">
        <v>0</v>
      </c>
      <c r="E276" s="79" t="s">
        <v>1124</v>
      </c>
      <c r="F276" s="79" t="s">
        <v>2215</v>
      </c>
      <c r="G276" s="79" t="s">
        <v>2386</v>
      </c>
      <c r="H276" s="79"/>
      <c r="I276" s="79"/>
    </row>
    <row r="277" spans="1:9" ht="14.25">
      <c r="A277" s="79" t="s">
        <v>2384</v>
      </c>
      <c r="B277" s="79" t="s">
        <v>2385</v>
      </c>
      <c r="C277" s="79">
        <v>590247927</v>
      </c>
      <c r="D277" s="79">
        <v>0</v>
      </c>
      <c r="E277" s="79" t="s">
        <v>1124</v>
      </c>
      <c r="F277" s="79" t="s">
        <v>2215</v>
      </c>
      <c r="G277" s="79" t="s">
        <v>2289</v>
      </c>
      <c r="H277" s="79"/>
      <c r="I277" s="79"/>
    </row>
    <row r="278" spans="1:9" ht="14.25">
      <c r="A278" s="79" t="s">
        <v>2384</v>
      </c>
      <c r="B278" s="79" t="s">
        <v>2385</v>
      </c>
      <c r="C278" s="79">
        <v>590247927</v>
      </c>
      <c r="D278" s="79">
        <v>0</v>
      </c>
      <c r="E278" s="79" t="s">
        <v>1124</v>
      </c>
      <c r="F278" s="79" t="s">
        <v>2387</v>
      </c>
      <c r="G278" s="79" t="s">
        <v>2388</v>
      </c>
      <c r="H278" s="79"/>
      <c r="I278" s="79"/>
    </row>
    <row r="279" spans="1:9" ht="14.25">
      <c r="A279" s="79" t="s">
        <v>2384</v>
      </c>
      <c r="B279" s="79" t="s">
        <v>2385</v>
      </c>
      <c r="C279" s="79">
        <v>590247927</v>
      </c>
      <c r="D279" s="79">
        <v>0</v>
      </c>
      <c r="E279" s="79" t="s">
        <v>1124</v>
      </c>
      <c r="F279" s="79" t="s">
        <v>2387</v>
      </c>
      <c r="G279" s="79" t="s">
        <v>2103</v>
      </c>
      <c r="H279" s="79"/>
      <c r="I279" s="79"/>
    </row>
    <row r="280" spans="1:9" ht="14.25">
      <c r="A280" s="79" t="s">
        <v>2384</v>
      </c>
      <c r="B280" s="79" t="s">
        <v>2385</v>
      </c>
      <c r="C280" s="79">
        <v>590247927</v>
      </c>
      <c r="D280" s="79">
        <v>0</v>
      </c>
      <c r="E280" s="79" t="s">
        <v>1124</v>
      </c>
      <c r="F280" s="79" t="s">
        <v>2387</v>
      </c>
      <c r="G280" s="79" t="s">
        <v>2389</v>
      </c>
      <c r="H280" s="79"/>
      <c r="I280" s="79"/>
    </row>
    <row r="281" spans="1:9" ht="14.25">
      <c r="A281" s="79" t="s">
        <v>2384</v>
      </c>
      <c r="B281" s="79" t="s">
        <v>2385</v>
      </c>
      <c r="C281" s="79">
        <v>590247927</v>
      </c>
      <c r="D281" s="79">
        <v>0</v>
      </c>
      <c r="E281" s="79" t="s">
        <v>1124</v>
      </c>
      <c r="F281" s="79" t="s">
        <v>2387</v>
      </c>
      <c r="G281" s="79" t="s">
        <v>2295</v>
      </c>
      <c r="H281" s="79"/>
      <c r="I281" s="79"/>
    </row>
    <row r="282" spans="1:9" ht="14.25">
      <c r="A282" s="79" t="s">
        <v>2390</v>
      </c>
      <c r="B282" s="79" t="s">
        <v>2391</v>
      </c>
      <c r="C282" s="79">
        <v>590247929</v>
      </c>
      <c r="D282" s="79">
        <v>0</v>
      </c>
      <c r="E282" s="79" t="s">
        <v>1124</v>
      </c>
      <c r="F282" s="79" t="s">
        <v>2387</v>
      </c>
      <c r="G282" s="79" t="s">
        <v>2298</v>
      </c>
      <c r="H282" s="79"/>
      <c r="I282" s="79"/>
    </row>
    <row r="283" spans="1:9" ht="14.25">
      <c r="A283" s="79" t="s">
        <v>2390</v>
      </c>
      <c r="B283" s="79" t="s">
        <v>2391</v>
      </c>
      <c r="C283" s="79">
        <v>590247929</v>
      </c>
      <c r="D283" s="79">
        <v>0</v>
      </c>
      <c r="E283" s="79" t="s">
        <v>1124</v>
      </c>
      <c r="F283" s="79" t="s">
        <v>2387</v>
      </c>
      <c r="G283" s="79" t="s">
        <v>1294</v>
      </c>
      <c r="H283" s="79"/>
      <c r="I283" s="79"/>
    </row>
    <row r="284" spans="1:9" ht="14.25">
      <c r="A284" s="79" t="s">
        <v>2392</v>
      </c>
      <c r="B284" s="79" t="s">
        <v>2393</v>
      </c>
      <c r="C284" s="79">
        <v>590247957</v>
      </c>
      <c r="D284" s="79">
        <v>0</v>
      </c>
      <c r="E284" s="79" t="s">
        <v>1124</v>
      </c>
      <c r="F284" s="79" t="s">
        <v>2215</v>
      </c>
      <c r="G284" s="79" t="s">
        <v>2394</v>
      </c>
      <c r="H284" s="79"/>
      <c r="I284" s="79"/>
    </row>
    <row r="285" spans="1:9" ht="14.25">
      <c r="A285" s="79" t="s">
        <v>2392</v>
      </c>
      <c r="B285" s="79" t="s">
        <v>2393</v>
      </c>
      <c r="C285" s="79">
        <v>590247957</v>
      </c>
      <c r="D285" s="79">
        <v>0</v>
      </c>
      <c r="E285" s="79" t="s">
        <v>1124</v>
      </c>
      <c r="F285" s="79" t="s">
        <v>2215</v>
      </c>
      <c r="G285" s="79" t="s">
        <v>2289</v>
      </c>
      <c r="H285" s="79"/>
      <c r="I285" s="79"/>
    </row>
    <row r="286" spans="1:9" ht="14.25">
      <c r="A286" s="79" t="s">
        <v>2392</v>
      </c>
      <c r="B286" s="79" t="s">
        <v>2393</v>
      </c>
      <c r="C286" s="79">
        <v>590247957</v>
      </c>
      <c r="D286" s="79">
        <v>0</v>
      </c>
      <c r="E286" s="79" t="s">
        <v>1124</v>
      </c>
      <c r="F286" s="79" t="s">
        <v>2395</v>
      </c>
      <c r="G286" s="79" t="s">
        <v>2396</v>
      </c>
      <c r="H286" s="79"/>
      <c r="I286" s="79"/>
    </row>
    <row r="287" spans="1:9" ht="14.25">
      <c r="A287" s="79" t="s">
        <v>2392</v>
      </c>
      <c r="B287" s="79" t="s">
        <v>2393</v>
      </c>
      <c r="C287" s="79">
        <v>590247957</v>
      </c>
      <c r="D287" s="79">
        <v>0</v>
      </c>
      <c r="E287" s="79" t="s">
        <v>1124</v>
      </c>
      <c r="F287" s="79" t="s">
        <v>2395</v>
      </c>
      <c r="G287" s="79" t="s">
        <v>2103</v>
      </c>
      <c r="H287" s="79"/>
      <c r="I287" s="79"/>
    </row>
    <row r="288" spans="1:9" ht="14.25">
      <c r="A288" s="79" t="s">
        <v>2392</v>
      </c>
      <c r="B288" s="79" t="s">
        <v>2393</v>
      </c>
      <c r="C288" s="79">
        <v>590247957</v>
      </c>
      <c r="D288" s="79">
        <v>0</v>
      </c>
      <c r="E288" s="79" t="s">
        <v>1124</v>
      </c>
      <c r="F288" s="79" t="s">
        <v>2395</v>
      </c>
      <c r="G288" s="79" t="s">
        <v>2144</v>
      </c>
      <c r="H288" s="79"/>
      <c r="I288" s="79"/>
    </row>
    <row r="289" spans="1:9" ht="14.25">
      <c r="A289" s="79" t="s">
        <v>2392</v>
      </c>
      <c r="B289" s="79" t="s">
        <v>2393</v>
      </c>
      <c r="C289" s="79">
        <v>590247957</v>
      </c>
      <c r="D289" s="79">
        <v>0</v>
      </c>
      <c r="E289" s="79" t="s">
        <v>1124</v>
      </c>
      <c r="F289" s="79" t="s">
        <v>2395</v>
      </c>
      <c r="G289" s="79" t="s">
        <v>2295</v>
      </c>
      <c r="H289" s="79"/>
      <c r="I289" s="79"/>
    </row>
    <row r="290" spans="1:9" ht="14.25">
      <c r="A290" s="79" t="s">
        <v>2397</v>
      </c>
      <c r="B290" s="79" t="s">
        <v>2398</v>
      </c>
      <c r="C290" s="79">
        <v>590247959</v>
      </c>
      <c r="D290" s="79">
        <v>0</v>
      </c>
      <c r="E290" s="79" t="s">
        <v>1124</v>
      </c>
      <c r="F290" s="79" t="s">
        <v>2395</v>
      </c>
      <c r="G290" s="79" t="s">
        <v>2298</v>
      </c>
      <c r="H290" s="79"/>
      <c r="I290" s="79"/>
    </row>
    <row r="291" spans="1:9" ht="14.25">
      <c r="A291" s="79" t="s">
        <v>2397</v>
      </c>
      <c r="B291" s="79" t="s">
        <v>2398</v>
      </c>
      <c r="C291" s="79">
        <v>590247959</v>
      </c>
      <c r="D291" s="79">
        <v>0</v>
      </c>
      <c r="E291" s="79" t="s">
        <v>1124</v>
      </c>
      <c r="F291" s="79" t="s">
        <v>2395</v>
      </c>
      <c r="G291" s="79" t="s">
        <v>1294</v>
      </c>
      <c r="H291" s="79"/>
      <c r="I291" s="79"/>
    </row>
    <row r="292" spans="1:9" ht="14.25">
      <c r="A292" s="79" t="s">
        <v>2399</v>
      </c>
      <c r="B292" s="79" t="s">
        <v>2400</v>
      </c>
      <c r="C292" s="79">
        <v>590247987</v>
      </c>
      <c r="D292" s="79">
        <v>0</v>
      </c>
      <c r="E292" s="79" t="s">
        <v>1124</v>
      </c>
      <c r="F292" s="79" t="s">
        <v>2215</v>
      </c>
      <c r="G292" s="79" t="s">
        <v>2401</v>
      </c>
      <c r="H292" s="79"/>
      <c r="I292" s="79"/>
    </row>
    <row r="293" spans="1:9" ht="14.25">
      <c r="A293" s="79" t="s">
        <v>2399</v>
      </c>
      <c r="B293" s="79" t="s">
        <v>2400</v>
      </c>
      <c r="C293" s="79">
        <v>590247987</v>
      </c>
      <c r="D293" s="79">
        <v>0</v>
      </c>
      <c r="E293" s="79" t="s">
        <v>1124</v>
      </c>
      <c r="F293" s="79" t="s">
        <v>2215</v>
      </c>
      <c r="G293" s="79" t="s">
        <v>2402</v>
      </c>
      <c r="H293" s="79"/>
      <c r="I293" s="79"/>
    </row>
    <row r="294" spans="1:9" ht="14.25">
      <c r="A294" s="79" t="s">
        <v>2399</v>
      </c>
      <c r="B294" s="79" t="s">
        <v>2400</v>
      </c>
      <c r="C294" s="79">
        <v>590247987</v>
      </c>
      <c r="D294" s="79">
        <v>0</v>
      </c>
      <c r="E294" s="79" t="s">
        <v>1124</v>
      </c>
      <c r="F294" s="79" t="s">
        <v>2403</v>
      </c>
      <c r="G294" s="79" t="s">
        <v>2404</v>
      </c>
      <c r="H294" s="79"/>
      <c r="I294" s="79"/>
    </row>
    <row r="295" spans="1:9" ht="14.25">
      <c r="A295" s="79" t="s">
        <v>2399</v>
      </c>
      <c r="B295" s="79" t="s">
        <v>2400</v>
      </c>
      <c r="C295" s="79">
        <v>590247987</v>
      </c>
      <c r="D295" s="79">
        <v>0</v>
      </c>
      <c r="E295" s="79" t="s">
        <v>1124</v>
      </c>
      <c r="F295" s="79" t="s">
        <v>2403</v>
      </c>
      <c r="G295" s="79" t="s">
        <v>2103</v>
      </c>
      <c r="H295" s="79"/>
      <c r="I295" s="79"/>
    </row>
    <row r="296" spans="1:9" ht="14.25">
      <c r="A296" s="79" t="s">
        <v>2399</v>
      </c>
      <c r="B296" s="79" t="s">
        <v>2400</v>
      </c>
      <c r="C296" s="79">
        <v>590247987</v>
      </c>
      <c r="D296" s="79">
        <v>0</v>
      </c>
      <c r="E296" s="79" t="s">
        <v>1124</v>
      </c>
      <c r="F296" s="79" t="s">
        <v>2403</v>
      </c>
      <c r="G296" s="79" t="s">
        <v>2405</v>
      </c>
      <c r="H296" s="79"/>
      <c r="I296" s="79"/>
    </row>
    <row r="297" spans="1:9" ht="14.25">
      <c r="A297" s="79" t="s">
        <v>2399</v>
      </c>
      <c r="B297" s="79" t="s">
        <v>2400</v>
      </c>
      <c r="C297" s="79">
        <v>590247987</v>
      </c>
      <c r="D297" s="79">
        <v>0</v>
      </c>
      <c r="E297" s="79" t="s">
        <v>1124</v>
      </c>
      <c r="F297" s="79" t="s">
        <v>2403</v>
      </c>
      <c r="G297" s="79" t="s">
        <v>2295</v>
      </c>
      <c r="H297" s="79"/>
      <c r="I297" s="79"/>
    </row>
    <row r="298" spans="1:9" ht="14.25">
      <c r="A298" s="79" t="s">
        <v>2406</v>
      </c>
      <c r="B298" s="79" t="s">
        <v>2407</v>
      </c>
      <c r="C298" s="79">
        <v>590247989</v>
      </c>
      <c r="D298" s="79">
        <v>0</v>
      </c>
      <c r="E298" s="79" t="s">
        <v>1124</v>
      </c>
      <c r="F298" s="79" t="s">
        <v>2403</v>
      </c>
      <c r="G298" s="79" t="s">
        <v>2298</v>
      </c>
      <c r="H298" s="79"/>
      <c r="I298" s="79"/>
    </row>
    <row r="299" spans="1:9" ht="14.25">
      <c r="A299" s="79" t="s">
        <v>2406</v>
      </c>
      <c r="B299" s="79" t="s">
        <v>2407</v>
      </c>
      <c r="C299" s="79">
        <v>590247989</v>
      </c>
      <c r="D299" s="79">
        <v>0</v>
      </c>
      <c r="E299" s="79" t="s">
        <v>1124</v>
      </c>
      <c r="F299" s="79" t="s">
        <v>2403</v>
      </c>
      <c r="G299" s="79" t="s">
        <v>1294</v>
      </c>
      <c r="H299" s="79"/>
      <c r="I299" s="79"/>
    </row>
    <row r="300" spans="1:9" ht="14.25">
      <c r="A300" s="79" t="s">
        <v>2408</v>
      </c>
      <c r="B300" s="79" t="s">
        <v>2409</v>
      </c>
      <c r="C300" s="79">
        <v>590248047</v>
      </c>
      <c r="D300" s="79">
        <v>0</v>
      </c>
      <c r="E300" s="79" t="s">
        <v>1124</v>
      </c>
      <c r="F300" s="79" t="s">
        <v>2215</v>
      </c>
      <c r="G300" s="79" t="s">
        <v>2410</v>
      </c>
      <c r="H300" s="79"/>
      <c r="I300" s="79"/>
    </row>
    <row r="301" spans="1:9" ht="14.25">
      <c r="A301" s="79" t="s">
        <v>2408</v>
      </c>
      <c r="B301" s="79" t="s">
        <v>2409</v>
      </c>
      <c r="C301" s="79">
        <v>590248047</v>
      </c>
      <c r="D301" s="79">
        <v>0</v>
      </c>
      <c r="E301" s="79" t="s">
        <v>1124</v>
      </c>
      <c r="F301" s="79" t="s">
        <v>2215</v>
      </c>
      <c r="G301" s="79" t="s">
        <v>2402</v>
      </c>
      <c r="H301" s="79"/>
      <c r="I301" s="79"/>
    </row>
    <row r="302" spans="1:9" ht="14.25">
      <c r="A302" s="79" t="s">
        <v>2408</v>
      </c>
      <c r="B302" s="79" t="s">
        <v>2409</v>
      </c>
      <c r="C302" s="79">
        <v>590248047</v>
      </c>
      <c r="D302" s="79">
        <v>0</v>
      </c>
      <c r="E302" s="79" t="s">
        <v>1124</v>
      </c>
      <c r="F302" s="79" t="s">
        <v>2411</v>
      </c>
      <c r="G302" s="79" t="s">
        <v>2412</v>
      </c>
      <c r="H302" s="79"/>
      <c r="I302" s="79"/>
    </row>
    <row r="303" spans="1:9" ht="14.25">
      <c r="A303" s="79" t="s">
        <v>2408</v>
      </c>
      <c r="B303" s="79" t="s">
        <v>2409</v>
      </c>
      <c r="C303" s="79">
        <v>590248047</v>
      </c>
      <c r="D303" s="79">
        <v>0</v>
      </c>
      <c r="E303" s="79" t="s">
        <v>1124</v>
      </c>
      <c r="F303" s="79" t="s">
        <v>2411</v>
      </c>
      <c r="G303" s="79" t="s">
        <v>2103</v>
      </c>
      <c r="H303" s="79"/>
      <c r="I303" s="79"/>
    </row>
    <row r="304" spans="1:9" ht="14.25">
      <c r="A304" s="79" t="s">
        <v>2408</v>
      </c>
      <c r="B304" s="79" t="s">
        <v>2409</v>
      </c>
      <c r="C304" s="79">
        <v>590248047</v>
      </c>
      <c r="D304" s="79">
        <v>0</v>
      </c>
      <c r="E304" s="79" t="s">
        <v>1124</v>
      </c>
      <c r="F304" s="79" t="s">
        <v>2411</v>
      </c>
      <c r="G304" s="79" t="s">
        <v>2413</v>
      </c>
      <c r="H304" s="79"/>
      <c r="I304" s="79"/>
    </row>
    <row r="305" spans="1:9" ht="14.25">
      <c r="A305" s="79" t="s">
        <v>2408</v>
      </c>
      <c r="B305" s="79" t="s">
        <v>2409</v>
      </c>
      <c r="C305" s="79">
        <v>590248047</v>
      </c>
      <c r="D305" s="79">
        <v>0</v>
      </c>
      <c r="E305" s="79" t="s">
        <v>1124</v>
      </c>
      <c r="F305" s="79" t="s">
        <v>2411</v>
      </c>
      <c r="G305" s="79" t="s">
        <v>2295</v>
      </c>
      <c r="H305" s="79"/>
      <c r="I305" s="79"/>
    </row>
    <row r="306" spans="1:9" ht="14.25">
      <c r="A306" s="79" t="s">
        <v>2414</v>
      </c>
      <c r="B306" s="79" t="s">
        <v>2415</v>
      </c>
      <c r="C306" s="79">
        <v>590248049</v>
      </c>
      <c r="D306" s="79">
        <v>0</v>
      </c>
      <c r="E306" s="79" t="s">
        <v>1124</v>
      </c>
      <c r="F306" s="79" t="s">
        <v>2411</v>
      </c>
      <c r="G306" s="79" t="s">
        <v>2298</v>
      </c>
      <c r="H306" s="79"/>
      <c r="I306" s="79"/>
    </row>
    <row r="307" spans="1:9" ht="14.25">
      <c r="A307" s="79" t="s">
        <v>2414</v>
      </c>
      <c r="B307" s="79" t="s">
        <v>2415</v>
      </c>
      <c r="C307" s="79">
        <v>590248049</v>
      </c>
      <c r="D307" s="79">
        <v>0</v>
      </c>
      <c r="E307" s="79" t="s">
        <v>1124</v>
      </c>
      <c r="F307" s="79" t="s">
        <v>2411</v>
      </c>
      <c r="G307" s="79" t="s">
        <v>1294</v>
      </c>
      <c r="H307" s="79"/>
      <c r="I307" s="79"/>
    </row>
    <row r="308" spans="1:9" ht="14.25">
      <c r="A308" s="79" t="s">
        <v>2416</v>
      </c>
      <c r="B308" s="79" t="s">
        <v>2417</v>
      </c>
      <c r="C308" s="79">
        <v>590248107</v>
      </c>
      <c r="D308" s="79">
        <v>0</v>
      </c>
      <c r="E308" s="79" t="s">
        <v>1124</v>
      </c>
      <c r="F308" s="79" t="s">
        <v>2215</v>
      </c>
      <c r="G308" s="79" t="s">
        <v>2418</v>
      </c>
      <c r="H308" s="79"/>
      <c r="I308" s="79"/>
    </row>
    <row r="309" spans="1:9" ht="14.25">
      <c r="A309" s="79" t="s">
        <v>2416</v>
      </c>
      <c r="B309" s="79" t="s">
        <v>2417</v>
      </c>
      <c r="C309" s="79">
        <v>590248107</v>
      </c>
      <c r="D309" s="79">
        <v>0</v>
      </c>
      <c r="E309" s="79" t="s">
        <v>1124</v>
      </c>
      <c r="F309" s="79" t="s">
        <v>2215</v>
      </c>
      <c r="G309" s="79" t="s">
        <v>2402</v>
      </c>
      <c r="H309" s="79"/>
      <c r="I309" s="79"/>
    </row>
    <row r="310" spans="1:9" ht="14.25">
      <c r="A310" s="79" t="s">
        <v>2416</v>
      </c>
      <c r="B310" s="79" t="s">
        <v>2417</v>
      </c>
      <c r="C310" s="79">
        <v>590248107</v>
      </c>
      <c r="D310" s="79">
        <v>0</v>
      </c>
      <c r="E310" s="79" t="s">
        <v>1124</v>
      </c>
      <c r="F310" s="79" t="s">
        <v>2419</v>
      </c>
      <c r="G310" s="79" t="s">
        <v>2420</v>
      </c>
      <c r="H310" s="79"/>
      <c r="I310" s="79"/>
    </row>
    <row r="311" spans="1:9" ht="14.25">
      <c r="A311" s="79" t="s">
        <v>2416</v>
      </c>
      <c r="B311" s="79" t="s">
        <v>2417</v>
      </c>
      <c r="C311" s="79">
        <v>590248107</v>
      </c>
      <c r="D311" s="79">
        <v>0</v>
      </c>
      <c r="E311" s="79" t="s">
        <v>1124</v>
      </c>
      <c r="F311" s="79" t="s">
        <v>2419</v>
      </c>
      <c r="G311" s="79" t="s">
        <v>2103</v>
      </c>
      <c r="H311" s="79"/>
      <c r="I311" s="79"/>
    </row>
    <row r="312" spans="1:9" ht="14.25">
      <c r="A312" s="79" t="s">
        <v>2416</v>
      </c>
      <c r="B312" s="79" t="s">
        <v>2417</v>
      </c>
      <c r="C312" s="79">
        <v>590248107</v>
      </c>
      <c r="D312" s="79">
        <v>0</v>
      </c>
      <c r="E312" s="79" t="s">
        <v>1124</v>
      </c>
      <c r="F312" s="79" t="s">
        <v>2419</v>
      </c>
      <c r="G312" s="79" t="s">
        <v>2136</v>
      </c>
      <c r="H312" s="79"/>
      <c r="I312" s="79"/>
    </row>
    <row r="313" spans="1:9" ht="14.25">
      <c r="A313" s="79" t="s">
        <v>2416</v>
      </c>
      <c r="B313" s="79" t="s">
        <v>2417</v>
      </c>
      <c r="C313" s="79">
        <v>590248107</v>
      </c>
      <c r="D313" s="79">
        <v>0</v>
      </c>
      <c r="E313" s="79" t="s">
        <v>1124</v>
      </c>
      <c r="F313" s="79" t="s">
        <v>2419</v>
      </c>
      <c r="G313" s="79" t="s">
        <v>2295</v>
      </c>
      <c r="H313" s="79"/>
      <c r="I313" s="79"/>
    </row>
    <row r="314" spans="1:9" ht="14.25">
      <c r="A314" s="79" t="s">
        <v>2421</v>
      </c>
      <c r="B314" s="79" t="s">
        <v>2422</v>
      </c>
      <c r="C314" s="79">
        <v>590248109</v>
      </c>
      <c r="D314" s="79">
        <v>0</v>
      </c>
      <c r="E314" s="79" t="s">
        <v>1124</v>
      </c>
      <c r="F314" s="79" t="s">
        <v>2419</v>
      </c>
      <c r="G314" s="79" t="s">
        <v>2298</v>
      </c>
      <c r="H314" s="79"/>
      <c r="I314" s="79"/>
    </row>
    <row r="315" spans="1:9" ht="14.25">
      <c r="A315" s="79" t="s">
        <v>2421</v>
      </c>
      <c r="B315" s="79" t="s">
        <v>2422</v>
      </c>
      <c r="C315" s="79">
        <v>590248109</v>
      </c>
      <c r="D315" s="79">
        <v>0</v>
      </c>
      <c r="E315" s="79" t="s">
        <v>1124</v>
      </c>
      <c r="F315" s="79" t="s">
        <v>2419</v>
      </c>
      <c r="G315" s="79" t="s">
        <v>1294</v>
      </c>
      <c r="H315" s="79"/>
      <c r="I315" s="79"/>
    </row>
    <row r="316" spans="1:9" ht="14.25">
      <c r="A316" s="79" t="s">
        <v>2423</v>
      </c>
      <c r="B316" s="79" t="s">
        <v>2424</v>
      </c>
      <c r="C316" s="79">
        <v>590248167</v>
      </c>
      <c r="D316" s="79">
        <v>0</v>
      </c>
      <c r="E316" s="79" t="s">
        <v>1124</v>
      </c>
      <c r="F316" s="79" t="s">
        <v>2215</v>
      </c>
      <c r="G316" s="79" t="s">
        <v>2425</v>
      </c>
      <c r="H316" s="79"/>
      <c r="I316" s="79"/>
    </row>
    <row r="317" spans="1:9" ht="14.25">
      <c r="A317" s="79" t="s">
        <v>2423</v>
      </c>
      <c r="B317" s="79" t="s">
        <v>2424</v>
      </c>
      <c r="C317" s="79">
        <v>590248167</v>
      </c>
      <c r="D317" s="79">
        <v>0</v>
      </c>
      <c r="E317" s="79" t="s">
        <v>1124</v>
      </c>
      <c r="F317" s="79" t="s">
        <v>2215</v>
      </c>
      <c r="G317" s="79" t="s">
        <v>2402</v>
      </c>
      <c r="H317" s="79"/>
      <c r="I317" s="79"/>
    </row>
    <row r="318" spans="1:9" ht="14.25">
      <c r="A318" s="79" t="s">
        <v>2423</v>
      </c>
      <c r="B318" s="79" t="s">
        <v>2424</v>
      </c>
      <c r="C318" s="79">
        <v>590248167</v>
      </c>
      <c r="D318" s="79">
        <v>0</v>
      </c>
      <c r="E318" s="79" t="s">
        <v>1124</v>
      </c>
      <c r="F318" s="79" t="s">
        <v>2426</v>
      </c>
      <c r="G318" s="79" t="s">
        <v>2427</v>
      </c>
      <c r="H318" s="79"/>
      <c r="I318" s="79"/>
    </row>
    <row r="319" spans="1:9" ht="14.25">
      <c r="A319" s="79" t="s">
        <v>2423</v>
      </c>
      <c r="B319" s="79" t="s">
        <v>2424</v>
      </c>
      <c r="C319" s="79">
        <v>590248167</v>
      </c>
      <c r="D319" s="79">
        <v>0</v>
      </c>
      <c r="E319" s="79" t="s">
        <v>1124</v>
      </c>
      <c r="F319" s="79" t="s">
        <v>2426</v>
      </c>
      <c r="G319" s="79" t="s">
        <v>2103</v>
      </c>
      <c r="H319" s="79"/>
      <c r="I319" s="79"/>
    </row>
    <row r="320" spans="1:9" ht="14.25">
      <c r="A320" s="79" t="s">
        <v>2423</v>
      </c>
      <c r="B320" s="79" t="s">
        <v>2424</v>
      </c>
      <c r="C320" s="79">
        <v>590248167</v>
      </c>
      <c r="D320" s="79">
        <v>0</v>
      </c>
      <c r="E320" s="79" t="s">
        <v>1124</v>
      </c>
      <c r="F320" s="79" t="s">
        <v>2426</v>
      </c>
      <c r="G320" s="79" t="s">
        <v>2428</v>
      </c>
      <c r="H320" s="79"/>
      <c r="I320" s="79"/>
    </row>
    <row r="321" spans="1:9" ht="14.25">
      <c r="A321" s="79" t="s">
        <v>2423</v>
      </c>
      <c r="B321" s="79" t="s">
        <v>2424</v>
      </c>
      <c r="C321" s="79">
        <v>590248167</v>
      </c>
      <c r="D321" s="79">
        <v>0</v>
      </c>
      <c r="E321" s="79" t="s">
        <v>1124</v>
      </c>
      <c r="F321" s="79" t="s">
        <v>2426</v>
      </c>
      <c r="G321" s="79" t="s">
        <v>2295</v>
      </c>
      <c r="H321" s="79"/>
      <c r="I321" s="79"/>
    </row>
    <row r="322" spans="1:9" ht="14.25">
      <c r="A322" s="79" t="s">
        <v>2429</v>
      </c>
      <c r="B322" s="79" t="s">
        <v>2430</v>
      </c>
      <c r="C322" s="79">
        <v>590248169</v>
      </c>
      <c r="D322" s="79">
        <v>0</v>
      </c>
      <c r="E322" s="79" t="s">
        <v>1124</v>
      </c>
      <c r="F322" s="79" t="s">
        <v>2426</v>
      </c>
      <c r="G322" s="79" t="s">
        <v>2298</v>
      </c>
      <c r="H322" s="79"/>
      <c r="I322" s="79"/>
    </row>
    <row r="323" spans="1:9" ht="14.25">
      <c r="A323" s="79" t="s">
        <v>2429</v>
      </c>
      <c r="B323" s="79" t="s">
        <v>2430</v>
      </c>
      <c r="C323" s="79">
        <v>590248169</v>
      </c>
      <c r="D323" s="79">
        <v>0</v>
      </c>
      <c r="E323" s="79" t="s">
        <v>1124</v>
      </c>
      <c r="F323" s="79" t="s">
        <v>2426</v>
      </c>
      <c r="G323" s="79" t="s">
        <v>1294</v>
      </c>
      <c r="H323" s="79"/>
      <c r="I323" s="79"/>
    </row>
    <row r="324" spans="1:9" ht="14.25">
      <c r="A324" s="79" t="s">
        <v>2431</v>
      </c>
      <c r="B324" s="79" t="s">
        <v>2432</v>
      </c>
      <c r="C324" s="79">
        <v>590248227</v>
      </c>
      <c r="D324" s="79">
        <v>0</v>
      </c>
      <c r="E324" s="79" t="s">
        <v>1124</v>
      </c>
      <c r="F324" s="79" t="s">
        <v>2215</v>
      </c>
      <c r="G324" s="79" t="s">
        <v>2433</v>
      </c>
      <c r="H324" s="79"/>
      <c r="I324" s="79"/>
    </row>
    <row r="325" spans="1:9" ht="14.25">
      <c r="A325" s="79" t="s">
        <v>2431</v>
      </c>
      <c r="B325" s="79" t="s">
        <v>2432</v>
      </c>
      <c r="C325" s="79">
        <v>590248227</v>
      </c>
      <c r="D325" s="79">
        <v>0</v>
      </c>
      <c r="E325" s="79" t="s">
        <v>1124</v>
      </c>
      <c r="F325" s="79" t="s">
        <v>2215</v>
      </c>
      <c r="G325" s="79" t="s">
        <v>2402</v>
      </c>
      <c r="H325" s="79"/>
      <c r="I325" s="79"/>
    </row>
    <row r="326" spans="1:9" ht="14.25">
      <c r="A326" s="79" t="s">
        <v>2431</v>
      </c>
      <c r="B326" s="79" t="s">
        <v>2432</v>
      </c>
      <c r="C326" s="79">
        <v>590248227</v>
      </c>
      <c r="D326" s="79">
        <v>0</v>
      </c>
      <c r="E326" s="79" t="s">
        <v>1124</v>
      </c>
      <c r="F326" s="79" t="s">
        <v>2434</v>
      </c>
      <c r="G326" s="79" t="s">
        <v>2435</v>
      </c>
      <c r="H326" s="79"/>
      <c r="I326" s="79"/>
    </row>
    <row r="327" spans="1:9" ht="14.25">
      <c r="A327" s="79" t="s">
        <v>2431</v>
      </c>
      <c r="B327" s="79" t="s">
        <v>2432</v>
      </c>
      <c r="C327" s="79">
        <v>590248227</v>
      </c>
      <c r="D327" s="79">
        <v>0</v>
      </c>
      <c r="E327" s="79" t="s">
        <v>1124</v>
      </c>
      <c r="F327" s="79" t="s">
        <v>2434</v>
      </c>
      <c r="G327" s="79" t="s">
        <v>2103</v>
      </c>
      <c r="H327" s="79"/>
      <c r="I327" s="79"/>
    </row>
    <row r="328" spans="1:9" ht="14.25">
      <c r="A328" s="79" t="s">
        <v>2431</v>
      </c>
      <c r="B328" s="79" t="s">
        <v>2432</v>
      </c>
      <c r="C328" s="79">
        <v>590248227</v>
      </c>
      <c r="D328" s="79">
        <v>0</v>
      </c>
      <c r="E328" s="79" t="s">
        <v>1124</v>
      </c>
      <c r="F328" s="79" t="s">
        <v>2434</v>
      </c>
      <c r="G328" s="79" t="s">
        <v>2436</v>
      </c>
      <c r="H328" s="79"/>
      <c r="I328" s="79"/>
    </row>
    <row r="329" spans="1:9" ht="14.25">
      <c r="A329" s="79" t="s">
        <v>2431</v>
      </c>
      <c r="B329" s="79" t="s">
        <v>2432</v>
      </c>
      <c r="C329" s="79">
        <v>590248227</v>
      </c>
      <c r="D329" s="79">
        <v>0</v>
      </c>
      <c r="E329" s="79" t="s">
        <v>1124</v>
      </c>
      <c r="F329" s="79" t="s">
        <v>2434</v>
      </c>
      <c r="G329" s="79" t="s">
        <v>2295</v>
      </c>
      <c r="H329" s="79"/>
      <c r="I329" s="79"/>
    </row>
    <row r="330" spans="1:9" ht="14.25">
      <c r="A330" s="79" t="s">
        <v>2437</v>
      </c>
      <c r="B330" s="79" t="s">
        <v>2438</v>
      </c>
      <c r="C330" s="79">
        <v>590248229</v>
      </c>
      <c r="D330" s="79">
        <v>0</v>
      </c>
      <c r="E330" s="79" t="s">
        <v>1124</v>
      </c>
      <c r="F330" s="79" t="s">
        <v>2434</v>
      </c>
      <c r="G330" s="79" t="s">
        <v>2298</v>
      </c>
      <c r="H330" s="79"/>
      <c r="I330" s="79"/>
    </row>
    <row r="331" spans="1:9" ht="14.25">
      <c r="A331" s="79" t="s">
        <v>2437</v>
      </c>
      <c r="B331" s="79" t="s">
        <v>2438</v>
      </c>
      <c r="C331" s="79">
        <v>590248229</v>
      </c>
      <c r="D331" s="79">
        <v>0</v>
      </c>
      <c r="E331" s="79" t="s">
        <v>1124</v>
      </c>
      <c r="F331" s="79" t="s">
        <v>2434</v>
      </c>
      <c r="G331" s="79" t="s">
        <v>1294</v>
      </c>
      <c r="H331" s="79"/>
      <c r="I331" s="79"/>
    </row>
    <row r="332" spans="1:9" ht="14.25">
      <c r="A332" s="79" t="s">
        <v>2439</v>
      </c>
      <c r="B332" s="79" t="s">
        <v>2440</v>
      </c>
      <c r="C332" s="79">
        <v>590248287</v>
      </c>
      <c r="D332" s="79">
        <v>0</v>
      </c>
      <c r="E332" s="79" t="s">
        <v>1124</v>
      </c>
      <c r="F332" s="79" t="s">
        <v>2215</v>
      </c>
      <c r="G332" s="79" t="s">
        <v>2441</v>
      </c>
      <c r="H332" s="79"/>
      <c r="I332" s="79"/>
    </row>
    <row r="333" spans="1:9" ht="14.25">
      <c r="A333" s="79" t="s">
        <v>2439</v>
      </c>
      <c r="B333" s="79" t="s">
        <v>2440</v>
      </c>
      <c r="C333" s="79">
        <v>590248287</v>
      </c>
      <c r="D333" s="79">
        <v>0</v>
      </c>
      <c r="E333" s="79" t="s">
        <v>1124</v>
      </c>
      <c r="F333" s="79" t="s">
        <v>2215</v>
      </c>
      <c r="G333" s="79" t="s">
        <v>2402</v>
      </c>
      <c r="H333" s="79"/>
      <c r="I333" s="79"/>
    </row>
    <row r="334" spans="1:9" ht="14.25">
      <c r="A334" s="79" t="s">
        <v>2439</v>
      </c>
      <c r="B334" s="79" t="s">
        <v>2440</v>
      </c>
      <c r="C334" s="79">
        <v>590248287</v>
      </c>
      <c r="D334" s="79">
        <v>0</v>
      </c>
      <c r="E334" s="79" t="s">
        <v>1124</v>
      </c>
      <c r="F334" s="79" t="s">
        <v>2442</v>
      </c>
      <c r="G334" s="79" t="s">
        <v>2443</v>
      </c>
      <c r="H334" s="79"/>
      <c r="I334" s="79"/>
    </row>
    <row r="335" spans="1:9" ht="14.25">
      <c r="A335" s="79" t="s">
        <v>2439</v>
      </c>
      <c r="B335" s="79" t="s">
        <v>2440</v>
      </c>
      <c r="C335" s="79">
        <v>590248287</v>
      </c>
      <c r="D335" s="79">
        <v>0</v>
      </c>
      <c r="E335" s="79" t="s">
        <v>1124</v>
      </c>
      <c r="F335" s="79" t="s">
        <v>2442</v>
      </c>
      <c r="G335" s="79" t="s">
        <v>2103</v>
      </c>
      <c r="H335" s="79"/>
      <c r="I335" s="79"/>
    </row>
    <row r="336" spans="1:9" ht="14.25">
      <c r="A336" s="79" t="s">
        <v>2439</v>
      </c>
      <c r="B336" s="79" t="s">
        <v>2440</v>
      </c>
      <c r="C336" s="79">
        <v>590248287</v>
      </c>
      <c r="D336" s="79">
        <v>0</v>
      </c>
      <c r="E336" s="79" t="s">
        <v>1124</v>
      </c>
      <c r="F336" s="79" t="s">
        <v>2442</v>
      </c>
      <c r="G336" s="79" t="s">
        <v>2128</v>
      </c>
      <c r="H336" s="79"/>
      <c r="I336" s="79"/>
    </row>
    <row r="337" spans="1:9" ht="14.25">
      <c r="A337" s="79" t="s">
        <v>2439</v>
      </c>
      <c r="B337" s="79" t="s">
        <v>2440</v>
      </c>
      <c r="C337" s="79">
        <v>590248287</v>
      </c>
      <c r="D337" s="79">
        <v>0</v>
      </c>
      <c r="E337" s="79" t="s">
        <v>1124</v>
      </c>
      <c r="F337" s="79" t="s">
        <v>2442</v>
      </c>
      <c r="G337" s="79" t="s">
        <v>2295</v>
      </c>
      <c r="H337" s="79"/>
      <c r="I337" s="79"/>
    </row>
    <row r="338" spans="1:9" ht="14.25">
      <c r="A338" s="79" t="s">
        <v>2444</v>
      </c>
      <c r="B338" s="79" t="s">
        <v>2445</v>
      </c>
      <c r="C338" s="79">
        <v>590248289</v>
      </c>
      <c r="D338" s="79">
        <v>0</v>
      </c>
      <c r="E338" s="79" t="s">
        <v>1124</v>
      </c>
      <c r="F338" s="79" t="s">
        <v>2442</v>
      </c>
      <c r="G338" s="79" t="s">
        <v>2298</v>
      </c>
      <c r="H338" s="79"/>
      <c r="I338" s="79"/>
    </row>
    <row r="339" spans="1:9" ht="14.25">
      <c r="A339" s="79" t="s">
        <v>2444</v>
      </c>
      <c r="B339" s="79" t="s">
        <v>2445</v>
      </c>
      <c r="C339" s="79">
        <v>590248289</v>
      </c>
      <c r="D339" s="79">
        <v>0</v>
      </c>
      <c r="E339" s="79" t="s">
        <v>1124</v>
      </c>
      <c r="F339" s="79" t="s">
        <v>2442</v>
      </c>
      <c r="G339" s="79" t="s">
        <v>1294</v>
      </c>
      <c r="H339" s="79"/>
      <c r="I339" s="79"/>
    </row>
    <row r="340" spans="1:9" ht="14.25">
      <c r="A340" s="79" t="s">
        <v>2446</v>
      </c>
      <c r="B340" s="79" t="s">
        <v>2447</v>
      </c>
      <c r="C340" s="79">
        <v>590248347</v>
      </c>
      <c r="D340" s="79">
        <v>0</v>
      </c>
      <c r="E340" s="79" t="s">
        <v>1124</v>
      </c>
      <c r="F340" s="79" t="s">
        <v>2215</v>
      </c>
      <c r="G340" s="79" t="s">
        <v>2448</v>
      </c>
      <c r="H340" s="79"/>
      <c r="I340" s="79"/>
    </row>
    <row r="341" spans="1:9" ht="14.25">
      <c r="A341" s="79" t="s">
        <v>2446</v>
      </c>
      <c r="B341" s="79" t="s">
        <v>2447</v>
      </c>
      <c r="C341" s="79">
        <v>590248347</v>
      </c>
      <c r="D341" s="79">
        <v>0</v>
      </c>
      <c r="E341" s="79" t="s">
        <v>1124</v>
      </c>
      <c r="F341" s="79" t="s">
        <v>2215</v>
      </c>
      <c r="G341" s="79" t="s">
        <v>2449</v>
      </c>
      <c r="H341" s="79"/>
      <c r="I341" s="79"/>
    </row>
    <row r="342" spans="1:9" ht="14.25">
      <c r="A342" s="79" t="s">
        <v>2446</v>
      </c>
      <c r="B342" s="79" t="s">
        <v>2447</v>
      </c>
      <c r="C342" s="79">
        <v>590248347</v>
      </c>
      <c r="D342" s="79">
        <v>0</v>
      </c>
      <c r="E342" s="79" t="s">
        <v>1124</v>
      </c>
      <c r="F342" s="79" t="s">
        <v>2450</v>
      </c>
      <c r="G342" s="79" t="s">
        <v>2451</v>
      </c>
      <c r="H342" s="79"/>
      <c r="I342" s="79"/>
    </row>
    <row r="343" spans="1:9" ht="14.25">
      <c r="A343" s="79" t="s">
        <v>2446</v>
      </c>
      <c r="B343" s="79" t="s">
        <v>2447</v>
      </c>
      <c r="C343" s="79">
        <v>590248347</v>
      </c>
      <c r="D343" s="79">
        <v>0</v>
      </c>
      <c r="E343" s="79" t="s">
        <v>1124</v>
      </c>
      <c r="F343" s="79" t="s">
        <v>2450</v>
      </c>
      <c r="G343" s="79" t="s">
        <v>2103</v>
      </c>
      <c r="H343" s="79"/>
      <c r="I343" s="79"/>
    </row>
    <row r="344" spans="1:9" ht="14.25">
      <c r="A344" s="79" t="s">
        <v>2446</v>
      </c>
      <c r="B344" s="79" t="s">
        <v>2447</v>
      </c>
      <c r="C344" s="79">
        <v>590248347</v>
      </c>
      <c r="D344" s="79">
        <v>0</v>
      </c>
      <c r="E344" s="79" t="s">
        <v>1124</v>
      </c>
      <c r="F344" s="79" t="s">
        <v>2450</v>
      </c>
      <c r="G344" s="79" t="s">
        <v>2452</v>
      </c>
      <c r="H344" s="79"/>
      <c r="I344" s="79"/>
    </row>
    <row r="345" spans="1:9" ht="14.25">
      <c r="A345" s="79" t="s">
        <v>2446</v>
      </c>
      <c r="B345" s="79" t="s">
        <v>2447</v>
      </c>
      <c r="C345" s="79">
        <v>590248347</v>
      </c>
      <c r="D345" s="79">
        <v>0</v>
      </c>
      <c r="E345" s="79" t="s">
        <v>1124</v>
      </c>
      <c r="F345" s="79" t="s">
        <v>2450</v>
      </c>
      <c r="G345" s="79" t="s">
        <v>2295</v>
      </c>
      <c r="H345" s="79"/>
      <c r="I345" s="79"/>
    </row>
    <row r="346" spans="1:9" ht="14.25">
      <c r="A346" s="79" t="s">
        <v>2453</v>
      </c>
      <c r="B346" s="79" t="s">
        <v>2454</v>
      </c>
      <c r="C346" s="79">
        <v>590248349</v>
      </c>
      <c r="D346" s="79">
        <v>0</v>
      </c>
      <c r="E346" s="79" t="s">
        <v>1124</v>
      </c>
      <c r="F346" s="79" t="s">
        <v>2450</v>
      </c>
      <c r="G346" s="79" t="s">
        <v>2298</v>
      </c>
      <c r="H346" s="79"/>
      <c r="I346" s="79"/>
    </row>
    <row r="347" spans="1:9" ht="14.25">
      <c r="A347" s="79" t="s">
        <v>2453</v>
      </c>
      <c r="B347" s="79" t="s">
        <v>2454</v>
      </c>
      <c r="C347" s="79">
        <v>590248349</v>
      </c>
      <c r="D347" s="79">
        <v>0</v>
      </c>
      <c r="E347" s="79" t="s">
        <v>1124</v>
      </c>
      <c r="F347" s="79" t="s">
        <v>2450</v>
      </c>
      <c r="G347" s="79" t="s">
        <v>1294</v>
      </c>
      <c r="H347" s="79"/>
      <c r="I347" s="79"/>
    </row>
    <row r="348" spans="1:9" ht="14.25">
      <c r="A348" s="79" t="s">
        <v>2455</v>
      </c>
      <c r="B348" s="79" t="s">
        <v>2456</v>
      </c>
      <c r="C348" s="79">
        <v>590248447</v>
      </c>
      <c r="D348" s="79">
        <v>0</v>
      </c>
      <c r="E348" s="79" t="s">
        <v>1124</v>
      </c>
      <c r="F348" s="79" t="s">
        <v>2215</v>
      </c>
      <c r="G348" s="79" t="s">
        <v>2457</v>
      </c>
      <c r="H348" s="79"/>
      <c r="I348" s="79"/>
    </row>
    <row r="349" spans="1:9" ht="14.25">
      <c r="A349" s="79" t="s">
        <v>2455</v>
      </c>
      <c r="B349" s="79" t="s">
        <v>2456</v>
      </c>
      <c r="C349" s="79">
        <v>590248447</v>
      </c>
      <c r="D349" s="79">
        <v>0</v>
      </c>
      <c r="E349" s="79" t="s">
        <v>1124</v>
      </c>
      <c r="F349" s="79" t="s">
        <v>2215</v>
      </c>
      <c r="G349" s="79" t="s">
        <v>2449</v>
      </c>
      <c r="H349" s="79"/>
      <c r="I349" s="79"/>
    </row>
    <row r="350" spans="1:9" ht="14.25">
      <c r="A350" s="79" t="s">
        <v>2455</v>
      </c>
      <c r="B350" s="79" t="s">
        <v>2456</v>
      </c>
      <c r="C350" s="79">
        <v>590248447</v>
      </c>
      <c r="D350" s="79">
        <v>0</v>
      </c>
      <c r="E350" s="79" t="s">
        <v>1124</v>
      </c>
      <c r="F350" s="79" t="s">
        <v>2458</v>
      </c>
      <c r="G350" s="79" t="s">
        <v>2459</v>
      </c>
      <c r="H350" s="79"/>
      <c r="I350" s="79"/>
    </row>
    <row r="351" spans="1:9" ht="14.25">
      <c r="A351" s="79" t="s">
        <v>2455</v>
      </c>
      <c r="B351" s="79" t="s">
        <v>2456</v>
      </c>
      <c r="C351" s="79">
        <v>590248447</v>
      </c>
      <c r="D351" s="79">
        <v>0</v>
      </c>
      <c r="E351" s="79" t="s">
        <v>1124</v>
      </c>
      <c r="F351" s="79" t="s">
        <v>2458</v>
      </c>
      <c r="G351" s="79" t="s">
        <v>2103</v>
      </c>
      <c r="H351" s="79"/>
      <c r="I351" s="79"/>
    </row>
    <row r="352" spans="1:9" ht="14.25">
      <c r="A352" s="79" t="s">
        <v>2455</v>
      </c>
      <c r="B352" s="79" t="s">
        <v>2456</v>
      </c>
      <c r="C352" s="79">
        <v>590248447</v>
      </c>
      <c r="D352" s="79">
        <v>0</v>
      </c>
      <c r="E352" s="79" t="s">
        <v>1124</v>
      </c>
      <c r="F352" s="79" t="s">
        <v>2458</v>
      </c>
      <c r="G352" s="79" t="s">
        <v>2124</v>
      </c>
      <c r="H352" s="79"/>
      <c r="I352" s="79"/>
    </row>
    <row r="353" spans="1:9" ht="14.25">
      <c r="A353" s="79" t="s">
        <v>2455</v>
      </c>
      <c r="B353" s="79" t="s">
        <v>2456</v>
      </c>
      <c r="C353" s="79">
        <v>590248447</v>
      </c>
      <c r="D353" s="79">
        <v>0</v>
      </c>
      <c r="E353" s="79" t="s">
        <v>1124</v>
      </c>
      <c r="F353" s="79" t="s">
        <v>2458</v>
      </c>
      <c r="G353" s="79" t="s">
        <v>2295</v>
      </c>
      <c r="H353" s="79"/>
      <c r="I353" s="79"/>
    </row>
    <row r="354" spans="1:9" ht="14.25">
      <c r="A354" s="79" t="s">
        <v>2460</v>
      </c>
      <c r="B354" s="79" t="s">
        <v>2461</v>
      </c>
      <c r="C354" s="79">
        <v>590248449</v>
      </c>
      <c r="D354" s="79">
        <v>0</v>
      </c>
      <c r="E354" s="79" t="s">
        <v>1124</v>
      </c>
      <c r="F354" s="79" t="s">
        <v>2458</v>
      </c>
      <c r="G354" s="79" t="s">
        <v>2298</v>
      </c>
      <c r="H354" s="79"/>
      <c r="I354" s="79"/>
    </row>
    <row r="355" spans="1:9" ht="14.25">
      <c r="A355" s="79" t="s">
        <v>2460</v>
      </c>
      <c r="B355" s="79" t="s">
        <v>2461</v>
      </c>
      <c r="C355" s="79">
        <v>590248449</v>
      </c>
      <c r="D355" s="79">
        <v>0</v>
      </c>
      <c r="E355" s="79" t="s">
        <v>1124</v>
      </c>
      <c r="F355" s="79" t="s">
        <v>2458</v>
      </c>
      <c r="G355" s="79" t="s">
        <v>1294</v>
      </c>
      <c r="H355" s="79"/>
      <c r="I355" s="79"/>
    </row>
    <row r="356" spans="1:9" ht="14.25">
      <c r="A356" s="79" t="s">
        <v>2462</v>
      </c>
      <c r="B356" s="79" t="s">
        <v>2463</v>
      </c>
      <c r="C356" s="79">
        <v>590248547</v>
      </c>
      <c r="D356" s="79">
        <v>0</v>
      </c>
      <c r="E356" s="79" t="s">
        <v>1124</v>
      </c>
      <c r="F356" s="79" t="s">
        <v>2215</v>
      </c>
      <c r="G356" s="79" t="s">
        <v>2464</v>
      </c>
      <c r="H356" s="79"/>
      <c r="I356" s="79"/>
    </row>
    <row r="357" spans="1:9" ht="14.25">
      <c r="A357" s="79" t="s">
        <v>2462</v>
      </c>
      <c r="B357" s="79" t="s">
        <v>2463</v>
      </c>
      <c r="C357" s="79">
        <v>590248547</v>
      </c>
      <c r="D357" s="79">
        <v>0</v>
      </c>
      <c r="E357" s="79" t="s">
        <v>1124</v>
      </c>
      <c r="F357" s="79" t="s">
        <v>2215</v>
      </c>
      <c r="G357" s="79" t="s">
        <v>2449</v>
      </c>
      <c r="H357" s="79"/>
      <c r="I357" s="79"/>
    </row>
    <row r="358" spans="1:9" ht="14.25">
      <c r="A358" s="79" t="s">
        <v>2462</v>
      </c>
      <c r="B358" s="79" t="s">
        <v>2463</v>
      </c>
      <c r="C358" s="79">
        <v>590248547</v>
      </c>
      <c r="D358" s="79">
        <v>0</v>
      </c>
      <c r="E358" s="79" t="s">
        <v>1124</v>
      </c>
      <c r="F358" s="79" t="s">
        <v>2465</v>
      </c>
      <c r="G358" s="79" t="s">
        <v>2466</v>
      </c>
      <c r="H358" s="79"/>
      <c r="I358" s="79"/>
    </row>
    <row r="359" spans="1:9" ht="14.25">
      <c r="A359" s="79" t="s">
        <v>2462</v>
      </c>
      <c r="B359" s="79" t="s">
        <v>2463</v>
      </c>
      <c r="C359" s="79">
        <v>590248547</v>
      </c>
      <c r="D359" s="79">
        <v>0</v>
      </c>
      <c r="E359" s="79" t="s">
        <v>1124</v>
      </c>
      <c r="F359" s="79" t="s">
        <v>2465</v>
      </c>
      <c r="G359" s="79" t="s">
        <v>2103</v>
      </c>
      <c r="H359" s="79"/>
      <c r="I359" s="79"/>
    </row>
    <row r="360" spans="1:9" ht="14.25">
      <c r="A360" s="79" t="s">
        <v>2462</v>
      </c>
      <c r="B360" s="79" t="s">
        <v>2463</v>
      </c>
      <c r="C360" s="79">
        <v>590248547</v>
      </c>
      <c r="D360" s="79">
        <v>0</v>
      </c>
      <c r="E360" s="79" t="s">
        <v>1124</v>
      </c>
      <c r="F360" s="79" t="s">
        <v>2465</v>
      </c>
      <c r="G360" s="79" t="s">
        <v>2467</v>
      </c>
      <c r="H360" s="79"/>
      <c r="I360" s="79"/>
    </row>
    <row r="361" spans="1:9" ht="14.25">
      <c r="A361" s="79" t="s">
        <v>2462</v>
      </c>
      <c r="B361" s="79" t="s">
        <v>2463</v>
      </c>
      <c r="C361" s="79">
        <v>590248547</v>
      </c>
      <c r="D361" s="79">
        <v>0</v>
      </c>
      <c r="E361" s="79" t="s">
        <v>1124</v>
      </c>
      <c r="F361" s="79" t="s">
        <v>2465</v>
      </c>
      <c r="G361" s="79" t="s">
        <v>2295</v>
      </c>
      <c r="H361" s="79"/>
      <c r="I361" s="79"/>
    </row>
    <row r="362" spans="1:9" ht="14.25">
      <c r="A362" s="79" t="s">
        <v>2468</v>
      </c>
      <c r="B362" s="79" t="s">
        <v>2469</v>
      </c>
      <c r="C362" s="79">
        <v>590248549</v>
      </c>
      <c r="D362" s="79">
        <v>0</v>
      </c>
      <c r="E362" s="79" t="s">
        <v>1124</v>
      </c>
      <c r="F362" s="79" t="s">
        <v>2465</v>
      </c>
      <c r="G362" s="79" t="s">
        <v>2298</v>
      </c>
      <c r="H362" s="79"/>
      <c r="I362" s="79"/>
    </row>
    <row r="363" spans="1:9" ht="14.25">
      <c r="A363" s="79" t="s">
        <v>2468</v>
      </c>
      <c r="B363" s="79" t="s">
        <v>2469</v>
      </c>
      <c r="C363" s="79">
        <v>590248549</v>
      </c>
      <c r="D363" s="79">
        <v>0</v>
      </c>
      <c r="E363" s="79" t="s">
        <v>1124</v>
      </c>
      <c r="F363" s="79" t="s">
        <v>2465</v>
      </c>
      <c r="G363" s="79" t="s">
        <v>1294</v>
      </c>
      <c r="H363" s="79"/>
      <c r="I363" s="79"/>
    </row>
    <row r="364" spans="1:9" ht="14.25">
      <c r="A364" s="79" t="s">
        <v>2470</v>
      </c>
      <c r="B364" s="79" t="s">
        <v>2471</v>
      </c>
      <c r="C364" s="79">
        <v>590248647</v>
      </c>
      <c r="D364" s="79">
        <v>0</v>
      </c>
      <c r="E364" s="79" t="s">
        <v>1124</v>
      </c>
      <c r="F364" s="79" t="s">
        <v>2215</v>
      </c>
      <c r="G364" s="79" t="s">
        <v>2472</v>
      </c>
      <c r="H364" s="79"/>
      <c r="I364" s="79"/>
    </row>
    <row r="365" spans="1:9" ht="14.25">
      <c r="A365" s="79" t="s">
        <v>2470</v>
      </c>
      <c r="B365" s="79" t="s">
        <v>2471</v>
      </c>
      <c r="C365" s="79">
        <v>590248647</v>
      </c>
      <c r="D365" s="79">
        <v>0</v>
      </c>
      <c r="E365" s="79" t="s">
        <v>1124</v>
      </c>
      <c r="F365" s="79" t="s">
        <v>2215</v>
      </c>
      <c r="G365" s="79" t="s">
        <v>2449</v>
      </c>
      <c r="H365" s="79"/>
      <c r="I365" s="79"/>
    </row>
    <row r="366" spans="1:9" ht="14.25">
      <c r="A366" s="79" t="s">
        <v>2470</v>
      </c>
      <c r="B366" s="79" t="s">
        <v>2471</v>
      </c>
      <c r="C366" s="79">
        <v>590248647</v>
      </c>
      <c r="D366" s="79">
        <v>0</v>
      </c>
      <c r="E366" s="79" t="s">
        <v>1124</v>
      </c>
      <c r="F366" s="79" t="s">
        <v>2473</v>
      </c>
      <c r="G366" s="79" t="s">
        <v>2474</v>
      </c>
      <c r="H366" s="79"/>
      <c r="I366" s="79"/>
    </row>
    <row r="367" spans="1:9" ht="14.25">
      <c r="A367" s="79" t="s">
        <v>2470</v>
      </c>
      <c r="B367" s="79" t="s">
        <v>2471</v>
      </c>
      <c r="C367" s="79">
        <v>590248647</v>
      </c>
      <c r="D367" s="79">
        <v>0</v>
      </c>
      <c r="E367" s="79" t="s">
        <v>1124</v>
      </c>
      <c r="F367" s="79" t="s">
        <v>2473</v>
      </c>
      <c r="G367" s="79" t="s">
        <v>2103</v>
      </c>
      <c r="H367" s="79"/>
      <c r="I367" s="79"/>
    </row>
    <row r="368" spans="1:9" ht="14.25">
      <c r="A368" s="79" t="s">
        <v>2470</v>
      </c>
      <c r="B368" s="79" t="s">
        <v>2471</v>
      </c>
      <c r="C368" s="79">
        <v>590248647</v>
      </c>
      <c r="D368" s="79">
        <v>0</v>
      </c>
      <c r="E368" s="79" t="s">
        <v>1124</v>
      </c>
      <c r="F368" s="79" t="s">
        <v>2473</v>
      </c>
      <c r="G368" s="79" t="s">
        <v>2475</v>
      </c>
      <c r="H368" s="79"/>
      <c r="I368" s="79"/>
    </row>
    <row r="369" spans="1:9" ht="14.25">
      <c r="A369" s="79" t="s">
        <v>2470</v>
      </c>
      <c r="B369" s="79" t="s">
        <v>2471</v>
      </c>
      <c r="C369" s="79">
        <v>590248647</v>
      </c>
      <c r="D369" s="79">
        <v>0</v>
      </c>
      <c r="E369" s="79" t="s">
        <v>1124</v>
      </c>
      <c r="F369" s="79" t="s">
        <v>2473</v>
      </c>
      <c r="G369" s="79" t="s">
        <v>2295</v>
      </c>
      <c r="H369" s="79"/>
      <c r="I369" s="79"/>
    </row>
    <row r="370" spans="1:9" ht="14.25">
      <c r="A370" s="79" t="s">
        <v>2476</v>
      </c>
      <c r="B370" s="79" t="s">
        <v>2477</v>
      </c>
      <c r="C370" s="79">
        <v>590248649</v>
      </c>
      <c r="D370" s="79">
        <v>0</v>
      </c>
      <c r="E370" s="79" t="s">
        <v>1124</v>
      </c>
      <c r="F370" s="79" t="s">
        <v>2473</v>
      </c>
      <c r="G370" s="79" t="s">
        <v>2298</v>
      </c>
      <c r="H370" s="79"/>
      <c r="I370" s="79"/>
    </row>
    <row r="371" spans="1:9" ht="14.25">
      <c r="A371" s="79" t="s">
        <v>2476</v>
      </c>
      <c r="B371" s="79" t="s">
        <v>2477</v>
      </c>
      <c r="C371" s="79">
        <v>590248649</v>
      </c>
      <c r="D371" s="79">
        <v>0</v>
      </c>
      <c r="E371" s="79" t="s">
        <v>1124</v>
      </c>
      <c r="F371" s="79" t="s">
        <v>2473</v>
      </c>
      <c r="G371" s="79" t="s">
        <v>1294</v>
      </c>
      <c r="H371" s="79"/>
      <c r="I371" s="79"/>
    </row>
    <row r="372" spans="1:9" ht="14.25">
      <c r="A372" s="79" t="s">
        <v>2478</v>
      </c>
      <c r="B372" s="79" t="s">
        <v>2479</v>
      </c>
      <c r="C372" s="79">
        <v>590248747</v>
      </c>
      <c r="D372" s="79">
        <v>0</v>
      </c>
      <c r="E372" s="79" t="s">
        <v>1124</v>
      </c>
      <c r="F372" s="79" t="s">
        <v>2215</v>
      </c>
      <c r="G372" s="79" t="s">
        <v>2480</v>
      </c>
      <c r="H372" s="79"/>
      <c r="I372" s="79"/>
    </row>
    <row r="373" spans="1:9" ht="14.25">
      <c r="A373" s="79" t="s">
        <v>2478</v>
      </c>
      <c r="B373" s="79" t="s">
        <v>2479</v>
      </c>
      <c r="C373" s="79">
        <v>590248747</v>
      </c>
      <c r="D373" s="79">
        <v>0</v>
      </c>
      <c r="E373" s="79" t="s">
        <v>1124</v>
      </c>
      <c r="F373" s="79" t="s">
        <v>2215</v>
      </c>
      <c r="G373" s="79" t="s">
        <v>2449</v>
      </c>
      <c r="H373" s="79"/>
      <c r="I373" s="79"/>
    </row>
    <row r="374" spans="1:9" ht="14.25">
      <c r="A374" s="79" t="s">
        <v>2478</v>
      </c>
      <c r="B374" s="79" t="s">
        <v>2479</v>
      </c>
      <c r="C374" s="79">
        <v>590248747</v>
      </c>
      <c r="D374" s="79">
        <v>0</v>
      </c>
      <c r="E374" s="79" t="s">
        <v>1124</v>
      </c>
      <c r="F374" s="79" t="s">
        <v>2481</v>
      </c>
      <c r="G374" s="79" t="s">
        <v>2482</v>
      </c>
      <c r="H374" s="79"/>
      <c r="I374" s="79"/>
    </row>
    <row r="375" spans="1:9" ht="14.25">
      <c r="A375" s="79" t="s">
        <v>2478</v>
      </c>
      <c r="B375" s="79" t="s">
        <v>2479</v>
      </c>
      <c r="C375" s="79">
        <v>590248747</v>
      </c>
      <c r="D375" s="79">
        <v>0</v>
      </c>
      <c r="E375" s="79" t="s">
        <v>1124</v>
      </c>
      <c r="F375" s="79" t="s">
        <v>2481</v>
      </c>
      <c r="G375" s="79" t="s">
        <v>2103</v>
      </c>
      <c r="H375" s="79"/>
      <c r="I375" s="79"/>
    </row>
    <row r="376" spans="1:9" ht="14.25">
      <c r="A376" s="79" t="s">
        <v>2478</v>
      </c>
      <c r="B376" s="79" t="s">
        <v>2479</v>
      </c>
      <c r="C376" s="79">
        <v>590248747</v>
      </c>
      <c r="D376" s="79">
        <v>0</v>
      </c>
      <c r="E376" s="79" t="s">
        <v>1124</v>
      </c>
      <c r="F376" s="79" t="s">
        <v>2481</v>
      </c>
      <c r="G376" s="79" t="s">
        <v>2120</v>
      </c>
      <c r="H376" s="79"/>
      <c r="I376" s="79"/>
    </row>
    <row r="377" spans="1:9" ht="14.25">
      <c r="A377" s="79" t="s">
        <v>2478</v>
      </c>
      <c r="B377" s="79" t="s">
        <v>2479</v>
      </c>
      <c r="C377" s="79">
        <v>590248747</v>
      </c>
      <c r="D377" s="79">
        <v>0</v>
      </c>
      <c r="E377" s="79" t="s">
        <v>1124</v>
      </c>
      <c r="F377" s="79" t="s">
        <v>2481</v>
      </c>
      <c r="G377" s="79" t="s">
        <v>2295</v>
      </c>
      <c r="H377" s="79"/>
      <c r="I377" s="79"/>
    </row>
    <row r="378" spans="1:9" ht="14.25">
      <c r="A378" s="79" t="s">
        <v>2483</v>
      </c>
      <c r="B378" s="79" t="s">
        <v>2484</v>
      </c>
      <c r="C378" s="79">
        <v>590248749</v>
      </c>
      <c r="D378" s="79">
        <v>0</v>
      </c>
      <c r="E378" s="79" t="s">
        <v>1124</v>
      </c>
      <c r="F378" s="79" t="s">
        <v>2481</v>
      </c>
      <c r="G378" s="79" t="s">
        <v>2298</v>
      </c>
      <c r="H378" s="79"/>
      <c r="I378" s="79"/>
    </row>
    <row r="379" spans="1:9" ht="14.25">
      <c r="A379" s="79" t="s">
        <v>2483</v>
      </c>
      <c r="B379" s="79" t="s">
        <v>2484</v>
      </c>
      <c r="C379" s="79">
        <v>590248749</v>
      </c>
      <c r="D379" s="79">
        <v>0</v>
      </c>
      <c r="E379" s="79" t="s">
        <v>1124</v>
      </c>
      <c r="F379" s="79" t="s">
        <v>2481</v>
      </c>
      <c r="G379" s="79" t="s">
        <v>1294</v>
      </c>
      <c r="H379" s="79"/>
      <c r="I379" s="79"/>
    </row>
    <row r="380" spans="1:9" ht="14.25">
      <c r="A380" s="79" t="s">
        <v>2485</v>
      </c>
      <c r="B380" s="79" t="s">
        <v>2486</v>
      </c>
      <c r="C380" s="79">
        <v>590248847</v>
      </c>
      <c r="D380" s="79">
        <v>0</v>
      </c>
      <c r="E380" s="79" t="s">
        <v>1124</v>
      </c>
      <c r="F380" s="79" t="s">
        <v>2215</v>
      </c>
      <c r="G380" s="79" t="s">
        <v>2487</v>
      </c>
      <c r="H380" s="79"/>
      <c r="I380" s="79"/>
    </row>
    <row r="381" spans="1:9" ht="14.25">
      <c r="A381" s="79" t="s">
        <v>2485</v>
      </c>
      <c r="B381" s="79" t="s">
        <v>2486</v>
      </c>
      <c r="C381" s="79">
        <v>590248847</v>
      </c>
      <c r="D381" s="79">
        <v>0</v>
      </c>
      <c r="E381" s="79" t="s">
        <v>1124</v>
      </c>
      <c r="F381" s="79" t="s">
        <v>2215</v>
      </c>
      <c r="G381" s="79" t="s">
        <v>2449</v>
      </c>
      <c r="H381" s="79"/>
      <c r="I381" s="79"/>
    </row>
    <row r="382" spans="1:9" ht="14.25">
      <c r="A382" s="79" t="s">
        <v>2485</v>
      </c>
      <c r="B382" s="79" t="s">
        <v>2486</v>
      </c>
      <c r="C382" s="79">
        <v>590248847</v>
      </c>
      <c r="D382" s="79">
        <v>0</v>
      </c>
      <c r="E382" s="79" t="s">
        <v>1124</v>
      </c>
      <c r="F382" s="79" t="s">
        <v>2488</v>
      </c>
      <c r="G382" s="79" t="s">
        <v>2489</v>
      </c>
      <c r="H382" s="79"/>
      <c r="I382" s="79"/>
    </row>
    <row r="383" spans="1:9" ht="14.25">
      <c r="A383" s="79" t="s">
        <v>2485</v>
      </c>
      <c r="B383" s="79" t="s">
        <v>2486</v>
      </c>
      <c r="C383" s="79">
        <v>590248847</v>
      </c>
      <c r="D383" s="79">
        <v>0</v>
      </c>
      <c r="E383" s="79" t="s">
        <v>1124</v>
      </c>
      <c r="F383" s="79" t="s">
        <v>2488</v>
      </c>
      <c r="G383" s="79" t="s">
        <v>2103</v>
      </c>
      <c r="H383" s="79"/>
      <c r="I383" s="79"/>
    </row>
    <row r="384" spans="1:9" ht="14.25">
      <c r="A384" s="79" t="s">
        <v>2485</v>
      </c>
      <c r="B384" s="79" t="s">
        <v>2486</v>
      </c>
      <c r="C384" s="79">
        <v>590248847</v>
      </c>
      <c r="D384" s="79">
        <v>0</v>
      </c>
      <c r="E384" s="79" t="s">
        <v>1124</v>
      </c>
      <c r="F384" s="79" t="s">
        <v>2488</v>
      </c>
      <c r="G384" s="79" t="s">
        <v>2490</v>
      </c>
      <c r="H384" s="79"/>
      <c r="I384" s="79"/>
    </row>
    <row r="385" spans="1:9" ht="14.25">
      <c r="A385" s="79" t="s">
        <v>2485</v>
      </c>
      <c r="B385" s="79" t="s">
        <v>2486</v>
      </c>
      <c r="C385" s="79">
        <v>590248847</v>
      </c>
      <c r="D385" s="79">
        <v>0</v>
      </c>
      <c r="E385" s="79" t="s">
        <v>1124</v>
      </c>
      <c r="F385" s="79" t="s">
        <v>2488</v>
      </c>
      <c r="G385" s="79" t="s">
        <v>2295</v>
      </c>
      <c r="H385" s="79"/>
      <c r="I385" s="79"/>
    </row>
    <row r="386" spans="1:9" ht="14.25">
      <c r="A386" s="79" t="s">
        <v>2491</v>
      </c>
      <c r="B386" s="79" t="s">
        <v>2492</v>
      </c>
      <c r="C386" s="79">
        <v>590248849</v>
      </c>
      <c r="D386" s="79">
        <v>0</v>
      </c>
      <c r="E386" s="79" t="s">
        <v>1124</v>
      </c>
      <c r="F386" s="79" t="s">
        <v>2488</v>
      </c>
      <c r="G386" s="79" t="s">
        <v>2298</v>
      </c>
      <c r="H386" s="79"/>
      <c r="I386" s="79"/>
    </row>
    <row r="387" spans="1:9" ht="14.25">
      <c r="A387" s="79" t="s">
        <v>2491</v>
      </c>
      <c r="B387" s="79" t="s">
        <v>2492</v>
      </c>
      <c r="C387" s="79">
        <v>590248849</v>
      </c>
      <c r="D387" s="79">
        <v>0</v>
      </c>
      <c r="E387" s="79" t="s">
        <v>1124</v>
      </c>
      <c r="F387" s="79" t="s">
        <v>2488</v>
      </c>
      <c r="G387" s="79" t="s">
        <v>1294</v>
      </c>
      <c r="H387" s="79"/>
      <c r="I387" s="79"/>
    </row>
    <row r="388" spans="1:9" ht="14.25">
      <c r="A388" s="79" t="s">
        <v>2493</v>
      </c>
      <c r="B388" s="79" t="s">
        <v>2494</v>
      </c>
      <c r="C388" s="79">
        <v>590248947</v>
      </c>
      <c r="D388" s="79">
        <v>0</v>
      </c>
      <c r="E388" s="79" t="s">
        <v>1124</v>
      </c>
      <c r="F388" s="79" t="s">
        <v>2215</v>
      </c>
      <c r="G388" s="79" t="s">
        <v>2495</v>
      </c>
      <c r="H388" s="79"/>
      <c r="I388" s="79"/>
    </row>
    <row r="389" spans="1:9" ht="14.25">
      <c r="A389" s="79" t="s">
        <v>2493</v>
      </c>
      <c r="B389" s="79" t="s">
        <v>2494</v>
      </c>
      <c r="C389" s="79">
        <v>590248947</v>
      </c>
      <c r="D389" s="79">
        <v>0</v>
      </c>
      <c r="E389" s="79" t="s">
        <v>1124</v>
      </c>
      <c r="F389" s="79" t="s">
        <v>2215</v>
      </c>
      <c r="G389" s="79" t="s">
        <v>2449</v>
      </c>
      <c r="H389" s="79"/>
      <c r="I389" s="79"/>
    </row>
    <row r="390" spans="1:9" ht="14.25">
      <c r="A390" s="79" t="s">
        <v>2493</v>
      </c>
      <c r="B390" s="79" t="s">
        <v>2494</v>
      </c>
      <c r="C390" s="79">
        <v>590248947</v>
      </c>
      <c r="D390" s="79">
        <v>0</v>
      </c>
      <c r="E390" s="79" t="s">
        <v>1124</v>
      </c>
      <c r="F390" s="79" t="s">
        <v>2496</v>
      </c>
      <c r="G390" s="79" t="s">
        <v>2497</v>
      </c>
      <c r="H390" s="79"/>
      <c r="I390" s="79"/>
    </row>
    <row r="391" spans="1:9" ht="14.25">
      <c r="A391" s="79" t="s">
        <v>2493</v>
      </c>
      <c r="B391" s="79" t="s">
        <v>2494</v>
      </c>
      <c r="C391" s="79">
        <v>590248947</v>
      </c>
      <c r="D391" s="79">
        <v>0</v>
      </c>
      <c r="E391" s="79" t="s">
        <v>1124</v>
      </c>
      <c r="F391" s="79" t="s">
        <v>2496</v>
      </c>
      <c r="G391" s="79" t="s">
        <v>2103</v>
      </c>
      <c r="H391" s="79"/>
      <c r="I391" s="79"/>
    </row>
    <row r="392" spans="1:9" ht="14.25">
      <c r="A392" s="79" t="s">
        <v>2493</v>
      </c>
      <c r="B392" s="79" t="s">
        <v>2494</v>
      </c>
      <c r="C392" s="79">
        <v>590248947</v>
      </c>
      <c r="D392" s="79">
        <v>0</v>
      </c>
      <c r="E392" s="79" t="s">
        <v>1124</v>
      </c>
      <c r="F392" s="79" t="s">
        <v>2496</v>
      </c>
      <c r="G392" s="79" t="s">
        <v>2498</v>
      </c>
      <c r="H392" s="79"/>
      <c r="I392" s="79"/>
    </row>
    <row r="393" spans="1:9" ht="14.25">
      <c r="A393" s="79" t="s">
        <v>2493</v>
      </c>
      <c r="B393" s="79" t="s">
        <v>2494</v>
      </c>
      <c r="C393" s="79">
        <v>590248947</v>
      </c>
      <c r="D393" s="79">
        <v>0</v>
      </c>
      <c r="E393" s="79" t="s">
        <v>1124</v>
      </c>
      <c r="F393" s="79" t="s">
        <v>2496</v>
      </c>
      <c r="G393" s="79" t="s">
        <v>2295</v>
      </c>
      <c r="H393" s="79"/>
      <c r="I393" s="79"/>
    </row>
    <row r="394" spans="1:9" ht="14.25">
      <c r="A394" s="79" t="s">
        <v>2499</v>
      </c>
      <c r="B394" s="79" t="s">
        <v>2500</v>
      </c>
      <c r="C394" s="79">
        <v>590248949</v>
      </c>
      <c r="D394" s="79">
        <v>0</v>
      </c>
      <c r="E394" s="79" t="s">
        <v>1124</v>
      </c>
      <c r="F394" s="79" t="s">
        <v>2496</v>
      </c>
      <c r="G394" s="79" t="s">
        <v>2298</v>
      </c>
      <c r="H394" s="79"/>
      <c r="I394" s="79"/>
    </row>
    <row r="395" spans="1:9" ht="14.25">
      <c r="A395" s="79" t="s">
        <v>2499</v>
      </c>
      <c r="B395" s="79" t="s">
        <v>2500</v>
      </c>
      <c r="C395" s="79">
        <v>590248949</v>
      </c>
      <c r="D395" s="79">
        <v>0</v>
      </c>
      <c r="E395" s="79" t="s">
        <v>1124</v>
      </c>
      <c r="F395" s="79" t="s">
        <v>2496</v>
      </c>
      <c r="G395" s="79" t="s">
        <v>1294</v>
      </c>
      <c r="H395" s="79"/>
      <c r="I395" s="79"/>
    </row>
    <row r="396" spans="1:9" ht="14.25">
      <c r="A396" s="79" t="s">
        <v>2501</v>
      </c>
      <c r="B396" s="79" t="s">
        <v>2502</v>
      </c>
      <c r="C396" s="79">
        <v>590249047</v>
      </c>
      <c r="D396" s="79">
        <v>0</v>
      </c>
      <c r="E396" s="79" t="s">
        <v>1124</v>
      </c>
      <c r="F396" s="79" t="s">
        <v>2215</v>
      </c>
      <c r="G396" s="79" t="s">
        <v>2503</v>
      </c>
      <c r="H396" s="79"/>
      <c r="I396" s="79"/>
    </row>
    <row r="397" spans="1:9" ht="14.25">
      <c r="A397" s="79" t="s">
        <v>2501</v>
      </c>
      <c r="B397" s="79" t="s">
        <v>2502</v>
      </c>
      <c r="C397" s="79">
        <v>590249047</v>
      </c>
      <c r="D397" s="79">
        <v>0</v>
      </c>
      <c r="E397" s="79" t="s">
        <v>1124</v>
      </c>
      <c r="F397" s="79" t="s">
        <v>2215</v>
      </c>
      <c r="G397" s="79" t="s">
        <v>2449</v>
      </c>
      <c r="H397" s="79"/>
      <c r="I397" s="79"/>
    </row>
    <row r="398" spans="1:9" ht="14.25">
      <c r="A398" s="79" t="s">
        <v>2501</v>
      </c>
      <c r="B398" s="79" t="s">
        <v>2502</v>
      </c>
      <c r="C398" s="79">
        <v>590249047</v>
      </c>
      <c r="D398" s="79">
        <v>0</v>
      </c>
      <c r="E398" s="79" t="s">
        <v>1124</v>
      </c>
      <c r="F398" s="79" t="s">
        <v>2504</v>
      </c>
      <c r="G398" s="79" t="s">
        <v>2505</v>
      </c>
      <c r="H398" s="79"/>
      <c r="I398" s="79"/>
    </row>
    <row r="399" spans="1:9" ht="14.25">
      <c r="A399" s="79" t="s">
        <v>2501</v>
      </c>
      <c r="B399" s="79" t="s">
        <v>2502</v>
      </c>
      <c r="C399" s="79">
        <v>590249047</v>
      </c>
      <c r="D399" s="79">
        <v>0</v>
      </c>
      <c r="E399" s="79" t="s">
        <v>1124</v>
      </c>
      <c r="F399" s="79" t="s">
        <v>2504</v>
      </c>
      <c r="G399" s="79" t="s">
        <v>2103</v>
      </c>
      <c r="H399" s="79"/>
      <c r="I399" s="79"/>
    </row>
    <row r="400" spans="1:9" ht="14.25">
      <c r="A400" s="79" t="s">
        <v>2501</v>
      </c>
      <c r="B400" s="79" t="s">
        <v>2502</v>
      </c>
      <c r="C400" s="79">
        <v>590249047</v>
      </c>
      <c r="D400" s="79">
        <v>0</v>
      </c>
      <c r="E400" s="79" t="s">
        <v>1124</v>
      </c>
      <c r="F400" s="79" t="s">
        <v>2504</v>
      </c>
      <c r="G400" s="79" t="s">
        <v>2116</v>
      </c>
      <c r="H400" s="79"/>
      <c r="I400" s="79"/>
    </row>
    <row r="401" spans="1:9" ht="14.25">
      <c r="A401" s="79" t="s">
        <v>2501</v>
      </c>
      <c r="B401" s="79" t="s">
        <v>2502</v>
      </c>
      <c r="C401" s="79">
        <v>590249047</v>
      </c>
      <c r="D401" s="79">
        <v>0</v>
      </c>
      <c r="E401" s="79" t="s">
        <v>1124</v>
      </c>
      <c r="F401" s="79" t="s">
        <v>2504</v>
      </c>
      <c r="G401" s="79" t="s">
        <v>2295</v>
      </c>
      <c r="H401" s="79"/>
      <c r="I401" s="79"/>
    </row>
    <row r="402" spans="1:9" ht="14.25">
      <c r="A402" s="79" t="s">
        <v>2506</v>
      </c>
      <c r="B402" s="79" t="s">
        <v>2507</v>
      </c>
      <c r="C402" s="79">
        <v>590249049</v>
      </c>
      <c r="D402" s="79">
        <v>0</v>
      </c>
      <c r="E402" s="79" t="s">
        <v>1124</v>
      </c>
      <c r="F402" s="79" t="s">
        <v>2504</v>
      </c>
      <c r="G402" s="79" t="s">
        <v>2298</v>
      </c>
      <c r="H402" s="79"/>
      <c r="I402" s="79"/>
    </row>
    <row r="403" spans="1:9" ht="14.25">
      <c r="A403" s="79" t="s">
        <v>2506</v>
      </c>
      <c r="B403" s="79" t="s">
        <v>2507</v>
      </c>
      <c r="C403" s="79">
        <v>590249049</v>
      </c>
      <c r="D403" s="79">
        <v>0</v>
      </c>
      <c r="E403" s="79" t="s">
        <v>1124</v>
      </c>
      <c r="F403" s="79" t="s">
        <v>2504</v>
      </c>
      <c r="G403" s="79" t="s">
        <v>1294</v>
      </c>
      <c r="H403" s="79"/>
      <c r="I403" s="79"/>
    </row>
    <row r="404" spans="1:9" ht="14.25">
      <c r="A404" s="79" t="s">
        <v>2508</v>
      </c>
      <c r="B404" s="79" t="s">
        <v>2509</v>
      </c>
      <c r="C404" s="79">
        <v>590249147</v>
      </c>
      <c r="D404" s="79">
        <v>0</v>
      </c>
      <c r="E404" s="79" t="s">
        <v>1124</v>
      </c>
      <c r="F404" s="79" t="s">
        <v>2215</v>
      </c>
      <c r="G404" s="79" t="s">
        <v>2510</v>
      </c>
      <c r="H404" s="79"/>
      <c r="I404" s="79"/>
    </row>
    <row r="405" spans="1:9" ht="14.25">
      <c r="A405" s="79" t="s">
        <v>2508</v>
      </c>
      <c r="B405" s="79" t="s">
        <v>2509</v>
      </c>
      <c r="C405" s="79">
        <v>590249147</v>
      </c>
      <c r="D405" s="79">
        <v>0</v>
      </c>
      <c r="E405" s="79" t="s">
        <v>1124</v>
      </c>
      <c r="F405" s="79" t="s">
        <v>2215</v>
      </c>
      <c r="G405" s="79" t="s">
        <v>2449</v>
      </c>
      <c r="H405" s="79"/>
      <c r="I405" s="79"/>
    </row>
    <row r="406" spans="1:9" ht="14.25">
      <c r="A406" s="79" t="s">
        <v>2508</v>
      </c>
      <c r="B406" s="79" t="s">
        <v>2509</v>
      </c>
      <c r="C406" s="79">
        <v>590249147</v>
      </c>
      <c r="D406" s="79">
        <v>0</v>
      </c>
      <c r="E406" s="79" t="s">
        <v>1124</v>
      </c>
      <c r="F406" s="79" t="s">
        <v>2511</v>
      </c>
      <c r="G406" s="79" t="s">
        <v>2512</v>
      </c>
      <c r="H406" s="79"/>
      <c r="I406" s="79"/>
    </row>
    <row r="407" spans="1:9" ht="14.25">
      <c r="A407" s="79" t="s">
        <v>2508</v>
      </c>
      <c r="B407" s="79" t="s">
        <v>2509</v>
      </c>
      <c r="C407" s="79">
        <v>590249147</v>
      </c>
      <c r="D407" s="79">
        <v>0</v>
      </c>
      <c r="E407" s="79" t="s">
        <v>1124</v>
      </c>
      <c r="F407" s="79" t="s">
        <v>2511</v>
      </c>
      <c r="G407" s="79" t="s">
        <v>2103</v>
      </c>
      <c r="H407" s="79"/>
      <c r="I407" s="79"/>
    </row>
    <row r="408" spans="1:9" ht="14.25">
      <c r="A408" s="79" t="s">
        <v>2508</v>
      </c>
      <c r="B408" s="79" t="s">
        <v>2509</v>
      </c>
      <c r="C408" s="79">
        <v>590249147</v>
      </c>
      <c r="D408" s="79">
        <v>0</v>
      </c>
      <c r="E408" s="79" t="s">
        <v>1124</v>
      </c>
      <c r="F408" s="79" t="s">
        <v>2511</v>
      </c>
      <c r="G408" s="79" t="s">
        <v>2513</v>
      </c>
      <c r="H408" s="79"/>
      <c r="I408" s="79"/>
    </row>
    <row r="409" spans="1:9" ht="14.25">
      <c r="A409" s="79" t="s">
        <v>2508</v>
      </c>
      <c r="B409" s="79" t="s">
        <v>2509</v>
      </c>
      <c r="C409" s="79">
        <v>590249147</v>
      </c>
      <c r="D409" s="79">
        <v>0</v>
      </c>
      <c r="E409" s="79" t="s">
        <v>1124</v>
      </c>
      <c r="F409" s="79" t="s">
        <v>2511</v>
      </c>
      <c r="G409" s="79" t="s">
        <v>2295</v>
      </c>
      <c r="H409" s="79"/>
      <c r="I409" s="79"/>
    </row>
    <row r="410" spans="1:9" ht="14.25">
      <c r="A410" s="79" t="s">
        <v>2514</v>
      </c>
      <c r="B410" s="79" t="s">
        <v>2515</v>
      </c>
      <c r="C410" s="79">
        <v>590249149</v>
      </c>
      <c r="D410" s="79">
        <v>0</v>
      </c>
      <c r="E410" s="79" t="s">
        <v>1124</v>
      </c>
      <c r="F410" s="79" t="s">
        <v>2511</v>
      </c>
      <c r="G410" s="79" t="s">
        <v>2298</v>
      </c>
      <c r="H410" s="79"/>
      <c r="I410" s="79"/>
    </row>
    <row r="411" spans="1:9" ht="14.25">
      <c r="A411" s="79" t="s">
        <v>2514</v>
      </c>
      <c r="B411" s="79" t="s">
        <v>2515</v>
      </c>
      <c r="C411" s="79">
        <v>590249149</v>
      </c>
      <c r="D411" s="79">
        <v>0</v>
      </c>
      <c r="E411" s="79" t="s">
        <v>1124</v>
      </c>
      <c r="F411" s="79" t="s">
        <v>2511</v>
      </c>
      <c r="G411" s="79" t="s">
        <v>1294</v>
      </c>
      <c r="H411" s="79"/>
      <c r="I411" s="79"/>
    </row>
    <row r="412" spans="1:9" ht="14.25">
      <c r="A412" s="79" t="s">
        <v>2516</v>
      </c>
      <c r="B412" s="79" t="s">
        <v>2517</v>
      </c>
      <c r="C412" s="79">
        <v>590249247</v>
      </c>
      <c r="D412" s="79">
        <v>0</v>
      </c>
      <c r="E412" s="79" t="s">
        <v>1124</v>
      </c>
      <c r="F412" s="79" t="s">
        <v>2215</v>
      </c>
      <c r="G412" s="79" t="s">
        <v>2518</v>
      </c>
      <c r="H412" s="79"/>
      <c r="I412" s="79"/>
    </row>
    <row r="413" spans="1:9" ht="14.25">
      <c r="A413" s="79" t="s">
        <v>2516</v>
      </c>
      <c r="B413" s="79" t="s">
        <v>2517</v>
      </c>
      <c r="C413" s="79">
        <v>590249247</v>
      </c>
      <c r="D413" s="79">
        <v>0</v>
      </c>
      <c r="E413" s="79" t="s">
        <v>1124</v>
      </c>
      <c r="F413" s="79" t="s">
        <v>2215</v>
      </c>
      <c r="G413" s="79" t="s">
        <v>2104</v>
      </c>
      <c r="H413" s="79"/>
      <c r="I413" s="79"/>
    </row>
    <row r="414" spans="1:9" ht="14.25">
      <c r="A414" s="79" t="s">
        <v>2519</v>
      </c>
      <c r="B414" s="79" t="s">
        <v>2520</v>
      </c>
      <c r="C414" s="79">
        <v>590249248</v>
      </c>
      <c r="D414" s="79">
        <v>0</v>
      </c>
      <c r="E414" s="79" t="s">
        <v>1124</v>
      </c>
      <c r="F414" s="79" t="s">
        <v>2215</v>
      </c>
      <c r="G414" s="79" t="s">
        <v>1160</v>
      </c>
      <c r="H414" s="79"/>
      <c r="I414" s="79"/>
    </row>
    <row r="415" spans="1:9" ht="14.25">
      <c r="A415" s="79" t="s">
        <v>2519</v>
      </c>
      <c r="B415" s="79" t="s">
        <v>2520</v>
      </c>
      <c r="C415" s="79">
        <v>590249248</v>
      </c>
      <c r="D415" s="79">
        <v>0</v>
      </c>
      <c r="E415" s="79" t="s">
        <v>1124</v>
      </c>
      <c r="F415" s="79" t="s">
        <v>2215</v>
      </c>
      <c r="G415" s="79" t="s">
        <v>2104</v>
      </c>
      <c r="H415" s="79"/>
      <c r="I415" s="79"/>
    </row>
    <row r="416" spans="1:9" ht="14.25">
      <c r="A416" s="79" t="s">
        <v>2521</v>
      </c>
      <c r="B416" s="79" t="s">
        <v>2522</v>
      </c>
      <c r="C416" s="79">
        <v>590249249</v>
      </c>
      <c r="D416" s="79">
        <v>0</v>
      </c>
      <c r="E416" s="79" t="s">
        <v>1124</v>
      </c>
      <c r="F416" s="79" t="s">
        <v>2215</v>
      </c>
      <c r="G416" s="79" t="s">
        <v>2523</v>
      </c>
      <c r="H416" s="79"/>
      <c r="I416" s="79"/>
    </row>
    <row r="417" spans="1:9" ht="14.25">
      <c r="A417" s="79" t="s">
        <v>2521</v>
      </c>
      <c r="B417" s="79" t="s">
        <v>2522</v>
      </c>
      <c r="C417" s="79">
        <v>590249249</v>
      </c>
      <c r="D417" s="79">
        <v>0</v>
      </c>
      <c r="E417" s="79" t="s">
        <v>1124</v>
      </c>
      <c r="F417" s="79" t="s">
        <v>2215</v>
      </c>
      <c r="G417" s="79" t="s">
        <v>2104</v>
      </c>
      <c r="H417" s="79"/>
      <c r="I417" s="79"/>
    </row>
    <row r="418" spans="1:9" ht="14.25">
      <c r="A418" s="79" t="s">
        <v>2524</v>
      </c>
      <c r="B418" s="79" t="s">
        <v>2525</v>
      </c>
      <c r="C418" s="79">
        <v>590249250</v>
      </c>
      <c r="D418" s="79">
        <v>0</v>
      </c>
      <c r="E418" s="79" t="s">
        <v>1124</v>
      </c>
      <c r="F418" s="79" t="s">
        <v>2215</v>
      </c>
      <c r="G418" s="79" t="s">
        <v>2526</v>
      </c>
      <c r="H418" s="79"/>
      <c r="I418" s="79"/>
    </row>
    <row r="419" spans="1:9" ht="14.25">
      <c r="A419" s="79" t="s">
        <v>2524</v>
      </c>
      <c r="B419" s="79" t="s">
        <v>2525</v>
      </c>
      <c r="C419" s="79">
        <v>590249250</v>
      </c>
      <c r="D419" s="79">
        <v>0</v>
      </c>
      <c r="E419" s="79" t="s">
        <v>1124</v>
      </c>
      <c r="F419" s="79" t="s">
        <v>2215</v>
      </c>
      <c r="G419" s="79" t="s">
        <v>1294</v>
      </c>
      <c r="H419" s="79"/>
      <c r="I419" s="79"/>
    </row>
    <row r="420" spans="1:9" ht="14.25">
      <c r="A420" s="81" t="s">
        <v>2527</v>
      </c>
      <c r="B420" s="81" t="s">
        <v>2528</v>
      </c>
      <c r="C420" s="81">
        <v>590249566</v>
      </c>
      <c r="D420" s="81">
        <v>0</v>
      </c>
      <c r="E420" s="81" t="s">
        <v>1124</v>
      </c>
      <c r="F420" s="81" t="s">
        <v>2529</v>
      </c>
      <c r="G420" s="81" t="s">
        <v>1444</v>
      </c>
      <c r="H420" s="81"/>
      <c r="I420" s="81" t="s">
        <v>2198</v>
      </c>
    </row>
    <row r="421" spans="1:9" ht="14.25">
      <c r="A421" s="81" t="s">
        <v>2530</v>
      </c>
      <c r="B421" s="81" t="s">
        <v>2531</v>
      </c>
      <c r="C421" s="81">
        <v>590249569</v>
      </c>
      <c r="D421" s="81">
        <v>0</v>
      </c>
      <c r="E421" s="81" t="s">
        <v>1124</v>
      </c>
      <c r="F421" s="81" t="s">
        <v>2529</v>
      </c>
      <c r="G421" s="81" t="s">
        <v>1447</v>
      </c>
      <c r="H421" s="81"/>
      <c r="I421" s="81" t="s">
        <v>2198</v>
      </c>
    </row>
    <row r="422" spans="1:9" ht="14.25">
      <c r="A422" s="81" t="s">
        <v>2532</v>
      </c>
      <c r="B422" s="81" t="s">
        <v>2533</v>
      </c>
      <c r="C422" s="81">
        <v>590249572</v>
      </c>
      <c r="D422" s="81">
        <v>0</v>
      </c>
      <c r="E422" s="81" t="s">
        <v>1124</v>
      </c>
      <c r="F422" s="81" t="s">
        <v>2529</v>
      </c>
      <c r="G422" s="81" t="s">
        <v>1160</v>
      </c>
      <c r="H422" s="81"/>
      <c r="I422" s="81" t="s">
        <v>2198</v>
      </c>
    </row>
    <row r="423" spans="1:9" ht="14.25">
      <c r="A423" s="81" t="s">
        <v>2534</v>
      </c>
      <c r="B423" s="81" t="s">
        <v>2535</v>
      </c>
      <c r="C423" s="81">
        <v>590249575</v>
      </c>
      <c r="D423" s="81">
        <v>0</v>
      </c>
      <c r="E423" s="81" t="s">
        <v>1124</v>
      </c>
      <c r="F423" s="81" t="s">
        <v>2529</v>
      </c>
      <c r="G423" s="81" t="s">
        <v>1164</v>
      </c>
      <c r="H423" s="81"/>
      <c r="I423" s="81" t="s">
        <v>2198</v>
      </c>
    </row>
    <row r="424" spans="1:9" ht="14.25">
      <c r="A424" s="81" t="s">
        <v>2536</v>
      </c>
      <c r="B424" s="81" t="s">
        <v>2537</v>
      </c>
      <c r="C424" s="81">
        <v>590250176</v>
      </c>
      <c r="D424" s="81">
        <v>0</v>
      </c>
      <c r="E424" s="81" t="s">
        <v>1124</v>
      </c>
      <c r="F424" s="81" t="s">
        <v>2538</v>
      </c>
      <c r="G424" s="81" t="s">
        <v>1169</v>
      </c>
      <c r="H424" s="81"/>
      <c r="I424" s="81" t="s">
        <v>2198</v>
      </c>
    </row>
    <row r="425" spans="1:9" ht="14.25">
      <c r="A425" s="79" t="s">
        <v>2536</v>
      </c>
      <c r="B425" s="79" t="s">
        <v>2537</v>
      </c>
      <c r="C425" s="79">
        <v>590250176</v>
      </c>
      <c r="D425" s="79">
        <v>0</v>
      </c>
      <c r="E425" s="79" t="s">
        <v>1124</v>
      </c>
      <c r="F425" s="79" t="s">
        <v>2539</v>
      </c>
      <c r="G425" s="79" t="s">
        <v>2540</v>
      </c>
      <c r="H425" s="79" t="s">
        <v>2541</v>
      </c>
      <c r="I425" s="79"/>
    </row>
    <row r="426" spans="1:9" ht="14.25">
      <c r="A426" s="79" t="s">
        <v>2536</v>
      </c>
      <c r="B426" s="79" t="s">
        <v>2537</v>
      </c>
      <c r="C426" s="79">
        <v>590250176</v>
      </c>
      <c r="D426" s="79">
        <v>0</v>
      </c>
      <c r="E426" s="79" t="s">
        <v>1124</v>
      </c>
      <c r="F426" s="79" t="s">
        <v>2539</v>
      </c>
      <c r="G426" s="79" t="s">
        <v>2542</v>
      </c>
      <c r="H426" s="79" t="s">
        <v>2543</v>
      </c>
      <c r="I426" s="79"/>
    </row>
    <row r="427" spans="1:9" ht="14.25">
      <c r="A427" s="79" t="s">
        <v>2536</v>
      </c>
      <c r="B427" s="79" t="s">
        <v>2537</v>
      </c>
      <c r="C427" s="79">
        <v>590250176</v>
      </c>
      <c r="D427" s="79">
        <v>0</v>
      </c>
      <c r="E427" s="79" t="s">
        <v>1124</v>
      </c>
      <c r="F427" s="79" t="s">
        <v>2539</v>
      </c>
      <c r="G427" s="79" t="s">
        <v>2544</v>
      </c>
      <c r="H427" s="79" t="s">
        <v>2545</v>
      </c>
      <c r="I427" s="79"/>
    </row>
    <row r="428" spans="1:9" ht="14.25">
      <c r="A428" s="79" t="s">
        <v>2536</v>
      </c>
      <c r="B428" s="79" t="s">
        <v>2537</v>
      </c>
      <c r="C428" s="79">
        <v>590250176</v>
      </c>
      <c r="D428" s="79">
        <v>0</v>
      </c>
      <c r="E428" s="79" t="s">
        <v>1124</v>
      </c>
      <c r="F428" s="79" t="s">
        <v>2539</v>
      </c>
      <c r="G428" s="79" t="s">
        <v>2546</v>
      </c>
      <c r="H428" s="79" t="s">
        <v>2547</v>
      </c>
      <c r="I428" s="79"/>
    </row>
    <row r="429" spans="1:9" ht="14.25">
      <c r="A429" s="79" t="s">
        <v>2536</v>
      </c>
      <c r="B429" s="79" t="s">
        <v>2537</v>
      </c>
      <c r="C429" s="79">
        <v>590250176</v>
      </c>
      <c r="D429" s="79">
        <v>0</v>
      </c>
      <c r="E429" s="79" t="s">
        <v>1124</v>
      </c>
      <c r="F429" s="79" t="s">
        <v>2539</v>
      </c>
      <c r="G429" s="79" t="s">
        <v>2548</v>
      </c>
      <c r="H429" s="79" t="s">
        <v>2549</v>
      </c>
      <c r="I429" s="79"/>
    </row>
    <row r="430" spans="1:9" ht="14.25">
      <c r="A430" s="79" t="s">
        <v>2536</v>
      </c>
      <c r="B430" s="79" t="s">
        <v>2537</v>
      </c>
      <c r="C430" s="79">
        <v>590250176</v>
      </c>
      <c r="D430" s="79">
        <v>0</v>
      </c>
      <c r="E430" s="79" t="s">
        <v>1124</v>
      </c>
      <c r="F430" s="79" t="s">
        <v>2539</v>
      </c>
      <c r="G430" s="79" t="s">
        <v>2550</v>
      </c>
      <c r="H430" s="79" t="s">
        <v>2551</v>
      </c>
      <c r="I430" s="79"/>
    </row>
    <row r="431" spans="1:9" ht="14.25">
      <c r="A431" s="79" t="s">
        <v>2536</v>
      </c>
      <c r="B431" s="79" t="s">
        <v>2537</v>
      </c>
      <c r="C431" s="79">
        <v>590250176</v>
      </c>
      <c r="D431" s="79">
        <v>0</v>
      </c>
      <c r="E431" s="79" t="s">
        <v>1124</v>
      </c>
      <c r="F431" s="79" t="s">
        <v>2539</v>
      </c>
      <c r="G431" s="79" t="s">
        <v>2552</v>
      </c>
      <c r="H431" s="79" t="s">
        <v>2553</v>
      </c>
      <c r="I431" s="79"/>
    </row>
    <row r="432" spans="1:9" ht="14.25">
      <c r="A432" s="79" t="s">
        <v>2536</v>
      </c>
      <c r="B432" s="79" t="s">
        <v>2537</v>
      </c>
      <c r="C432" s="79">
        <v>590250176</v>
      </c>
      <c r="D432" s="79">
        <v>0</v>
      </c>
      <c r="E432" s="79" t="s">
        <v>1124</v>
      </c>
      <c r="F432" s="79" t="s">
        <v>2539</v>
      </c>
      <c r="G432" s="79" t="s">
        <v>2554</v>
      </c>
      <c r="H432" s="79" t="s">
        <v>2555</v>
      </c>
      <c r="I432" s="79"/>
    </row>
    <row r="433" spans="1:9" ht="14.25">
      <c r="A433" s="79" t="s">
        <v>2536</v>
      </c>
      <c r="B433" s="79" t="s">
        <v>2537</v>
      </c>
      <c r="C433" s="79">
        <v>590250176</v>
      </c>
      <c r="D433" s="79">
        <v>0</v>
      </c>
      <c r="E433" s="79" t="s">
        <v>1124</v>
      </c>
      <c r="F433" s="79" t="s">
        <v>2539</v>
      </c>
      <c r="G433" s="79" t="s">
        <v>2556</v>
      </c>
      <c r="H433" s="79" t="s">
        <v>2557</v>
      </c>
      <c r="I433" s="79"/>
    </row>
    <row r="434" spans="1:9" ht="14.25">
      <c r="A434" s="79" t="s">
        <v>2536</v>
      </c>
      <c r="B434" s="79" t="s">
        <v>2537</v>
      </c>
      <c r="C434" s="79">
        <v>590250176</v>
      </c>
      <c r="D434" s="79">
        <v>0</v>
      </c>
      <c r="E434" s="79" t="s">
        <v>1124</v>
      </c>
      <c r="F434" s="79" t="s">
        <v>2539</v>
      </c>
      <c r="G434" s="79" t="s">
        <v>2558</v>
      </c>
      <c r="H434" s="79" t="s">
        <v>2559</v>
      </c>
      <c r="I434" s="79"/>
    </row>
    <row r="435" spans="1:9" ht="14.25">
      <c r="A435" s="79" t="s">
        <v>2536</v>
      </c>
      <c r="B435" s="79" t="s">
        <v>2537</v>
      </c>
      <c r="C435" s="79">
        <v>590250176</v>
      </c>
      <c r="D435" s="79">
        <v>0</v>
      </c>
      <c r="E435" s="79" t="s">
        <v>1124</v>
      </c>
      <c r="F435" s="79" t="s">
        <v>2539</v>
      </c>
      <c r="G435" s="79" t="s">
        <v>2560</v>
      </c>
      <c r="H435" s="79" t="s">
        <v>2561</v>
      </c>
      <c r="I435" s="79"/>
    </row>
    <row r="436" spans="1:9" ht="14.25">
      <c r="A436" s="79" t="s">
        <v>2536</v>
      </c>
      <c r="B436" s="79" t="s">
        <v>2537</v>
      </c>
      <c r="C436" s="79">
        <v>590250176</v>
      </c>
      <c r="D436" s="79">
        <v>0</v>
      </c>
      <c r="E436" s="79" t="s">
        <v>1124</v>
      </c>
      <c r="F436" s="79" t="s">
        <v>2539</v>
      </c>
      <c r="G436" s="79" t="s">
        <v>2562</v>
      </c>
      <c r="H436" s="79" t="s">
        <v>2563</v>
      </c>
      <c r="I436" s="79"/>
    </row>
    <row r="437" spans="1:9" ht="14.25">
      <c r="A437" s="79" t="s">
        <v>2536</v>
      </c>
      <c r="B437" s="79" t="s">
        <v>2537</v>
      </c>
      <c r="C437" s="79">
        <v>590250176</v>
      </c>
      <c r="D437" s="79">
        <v>0</v>
      </c>
      <c r="E437" s="79" t="s">
        <v>1124</v>
      </c>
      <c r="F437" s="79" t="s">
        <v>2539</v>
      </c>
      <c r="G437" s="79" t="s">
        <v>2402</v>
      </c>
      <c r="H437" s="79"/>
      <c r="I437" s="79"/>
    </row>
    <row r="438" spans="1:9" ht="14.25">
      <c r="A438" s="79" t="s">
        <v>2564</v>
      </c>
      <c r="B438" s="79" t="s">
        <v>2565</v>
      </c>
      <c r="C438" s="79">
        <v>590250236</v>
      </c>
      <c r="D438" s="79">
        <v>0</v>
      </c>
      <c r="E438" s="79" t="s">
        <v>1124</v>
      </c>
      <c r="F438" s="79" t="s">
        <v>2539</v>
      </c>
      <c r="G438" s="79" t="s">
        <v>2566</v>
      </c>
      <c r="H438" s="79" t="s">
        <v>2567</v>
      </c>
      <c r="I438" s="79"/>
    </row>
    <row r="439" spans="1:9" ht="14.25">
      <c r="A439" s="79" t="s">
        <v>2564</v>
      </c>
      <c r="B439" s="79" t="s">
        <v>2565</v>
      </c>
      <c r="C439" s="79">
        <v>590250236</v>
      </c>
      <c r="D439" s="79">
        <v>0</v>
      </c>
      <c r="E439" s="79" t="s">
        <v>1124</v>
      </c>
      <c r="F439" s="79" t="s">
        <v>2539</v>
      </c>
      <c r="G439" s="79" t="s">
        <v>2568</v>
      </c>
      <c r="H439" s="79"/>
      <c r="I439" s="79"/>
    </row>
    <row r="440" spans="1:9" ht="14.25">
      <c r="A440" s="79" t="s">
        <v>2569</v>
      </c>
      <c r="B440" s="79" t="s">
        <v>2570</v>
      </c>
      <c r="C440" s="79">
        <v>590250596</v>
      </c>
      <c r="D440" s="79">
        <v>0</v>
      </c>
      <c r="E440" s="79" t="s">
        <v>1124</v>
      </c>
      <c r="F440" s="79" t="s">
        <v>2539</v>
      </c>
      <c r="G440" s="79" t="s">
        <v>2571</v>
      </c>
      <c r="H440" s="79"/>
      <c r="I440" s="79"/>
    </row>
    <row r="441" spans="1:9" ht="14.25">
      <c r="A441" s="79" t="s">
        <v>2569</v>
      </c>
      <c r="B441" s="79" t="s">
        <v>2570</v>
      </c>
      <c r="C441" s="79">
        <v>590250596</v>
      </c>
      <c r="D441" s="79">
        <v>0</v>
      </c>
      <c r="E441" s="79" t="s">
        <v>1124</v>
      </c>
      <c r="F441" s="79" t="s">
        <v>2539</v>
      </c>
      <c r="G441" s="79" t="s">
        <v>2572</v>
      </c>
      <c r="H441" s="79" t="s">
        <v>2573</v>
      </c>
      <c r="I441" s="79"/>
    </row>
    <row r="442" spans="1:9" ht="14.25">
      <c r="A442" s="79" t="s">
        <v>2569</v>
      </c>
      <c r="B442" s="79" t="s">
        <v>2570</v>
      </c>
      <c r="C442" s="79">
        <v>590250596</v>
      </c>
      <c r="D442" s="79">
        <v>0</v>
      </c>
      <c r="E442" s="79" t="s">
        <v>1124</v>
      </c>
      <c r="F442" s="79" t="s">
        <v>2539</v>
      </c>
      <c r="G442" s="79" t="s">
        <v>2568</v>
      </c>
      <c r="H442" s="79"/>
      <c r="I442" s="79"/>
    </row>
    <row r="443" spans="1:9" ht="14.25">
      <c r="A443" s="79" t="s">
        <v>2574</v>
      </c>
      <c r="B443" s="79" t="s">
        <v>2575</v>
      </c>
      <c r="C443" s="79">
        <v>590250956</v>
      </c>
      <c r="D443" s="79">
        <v>0</v>
      </c>
      <c r="E443" s="79" t="s">
        <v>1124</v>
      </c>
      <c r="F443" s="79" t="s">
        <v>2539</v>
      </c>
      <c r="G443" s="79" t="s">
        <v>2576</v>
      </c>
      <c r="H443" s="79"/>
      <c r="I443" s="79"/>
    </row>
    <row r="444" spans="1:9" ht="14.25">
      <c r="A444" s="79" t="s">
        <v>2574</v>
      </c>
      <c r="B444" s="79" t="s">
        <v>2575</v>
      </c>
      <c r="C444" s="79">
        <v>590250956</v>
      </c>
      <c r="D444" s="79">
        <v>0</v>
      </c>
      <c r="E444" s="79" t="s">
        <v>1124</v>
      </c>
      <c r="F444" s="79" t="s">
        <v>2539</v>
      </c>
      <c r="G444" s="79" t="s">
        <v>2577</v>
      </c>
      <c r="H444" s="79"/>
      <c r="I444" s="79"/>
    </row>
    <row r="445" spans="1:9" ht="14.25">
      <c r="A445" s="79" t="s">
        <v>2574</v>
      </c>
      <c r="B445" s="79" t="s">
        <v>2575</v>
      </c>
      <c r="C445" s="79">
        <v>590250956</v>
      </c>
      <c r="D445" s="79">
        <v>0</v>
      </c>
      <c r="E445" s="79" t="s">
        <v>1124</v>
      </c>
      <c r="F445" s="79" t="s">
        <v>2539</v>
      </c>
      <c r="G445" s="79" t="s">
        <v>1131</v>
      </c>
      <c r="H445" s="79" t="s">
        <v>1132</v>
      </c>
      <c r="I445" s="79"/>
    </row>
    <row r="446" spans="1:9" ht="14.25">
      <c r="A446" s="79" t="s">
        <v>2574</v>
      </c>
      <c r="B446" s="79" t="s">
        <v>2575</v>
      </c>
      <c r="C446" s="79">
        <v>590250956</v>
      </c>
      <c r="D446" s="79">
        <v>0</v>
      </c>
      <c r="E446" s="79" t="s">
        <v>1124</v>
      </c>
      <c r="F446" s="79" t="s">
        <v>2539</v>
      </c>
      <c r="G446" s="79" t="s">
        <v>2578</v>
      </c>
      <c r="H446" s="79"/>
      <c r="I446" s="79"/>
    </row>
    <row r="447" spans="1:9" ht="14.25">
      <c r="A447" s="79" t="s">
        <v>2579</v>
      </c>
      <c r="B447" s="79" t="s">
        <v>2580</v>
      </c>
      <c r="C447" s="79">
        <v>590251556</v>
      </c>
      <c r="D447" s="79">
        <v>0</v>
      </c>
      <c r="E447" s="79" t="s">
        <v>1124</v>
      </c>
      <c r="F447" s="79" t="s">
        <v>2539</v>
      </c>
      <c r="G447" s="79" t="s">
        <v>2546</v>
      </c>
      <c r="H447" s="79" t="s">
        <v>2547</v>
      </c>
      <c r="I447" s="79"/>
    </row>
    <row r="448" spans="1:9" ht="14.25">
      <c r="A448" s="79" t="s">
        <v>2579</v>
      </c>
      <c r="B448" s="79" t="s">
        <v>2580</v>
      </c>
      <c r="C448" s="79">
        <v>590251556</v>
      </c>
      <c r="D448" s="79">
        <v>0</v>
      </c>
      <c r="E448" s="79" t="s">
        <v>1124</v>
      </c>
      <c r="F448" s="79" t="s">
        <v>2539</v>
      </c>
      <c r="G448" s="79" t="s">
        <v>2581</v>
      </c>
      <c r="H448" s="79"/>
      <c r="I448" s="79"/>
    </row>
    <row r="449" spans="1:9" ht="14.25">
      <c r="A449" s="81" t="s">
        <v>2582</v>
      </c>
      <c r="B449" s="81" t="s">
        <v>2583</v>
      </c>
      <c r="C449" s="81">
        <v>590253776</v>
      </c>
      <c r="D449" s="81">
        <v>0</v>
      </c>
      <c r="E449" s="81" t="s">
        <v>1124</v>
      </c>
      <c r="F449" s="81" t="s">
        <v>2584</v>
      </c>
      <c r="G449" s="81" t="s">
        <v>2585</v>
      </c>
      <c r="H449" s="81"/>
      <c r="I449" s="81" t="s">
        <v>2198</v>
      </c>
    </row>
    <row r="450" spans="1:9" ht="14.25">
      <c r="A450" s="79" t="s">
        <v>2582</v>
      </c>
      <c r="B450" s="79" t="s">
        <v>2583</v>
      </c>
      <c r="C450" s="79">
        <v>590253776</v>
      </c>
      <c r="D450" s="79">
        <v>0</v>
      </c>
      <c r="E450" s="79" t="s">
        <v>1124</v>
      </c>
      <c r="F450" s="79" t="s">
        <v>2586</v>
      </c>
      <c r="G450" s="79" t="s">
        <v>2587</v>
      </c>
      <c r="H450" s="79"/>
      <c r="I450" s="79"/>
    </row>
    <row r="451" spans="1:9" ht="14.25">
      <c r="A451" s="79" t="s">
        <v>2582</v>
      </c>
      <c r="B451" s="79" t="s">
        <v>2583</v>
      </c>
      <c r="C451" s="79">
        <v>590253776</v>
      </c>
      <c r="D451" s="79">
        <v>0</v>
      </c>
      <c r="E451" s="79" t="s">
        <v>1124</v>
      </c>
      <c r="F451" s="79" t="s">
        <v>2586</v>
      </c>
      <c r="G451" s="79" t="s">
        <v>2588</v>
      </c>
      <c r="H451" s="79"/>
      <c r="I451" s="79"/>
    </row>
    <row r="452" spans="1:9" ht="14.25">
      <c r="A452" s="79" t="s">
        <v>2582</v>
      </c>
      <c r="B452" s="79" t="s">
        <v>2583</v>
      </c>
      <c r="C452" s="79">
        <v>590253776</v>
      </c>
      <c r="D452" s="79">
        <v>0</v>
      </c>
      <c r="E452" s="79" t="s">
        <v>1124</v>
      </c>
      <c r="F452" s="79" t="s">
        <v>2586</v>
      </c>
      <c r="G452" s="79" t="s">
        <v>2589</v>
      </c>
      <c r="H452" s="79"/>
      <c r="I452" s="79"/>
    </row>
    <row r="453" spans="1:9" ht="14.25">
      <c r="A453" s="79" t="s">
        <v>2582</v>
      </c>
      <c r="B453" s="79" t="s">
        <v>2583</v>
      </c>
      <c r="C453" s="79">
        <v>590253776</v>
      </c>
      <c r="D453" s="79">
        <v>0</v>
      </c>
      <c r="E453" s="79" t="s">
        <v>1124</v>
      </c>
      <c r="F453" s="79" t="s">
        <v>2586</v>
      </c>
      <c r="G453" s="79" t="s">
        <v>1294</v>
      </c>
      <c r="H453" s="79"/>
      <c r="I453" s="79"/>
    </row>
    <row r="454" spans="1:9" ht="14.25">
      <c r="A454" s="79" t="s">
        <v>2590</v>
      </c>
      <c r="B454" s="79" t="s">
        <v>2591</v>
      </c>
      <c r="C454" s="79">
        <v>590294156</v>
      </c>
      <c r="D454" s="79">
        <v>0</v>
      </c>
      <c r="E454" s="79" t="s">
        <v>1124</v>
      </c>
      <c r="F454" s="79" t="s">
        <v>2539</v>
      </c>
      <c r="G454" s="79" t="s">
        <v>1130</v>
      </c>
      <c r="H454" s="79"/>
      <c r="I454" s="79"/>
    </row>
    <row r="455" spans="1:9" ht="14.25">
      <c r="A455" s="79" t="s">
        <v>2590</v>
      </c>
      <c r="B455" s="79" t="s">
        <v>2591</v>
      </c>
      <c r="C455" s="79">
        <v>590294156</v>
      </c>
      <c r="D455" s="79">
        <v>0</v>
      </c>
      <c r="E455" s="79" t="s">
        <v>1124</v>
      </c>
      <c r="F455" s="79" t="s">
        <v>2539</v>
      </c>
      <c r="G455" s="79" t="s">
        <v>1131</v>
      </c>
      <c r="H455" s="79" t="s">
        <v>1132</v>
      </c>
      <c r="I455" s="79"/>
    </row>
    <row r="456" spans="1:9" ht="14.25">
      <c r="A456" s="79" t="s">
        <v>2590</v>
      </c>
      <c r="B456" s="79" t="s">
        <v>2591</v>
      </c>
      <c r="C456" s="79">
        <v>590294156</v>
      </c>
      <c r="D456" s="79">
        <v>0</v>
      </c>
      <c r="E456" s="79" t="s">
        <v>1124</v>
      </c>
      <c r="F456" s="79" t="s">
        <v>2539</v>
      </c>
      <c r="G456" s="79" t="s">
        <v>2578</v>
      </c>
      <c r="H456" s="79"/>
      <c r="I456" s="79"/>
    </row>
    <row r="457" spans="1:9" ht="14.25">
      <c r="A457" s="79" t="s">
        <v>2592</v>
      </c>
      <c r="B457" s="79" t="s">
        <v>2593</v>
      </c>
      <c r="C457" s="79">
        <v>590294756</v>
      </c>
      <c r="D457" s="79">
        <v>0</v>
      </c>
      <c r="E457" s="79" t="s">
        <v>1124</v>
      </c>
      <c r="F457" s="79" t="s">
        <v>2539</v>
      </c>
      <c r="G457" s="79" t="s">
        <v>2546</v>
      </c>
      <c r="H457" s="79" t="s">
        <v>2547</v>
      </c>
      <c r="I457" s="79"/>
    </row>
    <row r="458" spans="1:9" ht="14.25">
      <c r="A458" s="79" t="s">
        <v>2592</v>
      </c>
      <c r="B458" s="79" t="s">
        <v>2593</v>
      </c>
      <c r="C458" s="79">
        <v>590294756</v>
      </c>
      <c r="D458" s="79">
        <v>0</v>
      </c>
      <c r="E458" s="79" t="s">
        <v>1124</v>
      </c>
      <c r="F458" s="79" t="s">
        <v>2539</v>
      </c>
      <c r="G458" s="79" t="s">
        <v>2581</v>
      </c>
      <c r="H458" s="79"/>
      <c r="I458" s="79"/>
    </row>
    <row r="459" spans="1:9" ht="14.25">
      <c r="A459" s="79" t="s">
        <v>2594</v>
      </c>
      <c r="B459" s="79" t="s">
        <v>2595</v>
      </c>
      <c r="C459" s="79">
        <v>590337356</v>
      </c>
      <c r="D459" s="79">
        <v>0</v>
      </c>
      <c r="E459" s="79" t="s">
        <v>1124</v>
      </c>
      <c r="F459" s="79" t="s">
        <v>2539</v>
      </c>
      <c r="G459" s="79" t="s">
        <v>1130</v>
      </c>
      <c r="H459" s="79"/>
      <c r="I459" s="79"/>
    </row>
    <row r="460" spans="1:9" ht="14.25">
      <c r="A460" s="79" t="s">
        <v>2594</v>
      </c>
      <c r="B460" s="79" t="s">
        <v>2595</v>
      </c>
      <c r="C460" s="79">
        <v>590337356</v>
      </c>
      <c r="D460" s="79">
        <v>0</v>
      </c>
      <c r="E460" s="79" t="s">
        <v>1124</v>
      </c>
      <c r="F460" s="79" t="s">
        <v>2539</v>
      </c>
      <c r="G460" s="79" t="s">
        <v>1131</v>
      </c>
      <c r="H460" s="79" t="s">
        <v>1132</v>
      </c>
      <c r="I460" s="79"/>
    </row>
    <row r="461" spans="1:9" ht="14.25">
      <c r="A461" s="79" t="s">
        <v>2594</v>
      </c>
      <c r="B461" s="79" t="s">
        <v>2595</v>
      </c>
      <c r="C461" s="79">
        <v>590337356</v>
      </c>
      <c r="D461" s="79">
        <v>0</v>
      </c>
      <c r="E461" s="79" t="s">
        <v>1124</v>
      </c>
      <c r="F461" s="79" t="s">
        <v>2539</v>
      </c>
      <c r="G461" s="79" t="s">
        <v>2578</v>
      </c>
      <c r="H461" s="79"/>
      <c r="I461" s="79"/>
    </row>
    <row r="462" spans="1:9" ht="14.25">
      <c r="A462" s="79" t="s">
        <v>2596</v>
      </c>
      <c r="B462" s="79" t="s">
        <v>2597</v>
      </c>
      <c r="C462" s="79">
        <v>590337956</v>
      </c>
      <c r="D462" s="79">
        <v>0</v>
      </c>
      <c r="E462" s="79" t="s">
        <v>1124</v>
      </c>
      <c r="F462" s="79" t="s">
        <v>2539</v>
      </c>
      <c r="G462" s="79" t="s">
        <v>2546</v>
      </c>
      <c r="H462" s="79" t="s">
        <v>2547</v>
      </c>
      <c r="I462" s="79"/>
    </row>
    <row r="463" spans="1:9" ht="14.25">
      <c r="A463" s="79" t="s">
        <v>2596</v>
      </c>
      <c r="B463" s="79" t="s">
        <v>2597</v>
      </c>
      <c r="C463" s="79">
        <v>590337956</v>
      </c>
      <c r="D463" s="79">
        <v>0</v>
      </c>
      <c r="E463" s="79" t="s">
        <v>1124</v>
      </c>
      <c r="F463" s="79" t="s">
        <v>2539</v>
      </c>
      <c r="G463" s="79" t="s">
        <v>2581</v>
      </c>
      <c r="H463" s="79"/>
      <c r="I463" s="79"/>
    </row>
    <row r="464" spans="1:9" ht="14.25">
      <c r="A464" s="79" t="s">
        <v>2598</v>
      </c>
      <c r="B464" s="79" t="s">
        <v>2599</v>
      </c>
      <c r="C464" s="79">
        <v>590380556</v>
      </c>
      <c r="D464" s="79">
        <v>0</v>
      </c>
      <c r="E464" s="79" t="s">
        <v>1124</v>
      </c>
      <c r="F464" s="79" t="s">
        <v>2539</v>
      </c>
      <c r="G464" s="79" t="s">
        <v>1130</v>
      </c>
      <c r="H464" s="79"/>
      <c r="I464" s="79"/>
    </row>
    <row r="465" spans="1:9" ht="14.25">
      <c r="A465" s="79" t="s">
        <v>2598</v>
      </c>
      <c r="B465" s="79" t="s">
        <v>2599</v>
      </c>
      <c r="C465" s="79">
        <v>590380556</v>
      </c>
      <c r="D465" s="79">
        <v>0</v>
      </c>
      <c r="E465" s="79" t="s">
        <v>1124</v>
      </c>
      <c r="F465" s="79" t="s">
        <v>2539</v>
      </c>
      <c r="G465" s="79" t="s">
        <v>1131</v>
      </c>
      <c r="H465" s="79" t="s">
        <v>1132</v>
      </c>
      <c r="I465" s="79"/>
    </row>
    <row r="466" spans="1:9" ht="14.25">
      <c r="A466" s="79" t="s">
        <v>2598</v>
      </c>
      <c r="B466" s="79" t="s">
        <v>2599</v>
      </c>
      <c r="C466" s="79">
        <v>590380556</v>
      </c>
      <c r="D466" s="79">
        <v>0</v>
      </c>
      <c r="E466" s="79" t="s">
        <v>1124</v>
      </c>
      <c r="F466" s="79" t="s">
        <v>2539</v>
      </c>
      <c r="G466" s="79" t="s">
        <v>2578</v>
      </c>
      <c r="H466" s="79"/>
      <c r="I466" s="79"/>
    </row>
    <row r="467" spans="1:9" ht="14.25">
      <c r="A467" s="79" t="s">
        <v>2600</v>
      </c>
      <c r="B467" s="79" t="s">
        <v>2601</v>
      </c>
      <c r="C467" s="79">
        <v>590381156</v>
      </c>
      <c r="D467" s="79">
        <v>0</v>
      </c>
      <c r="E467" s="79" t="s">
        <v>1124</v>
      </c>
      <c r="F467" s="79" t="s">
        <v>2539</v>
      </c>
      <c r="G467" s="79" t="s">
        <v>2546</v>
      </c>
      <c r="H467" s="79" t="s">
        <v>2547</v>
      </c>
      <c r="I467" s="79"/>
    </row>
    <row r="468" spans="1:9" ht="14.25">
      <c r="A468" s="79" t="s">
        <v>2600</v>
      </c>
      <c r="B468" s="79" t="s">
        <v>2601</v>
      </c>
      <c r="C468" s="79">
        <v>590381156</v>
      </c>
      <c r="D468" s="79">
        <v>0</v>
      </c>
      <c r="E468" s="79" t="s">
        <v>1124</v>
      </c>
      <c r="F468" s="79" t="s">
        <v>2539</v>
      </c>
      <c r="G468" s="79" t="s">
        <v>2581</v>
      </c>
      <c r="H468" s="79"/>
      <c r="I468" s="79"/>
    </row>
    <row r="469" spans="1:9" ht="14.25">
      <c r="A469" s="79" t="s">
        <v>2602</v>
      </c>
      <c r="B469" s="79" t="s">
        <v>2603</v>
      </c>
      <c r="C469" s="79">
        <v>590423756</v>
      </c>
      <c r="D469" s="79">
        <v>0</v>
      </c>
      <c r="E469" s="79" t="s">
        <v>1124</v>
      </c>
      <c r="F469" s="79" t="s">
        <v>2539</v>
      </c>
      <c r="G469" s="79" t="s">
        <v>1130</v>
      </c>
      <c r="H469" s="79"/>
      <c r="I469" s="79"/>
    </row>
    <row r="470" spans="1:9" ht="14.25">
      <c r="A470" s="79" t="s">
        <v>2602</v>
      </c>
      <c r="B470" s="79" t="s">
        <v>2603</v>
      </c>
      <c r="C470" s="79">
        <v>590423756</v>
      </c>
      <c r="D470" s="79">
        <v>0</v>
      </c>
      <c r="E470" s="79" t="s">
        <v>1124</v>
      </c>
      <c r="F470" s="79" t="s">
        <v>2539</v>
      </c>
      <c r="G470" s="79" t="s">
        <v>1131</v>
      </c>
      <c r="H470" s="79" t="s">
        <v>1132</v>
      </c>
      <c r="I470" s="79"/>
    </row>
    <row r="471" spans="1:9" ht="14.25">
      <c r="A471" s="79" t="s">
        <v>2602</v>
      </c>
      <c r="B471" s="79" t="s">
        <v>2603</v>
      </c>
      <c r="C471" s="79">
        <v>590423756</v>
      </c>
      <c r="D471" s="79">
        <v>0</v>
      </c>
      <c r="E471" s="79" t="s">
        <v>1124</v>
      </c>
      <c r="F471" s="79" t="s">
        <v>2539</v>
      </c>
      <c r="G471" s="79" t="s">
        <v>2578</v>
      </c>
      <c r="H471" s="79"/>
      <c r="I471" s="79"/>
    </row>
    <row r="472" spans="1:9" ht="14.25">
      <c r="A472" s="79" t="s">
        <v>2604</v>
      </c>
      <c r="B472" s="79" t="s">
        <v>2605</v>
      </c>
      <c r="C472" s="79">
        <v>590424356</v>
      </c>
      <c r="D472" s="79">
        <v>0</v>
      </c>
      <c r="E472" s="79" t="s">
        <v>1124</v>
      </c>
      <c r="F472" s="79" t="s">
        <v>2539</v>
      </c>
      <c r="G472" s="79" t="s">
        <v>2546</v>
      </c>
      <c r="H472" s="79" t="s">
        <v>2547</v>
      </c>
      <c r="I472" s="79"/>
    </row>
    <row r="473" spans="1:9" ht="14.25">
      <c r="A473" s="79" t="s">
        <v>2604</v>
      </c>
      <c r="B473" s="79" t="s">
        <v>2605</v>
      </c>
      <c r="C473" s="79">
        <v>590424356</v>
      </c>
      <c r="D473" s="79">
        <v>0</v>
      </c>
      <c r="E473" s="79" t="s">
        <v>1124</v>
      </c>
      <c r="F473" s="79" t="s">
        <v>2539</v>
      </c>
      <c r="G473" s="79" t="s">
        <v>2581</v>
      </c>
      <c r="H473" s="79"/>
      <c r="I473" s="79"/>
    </row>
    <row r="474" spans="1:9" ht="14.25">
      <c r="A474" s="79" t="s">
        <v>2606</v>
      </c>
      <c r="B474" s="79" t="s">
        <v>2607</v>
      </c>
      <c r="C474" s="79">
        <v>590466956</v>
      </c>
      <c r="D474" s="79">
        <v>0</v>
      </c>
      <c r="E474" s="79" t="s">
        <v>1124</v>
      </c>
      <c r="F474" s="79" t="s">
        <v>2539</v>
      </c>
      <c r="G474" s="79" t="s">
        <v>1130</v>
      </c>
      <c r="H474" s="79"/>
      <c r="I474" s="79"/>
    </row>
    <row r="475" spans="1:9" ht="14.25">
      <c r="A475" s="79" t="s">
        <v>2606</v>
      </c>
      <c r="B475" s="79" t="s">
        <v>2607</v>
      </c>
      <c r="C475" s="79">
        <v>590466956</v>
      </c>
      <c r="D475" s="79">
        <v>0</v>
      </c>
      <c r="E475" s="79" t="s">
        <v>1124</v>
      </c>
      <c r="F475" s="79" t="s">
        <v>2539</v>
      </c>
      <c r="G475" s="79" t="s">
        <v>1131</v>
      </c>
      <c r="H475" s="79" t="s">
        <v>1132</v>
      </c>
      <c r="I475" s="79"/>
    </row>
    <row r="476" spans="1:9" ht="14.25">
      <c r="A476" s="79" t="s">
        <v>2606</v>
      </c>
      <c r="B476" s="79" t="s">
        <v>2607</v>
      </c>
      <c r="C476" s="79">
        <v>590466956</v>
      </c>
      <c r="D476" s="79">
        <v>0</v>
      </c>
      <c r="E476" s="79" t="s">
        <v>1124</v>
      </c>
      <c r="F476" s="79" t="s">
        <v>2539</v>
      </c>
      <c r="G476" s="79" t="s">
        <v>2578</v>
      </c>
      <c r="H476" s="79"/>
      <c r="I476" s="79"/>
    </row>
    <row r="477" spans="1:9" ht="14.25">
      <c r="A477" s="79" t="s">
        <v>2608</v>
      </c>
      <c r="B477" s="79" t="s">
        <v>2609</v>
      </c>
      <c r="C477" s="79">
        <v>590467556</v>
      </c>
      <c r="D477" s="79">
        <v>0</v>
      </c>
      <c r="E477" s="79" t="s">
        <v>1124</v>
      </c>
      <c r="F477" s="79" t="s">
        <v>2539</v>
      </c>
      <c r="G477" s="79" t="s">
        <v>2546</v>
      </c>
      <c r="H477" s="79" t="s">
        <v>2547</v>
      </c>
      <c r="I477" s="79"/>
    </row>
    <row r="478" spans="1:9" ht="14.25">
      <c r="A478" s="79" t="s">
        <v>2608</v>
      </c>
      <c r="B478" s="79" t="s">
        <v>2609</v>
      </c>
      <c r="C478" s="79">
        <v>590467556</v>
      </c>
      <c r="D478" s="79">
        <v>0</v>
      </c>
      <c r="E478" s="79" t="s">
        <v>1124</v>
      </c>
      <c r="F478" s="79" t="s">
        <v>2539</v>
      </c>
      <c r="G478" s="79" t="s">
        <v>2581</v>
      </c>
      <c r="H478" s="79"/>
      <c r="I478" s="79"/>
    </row>
    <row r="479" spans="1:9" ht="14.25">
      <c r="A479" s="79" t="s">
        <v>2610</v>
      </c>
      <c r="B479" s="79" t="s">
        <v>2611</v>
      </c>
      <c r="C479" s="79">
        <v>590510156</v>
      </c>
      <c r="D479" s="79">
        <v>0</v>
      </c>
      <c r="E479" s="79" t="s">
        <v>1124</v>
      </c>
      <c r="F479" s="79" t="s">
        <v>2539</v>
      </c>
      <c r="G479" s="79" t="s">
        <v>1130</v>
      </c>
      <c r="H479" s="79"/>
      <c r="I479" s="79"/>
    </row>
    <row r="480" spans="1:9" ht="14.25">
      <c r="A480" s="79" t="s">
        <v>2610</v>
      </c>
      <c r="B480" s="79" t="s">
        <v>2611</v>
      </c>
      <c r="C480" s="79">
        <v>590510156</v>
      </c>
      <c r="D480" s="79">
        <v>0</v>
      </c>
      <c r="E480" s="79" t="s">
        <v>1124</v>
      </c>
      <c r="F480" s="79" t="s">
        <v>2539</v>
      </c>
      <c r="G480" s="79" t="s">
        <v>1131</v>
      </c>
      <c r="H480" s="79" t="s">
        <v>1132</v>
      </c>
      <c r="I480" s="79"/>
    </row>
    <row r="481" spans="1:9" ht="14.25">
      <c r="A481" s="79" t="s">
        <v>2610</v>
      </c>
      <c r="B481" s="79" t="s">
        <v>2611</v>
      </c>
      <c r="C481" s="79">
        <v>590510156</v>
      </c>
      <c r="D481" s="79">
        <v>0</v>
      </c>
      <c r="E481" s="79" t="s">
        <v>1124</v>
      </c>
      <c r="F481" s="79" t="s">
        <v>2539</v>
      </c>
      <c r="G481" s="79" t="s">
        <v>2578</v>
      </c>
      <c r="H481" s="79"/>
      <c r="I481" s="79"/>
    </row>
    <row r="482" spans="1:9" ht="14.25">
      <c r="A482" s="79" t="s">
        <v>2612</v>
      </c>
      <c r="B482" s="79" t="s">
        <v>2613</v>
      </c>
      <c r="C482" s="79">
        <v>590510756</v>
      </c>
      <c r="D482" s="79">
        <v>0</v>
      </c>
      <c r="E482" s="79" t="s">
        <v>1124</v>
      </c>
      <c r="F482" s="79" t="s">
        <v>2539</v>
      </c>
      <c r="G482" s="79" t="s">
        <v>2546</v>
      </c>
      <c r="H482" s="79" t="s">
        <v>2547</v>
      </c>
      <c r="I482" s="79"/>
    </row>
    <row r="483" spans="1:9" ht="14.25">
      <c r="A483" s="79" t="s">
        <v>2612</v>
      </c>
      <c r="B483" s="79" t="s">
        <v>2613</v>
      </c>
      <c r="C483" s="79">
        <v>590510756</v>
      </c>
      <c r="D483" s="79">
        <v>0</v>
      </c>
      <c r="E483" s="79" t="s">
        <v>1124</v>
      </c>
      <c r="F483" s="79" t="s">
        <v>2539</v>
      </c>
      <c r="G483" s="79" t="s">
        <v>2581</v>
      </c>
      <c r="H483" s="79"/>
      <c r="I483" s="79"/>
    </row>
    <row r="484" spans="1:9" ht="14.25">
      <c r="A484" s="79" t="s">
        <v>2614</v>
      </c>
      <c r="B484" s="79" t="s">
        <v>2615</v>
      </c>
      <c r="C484" s="79">
        <v>590553356</v>
      </c>
      <c r="D484" s="79">
        <v>0</v>
      </c>
      <c r="E484" s="79" t="s">
        <v>1124</v>
      </c>
      <c r="F484" s="79" t="s">
        <v>2539</v>
      </c>
      <c r="G484" s="79" t="s">
        <v>1130</v>
      </c>
      <c r="H484" s="79"/>
      <c r="I484" s="79"/>
    </row>
    <row r="485" spans="1:9" ht="14.25">
      <c r="A485" s="79" t="s">
        <v>2614</v>
      </c>
      <c r="B485" s="79" t="s">
        <v>2615</v>
      </c>
      <c r="C485" s="79">
        <v>590553356</v>
      </c>
      <c r="D485" s="79">
        <v>0</v>
      </c>
      <c r="E485" s="79" t="s">
        <v>1124</v>
      </c>
      <c r="F485" s="79" t="s">
        <v>2539</v>
      </c>
      <c r="G485" s="79" t="s">
        <v>1131</v>
      </c>
      <c r="H485" s="79" t="s">
        <v>1132</v>
      </c>
      <c r="I485" s="79"/>
    </row>
    <row r="486" spans="1:9" ht="14.25">
      <c r="A486" s="79" t="s">
        <v>2614</v>
      </c>
      <c r="B486" s="79" t="s">
        <v>2615</v>
      </c>
      <c r="C486" s="79">
        <v>590553356</v>
      </c>
      <c r="D486" s="79">
        <v>0</v>
      </c>
      <c r="E486" s="79" t="s">
        <v>1124</v>
      </c>
      <c r="F486" s="79" t="s">
        <v>2539</v>
      </c>
      <c r="G486" s="79" t="s">
        <v>2578</v>
      </c>
      <c r="H486" s="79"/>
      <c r="I486" s="79"/>
    </row>
    <row r="487" spans="1:9" ht="14.25">
      <c r="A487" s="79" t="s">
        <v>2616</v>
      </c>
      <c r="B487" s="79" t="s">
        <v>2617</v>
      </c>
      <c r="C487" s="79">
        <v>590553956</v>
      </c>
      <c r="D487" s="79">
        <v>0</v>
      </c>
      <c r="E487" s="79" t="s">
        <v>1124</v>
      </c>
      <c r="F487" s="79" t="s">
        <v>2539</v>
      </c>
      <c r="G487" s="79" t="s">
        <v>2546</v>
      </c>
      <c r="H487" s="79" t="s">
        <v>2547</v>
      </c>
      <c r="I487" s="79"/>
    </row>
    <row r="488" spans="1:9" ht="14.25">
      <c r="A488" s="79" t="s">
        <v>2616</v>
      </c>
      <c r="B488" s="79" t="s">
        <v>2617</v>
      </c>
      <c r="C488" s="79">
        <v>590553956</v>
      </c>
      <c r="D488" s="79">
        <v>0</v>
      </c>
      <c r="E488" s="79" t="s">
        <v>1124</v>
      </c>
      <c r="F488" s="79" t="s">
        <v>2539</v>
      </c>
      <c r="G488" s="79" t="s">
        <v>2581</v>
      </c>
      <c r="H488" s="79"/>
      <c r="I488" s="79"/>
    </row>
    <row r="489" spans="1:9" ht="14.25">
      <c r="A489" s="79" t="s">
        <v>2618</v>
      </c>
      <c r="B489" s="79" t="s">
        <v>2619</v>
      </c>
      <c r="C489" s="79">
        <v>590596556</v>
      </c>
      <c r="D489" s="79">
        <v>0</v>
      </c>
      <c r="E489" s="79" t="s">
        <v>1124</v>
      </c>
      <c r="F489" s="79" t="s">
        <v>2539</v>
      </c>
      <c r="G489" s="79" t="s">
        <v>1130</v>
      </c>
      <c r="H489" s="79"/>
      <c r="I489" s="79"/>
    </row>
    <row r="490" spans="1:9" ht="14.25">
      <c r="A490" s="79" t="s">
        <v>2618</v>
      </c>
      <c r="B490" s="79" t="s">
        <v>2619</v>
      </c>
      <c r="C490" s="79">
        <v>590596556</v>
      </c>
      <c r="D490" s="79">
        <v>0</v>
      </c>
      <c r="E490" s="79" t="s">
        <v>1124</v>
      </c>
      <c r="F490" s="79" t="s">
        <v>2539</v>
      </c>
      <c r="G490" s="79" t="s">
        <v>1131</v>
      </c>
      <c r="H490" s="79" t="s">
        <v>1132</v>
      </c>
      <c r="I490" s="79"/>
    </row>
    <row r="491" spans="1:9" ht="14.25">
      <c r="A491" s="79" t="s">
        <v>2618</v>
      </c>
      <c r="B491" s="79" t="s">
        <v>2619</v>
      </c>
      <c r="C491" s="79">
        <v>590596556</v>
      </c>
      <c r="D491" s="79">
        <v>0</v>
      </c>
      <c r="E491" s="79" t="s">
        <v>1124</v>
      </c>
      <c r="F491" s="79" t="s">
        <v>2539</v>
      </c>
      <c r="G491" s="79" t="s">
        <v>2578</v>
      </c>
      <c r="H491" s="79"/>
      <c r="I491" s="79"/>
    </row>
    <row r="492" spans="1:9" ht="14.25">
      <c r="A492" s="79" t="s">
        <v>2620</v>
      </c>
      <c r="B492" s="79" t="s">
        <v>2621</v>
      </c>
      <c r="C492" s="79">
        <v>590597156</v>
      </c>
      <c r="D492" s="79">
        <v>0</v>
      </c>
      <c r="E492" s="79" t="s">
        <v>1124</v>
      </c>
      <c r="F492" s="79" t="s">
        <v>2539</v>
      </c>
      <c r="G492" s="79" t="s">
        <v>2546</v>
      </c>
      <c r="H492" s="79" t="s">
        <v>2547</v>
      </c>
      <c r="I492" s="79"/>
    </row>
    <row r="493" spans="1:9" ht="14.25">
      <c r="A493" s="79" t="s">
        <v>2620</v>
      </c>
      <c r="B493" s="79" t="s">
        <v>2621</v>
      </c>
      <c r="C493" s="79">
        <v>590597156</v>
      </c>
      <c r="D493" s="79">
        <v>0</v>
      </c>
      <c r="E493" s="79" t="s">
        <v>1124</v>
      </c>
      <c r="F493" s="79" t="s">
        <v>2539</v>
      </c>
      <c r="G493" s="79" t="s">
        <v>2581</v>
      </c>
      <c r="H493" s="79"/>
      <c r="I493" s="79"/>
    </row>
    <row r="494" spans="1:9" ht="14.25">
      <c r="A494" s="79" t="s">
        <v>2622</v>
      </c>
      <c r="B494" s="79" t="s">
        <v>2623</v>
      </c>
      <c r="C494" s="79">
        <v>590639756</v>
      </c>
      <c r="D494" s="79">
        <v>0</v>
      </c>
      <c r="E494" s="79" t="s">
        <v>1124</v>
      </c>
      <c r="F494" s="79" t="s">
        <v>2539</v>
      </c>
      <c r="G494" s="79" t="s">
        <v>1130</v>
      </c>
      <c r="H494" s="79"/>
      <c r="I494" s="79"/>
    </row>
    <row r="495" spans="1:9" ht="14.25">
      <c r="A495" s="79" t="s">
        <v>2622</v>
      </c>
      <c r="B495" s="79" t="s">
        <v>2623</v>
      </c>
      <c r="C495" s="79">
        <v>590639756</v>
      </c>
      <c r="D495" s="79">
        <v>0</v>
      </c>
      <c r="E495" s="79" t="s">
        <v>1124</v>
      </c>
      <c r="F495" s="79" t="s">
        <v>2539</v>
      </c>
      <c r="G495" s="79" t="s">
        <v>1131</v>
      </c>
      <c r="H495" s="79" t="s">
        <v>1132</v>
      </c>
      <c r="I495" s="79"/>
    </row>
    <row r="496" spans="1:9" ht="14.25">
      <c r="A496" s="79" t="s">
        <v>2622</v>
      </c>
      <c r="B496" s="79" t="s">
        <v>2623</v>
      </c>
      <c r="C496" s="79">
        <v>590639756</v>
      </c>
      <c r="D496" s="79">
        <v>0</v>
      </c>
      <c r="E496" s="79" t="s">
        <v>1124</v>
      </c>
      <c r="F496" s="79" t="s">
        <v>2539</v>
      </c>
      <c r="G496" s="79" t="s">
        <v>2578</v>
      </c>
      <c r="H496" s="79"/>
      <c r="I496" s="79"/>
    </row>
    <row r="497" spans="1:9" ht="14.25">
      <c r="A497" s="79" t="s">
        <v>2624</v>
      </c>
      <c r="B497" s="79" t="s">
        <v>2625</v>
      </c>
      <c r="C497" s="79">
        <v>590640356</v>
      </c>
      <c r="D497" s="79">
        <v>0</v>
      </c>
      <c r="E497" s="79" t="s">
        <v>1124</v>
      </c>
      <c r="F497" s="79" t="s">
        <v>2539</v>
      </c>
      <c r="G497" s="79" t="s">
        <v>2546</v>
      </c>
      <c r="H497" s="79" t="s">
        <v>2547</v>
      </c>
      <c r="I497" s="79"/>
    </row>
    <row r="498" spans="1:9" ht="14.25">
      <c r="A498" s="79" t="s">
        <v>2624</v>
      </c>
      <c r="B498" s="79" t="s">
        <v>2625</v>
      </c>
      <c r="C498" s="79">
        <v>590640356</v>
      </c>
      <c r="D498" s="79">
        <v>0</v>
      </c>
      <c r="E498" s="79" t="s">
        <v>1124</v>
      </c>
      <c r="F498" s="79" t="s">
        <v>2539</v>
      </c>
      <c r="G498" s="79" t="s">
        <v>2581</v>
      </c>
      <c r="H498" s="79"/>
      <c r="I498" s="79"/>
    </row>
    <row r="499" spans="1:9" ht="14.25">
      <c r="A499" s="79" t="s">
        <v>2626</v>
      </c>
      <c r="B499" s="79" t="s">
        <v>2627</v>
      </c>
      <c r="C499" s="79">
        <v>590682956</v>
      </c>
      <c r="D499" s="79">
        <v>0</v>
      </c>
      <c r="E499" s="79" t="s">
        <v>1124</v>
      </c>
      <c r="F499" s="79" t="s">
        <v>2539</v>
      </c>
      <c r="G499" s="79" t="s">
        <v>1130</v>
      </c>
      <c r="H499" s="79"/>
      <c r="I499" s="79"/>
    </row>
    <row r="500" spans="1:9" ht="14.25">
      <c r="A500" s="79" t="s">
        <v>2626</v>
      </c>
      <c r="B500" s="79" t="s">
        <v>2627</v>
      </c>
      <c r="C500" s="79">
        <v>590682956</v>
      </c>
      <c r="D500" s="79">
        <v>0</v>
      </c>
      <c r="E500" s="79" t="s">
        <v>1124</v>
      </c>
      <c r="F500" s="79" t="s">
        <v>2539</v>
      </c>
      <c r="G500" s="79" t="s">
        <v>1131</v>
      </c>
      <c r="H500" s="79" t="s">
        <v>1132</v>
      </c>
      <c r="I500" s="79"/>
    </row>
    <row r="501" spans="1:9" ht="14.25">
      <c r="A501" s="79" t="s">
        <v>2626</v>
      </c>
      <c r="B501" s="79" t="s">
        <v>2627</v>
      </c>
      <c r="C501" s="79">
        <v>590682956</v>
      </c>
      <c r="D501" s="79">
        <v>0</v>
      </c>
      <c r="E501" s="79" t="s">
        <v>1124</v>
      </c>
      <c r="F501" s="79" t="s">
        <v>2539</v>
      </c>
      <c r="G501" s="79" t="s">
        <v>2578</v>
      </c>
      <c r="H501" s="79"/>
      <c r="I501" s="79"/>
    </row>
    <row r="502" spans="1:9" ht="14.25">
      <c r="A502" s="79" t="s">
        <v>2628</v>
      </c>
      <c r="B502" s="79" t="s">
        <v>2629</v>
      </c>
      <c r="C502" s="79">
        <v>590683556</v>
      </c>
      <c r="D502" s="79">
        <v>0</v>
      </c>
      <c r="E502" s="79" t="s">
        <v>1124</v>
      </c>
      <c r="F502" s="79" t="s">
        <v>2539</v>
      </c>
      <c r="G502" s="79" t="s">
        <v>2546</v>
      </c>
      <c r="H502" s="79" t="s">
        <v>2547</v>
      </c>
      <c r="I502" s="79"/>
    </row>
    <row r="503" spans="1:9" ht="14.25">
      <c r="A503" s="79" t="s">
        <v>2628</v>
      </c>
      <c r="B503" s="79" t="s">
        <v>2629</v>
      </c>
      <c r="C503" s="79">
        <v>590683556</v>
      </c>
      <c r="D503" s="79">
        <v>0</v>
      </c>
      <c r="E503" s="79" t="s">
        <v>1124</v>
      </c>
      <c r="F503" s="79" t="s">
        <v>2539</v>
      </c>
      <c r="G503" s="79" t="s">
        <v>2581</v>
      </c>
      <c r="H503" s="79"/>
      <c r="I503" s="79"/>
    </row>
    <row r="504" spans="1:9" ht="14.25">
      <c r="A504" s="79" t="s">
        <v>2630</v>
      </c>
      <c r="B504" s="79" t="s">
        <v>2631</v>
      </c>
      <c r="C504" s="79">
        <v>590726156</v>
      </c>
      <c r="D504" s="79">
        <v>0</v>
      </c>
      <c r="E504" s="79" t="s">
        <v>1124</v>
      </c>
      <c r="F504" s="79" t="s">
        <v>2539</v>
      </c>
      <c r="G504" s="79" t="s">
        <v>1130</v>
      </c>
      <c r="H504" s="79"/>
      <c r="I504" s="79"/>
    </row>
    <row r="505" spans="1:9" ht="14.25">
      <c r="A505" s="79" t="s">
        <v>2630</v>
      </c>
      <c r="B505" s="79" t="s">
        <v>2631</v>
      </c>
      <c r="C505" s="79">
        <v>590726156</v>
      </c>
      <c r="D505" s="79">
        <v>0</v>
      </c>
      <c r="E505" s="79" t="s">
        <v>1124</v>
      </c>
      <c r="F505" s="79" t="s">
        <v>2539</v>
      </c>
      <c r="G505" s="79" t="s">
        <v>1131</v>
      </c>
      <c r="H505" s="79" t="s">
        <v>1132</v>
      </c>
      <c r="I505" s="79"/>
    </row>
    <row r="506" spans="1:9" ht="14.25">
      <c r="A506" s="79" t="s">
        <v>2630</v>
      </c>
      <c r="B506" s="79" t="s">
        <v>2631</v>
      </c>
      <c r="C506" s="79">
        <v>590726156</v>
      </c>
      <c r="D506" s="79">
        <v>0</v>
      </c>
      <c r="E506" s="79" t="s">
        <v>1124</v>
      </c>
      <c r="F506" s="79" t="s">
        <v>2539</v>
      </c>
      <c r="G506" s="79" t="s">
        <v>2578</v>
      </c>
      <c r="H506" s="79"/>
      <c r="I506" s="79"/>
    </row>
    <row r="507" spans="1:9" ht="14.25">
      <c r="A507" s="79" t="s">
        <v>2632</v>
      </c>
      <c r="B507" s="79" t="s">
        <v>2633</v>
      </c>
      <c r="C507" s="79">
        <v>590726756</v>
      </c>
      <c r="D507" s="79">
        <v>0</v>
      </c>
      <c r="E507" s="79" t="s">
        <v>1124</v>
      </c>
      <c r="F507" s="79" t="s">
        <v>2539</v>
      </c>
      <c r="G507" s="79" t="s">
        <v>2546</v>
      </c>
      <c r="H507" s="79" t="s">
        <v>2547</v>
      </c>
      <c r="I507" s="79"/>
    </row>
    <row r="508" spans="1:9" ht="14.25">
      <c r="A508" s="79" t="s">
        <v>2632</v>
      </c>
      <c r="B508" s="79" t="s">
        <v>2633</v>
      </c>
      <c r="C508" s="79">
        <v>590726756</v>
      </c>
      <c r="D508" s="79">
        <v>0</v>
      </c>
      <c r="E508" s="79" t="s">
        <v>1124</v>
      </c>
      <c r="F508" s="79" t="s">
        <v>2539</v>
      </c>
      <c r="G508" s="79" t="s">
        <v>2581</v>
      </c>
      <c r="H508" s="79"/>
      <c r="I508" s="79"/>
    </row>
    <row r="509" spans="1:9" ht="14.25">
      <c r="A509" s="79" t="s">
        <v>2634</v>
      </c>
      <c r="B509" s="79" t="s">
        <v>2635</v>
      </c>
      <c r="C509" s="79">
        <v>590769356</v>
      </c>
      <c r="D509" s="79">
        <v>0</v>
      </c>
      <c r="E509" s="79" t="s">
        <v>1124</v>
      </c>
      <c r="F509" s="79" t="s">
        <v>2539</v>
      </c>
      <c r="G509" s="79" t="s">
        <v>1130</v>
      </c>
      <c r="H509" s="79"/>
      <c r="I509" s="79"/>
    </row>
    <row r="510" spans="1:9" ht="14.25">
      <c r="A510" s="79" t="s">
        <v>2634</v>
      </c>
      <c r="B510" s="79" t="s">
        <v>2635</v>
      </c>
      <c r="C510" s="79">
        <v>590769356</v>
      </c>
      <c r="D510" s="79">
        <v>0</v>
      </c>
      <c r="E510" s="79" t="s">
        <v>1124</v>
      </c>
      <c r="F510" s="79" t="s">
        <v>2539</v>
      </c>
      <c r="G510" s="79" t="s">
        <v>1131</v>
      </c>
      <c r="H510" s="79" t="s">
        <v>1132</v>
      </c>
      <c r="I510" s="79"/>
    </row>
    <row r="511" spans="1:9" ht="14.25">
      <c r="A511" s="79" t="s">
        <v>2634</v>
      </c>
      <c r="B511" s="79" t="s">
        <v>2635</v>
      </c>
      <c r="C511" s="79">
        <v>590769356</v>
      </c>
      <c r="D511" s="79">
        <v>0</v>
      </c>
      <c r="E511" s="79" t="s">
        <v>1124</v>
      </c>
      <c r="F511" s="79" t="s">
        <v>2539</v>
      </c>
      <c r="G511" s="79" t="s">
        <v>2578</v>
      </c>
      <c r="H511" s="79"/>
      <c r="I511" s="79"/>
    </row>
    <row r="512" spans="1:9" ht="14.25">
      <c r="A512" s="79" t="s">
        <v>2636</v>
      </c>
      <c r="B512" s="79" t="s">
        <v>2637</v>
      </c>
      <c r="C512" s="79">
        <v>590769956</v>
      </c>
      <c r="D512" s="79">
        <v>0</v>
      </c>
      <c r="E512" s="79" t="s">
        <v>1124</v>
      </c>
      <c r="F512" s="79" t="s">
        <v>2539</v>
      </c>
      <c r="G512" s="79" t="s">
        <v>2546</v>
      </c>
      <c r="H512" s="79" t="s">
        <v>2547</v>
      </c>
      <c r="I512" s="79"/>
    </row>
    <row r="513" spans="1:9" ht="14.25">
      <c r="A513" s="79" t="s">
        <v>2636</v>
      </c>
      <c r="B513" s="79" t="s">
        <v>2637</v>
      </c>
      <c r="C513" s="79">
        <v>590769956</v>
      </c>
      <c r="D513" s="79">
        <v>0</v>
      </c>
      <c r="E513" s="79" t="s">
        <v>1124</v>
      </c>
      <c r="F513" s="79" t="s">
        <v>2539</v>
      </c>
      <c r="G513" s="79" t="s">
        <v>2581</v>
      </c>
      <c r="H513" s="79"/>
      <c r="I513" s="79"/>
    </row>
    <row r="514" spans="1:9" ht="14.25">
      <c r="A514" s="79" t="s">
        <v>2638</v>
      </c>
      <c r="B514" s="79" t="s">
        <v>2639</v>
      </c>
      <c r="C514" s="79">
        <v>590812556</v>
      </c>
      <c r="D514" s="79">
        <v>0</v>
      </c>
      <c r="E514" s="79" t="s">
        <v>1124</v>
      </c>
      <c r="F514" s="79" t="s">
        <v>2539</v>
      </c>
      <c r="G514" s="79" t="s">
        <v>1130</v>
      </c>
      <c r="H514" s="79"/>
      <c r="I514" s="79"/>
    </row>
    <row r="515" spans="1:9" ht="14.25">
      <c r="A515" s="79" t="s">
        <v>2638</v>
      </c>
      <c r="B515" s="79" t="s">
        <v>2639</v>
      </c>
      <c r="C515" s="79">
        <v>590812556</v>
      </c>
      <c r="D515" s="79">
        <v>0</v>
      </c>
      <c r="E515" s="79" t="s">
        <v>1124</v>
      </c>
      <c r="F515" s="79" t="s">
        <v>2539</v>
      </c>
      <c r="G515" s="79" t="s">
        <v>1131</v>
      </c>
      <c r="H515" s="79" t="s">
        <v>1132</v>
      </c>
      <c r="I515" s="79"/>
    </row>
    <row r="516" spans="1:9" ht="14.25">
      <c r="A516" s="79" t="s">
        <v>2638</v>
      </c>
      <c r="B516" s="79" t="s">
        <v>2639</v>
      </c>
      <c r="C516" s="79">
        <v>590812556</v>
      </c>
      <c r="D516" s="79">
        <v>0</v>
      </c>
      <c r="E516" s="79" t="s">
        <v>1124</v>
      </c>
      <c r="F516" s="79" t="s">
        <v>2539</v>
      </c>
      <c r="G516" s="79" t="s">
        <v>2578</v>
      </c>
      <c r="H516" s="79"/>
      <c r="I516" s="79"/>
    </row>
    <row r="517" spans="1:9" ht="14.25">
      <c r="A517" s="79" t="s">
        <v>2640</v>
      </c>
      <c r="B517" s="79" t="s">
        <v>2641</v>
      </c>
      <c r="C517" s="79">
        <v>590813156</v>
      </c>
      <c r="D517" s="79">
        <v>0</v>
      </c>
      <c r="E517" s="79" t="s">
        <v>1124</v>
      </c>
      <c r="F517" s="79" t="s">
        <v>2539</v>
      </c>
      <c r="G517" s="79" t="s">
        <v>2546</v>
      </c>
      <c r="H517" s="79" t="s">
        <v>2547</v>
      </c>
      <c r="I517" s="79"/>
    </row>
    <row r="518" spans="1:9" ht="14.25">
      <c r="A518" s="79" t="s">
        <v>2640</v>
      </c>
      <c r="B518" s="79" t="s">
        <v>2641</v>
      </c>
      <c r="C518" s="79">
        <v>590813156</v>
      </c>
      <c r="D518" s="79">
        <v>0</v>
      </c>
      <c r="E518" s="79" t="s">
        <v>1124</v>
      </c>
      <c r="F518" s="79" t="s">
        <v>2539</v>
      </c>
      <c r="G518" s="79" t="s">
        <v>2581</v>
      </c>
      <c r="H518" s="79"/>
      <c r="I518" s="79"/>
    </row>
    <row r="519" spans="1:9" ht="14.25">
      <c r="A519" s="79" t="s">
        <v>2642</v>
      </c>
      <c r="B519" s="79" t="s">
        <v>2643</v>
      </c>
      <c r="C519" s="79">
        <v>590855756</v>
      </c>
      <c r="D519" s="79">
        <v>0</v>
      </c>
      <c r="E519" s="79" t="s">
        <v>1124</v>
      </c>
      <c r="F519" s="79" t="s">
        <v>2539</v>
      </c>
      <c r="G519" s="79" t="s">
        <v>1130</v>
      </c>
      <c r="H519" s="79"/>
      <c r="I519" s="79"/>
    </row>
    <row r="520" spans="1:9" ht="14.25">
      <c r="A520" s="79" t="s">
        <v>2642</v>
      </c>
      <c r="B520" s="79" t="s">
        <v>2643</v>
      </c>
      <c r="C520" s="79">
        <v>590855756</v>
      </c>
      <c r="D520" s="79">
        <v>0</v>
      </c>
      <c r="E520" s="79" t="s">
        <v>1124</v>
      </c>
      <c r="F520" s="79" t="s">
        <v>2539</v>
      </c>
      <c r="G520" s="79" t="s">
        <v>1131</v>
      </c>
      <c r="H520" s="79" t="s">
        <v>1132</v>
      </c>
      <c r="I520" s="79"/>
    </row>
    <row r="521" spans="1:9" ht="14.25">
      <c r="A521" s="79" t="s">
        <v>2642</v>
      </c>
      <c r="B521" s="79" t="s">
        <v>2643</v>
      </c>
      <c r="C521" s="79">
        <v>590855756</v>
      </c>
      <c r="D521" s="79">
        <v>0</v>
      </c>
      <c r="E521" s="79" t="s">
        <v>1124</v>
      </c>
      <c r="F521" s="79" t="s">
        <v>2539</v>
      </c>
      <c r="G521" s="79" t="s">
        <v>2578</v>
      </c>
      <c r="H521" s="79"/>
      <c r="I521" s="79"/>
    </row>
    <row r="522" spans="1:9" ht="14.25">
      <c r="A522" s="79" t="s">
        <v>2644</v>
      </c>
      <c r="B522" s="79" t="s">
        <v>2645</v>
      </c>
      <c r="C522" s="79">
        <v>590856356</v>
      </c>
      <c r="D522" s="79">
        <v>0</v>
      </c>
      <c r="E522" s="79" t="s">
        <v>1124</v>
      </c>
      <c r="F522" s="79" t="s">
        <v>2539</v>
      </c>
      <c r="G522" s="79" t="s">
        <v>2546</v>
      </c>
      <c r="H522" s="79" t="s">
        <v>2547</v>
      </c>
      <c r="I522" s="79"/>
    </row>
    <row r="523" spans="1:9" ht="14.25">
      <c r="A523" s="79" t="s">
        <v>2644</v>
      </c>
      <c r="B523" s="79" t="s">
        <v>2645</v>
      </c>
      <c r="C523" s="79">
        <v>590856356</v>
      </c>
      <c r="D523" s="79">
        <v>0</v>
      </c>
      <c r="E523" s="79" t="s">
        <v>1124</v>
      </c>
      <c r="F523" s="79" t="s">
        <v>2539</v>
      </c>
      <c r="G523" s="79" t="s">
        <v>2581</v>
      </c>
      <c r="H523" s="79"/>
      <c r="I523" s="79"/>
    </row>
    <row r="524" spans="1:9" ht="14.25">
      <c r="A524" s="79" t="s">
        <v>2646</v>
      </c>
      <c r="B524" s="79" t="s">
        <v>2647</v>
      </c>
      <c r="C524" s="79">
        <v>590898956</v>
      </c>
      <c r="D524" s="79">
        <v>0</v>
      </c>
      <c r="E524" s="79" t="s">
        <v>1124</v>
      </c>
      <c r="F524" s="79" t="s">
        <v>2539</v>
      </c>
      <c r="G524" s="79" t="s">
        <v>1130</v>
      </c>
      <c r="H524" s="79"/>
      <c r="I524" s="79"/>
    </row>
    <row r="525" spans="1:9" ht="14.25">
      <c r="A525" s="79" t="s">
        <v>2646</v>
      </c>
      <c r="B525" s="79" t="s">
        <v>2647</v>
      </c>
      <c r="C525" s="79">
        <v>590898956</v>
      </c>
      <c r="D525" s="79">
        <v>0</v>
      </c>
      <c r="E525" s="79" t="s">
        <v>1124</v>
      </c>
      <c r="F525" s="79" t="s">
        <v>2539</v>
      </c>
      <c r="G525" s="79" t="s">
        <v>1131</v>
      </c>
      <c r="H525" s="79" t="s">
        <v>1132</v>
      </c>
      <c r="I525" s="79"/>
    </row>
    <row r="526" spans="1:9" ht="14.25">
      <c r="A526" s="79" t="s">
        <v>2646</v>
      </c>
      <c r="B526" s="79" t="s">
        <v>2647</v>
      </c>
      <c r="C526" s="79">
        <v>590898956</v>
      </c>
      <c r="D526" s="79">
        <v>0</v>
      </c>
      <c r="E526" s="79" t="s">
        <v>1124</v>
      </c>
      <c r="F526" s="79" t="s">
        <v>2539</v>
      </c>
      <c r="G526" s="79" t="s">
        <v>2578</v>
      </c>
      <c r="H526" s="79"/>
      <c r="I526" s="79"/>
    </row>
    <row r="527" spans="1:9" ht="14.25">
      <c r="A527" s="79" t="s">
        <v>2648</v>
      </c>
      <c r="B527" s="79" t="s">
        <v>2649</v>
      </c>
      <c r="C527" s="79">
        <v>590899556</v>
      </c>
      <c r="D527" s="79">
        <v>0</v>
      </c>
      <c r="E527" s="79" t="s">
        <v>1124</v>
      </c>
      <c r="F527" s="79" t="s">
        <v>2539</v>
      </c>
      <c r="G527" s="79" t="s">
        <v>2546</v>
      </c>
      <c r="H527" s="79" t="s">
        <v>2547</v>
      </c>
      <c r="I527" s="79"/>
    </row>
    <row r="528" spans="1:9" ht="14.25">
      <c r="A528" s="79" t="s">
        <v>2648</v>
      </c>
      <c r="B528" s="79" t="s">
        <v>2649</v>
      </c>
      <c r="C528" s="79">
        <v>590899556</v>
      </c>
      <c r="D528" s="79">
        <v>0</v>
      </c>
      <c r="E528" s="79" t="s">
        <v>1124</v>
      </c>
      <c r="F528" s="79" t="s">
        <v>2539</v>
      </c>
      <c r="G528" s="79" t="s">
        <v>2581</v>
      </c>
      <c r="H528" s="79"/>
      <c r="I528" s="79"/>
    </row>
    <row r="529" spans="1:9" ht="14.25">
      <c r="A529" s="79" t="s">
        <v>2650</v>
      </c>
      <c r="B529" s="79" t="s">
        <v>2651</v>
      </c>
      <c r="C529" s="79">
        <v>590942156</v>
      </c>
      <c r="D529" s="79">
        <v>0</v>
      </c>
      <c r="E529" s="79" t="s">
        <v>1124</v>
      </c>
      <c r="F529" s="79" t="s">
        <v>2539</v>
      </c>
      <c r="G529" s="79" t="s">
        <v>1130</v>
      </c>
      <c r="H529" s="79"/>
      <c r="I529" s="79"/>
    </row>
    <row r="530" spans="1:9" ht="14.25">
      <c r="A530" s="79" t="s">
        <v>2650</v>
      </c>
      <c r="B530" s="79" t="s">
        <v>2651</v>
      </c>
      <c r="C530" s="79">
        <v>590942156</v>
      </c>
      <c r="D530" s="79">
        <v>0</v>
      </c>
      <c r="E530" s="79" t="s">
        <v>1124</v>
      </c>
      <c r="F530" s="79" t="s">
        <v>2539</v>
      </c>
      <c r="G530" s="79" t="s">
        <v>1131</v>
      </c>
      <c r="H530" s="79" t="s">
        <v>1132</v>
      </c>
      <c r="I530" s="79"/>
    </row>
    <row r="531" spans="1:9" ht="14.25">
      <c r="A531" s="79" t="s">
        <v>2650</v>
      </c>
      <c r="B531" s="79" t="s">
        <v>2651</v>
      </c>
      <c r="C531" s="79">
        <v>590942156</v>
      </c>
      <c r="D531" s="79">
        <v>0</v>
      </c>
      <c r="E531" s="79" t="s">
        <v>1124</v>
      </c>
      <c r="F531" s="79" t="s">
        <v>2539</v>
      </c>
      <c r="G531" s="79" t="s">
        <v>2578</v>
      </c>
      <c r="H531" s="79"/>
      <c r="I531" s="79"/>
    </row>
    <row r="532" spans="1:9" ht="14.25">
      <c r="A532" s="79" t="s">
        <v>2652</v>
      </c>
      <c r="B532" s="79" t="s">
        <v>2653</v>
      </c>
      <c r="C532" s="79">
        <v>590942756</v>
      </c>
      <c r="D532" s="79">
        <v>0</v>
      </c>
      <c r="E532" s="79" t="s">
        <v>1124</v>
      </c>
      <c r="F532" s="79" t="s">
        <v>2539</v>
      </c>
      <c r="G532" s="79" t="s">
        <v>2546</v>
      </c>
      <c r="H532" s="79" t="s">
        <v>2547</v>
      </c>
      <c r="I532" s="79"/>
    </row>
    <row r="533" spans="1:9" ht="14.25">
      <c r="A533" s="79" t="s">
        <v>2652</v>
      </c>
      <c r="B533" s="79" t="s">
        <v>2653</v>
      </c>
      <c r="C533" s="79">
        <v>590942756</v>
      </c>
      <c r="D533" s="79">
        <v>0</v>
      </c>
      <c r="E533" s="79" t="s">
        <v>1124</v>
      </c>
      <c r="F533" s="79" t="s">
        <v>2539</v>
      </c>
      <c r="G533" s="79" t="s">
        <v>2581</v>
      </c>
      <c r="H533" s="79"/>
      <c r="I533" s="79"/>
    </row>
    <row r="534" spans="1:9" ht="14.25">
      <c r="A534" s="79" t="s">
        <v>2654</v>
      </c>
      <c r="B534" s="79" t="s">
        <v>2655</v>
      </c>
      <c r="C534" s="79">
        <v>590985356</v>
      </c>
      <c r="D534" s="79">
        <v>0</v>
      </c>
      <c r="E534" s="79" t="s">
        <v>1124</v>
      </c>
      <c r="F534" s="79" t="s">
        <v>2539</v>
      </c>
      <c r="G534" s="79" t="s">
        <v>1130</v>
      </c>
      <c r="H534" s="79"/>
      <c r="I534" s="79"/>
    </row>
    <row r="535" spans="1:9" ht="14.25">
      <c r="A535" s="79" t="s">
        <v>2654</v>
      </c>
      <c r="B535" s="79" t="s">
        <v>2655</v>
      </c>
      <c r="C535" s="79">
        <v>590985356</v>
      </c>
      <c r="D535" s="79">
        <v>0</v>
      </c>
      <c r="E535" s="79" t="s">
        <v>1124</v>
      </c>
      <c r="F535" s="79" t="s">
        <v>2539</v>
      </c>
      <c r="G535" s="79" t="s">
        <v>1131</v>
      </c>
      <c r="H535" s="79" t="s">
        <v>1132</v>
      </c>
      <c r="I535" s="79"/>
    </row>
    <row r="536" spans="1:9" ht="14.25">
      <c r="A536" s="79" t="s">
        <v>2654</v>
      </c>
      <c r="B536" s="79" t="s">
        <v>2655</v>
      </c>
      <c r="C536" s="79">
        <v>590985356</v>
      </c>
      <c r="D536" s="79">
        <v>0</v>
      </c>
      <c r="E536" s="79" t="s">
        <v>1124</v>
      </c>
      <c r="F536" s="79" t="s">
        <v>2539</v>
      </c>
      <c r="G536" s="79" t="s">
        <v>2578</v>
      </c>
      <c r="H536" s="79"/>
      <c r="I536" s="79"/>
    </row>
    <row r="537" spans="1:9" ht="14.25">
      <c r="A537" s="79" t="s">
        <v>2656</v>
      </c>
      <c r="B537" s="79" t="s">
        <v>2657</v>
      </c>
      <c r="C537" s="79">
        <v>590985956</v>
      </c>
      <c r="D537" s="79">
        <v>0</v>
      </c>
      <c r="E537" s="79" t="s">
        <v>1124</v>
      </c>
      <c r="F537" s="79" t="s">
        <v>2539</v>
      </c>
      <c r="G537" s="79" t="s">
        <v>2546</v>
      </c>
      <c r="H537" s="79" t="s">
        <v>2547</v>
      </c>
      <c r="I537" s="79"/>
    </row>
    <row r="538" spans="1:9" ht="14.25">
      <c r="A538" s="79" t="s">
        <v>2656</v>
      </c>
      <c r="B538" s="79" t="s">
        <v>2657</v>
      </c>
      <c r="C538" s="79">
        <v>590985956</v>
      </c>
      <c r="D538" s="79">
        <v>0</v>
      </c>
      <c r="E538" s="79" t="s">
        <v>1124</v>
      </c>
      <c r="F538" s="79" t="s">
        <v>2539</v>
      </c>
      <c r="G538" s="79" t="s">
        <v>2581</v>
      </c>
      <c r="H538" s="79"/>
      <c r="I538" s="79"/>
    </row>
    <row r="539" spans="1:9" ht="14.25">
      <c r="A539" s="79" t="s">
        <v>2658</v>
      </c>
      <c r="B539" s="79" t="s">
        <v>2659</v>
      </c>
      <c r="C539" s="79">
        <v>591028556</v>
      </c>
      <c r="D539" s="79">
        <v>0</v>
      </c>
      <c r="E539" s="79" t="s">
        <v>1124</v>
      </c>
      <c r="F539" s="79" t="s">
        <v>2539</v>
      </c>
      <c r="G539" s="79" t="s">
        <v>1130</v>
      </c>
      <c r="H539" s="79"/>
      <c r="I539" s="79"/>
    </row>
    <row r="540" spans="1:9" ht="14.25">
      <c r="A540" s="79" t="s">
        <v>2658</v>
      </c>
      <c r="B540" s="79" t="s">
        <v>2659</v>
      </c>
      <c r="C540" s="79">
        <v>591028556</v>
      </c>
      <c r="D540" s="79">
        <v>0</v>
      </c>
      <c r="E540" s="79" t="s">
        <v>1124</v>
      </c>
      <c r="F540" s="79" t="s">
        <v>2539</v>
      </c>
      <c r="G540" s="79" t="s">
        <v>1131</v>
      </c>
      <c r="H540" s="79" t="s">
        <v>1132</v>
      </c>
      <c r="I540" s="79"/>
    </row>
    <row r="541" spans="1:9" ht="14.25">
      <c r="A541" s="79" t="s">
        <v>2658</v>
      </c>
      <c r="B541" s="79" t="s">
        <v>2659</v>
      </c>
      <c r="C541" s="79">
        <v>591028556</v>
      </c>
      <c r="D541" s="79">
        <v>0</v>
      </c>
      <c r="E541" s="79" t="s">
        <v>1124</v>
      </c>
      <c r="F541" s="79" t="s">
        <v>2539</v>
      </c>
      <c r="G541" s="79" t="s">
        <v>2578</v>
      </c>
      <c r="H541" s="79"/>
      <c r="I541" s="79"/>
    </row>
    <row r="542" spans="1:9" ht="14.25">
      <c r="A542" s="79" t="s">
        <v>2660</v>
      </c>
      <c r="B542" s="79" t="s">
        <v>2661</v>
      </c>
      <c r="C542" s="79">
        <v>591029156</v>
      </c>
      <c r="D542" s="79">
        <v>0</v>
      </c>
      <c r="E542" s="79" t="s">
        <v>1124</v>
      </c>
      <c r="F542" s="79" t="s">
        <v>2539</v>
      </c>
      <c r="G542" s="79" t="s">
        <v>2546</v>
      </c>
      <c r="H542" s="79" t="s">
        <v>2547</v>
      </c>
      <c r="I542" s="79"/>
    </row>
    <row r="543" spans="1:9" ht="14.25">
      <c r="A543" s="79" t="s">
        <v>2660</v>
      </c>
      <c r="B543" s="79" t="s">
        <v>2661</v>
      </c>
      <c r="C543" s="79">
        <v>591029156</v>
      </c>
      <c r="D543" s="79">
        <v>0</v>
      </c>
      <c r="E543" s="79" t="s">
        <v>1124</v>
      </c>
      <c r="F543" s="79" t="s">
        <v>2539</v>
      </c>
      <c r="G543" s="79" t="s">
        <v>2581</v>
      </c>
      <c r="H543" s="79"/>
      <c r="I543" s="79"/>
    </row>
    <row r="544" spans="1:9" ht="14.25">
      <c r="A544" s="79" t="s">
        <v>2662</v>
      </c>
      <c r="B544" s="79" t="s">
        <v>2663</v>
      </c>
      <c r="C544" s="79">
        <v>591071756</v>
      </c>
      <c r="D544" s="79">
        <v>0</v>
      </c>
      <c r="E544" s="79" t="s">
        <v>1124</v>
      </c>
      <c r="F544" s="79" t="s">
        <v>2539</v>
      </c>
      <c r="G544" s="79" t="s">
        <v>1130</v>
      </c>
      <c r="H544" s="79"/>
      <c r="I544" s="79"/>
    </row>
    <row r="545" spans="1:9" ht="14.25">
      <c r="A545" s="79" t="s">
        <v>2662</v>
      </c>
      <c r="B545" s="79" t="s">
        <v>2663</v>
      </c>
      <c r="C545" s="79">
        <v>591071756</v>
      </c>
      <c r="D545" s="79">
        <v>0</v>
      </c>
      <c r="E545" s="79" t="s">
        <v>1124</v>
      </c>
      <c r="F545" s="79" t="s">
        <v>2539</v>
      </c>
      <c r="G545" s="79" t="s">
        <v>1131</v>
      </c>
      <c r="H545" s="79" t="s">
        <v>1132</v>
      </c>
      <c r="I545" s="79"/>
    </row>
    <row r="546" spans="1:9" ht="14.25">
      <c r="A546" s="79" t="s">
        <v>2662</v>
      </c>
      <c r="B546" s="79" t="s">
        <v>2663</v>
      </c>
      <c r="C546" s="79">
        <v>591071756</v>
      </c>
      <c r="D546" s="79">
        <v>0</v>
      </c>
      <c r="E546" s="79" t="s">
        <v>1124</v>
      </c>
      <c r="F546" s="79" t="s">
        <v>2539</v>
      </c>
      <c r="G546" s="79" t="s">
        <v>2578</v>
      </c>
      <c r="H546" s="79"/>
      <c r="I546" s="79"/>
    </row>
    <row r="547" spans="1:9" ht="14.25">
      <c r="A547" s="79" t="s">
        <v>2664</v>
      </c>
      <c r="B547" s="79" t="s">
        <v>2665</v>
      </c>
      <c r="C547" s="79">
        <v>591072356</v>
      </c>
      <c r="D547" s="79">
        <v>0</v>
      </c>
      <c r="E547" s="79" t="s">
        <v>1124</v>
      </c>
      <c r="F547" s="79" t="s">
        <v>2539</v>
      </c>
      <c r="G547" s="79" t="s">
        <v>2546</v>
      </c>
      <c r="H547" s="79" t="s">
        <v>2547</v>
      </c>
      <c r="I547" s="79"/>
    </row>
    <row r="548" spans="1:9" ht="14.25">
      <c r="A548" s="79" t="s">
        <v>2664</v>
      </c>
      <c r="B548" s="79" t="s">
        <v>2665</v>
      </c>
      <c r="C548" s="79">
        <v>591072356</v>
      </c>
      <c r="D548" s="79">
        <v>0</v>
      </c>
      <c r="E548" s="79" t="s">
        <v>1124</v>
      </c>
      <c r="F548" s="79" t="s">
        <v>2539</v>
      </c>
      <c r="G548" s="79" t="s">
        <v>2581</v>
      </c>
      <c r="H548" s="79"/>
      <c r="I548" s="79"/>
    </row>
    <row r="549" spans="1:9" ht="14.25">
      <c r="A549" s="79" t="s">
        <v>2666</v>
      </c>
      <c r="B549" s="79" t="s">
        <v>2667</v>
      </c>
      <c r="C549" s="79">
        <v>591114956</v>
      </c>
      <c r="D549" s="79">
        <v>0</v>
      </c>
      <c r="E549" s="79" t="s">
        <v>1124</v>
      </c>
      <c r="F549" s="79" t="s">
        <v>2539</v>
      </c>
      <c r="G549" s="79" t="s">
        <v>1130</v>
      </c>
      <c r="H549" s="79"/>
      <c r="I549" s="79"/>
    </row>
    <row r="550" spans="1:9" ht="14.25">
      <c r="A550" s="79" t="s">
        <v>2666</v>
      </c>
      <c r="B550" s="79" t="s">
        <v>2667</v>
      </c>
      <c r="C550" s="79">
        <v>591114956</v>
      </c>
      <c r="D550" s="79">
        <v>0</v>
      </c>
      <c r="E550" s="79" t="s">
        <v>1124</v>
      </c>
      <c r="F550" s="79" t="s">
        <v>2539</v>
      </c>
      <c r="G550" s="79" t="s">
        <v>1131</v>
      </c>
      <c r="H550" s="79" t="s">
        <v>1132</v>
      </c>
      <c r="I550" s="79"/>
    </row>
    <row r="551" spans="1:9" ht="14.25">
      <c r="A551" s="79" t="s">
        <v>2666</v>
      </c>
      <c r="B551" s="79" t="s">
        <v>2667</v>
      </c>
      <c r="C551" s="79">
        <v>591114956</v>
      </c>
      <c r="D551" s="79">
        <v>0</v>
      </c>
      <c r="E551" s="79" t="s">
        <v>1124</v>
      </c>
      <c r="F551" s="79" t="s">
        <v>2539</v>
      </c>
      <c r="G551" s="79" t="s">
        <v>2578</v>
      </c>
      <c r="H551" s="79"/>
      <c r="I551" s="79"/>
    </row>
    <row r="552" spans="1:9" ht="14.25">
      <c r="A552" s="79" t="s">
        <v>2668</v>
      </c>
      <c r="B552" s="79" t="s">
        <v>2669</v>
      </c>
      <c r="C552" s="79">
        <v>591115556</v>
      </c>
      <c r="D552" s="79">
        <v>0</v>
      </c>
      <c r="E552" s="79" t="s">
        <v>1124</v>
      </c>
      <c r="F552" s="79" t="s">
        <v>2539</v>
      </c>
      <c r="G552" s="79" t="s">
        <v>2546</v>
      </c>
      <c r="H552" s="79" t="s">
        <v>2547</v>
      </c>
      <c r="I552" s="79"/>
    </row>
    <row r="553" spans="1:9" ht="14.25">
      <c r="A553" s="79" t="s">
        <v>2668</v>
      </c>
      <c r="B553" s="79" t="s">
        <v>2669</v>
      </c>
      <c r="C553" s="79">
        <v>591115556</v>
      </c>
      <c r="D553" s="79">
        <v>0</v>
      </c>
      <c r="E553" s="79" t="s">
        <v>1124</v>
      </c>
      <c r="F553" s="79" t="s">
        <v>2539</v>
      </c>
      <c r="G553" s="79" t="s">
        <v>2581</v>
      </c>
      <c r="H553" s="79"/>
      <c r="I553" s="79"/>
    </row>
    <row r="554" spans="1:9" ht="14.25">
      <c r="A554" s="79" t="s">
        <v>2670</v>
      </c>
      <c r="B554" s="79" t="s">
        <v>2671</v>
      </c>
      <c r="C554" s="79">
        <v>591158156</v>
      </c>
      <c r="D554" s="79">
        <v>0</v>
      </c>
      <c r="E554" s="79" t="s">
        <v>1124</v>
      </c>
      <c r="F554" s="79" t="s">
        <v>2539</v>
      </c>
      <c r="G554" s="79" t="s">
        <v>1130</v>
      </c>
      <c r="H554" s="79"/>
      <c r="I554" s="79"/>
    </row>
    <row r="555" spans="1:9" ht="14.25">
      <c r="A555" s="79" t="s">
        <v>2670</v>
      </c>
      <c r="B555" s="79" t="s">
        <v>2671</v>
      </c>
      <c r="C555" s="79">
        <v>591158156</v>
      </c>
      <c r="D555" s="79">
        <v>0</v>
      </c>
      <c r="E555" s="79" t="s">
        <v>1124</v>
      </c>
      <c r="F555" s="79" t="s">
        <v>2539</v>
      </c>
      <c r="G555" s="79" t="s">
        <v>1131</v>
      </c>
      <c r="H555" s="79" t="s">
        <v>1132</v>
      </c>
      <c r="I555" s="79"/>
    </row>
    <row r="556" spans="1:9" ht="14.25">
      <c r="A556" s="79" t="s">
        <v>2670</v>
      </c>
      <c r="B556" s="79" t="s">
        <v>2671</v>
      </c>
      <c r="C556" s="79">
        <v>591158156</v>
      </c>
      <c r="D556" s="79">
        <v>0</v>
      </c>
      <c r="E556" s="79" t="s">
        <v>1124</v>
      </c>
      <c r="F556" s="79" t="s">
        <v>2539</v>
      </c>
      <c r="G556" s="79" t="s">
        <v>2578</v>
      </c>
      <c r="H556" s="79"/>
      <c r="I556" s="79"/>
    </row>
    <row r="557" spans="1:9" ht="14.25">
      <c r="A557" s="79" t="s">
        <v>2672</v>
      </c>
      <c r="B557" s="79" t="s">
        <v>2673</v>
      </c>
      <c r="C557" s="79">
        <v>591158756</v>
      </c>
      <c r="D557" s="79">
        <v>0</v>
      </c>
      <c r="E557" s="79" t="s">
        <v>1124</v>
      </c>
      <c r="F557" s="79" t="s">
        <v>2539</v>
      </c>
      <c r="G557" s="79" t="s">
        <v>2546</v>
      </c>
      <c r="H557" s="79" t="s">
        <v>2547</v>
      </c>
      <c r="I557" s="79"/>
    </row>
    <row r="558" spans="1:9" ht="14.25">
      <c r="A558" s="79" t="s">
        <v>2672</v>
      </c>
      <c r="B558" s="79" t="s">
        <v>2673</v>
      </c>
      <c r="C558" s="79">
        <v>591158756</v>
      </c>
      <c r="D558" s="79">
        <v>0</v>
      </c>
      <c r="E558" s="79" t="s">
        <v>1124</v>
      </c>
      <c r="F558" s="79" t="s">
        <v>2539</v>
      </c>
      <c r="G558" s="79" t="s">
        <v>2581</v>
      </c>
      <c r="H558" s="79"/>
      <c r="I558" s="79"/>
    </row>
    <row r="559" spans="1:9" ht="14.25">
      <c r="A559" s="79" t="s">
        <v>2674</v>
      </c>
      <c r="B559" s="79" t="s">
        <v>2675</v>
      </c>
      <c r="C559" s="79">
        <v>591201356</v>
      </c>
      <c r="D559" s="79">
        <v>0</v>
      </c>
      <c r="E559" s="79" t="s">
        <v>1124</v>
      </c>
      <c r="F559" s="79" t="s">
        <v>2539</v>
      </c>
      <c r="G559" s="79" t="s">
        <v>1130</v>
      </c>
      <c r="H559" s="79"/>
      <c r="I559" s="79"/>
    </row>
    <row r="560" spans="1:9" ht="14.25">
      <c r="A560" s="79" t="s">
        <v>2674</v>
      </c>
      <c r="B560" s="79" t="s">
        <v>2675</v>
      </c>
      <c r="C560" s="79">
        <v>591201356</v>
      </c>
      <c r="D560" s="79">
        <v>0</v>
      </c>
      <c r="E560" s="79" t="s">
        <v>1124</v>
      </c>
      <c r="F560" s="79" t="s">
        <v>2539</v>
      </c>
      <c r="G560" s="79" t="s">
        <v>1131</v>
      </c>
      <c r="H560" s="79" t="s">
        <v>1132</v>
      </c>
      <c r="I560" s="79"/>
    </row>
    <row r="561" spans="1:9" ht="14.25">
      <c r="A561" s="79" t="s">
        <v>2674</v>
      </c>
      <c r="B561" s="79" t="s">
        <v>2675</v>
      </c>
      <c r="C561" s="79">
        <v>591201356</v>
      </c>
      <c r="D561" s="79">
        <v>0</v>
      </c>
      <c r="E561" s="79" t="s">
        <v>1124</v>
      </c>
      <c r="F561" s="79" t="s">
        <v>2539</v>
      </c>
      <c r="G561" s="79" t="s">
        <v>2578</v>
      </c>
      <c r="H561" s="79"/>
      <c r="I561" s="79"/>
    </row>
    <row r="562" spans="1:9" ht="14.25">
      <c r="A562" s="79" t="s">
        <v>2676</v>
      </c>
      <c r="B562" s="79" t="s">
        <v>2677</v>
      </c>
      <c r="C562" s="79">
        <v>591201956</v>
      </c>
      <c r="D562" s="79">
        <v>0</v>
      </c>
      <c r="E562" s="79" t="s">
        <v>1124</v>
      </c>
      <c r="F562" s="79" t="s">
        <v>2539</v>
      </c>
      <c r="G562" s="79" t="s">
        <v>2546</v>
      </c>
      <c r="H562" s="79" t="s">
        <v>2547</v>
      </c>
      <c r="I562" s="79"/>
    </row>
    <row r="563" spans="1:9" ht="14.25">
      <c r="A563" s="79" t="s">
        <v>2676</v>
      </c>
      <c r="B563" s="79" t="s">
        <v>2677</v>
      </c>
      <c r="C563" s="79">
        <v>591201956</v>
      </c>
      <c r="D563" s="79">
        <v>0</v>
      </c>
      <c r="E563" s="79" t="s">
        <v>1124</v>
      </c>
      <c r="F563" s="79" t="s">
        <v>2539</v>
      </c>
      <c r="G563" s="79" t="s">
        <v>2581</v>
      </c>
      <c r="H563" s="79"/>
      <c r="I563" s="79"/>
    </row>
    <row r="564" spans="1:9" ht="14.25">
      <c r="A564" s="79" t="s">
        <v>2678</v>
      </c>
      <c r="B564" s="79" t="s">
        <v>2679</v>
      </c>
      <c r="C564" s="79">
        <v>591244556</v>
      </c>
      <c r="D564" s="79">
        <v>0</v>
      </c>
      <c r="E564" s="79" t="s">
        <v>1124</v>
      </c>
      <c r="F564" s="79" t="s">
        <v>2539</v>
      </c>
      <c r="G564" s="79" t="s">
        <v>1130</v>
      </c>
      <c r="H564" s="79"/>
      <c r="I564" s="79"/>
    </row>
    <row r="565" spans="1:9" ht="14.25">
      <c r="A565" s="79" t="s">
        <v>2678</v>
      </c>
      <c r="B565" s="79" t="s">
        <v>2679</v>
      </c>
      <c r="C565" s="79">
        <v>591244556</v>
      </c>
      <c r="D565" s="79">
        <v>0</v>
      </c>
      <c r="E565" s="79" t="s">
        <v>1124</v>
      </c>
      <c r="F565" s="79" t="s">
        <v>2539</v>
      </c>
      <c r="G565" s="79" t="s">
        <v>1131</v>
      </c>
      <c r="H565" s="79" t="s">
        <v>1132</v>
      </c>
      <c r="I565" s="79"/>
    </row>
    <row r="566" spans="1:9" ht="14.25">
      <c r="A566" s="79" t="s">
        <v>2678</v>
      </c>
      <c r="B566" s="79" t="s">
        <v>2679</v>
      </c>
      <c r="C566" s="79">
        <v>591244556</v>
      </c>
      <c r="D566" s="79">
        <v>0</v>
      </c>
      <c r="E566" s="79" t="s">
        <v>1124</v>
      </c>
      <c r="F566" s="79" t="s">
        <v>2539</v>
      </c>
      <c r="G566" s="79" t="s">
        <v>2578</v>
      </c>
      <c r="H566" s="79"/>
      <c r="I566" s="79"/>
    </row>
    <row r="567" spans="1:9" ht="14.25">
      <c r="A567" s="79" t="s">
        <v>2680</v>
      </c>
      <c r="B567" s="79" t="s">
        <v>2681</v>
      </c>
      <c r="C567" s="79">
        <v>591245156</v>
      </c>
      <c r="D567" s="79">
        <v>0</v>
      </c>
      <c r="E567" s="79" t="s">
        <v>1124</v>
      </c>
      <c r="F567" s="79" t="s">
        <v>2539</v>
      </c>
      <c r="G567" s="79" t="s">
        <v>2546</v>
      </c>
      <c r="H567" s="79" t="s">
        <v>2547</v>
      </c>
      <c r="I567" s="79"/>
    </row>
    <row r="568" spans="1:9" ht="14.25">
      <c r="A568" s="79" t="s">
        <v>2680</v>
      </c>
      <c r="B568" s="79" t="s">
        <v>2681</v>
      </c>
      <c r="C568" s="79">
        <v>591245156</v>
      </c>
      <c r="D568" s="79">
        <v>0</v>
      </c>
      <c r="E568" s="79" t="s">
        <v>1124</v>
      </c>
      <c r="F568" s="79" t="s">
        <v>2539</v>
      </c>
      <c r="G568" s="79" t="s">
        <v>2581</v>
      </c>
      <c r="H568" s="79"/>
      <c r="I568" s="79"/>
    </row>
    <row r="569" spans="1:9" ht="14.25">
      <c r="A569" s="79" t="s">
        <v>2682</v>
      </c>
      <c r="B569" s="79" t="s">
        <v>2683</v>
      </c>
      <c r="C569" s="79">
        <v>591287756</v>
      </c>
      <c r="D569" s="79">
        <v>0</v>
      </c>
      <c r="E569" s="79" t="s">
        <v>1124</v>
      </c>
      <c r="F569" s="79" t="s">
        <v>2539</v>
      </c>
      <c r="G569" s="79" t="s">
        <v>1130</v>
      </c>
      <c r="H569" s="79"/>
      <c r="I569" s="79"/>
    </row>
    <row r="570" spans="1:9" ht="14.25">
      <c r="A570" s="79" t="s">
        <v>2682</v>
      </c>
      <c r="B570" s="79" t="s">
        <v>2683</v>
      </c>
      <c r="C570" s="79">
        <v>591287756</v>
      </c>
      <c r="D570" s="79">
        <v>0</v>
      </c>
      <c r="E570" s="79" t="s">
        <v>1124</v>
      </c>
      <c r="F570" s="79" t="s">
        <v>2539</v>
      </c>
      <c r="G570" s="79" t="s">
        <v>1131</v>
      </c>
      <c r="H570" s="79" t="s">
        <v>1132</v>
      </c>
      <c r="I570" s="79"/>
    </row>
    <row r="571" spans="1:9" ht="14.25">
      <c r="A571" s="79" t="s">
        <v>2682</v>
      </c>
      <c r="B571" s="79" t="s">
        <v>2683</v>
      </c>
      <c r="C571" s="79">
        <v>591287756</v>
      </c>
      <c r="D571" s="79">
        <v>0</v>
      </c>
      <c r="E571" s="79" t="s">
        <v>1124</v>
      </c>
      <c r="F571" s="79" t="s">
        <v>2539</v>
      </c>
      <c r="G571" s="79" t="s">
        <v>2578</v>
      </c>
      <c r="H571" s="79"/>
      <c r="I571" s="79"/>
    </row>
    <row r="572" spans="1:9" ht="14.25">
      <c r="A572" s="79" t="s">
        <v>2684</v>
      </c>
      <c r="B572" s="79" t="s">
        <v>2685</v>
      </c>
      <c r="C572" s="79">
        <v>591288356</v>
      </c>
      <c r="D572" s="79">
        <v>0</v>
      </c>
      <c r="E572" s="79" t="s">
        <v>1124</v>
      </c>
      <c r="F572" s="79" t="s">
        <v>2539</v>
      </c>
      <c r="G572" s="79" t="s">
        <v>2546</v>
      </c>
      <c r="H572" s="79" t="s">
        <v>2547</v>
      </c>
      <c r="I572" s="79"/>
    </row>
    <row r="573" spans="1:9" ht="14.25">
      <c r="A573" s="79" t="s">
        <v>2684</v>
      </c>
      <c r="B573" s="79" t="s">
        <v>2685</v>
      </c>
      <c r="C573" s="79">
        <v>591288356</v>
      </c>
      <c r="D573" s="79">
        <v>0</v>
      </c>
      <c r="E573" s="79" t="s">
        <v>1124</v>
      </c>
      <c r="F573" s="79" t="s">
        <v>2539</v>
      </c>
      <c r="G573" s="79" t="s">
        <v>2581</v>
      </c>
      <c r="H573" s="79"/>
      <c r="I573" s="79"/>
    </row>
    <row r="574" spans="1:9" ht="14.25">
      <c r="A574" s="79" t="s">
        <v>2686</v>
      </c>
      <c r="B574" s="79" t="s">
        <v>2687</v>
      </c>
      <c r="C574" s="79">
        <v>591330956</v>
      </c>
      <c r="D574" s="79">
        <v>0</v>
      </c>
      <c r="E574" s="79" t="s">
        <v>1124</v>
      </c>
      <c r="F574" s="79" t="s">
        <v>2539</v>
      </c>
      <c r="G574" s="79" t="s">
        <v>1130</v>
      </c>
      <c r="H574" s="79"/>
      <c r="I574" s="79"/>
    </row>
    <row r="575" spans="1:9" ht="14.25">
      <c r="A575" s="79" t="s">
        <v>2686</v>
      </c>
      <c r="B575" s="79" t="s">
        <v>2687</v>
      </c>
      <c r="C575" s="79">
        <v>591330956</v>
      </c>
      <c r="D575" s="79">
        <v>0</v>
      </c>
      <c r="E575" s="79" t="s">
        <v>1124</v>
      </c>
      <c r="F575" s="79" t="s">
        <v>2539</v>
      </c>
      <c r="G575" s="79" t="s">
        <v>1131</v>
      </c>
      <c r="H575" s="79" t="s">
        <v>1132</v>
      </c>
      <c r="I575" s="79"/>
    </row>
    <row r="576" spans="1:9" ht="14.25">
      <c r="A576" s="79" t="s">
        <v>2686</v>
      </c>
      <c r="B576" s="79" t="s">
        <v>2687</v>
      </c>
      <c r="C576" s="79">
        <v>591330956</v>
      </c>
      <c r="D576" s="79">
        <v>0</v>
      </c>
      <c r="E576" s="79" t="s">
        <v>1124</v>
      </c>
      <c r="F576" s="79" t="s">
        <v>2539</v>
      </c>
      <c r="G576" s="79" t="s">
        <v>2578</v>
      </c>
      <c r="H576" s="79"/>
      <c r="I576" s="79"/>
    </row>
    <row r="577" spans="1:9" ht="14.25">
      <c r="A577" s="79" t="s">
        <v>2688</v>
      </c>
      <c r="B577" s="79" t="s">
        <v>2689</v>
      </c>
      <c r="C577" s="79">
        <v>591331556</v>
      </c>
      <c r="D577" s="79">
        <v>0</v>
      </c>
      <c r="E577" s="79" t="s">
        <v>1124</v>
      </c>
      <c r="F577" s="79" t="s">
        <v>2539</v>
      </c>
      <c r="G577" s="79" t="s">
        <v>2546</v>
      </c>
      <c r="H577" s="79" t="s">
        <v>2547</v>
      </c>
      <c r="I577" s="79"/>
    </row>
    <row r="578" spans="1:9" ht="14.25">
      <c r="A578" s="79" t="s">
        <v>2688</v>
      </c>
      <c r="B578" s="79" t="s">
        <v>2689</v>
      </c>
      <c r="C578" s="79">
        <v>591331556</v>
      </c>
      <c r="D578" s="79">
        <v>0</v>
      </c>
      <c r="E578" s="79" t="s">
        <v>1124</v>
      </c>
      <c r="F578" s="79" t="s">
        <v>2539</v>
      </c>
      <c r="G578" s="79" t="s">
        <v>2581</v>
      </c>
      <c r="H578" s="79"/>
      <c r="I578" s="79"/>
    </row>
    <row r="579" spans="1:9" ht="14.25">
      <c r="A579" s="79" t="s">
        <v>2690</v>
      </c>
      <c r="B579" s="79" t="s">
        <v>2691</v>
      </c>
      <c r="C579" s="79">
        <v>591374156</v>
      </c>
      <c r="D579" s="79">
        <v>0</v>
      </c>
      <c r="E579" s="79" t="s">
        <v>1124</v>
      </c>
      <c r="F579" s="79" t="s">
        <v>2539</v>
      </c>
      <c r="G579" s="79" t="s">
        <v>1130</v>
      </c>
      <c r="H579" s="79"/>
      <c r="I579" s="79"/>
    </row>
    <row r="580" spans="1:9" ht="14.25">
      <c r="A580" s="79" t="s">
        <v>2690</v>
      </c>
      <c r="B580" s="79" t="s">
        <v>2691</v>
      </c>
      <c r="C580" s="79">
        <v>591374156</v>
      </c>
      <c r="D580" s="79">
        <v>0</v>
      </c>
      <c r="E580" s="79" t="s">
        <v>1124</v>
      </c>
      <c r="F580" s="79" t="s">
        <v>2539</v>
      </c>
      <c r="G580" s="79" t="s">
        <v>1131</v>
      </c>
      <c r="H580" s="79" t="s">
        <v>1132</v>
      </c>
      <c r="I580" s="79"/>
    </row>
    <row r="581" spans="1:9" ht="14.25">
      <c r="A581" s="79" t="s">
        <v>2690</v>
      </c>
      <c r="B581" s="79" t="s">
        <v>2691</v>
      </c>
      <c r="C581" s="79">
        <v>591374156</v>
      </c>
      <c r="D581" s="79">
        <v>0</v>
      </c>
      <c r="E581" s="79" t="s">
        <v>1124</v>
      </c>
      <c r="F581" s="79" t="s">
        <v>2539</v>
      </c>
      <c r="G581" s="79" t="s">
        <v>2578</v>
      </c>
      <c r="H581" s="79"/>
      <c r="I581" s="79"/>
    </row>
    <row r="582" spans="1:9" ht="14.25">
      <c r="A582" s="79" t="s">
        <v>2692</v>
      </c>
      <c r="B582" s="79" t="s">
        <v>2693</v>
      </c>
      <c r="C582" s="79">
        <v>591374756</v>
      </c>
      <c r="D582" s="79">
        <v>0</v>
      </c>
      <c r="E582" s="79" t="s">
        <v>1124</v>
      </c>
      <c r="F582" s="79" t="s">
        <v>2539</v>
      </c>
      <c r="G582" s="79" t="s">
        <v>2546</v>
      </c>
      <c r="H582" s="79" t="s">
        <v>2547</v>
      </c>
      <c r="I582" s="79"/>
    </row>
    <row r="583" spans="1:9" ht="14.25">
      <c r="A583" s="79" t="s">
        <v>2692</v>
      </c>
      <c r="B583" s="79" t="s">
        <v>2693</v>
      </c>
      <c r="C583" s="79">
        <v>591374756</v>
      </c>
      <c r="D583" s="79">
        <v>0</v>
      </c>
      <c r="E583" s="79" t="s">
        <v>1124</v>
      </c>
      <c r="F583" s="79" t="s">
        <v>2539</v>
      </c>
      <c r="G583" s="79" t="s">
        <v>2581</v>
      </c>
      <c r="H583" s="79"/>
      <c r="I583" s="79"/>
    </row>
    <row r="584" spans="1:9" ht="14.25">
      <c r="A584" s="79" t="s">
        <v>2694</v>
      </c>
      <c r="B584" s="79" t="s">
        <v>2695</v>
      </c>
      <c r="C584" s="79">
        <v>591417356</v>
      </c>
      <c r="D584" s="79">
        <v>0</v>
      </c>
      <c r="E584" s="79" t="s">
        <v>1124</v>
      </c>
      <c r="F584" s="79" t="s">
        <v>2539</v>
      </c>
      <c r="G584" s="79" t="s">
        <v>1130</v>
      </c>
      <c r="H584" s="79"/>
      <c r="I584" s="79"/>
    </row>
    <row r="585" spans="1:9" ht="14.25">
      <c r="A585" s="79" t="s">
        <v>2694</v>
      </c>
      <c r="B585" s="79" t="s">
        <v>2695</v>
      </c>
      <c r="C585" s="79">
        <v>591417356</v>
      </c>
      <c r="D585" s="79">
        <v>0</v>
      </c>
      <c r="E585" s="79" t="s">
        <v>1124</v>
      </c>
      <c r="F585" s="79" t="s">
        <v>2539</v>
      </c>
      <c r="G585" s="79" t="s">
        <v>1131</v>
      </c>
      <c r="H585" s="79" t="s">
        <v>1132</v>
      </c>
      <c r="I585" s="79"/>
    </row>
    <row r="586" spans="1:9" ht="14.25">
      <c r="A586" s="79" t="s">
        <v>2694</v>
      </c>
      <c r="B586" s="79" t="s">
        <v>2695</v>
      </c>
      <c r="C586" s="79">
        <v>591417356</v>
      </c>
      <c r="D586" s="79">
        <v>0</v>
      </c>
      <c r="E586" s="79" t="s">
        <v>1124</v>
      </c>
      <c r="F586" s="79" t="s">
        <v>2539</v>
      </c>
      <c r="G586" s="79" t="s">
        <v>2578</v>
      </c>
      <c r="H586" s="79"/>
      <c r="I586" s="79"/>
    </row>
    <row r="587" spans="1:9" ht="14.25">
      <c r="A587" s="79" t="s">
        <v>2696</v>
      </c>
      <c r="B587" s="79" t="s">
        <v>2697</v>
      </c>
      <c r="C587" s="79">
        <v>591417956</v>
      </c>
      <c r="D587" s="79">
        <v>0</v>
      </c>
      <c r="E587" s="79" t="s">
        <v>1124</v>
      </c>
      <c r="F587" s="79" t="s">
        <v>2539</v>
      </c>
      <c r="G587" s="79" t="s">
        <v>2546</v>
      </c>
      <c r="H587" s="79" t="s">
        <v>2547</v>
      </c>
      <c r="I587" s="79"/>
    </row>
    <row r="588" spans="1:9" ht="14.25">
      <c r="A588" s="79" t="s">
        <v>2696</v>
      </c>
      <c r="B588" s="79" t="s">
        <v>2697</v>
      </c>
      <c r="C588" s="79">
        <v>591417956</v>
      </c>
      <c r="D588" s="79">
        <v>0</v>
      </c>
      <c r="E588" s="79" t="s">
        <v>1124</v>
      </c>
      <c r="F588" s="79" t="s">
        <v>2539</v>
      </c>
      <c r="G588" s="79" t="s">
        <v>2581</v>
      </c>
      <c r="H588" s="79"/>
      <c r="I588" s="79"/>
    </row>
    <row r="589" spans="1:9" ht="14.25">
      <c r="A589" s="79" t="s">
        <v>2698</v>
      </c>
      <c r="B589" s="79" t="s">
        <v>2699</v>
      </c>
      <c r="C589" s="79">
        <v>591460556</v>
      </c>
      <c r="D589" s="79">
        <v>0</v>
      </c>
      <c r="E589" s="79" t="s">
        <v>1124</v>
      </c>
      <c r="F589" s="79" t="s">
        <v>2539</v>
      </c>
      <c r="G589" s="79" t="s">
        <v>1130</v>
      </c>
      <c r="H589" s="79"/>
      <c r="I589" s="79"/>
    </row>
    <row r="590" spans="1:9" ht="14.25">
      <c r="A590" s="79" t="s">
        <v>2698</v>
      </c>
      <c r="B590" s="79" t="s">
        <v>2699</v>
      </c>
      <c r="C590" s="79">
        <v>591460556</v>
      </c>
      <c r="D590" s="79">
        <v>0</v>
      </c>
      <c r="E590" s="79" t="s">
        <v>1124</v>
      </c>
      <c r="F590" s="79" t="s">
        <v>2539</v>
      </c>
      <c r="G590" s="79" t="s">
        <v>1131</v>
      </c>
      <c r="H590" s="79" t="s">
        <v>1132</v>
      </c>
      <c r="I590" s="79"/>
    </row>
    <row r="591" spans="1:9" ht="14.25">
      <c r="A591" s="79" t="s">
        <v>2698</v>
      </c>
      <c r="B591" s="79" t="s">
        <v>2699</v>
      </c>
      <c r="C591" s="79">
        <v>591460556</v>
      </c>
      <c r="D591" s="79">
        <v>0</v>
      </c>
      <c r="E591" s="79" t="s">
        <v>1124</v>
      </c>
      <c r="F591" s="79" t="s">
        <v>2539</v>
      </c>
      <c r="G591" s="79" t="s">
        <v>2578</v>
      </c>
      <c r="H591" s="79"/>
      <c r="I591" s="79"/>
    </row>
    <row r="592" spans="1:9" ht="14.25">
      <c r="A592" s="79" t="s">
        <v>2700</v>
      </c>
      <c r="B592" s="79" t="s">
        <v>2701</v>
      </c>
      <c r="C592" s="79">
        <v>591461156</v>
      </c>
      <c r="D592" s="79">
        <v>0</v>
      </c>
      <c r="E592" s="79" t="s">
        <v>1124</v>
      </c>
      <c r="F592" s="79" t="s">
        <v>2539</v>
      </c>
      <c r="G592" s="79" t="s">
        <v>2546</v>
      </c>
      <c r="H592" s="79" t="s">
        <v>2547</v>
      </c>
      <c r="I592" s="79"/>
    </row>
    <row r="593" spans="1:9" ht="14.25">
      <c r="A593" s="79" t="s">
        <v>2700</v>
      </c>
      <c r="B593" s="79" t="s">
        <v>2701</v>
      </c>
      <c r="C593" s="79">
        <v>591461156</v>
      </c>
      <c r="D593" s="79">
        <v>0</v>
      </c>
      <c r="E593" s="79" t="s">
        <v>1124</v>
      </c>
      <c r="F593" s="79" t="s">
        <v>2539</v>
      </c>
      <c r="G593" s="79" t="s">
        <v>2581</v>
      </c>
      <c r="H593" s="79"/>
      <c r="I593" s="79"/>
    </row>
    <row r="594" spans="1:9" ht="14.25">
      <c r="A594" s="79" t="s">
        <v>2702</v>
      </c>
      <c r="B594" s="79" t="s">
        <v>2703</v>
      </c>
      <c r="C594" s="79">
        <v>591503756</v>
      </c>
      <c r="D594" s="79">
        <v>0</v>
      </c>
      <c r="E594" s="79" t="s">
        <v>1124</v>
      </c>
      <c r="F594" s="79" t="s">
        <v>2539</v>
      </c>
      <c r="G594" s="79" t="s">
        <v>1130</v>
      </c>
      <c r="H594" s="79"/>
      <c r="I594" s="79"/>
    </row>
    <row r="595" spans="1:9" ht="14.25">
      <c r="A595" s="79" t="s">
        <v>2702</v>
      </c>
      <c r="B595" s="79" t="s">
        <v>2703</v>
      </c>
      <c r="C595" s="79">
        <v>591503756</v>
      </c>
      <c r="D595" s="79">
        <v>0</v>
      </c>
      <c r="E595" s="79" t="s">
        <v>1124</v>
      </c>
      <c r="F595" s="79" t="s">
        <v>2539</v>
      </c>
      <c r="G595" s="79" t="s">
        <v>1131</v>
      </c>
      <c r="H595" s="79" t="s">
        <v>1132</v>
      </c>
      <c r="I595" s="79"/>
    </row>
    <row r="596" spans="1:9" ht="14.25">
      <c r="A596" s="79" t="s">
        <v>2702</v>
      </c>
      <c r="B596" s="79" t="s">
        <v>2703</v>
      </c>
      <c r="C596" s="79">
        <v>591503756</v>
      </c>
      <c r="D596" s="79">
        <v>0</v>
      </c>
      <c r="E596" s="79" t="s">
        <v>1124</v>
      </c>
      <c r="F596" s="79" t="s">
        <v>2539</v>
      </c>
      <c r="G596" s="79" t="s">
        <v>2578</v>
      </c>
      <c r="H596" s="79"/>
      <c r="I596" s="79"/>
    </row>
    <row r="597" spans="1:9" ht="14.25">
      <c r="A597" s="79" t="s">
        <v>2704</v>
      </c>
      <c r="B597" s="79" t="s">
        <v>2705</v>
      </c>
      <c r="C597" s="79">
        <v>591504356</v>
      </c>
      <c r="D597" s="79">
        <v>0</v>
      </c>
      <c r="E597" s="79" t="s">
        <v>1124</v>
      </c>
      <c r="F597" s="79" t="s">
        <v>2539</v>
      </c>
      <c r="G597" s="79" t="s">
        <v>2546</v>
      </c>
      <c r="H597" s="79" t="s">
        <v>2547</v>
      </c>
      <c r="I597" s="79"/>
    </row>
    <row r="598" spans="1:9" ht="14.25">
      <c r="A598" s="79" t="s">
        <v>2704</v>
      </c>
      <c r="B598" s="79" t="s">
        <v>2705</v>
      </c>
      <c r="C598" s="79">
        <v>591504356</v>
      </c>
      <c r="D598" s="79">
        <v>0</v>
      </c>
      <c r="E598" s="79" t="s">
        <v>1124</v>
      </c>
      <c r="F598" s="79" t="s">
        <v>2539</v>
      </c>
      <c r="G598" s="79" t="s">
        <v>2581</v>
      </c>
      <c r="H598" s="79"/>
      <c r="I598" s="79"/>
    </row>
    <row r="599" spans="1:9" ht="14.25">
      <c r="A599" s="79" t="s">
        <v>2706</v>
      </c>
      <c r="B599" s="79" t="s">
        <v>2707</v>
      </c>
      <c r="C599" s="79">
        <v>591546956</v>
      </c>
      <c r="D599" s="79">
        <v>0</v>
      </c>
      <c r="E599" s="79" t="s">
        <v>1124</v>
      </c>
      <c r="F599" s="79" t="s">
        <v>2539</v>
      </c>
      <c r="G599" s="79" t="s">
        <v>1130</v>
      </c>
      <c r="H599" s="79"/>
      <c r="I599" s="79"/>
    </row>
    <row r="600" spans="1:9" ht="14.25">
      <c r="A600" s="79" t="s">
        <v>2706</v>
      </c>
      <c r="B600" s="79" t="s">
        <v>2707</v>
      </c>
      <c r="C600" s="79">
        <v>591546956</v>
      </c>
      <c r="D600" s="79">
        <v>0</v>
      </c>
      <c r="E600" s="79" t="s">
        <v>1124</v>
      </c>
      <c r="F600" s="79" t="s">
        <v>2539</v>
      </c>
      <c r="G600" s="79" t="s">
        <v>1131</v>
      </c>
      <c r="H600" s="79" t="s">
        <v>1132</v>
      </c>
      <c r="I600" s="79"/>
    </row>
    <row r="601" spans="1:9" ht="14.25">
      <c r="A601" s="79" t="s">
        <v>2706</v>
      </c>
      <c r="B601" s="79" t="s">
        <v>2707</v>
      </c>
      <c r="C601" s="79">
        <v>591546956</v>
      </c>
      <c r="D601" s="79">
        <v>0</v>
      </c>
      <c r="E601" s="79" t="s">
        <v>1124</v>
      </c>
      <c r="F601" s="79" t="s">
        <v>2539</v>
      </c>
      <c r="G601" s="79" t="s">
        <v>2578</v>
      </c>
      <c r="H601" s="79"/>
      <c r="I601" s="79"/>
    </row>
    <row r="602" spans="1:9" ht="14.25">
      <c r="A602" s="79" t="s">
        <v>2708</v>
      </c>
      <c r="B602" s="79" t="s">
        <v>2709</v>
      </c>
      <c r="C602" s="79">
        <v>591547556</v>
      </c>
      <c r="D602" s="79">
        <v>0</v>
      </c>
      <c r="E602" s="79" t="s">
        <v>1124</v>
      </c>
      <c r="F602" s="79" t="s">
        <v>2539</v>
      </c>
      <c r="G602" s="79" t="s">
        <v>2546</v>
      </c>
      <c r="H602" s="79" t="s">
        <v>2547</v>
      </c>
      <c r="I602" s="79"/>
    </row>
    <row r="603" spans="1:9" ht="14.25">
      <c r="A603" s="79" t="s">
        <v>2708</v>
      </c>
      <c r="B603" s="79" t="s">
        <v>2709</v>
      </c>
      <c r="C603" s="79">
        <v>591547556</v>
      </c>
      <c r="D603" s="79">
        <v>0</v>
      </c>
      <c r="E603" s="79" t="s">
        <v>1124</v>
      </c>
      <c r="F603" s="79" t="s">
        <v>2539</v>
      </c>
      <c r="G603" s="79" t="s">
        <v>2581</v>
      </c>
      <c r="H603" s="79"/>
      <c r="I603" s="79"/>
    </row>
    <row r="604" spans="1:9" ht="14.25">
      <c r="A604" s="79" t="s">
        <v>2710</v>
      </c>
      <c r="B604" s="79" t="s">
        <v>2711</v>
      </c>
      <c r="C604" s="79">
        <v>591590156</v>
      </c>
      <c r="D604" s="79">
        <v>0</v>
      </c>
      <c r="E604" s="79" t="s">
        <v>1124</v>
      </c>
      <c r="F604" s="79" t="s">
        <v>2539</v>
      </c>
      <c r="G604" s="79" t="s">
        <v>1130</v>
      </c>
      <c r="H604" s="79"/>
      <c r="I604" s="79"/>
    </row>
    <row r="605" spans="1:9" ht="14.25">
      <c r="A605" s="79" t="s">
        <v>2710</v>
      </c>
      <c r="B605" s="79" t="s">
        <v>2711</v>
      </c>
      <c r="C605" s="79">
        <v>591590156</v>
      </c>
      <c r="D605" s="79">
        <v>0</v>
      </c>
      <c r="E605" s="79" t="s">
        <v>1124</v>
      </c>
      <c r="F605" s="79" t="s">
        <v>2539</v>
      </c>
      <c r="G605" s="79" t="s">
        <v>1131</v>
      </c>
      <c r="H605" s="79" t="s">
        <v>1132</v>
      </c>
      <c r="I605" s="79"/>
    </row>
    <row r="606" spans="1:9" ht="14.25">
      <c r="A606" s="79" t="s">
        <v>2710</v>
      </c>
      <c r="B606" s="79" t="s">
        <v>2711</v>
      </c>
      <c r="C606" s="79">
        <v>591590156</v>
      </c>
      <c r="D606" s="79">
        <v>0</v>
      </c>
      <c r="E606" s="79" t="s">
        <v>1124</v>
      </c>
      <c r="F606" s="79" t="s">
        <v>2539</v>
      </c>
      <c r="G606" s="79" t="s">
        <v>2578</v>
      </c>
      <c r="H606" s="79"/>
      <c r="I606" s="79"/>
    </row>
    <row r="607" spans="1:9" ht="14.25">
      <c r="A607" s="79" t="s">
        <v>2712</v>
      </c>
      <c r="B607" s="79" t="s">
        <v>2713</v>
      </c>
      <c r="C607" s="79">
        <v>591590756</v>
      </c>
      <c r="D607" s="79">
        <v>0</v>
      </c>
      <c r="E607" s="79" t="s">
        <v>1124</v>
      </c>
      <c r="F607" s="79" t="s">
        <v>2539</v>
      </c>
      <c r="G607" s="79" t="s">
        <v>2546</v>
      </c>
      <c r="H607" s="79" t="s">
        <v>2547</v>
      </c>
      <c r="I607" s="79"/>
    </row>
    <row r="608" spans="1:9" ht="14.25">
      <c r="A608" s="79" t="s">
        <v>2712</v>
      </c>
      <c r="B608" s="79" t="s">
        <v>2713</v>
      </c>
      <c r="C608" s="79">
        <v>591590756</v>
      </c>
      <c r="D608" s="79">
        <v>0</v>
      </c>
      <c r="E608" s="79" t="s">
        <v>1124</v>
      </c>
      <c r="F608" s="79" t="s">
        <v>2539</v>
      </c>
      <c r="G608" s="79" t="s">
        <v>2581</v>
      </c>
      <c r="H608" s="79"/>
      <c r="I608" s="79"/>
    </row>
    <row r="609" spans="1:9" ht="14.25">
      <c r="A609" s="79" t="s">
        <v>2714</v>
      </c>
      <c r="B609" s="79" t="s">
        <v>2715</v>
      </c>
      <c r="C609" s="79">
        <v>591633356</v>
      </c>
      <c r="D609" s="79">
        <v>0</v>
      </c>
      <c r="E609" s="79" t="s">
        <v>1124</v>
      </c>
      <c r="F609" s="79" t="s">
        <v>2539</v>
      </c>
      <c r="G609" s="79" t="s">
        <v>1130</v>
      </c>
      <c r="H609" s="79"/>
      <c r="I609" s="79"/>
    </row>
    <row r="610" spans="1:9" ht="14.25">
      <c r="A610" s="79" t="s">
        <v>2714</v>
      </c>
      <c r="B610" s="79" t="s">
        <v>2715</v>
      </c>
      <c r="C610" s="79">
        <v>591633356</v>
      </c>
      <c r="D610" s="79">
        <v>0</v>
      </c>
      <c r="E610" s="79" t="s">
        <v>1124</v>
      </c>
      <c r="F610" s="79" t="s">
        <v>2539</v>
      </c>
      <c r="G610" s="79" t="s">
        <v>1131</v>
      </c>
      <c r="H610" s="79" t="s">
        <v>1132</v>
      </c>
      <c r="I610" s="79"/>
    </row>
    <row r="611" spans="1:9" ht="14.25">
      <c r="A611" s="79" t="s">
        <v>2714</v>
      </c>
      <c r="B611" s="79" t="s">
        <v>2715</v>
      </c>
      <c r="C611" s="79">
        <v>591633356</v>
      </c>
      <c r="D611" s="79">
        <v>0</v>
      </c>
      <c r="E611" s="79" t="s">
        <v>1124</v>
      </c>
      <c r="F611" s="79" t="s">
        <v>2539</v>
      </c>
      <c r="G611" s="79" t="s">
        <v>2578</v>
      </c>
      <c r="H611" s="79"/>
      <c r="I611" s="79"/>
    </row>
    <row r="612" spans="1:9" ht="14.25">
      <c r="A612" s="79" t="s">
        <v>2716</v>
      </c>
      <c r="B612" s="79" t="s">
        <v>2717</v>
      </c>
      <c r="C612" s="79">
        <v>591633956</v>
      </c>
      <c r="D612" s="79">
        <v>0</v>
      </c>
      <c r="E612" s="79" t="s">
        <v>1124</v>
      </c>
      <c r="F612" s="79" t="s">
        <v>2539</v>
      </c>
      <c r="G612" s="79" t="s">
        <v>2546</v>
      </c>
      <c r="H612" s="79" t="s">
        <v>2547</v>
      </c>
      <c r="I612" s="79"/>
    </row>
    <row r="613" spans="1:9" ht="14.25">
      <c r="A613" s="79" t="s">
        <v>2716</v>
      </c>
      <c r="B613" s="79" t="s">
        <v>2717</v>
      </c>
      <c r="C613" s="79">
        <v>591633956</v>
      </c>
      <c r="D613" s="79">
        <v>0</v>
      </c>
      <c r="E613" s="79" t="s">
        <v>1124</v>
      </c>
      <c r="F613" s="79" t="s">
        <v>2539</v>
      </c>
      <c r="G613" s="79" t="s">
        <v>2581</v>
      </c>
      <c r="H613" s="79"/>
      <c r="I613" s="79"/>
    </row>
    <row r="614" spans="1:9" ht="14.25">
      <c r="A614" s="79" t="s">
        <v>2718</v>
      </c>
      <c r="B614" s="79" t="s">
        <v>2719</v>
      </c>
      <c r="C614" s="79">
        <v>591676556</v>
      </c>
      <c r="D614" s="79">
        <v>0</v>
      </c>
      <c r="E614" s="79" t="s">
        <v>1124</v>
      </c>
      <c r="F614" s="79" t="s">
        <v>2539</v>
      </c>
      <c r="G614" s="79" t="s">
        <v>1130</v>
      </c>
      <c r="H614" s="79"/>
      <c r="I614" s="79"/>
    </row>
    <row r="615" spans="1:9" ht="14.25">
      <c r="A615" s="79" t="s">
        <v>2718</v>
      </c>
      <c r="B615" s="79" t="s">
        <v>2719</v>
      </c>
      <c r="C615" s="79">
        <v>591676556</v>
      </c>
      <c r="D615" s="79">
        <v>0</v>
      </c>
      <c r="E615" s="79" t="s">
        <v>1124</v>
      </c>
      <c r="F615" s="79" t="s">
        <v>2539</v>
      </c>
      <c r="G615" s="79" t="s">
        <v>1131</v>
      </c>
      <c r="H615" s="79" t="s">
        <v>1132</v>
      </c>
      <c r="I615" s="79"/>
    </row>
    <row r="616" spans="1:9" ht="14.25">
      <c r="A616" s="79" t="s">
        <v>2718</v>
      </c>
      <c r="B616" s="79" t="s">
        <v>2719</v>
      </c>
      <c r="C616" s="79">
        <v>591676556</v>
      </c>
      <c r="D616" s="79">
        <v>0</v>
      </c>
      <c r="E616" s="79" t="s">
        <v>1124</v>
      </c>
      <c r="F616" s="79" t="s">
        <v>2539</v>
      </c>
      <c r="G616" s="79" t="s">
        <v>2578</v>
      </c>
      <c r="H616" s="79"/>
      <c r="I616" s="79"/>
    </row>
    <row r="617" spans="1:9" ht="14.25">
      <c r="A617" s="79" t="s">
        <v>2720</v>
      </c>
      <c r="B617" s="79" t="s">
        <v>2721</v>
      </c>
      <c r="C617" s="79">
        <v>591677156</v>
      </c>
      <c r="D617" s="79">
        <v>0</v>
      </c>
      <c r="E617" s="79" t="s">
        <v>1124</v>
      </c>
      <c r="F617" s="79" t="s">
        <v>2539</v>
      </c>
      <c r="G617" s="79" t="s">
        <v>2546</v>
      </c>
      <c r="H617" s="79" t="s">
        <v>2547</v>
      </c>
      <c r="I617" s="79"/>
    </row>
    <row r="618" spans="1:9" ht="14.25">
      <c r="A618" s="79" t="s">
        <v>2720</v>
      </c>
      <c r="B618" s="79" t="s">
        <v>2721</v>
      </c>
      <c r="C618" s="79">
        <v>591677156</v>
      </c>
      <c r="D618" s="79">
        <v>0</v>
      </c>
      <c r="E618" s="79" t="s">
        <v>1124</v>
      </c>
      <c r="F618" s="79" t="s">
        <v>2539</v>
      </c>
      <c r="G618" s="79" t="s">
        <v>2581</v>
      </c>
      <c r="H618" s="79"/>
      <c r="I618" s="79"/>
    </row>
    <row r="619" spans="1:9" ht="14.25">
      <c r="A619" s="79" t="s">
        <v>2722</v>
      </c>
      <c r="B619" s="79" t="s">
        <v>2723</v>
      </c>
      <c r="C619" s="79">
        <v>591719756</v>
      </c>
      <c r="D619" s="79">
        <v>0</v>
      </c>
      <c r="E619" s="79" t="s">
        <v>1124</v>
      </c>
      <c r="F619" s="79" t="s">
        <v>2539</v>
      </c>
      <c r="G619" s="79" t="s">
        <v>1130</v>
      </c>
      <c r="H619" s="79"/>
      <c r="I619" s="79"/>
    </row>
    <row r="620" spans="1:9" ht="14.25">
      <c r="A620" s="79" t="s">
        <v>2722</v>
      </c>
      <c r="B620" s="79" t="s">
        <v>2723</v>
      </c>
      <c r="C620" s="79">
        <v>591719756</v>
      </c>
      <c r="D620" s="79">
        <v>0</v>
      </c>
      <c r="E620" s="79" t="s">
        <v>1124</v>
      </c>
      <c r="F620" s="79" t="s">
        <v>2539</v>
      </c>
      <c r="G620" s="79" t="s">
        <v>1131</v>
      </c>
      <c r="H620" s="79" t="s">
        <v>1132</v>
      </c>
      <c r="I620" s="79"/>
    </row>
    <row r="621" spans="1:9" ht="14.25">
      <c r="A621" s="79" t="s">
        <v>2722</v>
      </c>
      <c r="B621" s="79" t="s">
        <v>2723</v>
      </c>
      <c r="C621" s="79">
        <v>591719756</v>
      </c>
      <c r="D621" s="79">
        <v>0</v>
      </c>
      <c r="E621" s="79" t="s">
        <v>1124</v>
      </c>
      <c r="F621" s="79" t="s">
        <v>2539</v>
      </c>
      <c r="G621" s="79" t="s">
        <v>2578</v>
      </c>
      <c r="H621" s="79"/>
      <c r="I621" s="79"/>
    </row>
    <row r="622" spans="1:9" ht="14.25">
      <c r="A622" s="79" t="s">
        <v>2724</v>
      </c>
      <c r="B622" s="79" t="s">
        <v>2725</v>
      </c>
      <c r="C622" s="79">
        <v>591720356</v>
      </c>
      <c r="D622" s="79">
        <v>0</v>
      </c>
      <c r="E622" s="79" t="s">
        <v>1124</v>
      </c>
      <c r="F622" s="79" t="s">
        <v>2539</v>
      </c>
      <c r="G622" s="79" t="s">
        <v>2546</v>
      </c>
      <c r="H622" s="79" t="s">
        <v>2547</v>
      </c>
      <c r="I622" s="79"/>
    </row>
    <row r="623" spans="1:9" ht="14.25">
      <c r="A623" s="79" t="s">
        <v>2724</v>
      </c>
      <c r="B623" s="79" t="s">
        <v>2725</v>
      </c>
      <c r="C623" s="79">
        <v>591720356</v>
      </c>
      <c r="D623" s="79">
        <v>0</v>
      </c>
      <c r="E623" s="79" t="s">
        <v>1124</v>
      </c>
      <c r="F623" s="79" t="s">
        <v>2539</v>
      </c>
      <c r="G623" s="79" t="s">
        <v>2581</v>
      </c>
      <c r="H623" s="79"/>
      <c r="I623" s="79"/>
    </row>
    <row r="624" spans="1:9" ht="14.25">
      <c r="A624" s="79" t="s">
        <v>2726</v>
      </c>
      <c r="B624" s="79" t="s">
        <v>2727</v>
      </c>
      <c r="C624" s="79">
        <v>591762956</v>
      </c>
      <c r="D624" s="79">
        <v>0</v>
      </c>
      <c r="E624" s="79" t="s">
        <v>1124</v>
      </c>
      <c r="F624" s="79" t="s">
        <v>2539</v>
      </c>
      <c r="G624" s="79" t="s">
        <v>1130</v>
      </c>
      <c r="H624" s="79"/>
      <c r="I624" s="79"/>
    </row>
    <row r="625" spans="1:9" ht="14.25">
      <c r="A625" s="79" t="s">
        <v>2726</v>
      </c>
      <c r="B625" s="79" t="s">
        <v>2727</v>
      </c>
      <c r="C625" s="79">
        <v>591762956</v>
      </c>
      <c r="D625" s="79">
        <v>0</v>
      </c>
      <c r="E625" s="79" t="s">
        <v>1124</v>
      </c>
      <c r="F625" s="79" t="s">
        <v>2539</v>
      </c>
      <c r="G625" s="79" t="s">
        <v>1131</v>
      </c>
      <c r="H625" s="79" t="s">
        <v>1132</v>
      </c>
      <c r="I625" s="79"/>
    </row>
    <row r="626" spans="1:9" ht="14.25">
      <c r="A626" s="79" t="s">
        <v>2726</v>
      </c>
      <c r="B626" s="79" t="s">
        <v>2727</v>
      </c>
      <c r="C626" s="79">
        <v>591762956</v>
      </c>
      <c r="D626" s="79">
        <v>0</v>
      </c>
      <c r="E626" s="79" t="s">
        <v>1124</v>
      </c>
      <c r="F626" s="79" t="s">
        <v>2539</v>
      </c>
      <c r="G626" s="79" t="s">
        <v>2578</v>
      </c>
      <c r="H626" s="79"/>
      <c r="I626" s="79"/>
    </row>
    <row r="627" spans="1:9" ht="14.25">
      <c r="A627" s="79" t="s">
        <v>2728</v>
      </c>
      <c r="B627" s="79" t="s">
        <v>2729</v>
      </c>
      <c r="C627" s="79">
        <v>591763556</v>
      </c>
      <c r="D627" s="79">
        <v>0</v>
      </c>
      <c r="E627" s="79" t="s">
        <v>1124</v>
      </c>
      <c r="F627" s="79" t="s">
        <v>2539</v>
      </c>
      <c r="G627" s="79" t="s">
        <v>2546</v>
      </c>
      <c r="H627" s="79" t="s">
        <v>2547</v>
      </c>
      <c r="I627" s="79"/>
    </row>
    <row r="628" spans="1:9" ht="14.25">
      <c r="A628" s="79" t="s">
        <v>2728</v>
      </c>
      <c r="B628" s="79" t="s">
        <v>2729</v>
      </c>
      <c r="C628" s="79">
        <v>591763556</v>
      </c>
      <c r="D628" s="79">
        <v>0</v>
      </c>
      <c r="E628" s="79" t="s">
        <v>1124</v>
      </c>
      <c r="F628" s="79" t="s">
        <v>2539</v>
      </c>
      <c r="G628" s="79" t="s">
        <v>2581</v>
      </c>
      <c r="H628" s="79"/>
      <c r="I628" s="79"/>
    </row>
    <row r="629" spans="1:9" ht="14.25">
      <c r="A629" s="79" t="s">
        <v>2730</v>
      </c>
      <c r="B629" s="79" t="s">
        <v>2731</v>
      </c>
      <c r="C629" s="79">
        <v>591806156</v>
      </c>
      <c r="D629" s="79">
        <v>0</v>
      </c>
      <c r="E629" s="79" t="s">
        <v>1124</v>
      </c>
      <c r="F629" s="79" t="s">
        <v>2539</v>
      </c>
      <c r="G629" s="79" t="s">
        <v>1130</v>
      </c>
      <c r="H629" s="79"/>
      <c r="I629" s="79"/>
    </row>
    <row r="630" spans="1:9" ht="14.25">
      <c r="A630" s="79" t="s">
        <v>2730</v>
      </c>
      <c r="B630" s="79" t="s">
        <v>2731</v>
      </c>
      <c r="C630" s="79">
        <v>591806156</v>
      </c>
      <c r="D630" s="79">
        <v>0</v>
      </c>
      <c r="E630" s="79" t="s">
        <v>1124</v>
      </c>
      <c r="F630" s="79" t="s">
        <v>2539</v>
      </c>
      <c r="G630" s="79" t="s">
        <v>1131</v>
      </c>
      <c r="H630" s="79" t="s">
        <v>1132</v>
      </c>
      <c r="I630" s="79"/>
    </row>
    <row r="631" spans="1:9" ht="14.25">
      <c r="A631" s="79" t="s">
        <v>2730</v>
      </c>
      <c r="B631" s="79" t="s">
        <v>2731</v>
      </c>
      <c r="C631" s="79">
        <v>591806156</v>
      </c>
      <c r="D631" s="79">
        <v>0</v>
      </c>
      <c r="E631" s="79" t="s">
        <v>1124</v>
      </c>
      <c r="F631" s="79" t="s">
        <v>2539</v>
      </c>
      <c r="G631" s="79" t="s">
        <v>2578</v>
      </c>
      <c r="H631" s="79"/>
      <c r="I631" s="79"/>
    </row>
    <row r="632" spans="1:9" ht="14.25">
      <c r="A632" s="79" t="s">
        <v>2732</v>
      </c>
      <c r="B632" s="79" t="s">
        <v>2733</v>
      </c>
      <c r="C632" s="79">
        <v>591806756</v>
      </c>
      <c r="D632" s="79">
        <v>0</v>
      </c>
      <c r="E632" s="79" t="s">
        <v>1124</v>
      </c>
      <c r="F632" s="79" t="s">
        <v>2539</v>
      </c>
      <c r="G632" s="79" t="s">
        <v>2546</v>
      </c>
      <c r="H632" s="79" t="s">
        <v>2547</v>
      </c>
      <c r="I632" s="79"/>
    </row>
    <row r="633" spans="1:9" ht="14.25">
      <c r="A633" s="79" t="s">
        <v>2732</v>
      </c>
      <c r="B633" s="79" t="s">
        <v>2733</v>
      </c>
      <c r="C633" s="79">
        <v>591806756</v>
      </c>
      <c r="D633" s="79">
        <v>0</v>
      </c>
      <c r="E633" s="79" t="s">
        <v>1124</v>
      </c>
      <c r="F633" s="79" t="s">
        <v>2539</v>
      </c>
      <c r="G633" s="79" t="s">
        <v>2581</v>
      </c>
      <c r="H633" s="79"/>
      <c r="I633" s="79"/>
    </row>
    <row r="634" spans="1:9" ht="14.25">
      <c r="A634" s="79" t="s">
        <v>2734</v>
      </c>
      <c r="B634" s="79" t="s">
        <v>2735</v>
      </c>
      <c r="C634" s="79">
        <v>591849356</v>
      </c>
      <c r="D634" s="79">
        <v>0</v>
      </c>
      <c r="E634" s="79" t="s">
        <v>1124</v>
      </c>
      <c r="F634" s="79" t="s">
        <v>2539</v>
      </c>
      <c r="G634" s="79" t="s">
        <v>1130</v>
      </c>
      <c r="H634" s="79"/>
      <c r="I634" s="79"/>
    </row>
    <row r="635" spans="1:9" ht="14.25">
      <c r="A635" s="79" t="s">
        <v>2734</v>
      </c>
      <c r="B635" s="79" t="s">
        <v>2735</v>
      </c>
      <c r="C635" s="79">
        <v>591849356</v>
      </c>
      <c r="D635" s="79">
        <v>0</v>
      </c>
      <c r="E635" s="79" t="s">
        <v>1124</v>
      </c>
      <c r="F635" s="79" t="s">
        <v>2539</v>
      </c>
      <c r="G635" s="79" t="s">
        <v>1131</v>
      </c>
      <c r="H635" s="79" t="s">
        <v>1132</v>
      </c>
      <c r="I635" s="79"/>
    </row>
    <row r="636" spans="1:9" ht="14.25">
      <c r="A636" s="79" t="s">
        <v>2734</v>
      </c>
      <c r="B636" s="79" t="s">
        <v>2735</v>
      </c>
      <c r="C636" s="79">
        <v>591849356</v>
      </c>
      <c r="D636" s="79">
        <v>0</v>
      </c>
      <c r="E636" s="79" t="s">
        <v>1124</v>
      </c>
      <c r="F636" s="79" t="s">
        <v>2539</v>
      </c>
      <c r="G636" s="79" t="s">
        <v>2578</v>
      </c>
      <c r="H636" s="79"/>
      <c r="I636" s="79"/>
    </row>
    <row r="637" spans="1:9" ht="14.25">
      <c r="A637" s="79" t="s">
        <v>2736</v>
      </c>
      <c r="B637" s="79" t="s">
        <v>2737</v>
      </c>
      <c r="C637" s="79">
        <v>591849956</v>
      </c>
      <c r="D637" s="79">
        <v>0</v>
      </c>
      <c r="E637" s="79" t="s">
        <v>1124</v>
      </c>
      <c r="F637" s="79" t="s">
        <v>2539</v>
      </c>
      <c r="G637" s="79" t="s">
        <v>2546</v>
      </c>
      <c r="H637" s="79" t="s">
        <v>2547</v>
      </c>
      <c r="I637" s="79"/>
    </row>
    <row r="638" spans="1:9" ht="14.25">
      <c r="A638" s="79" t="s">
        <v>2736</v>
      </c>
      <c r="B638" s="79" t="s">
        <v>2737</v>
      </c>
      <c r="C638" s="79">
        <v>591849956</v>
      </c>
      <c r="D638" s="79">
        <v>0</v>
      </c>
      <c r="E638" s="79" t="s">
        <v>1124</v>
      </c>
      <c r="F638" s="79" t="s">
        <v>2539</v>
      </c>
      <c r="G638" s="79" t="s">
        <v>2581</v>
      </c>
      <c r="H638" s="79"/>
      <c r="I638" s="79"/>
    </row>
    <row r="639" spans="1:9" ht="14.25">
      <c r="A639" s="79" t="s">
        <v>2738</v>
      </c>
      <c r="B639" s="79" t="s">
        <v>2739</v>
      </c>
      <c r="C639" s="79">
        <v>591892556</v>
      </c>
      <c r="D639" s="79">
        <v>0</v>
      </c>
      <c r="E639" s="79" t="s">
        <v>1124</v>
      </c>
      <c r="F639" s="79" t="s">
        <v>2539</v>
      </c>
      <c r="G639" s="79" t="s">
        <v>1130</v>
      </c>
      <c r="H639" s="79"/>
      <c r="I639" s="79"/>
    </row>
    <row r="640" spans="1:9" ht="14.25">
      <c r="A640" s="79" t="s">
        <v>2738</v>
      </c>
      <c r="B640" s="79" t="s">
        <v>2739</v>
      </c>
      <c r="C640" s="79">
        <v>591892556</v>
      </c>
      <c r="D640" s="79">
        <v>0</v>
      </c>
      <c r="E640" s="79" t="s">
        <v>1124</v>
      </c>
      <c r="F640" s="79" t="s">
        <v>2539</v>
      </c>
      <c r="G640" s="79" t="s">
        <v>1131</v>
      </c>
      <c r="H640" s="79" t="s">
        <v>1132</v>
      </c>
      <c r="I640" s="79"/>
    </row>
    <row r="641" spans="1:9" ht="14.25">
      <c r="A641" s="79" t="s">
        <v>2738</v>
      </c>
      <c r="B641" s="79" t="s">
        <v>2739</v>
      </c>
      <c r="C641" s="79">
        <v>591892556</v>
      </c>
      <c r="D641" s="79">
        <v>0</v>
      </c>
      <c r="E641" s="79" t="s">
        <v>1124</v>
      </c>
      <c r="F641" s="79" t="s">
        <v>2539</v>
      </c>
      <c r="G641" s="79" t="s">
        <v>2578</v>
      </c>
      <c r="H641" s="79"/>
      <c r="I641" s="79"/>
    </row>
    <row r="642" spans="1:9" ht="14.25">
      <c r="A642" s="79" t="s">
        <v>2740</v>
      </c>
      <c r="B642" s="79" t="s">
        <v>2741</v>
      </c>
      <c r="C642" s="79">
        <v>591893156</v>
      </c>
      <c r="D642" s="79">
        <v>0</v>
      </c>
      <c r="E642" s="79" t="s">
        <v>1124</v>
      </c>
      <c r="F642" s="79" t="s">
        <v>2539</v>
      </c>
      <c r="G642" s="79" t="s">
        <v>2546</v>
      </c>
      <c r="H642" s="79" t="s">
        <v>2547</v>
      </c>
      <c r="I642" s="79"/>
    </row>
    <row r="643" spans="1:9" ht="14.25">
      <c r="A643" s="79" t="s">
        <v>2740</v>
      </c>
      <c r="B643" s="79" t="s">
        <v>2741</v>
      </c>
      <c r="C643" s="79">
        <v>591893156</v>
      </c>
      <c r="D643" s="79">
        <v>0</v>
      </c>
      <c r="E643" s="79" t="s">
        <v>1124</v>
      </c>
      <c r="F643" s="79" t="s">
        <v>2539</v>
      </c>
      <c r="G643" s="79" t="s">
        <v>2581</v>
      </c>
      <c r="H643" s="79"/>
      <c r="I643" s="79"/>
    </row>
    <row r="644" spans="1:9" ht="14.25">
      <c r="A644" s="79" t="s">
        <v>2742</v>
      </c>
      <c r="B644" s="79" t="s">
        <v>2743</v>
      </c>
      <c r="C644" s="79">
        <v>591935756</v>
      </c>
      <c r="D644" s="79">
        <v>0</v>
      </c>
      <c r="E644" s="79" t="s">
        <v>1124</v>
      </c>
      <c r="F644" s="79" t="s">
        <v>2539</v>
      </c>
      <c r="G644" s="79" t="s">
        <v>1130</v>
      </c>
      <c r="H644" s="79"/>
      <c r="I644" s="79"/>
    </row>
    <row r="645" spans="1:9" ht="14.25">
      <c r="A645" s="79" t="s">
        <v>2742</v>
      </c>
      <c r="B645" s="79" t="s">
        <v>2743</v>
      </c>
      <c r="C645" s="79">
        <v>591935756</v>
      </c>
      <c r="D645" s="79">
        <v>0</v>
      </c>
      <c r="E645" s="79" t="s">
        <v>1124</v>
      </c>
      <c r="F645" s="79" t="s">
        <v>2539</v>
      </c>
      <c r="G645" s="79" t="s">
        <v>1131</v>
      </c>
      <c r="H645" s="79" t="s">
        <v>1132</v>
      </c>
      <c r="I645" s="79"/>
    </row>
    <row r="646" spans="1:9" ht="14.25">
      <c r="A646" s="79" t="s">
        <v>2742</v>
      </c>
      <c r="B646" s="79" t="s">
        <v>2743</v>
      </c>
      <c r="C646" s="79">
        <v>591935756</v>
      </c>
      <c r="D646" s="79">
        <v>0</v>
      </c>
      <c r="E646" s="79" t="s">
        <v>1124</v>
      </c>
      <c r="F646" s="79" t="s">
        <v>2539</v>
      </c>
      <c r="G646" s="79" t="s">
        <v>2578</v>
      </c>
      <c r="H646" s="79"/>
      <c r="I646" s="79"/>
    </row>
    <row r="647" spans="1:9" ht="14.25">
      <c r="A647" s="79" t="s">
        <v>2744</v>
      </c>
      <c r="B647" s="79" t="s">
        <v>2745</v>
      </c>
      <c r="C647" s="79">
        <v>591936356</v>
      </c>
      <c r="D647" s="79">
        <v>0</v>
      </c>
      <c r="E647" s="79" t="s">
        <v>1124</v>
      </c>
      <c r="F647" s="79" t="s">
        <v>2539</v>
      </c>
      <c r="G647" s="79" t="s">
        <v>2546</v>
      </c>
      <c r="H647" s="79" t="s">
        <v>2547</v>
      </c>
      <c r="I647" s="79"/>
    </row>
    <row r="648" spans="1:9" ht="14.25">
      <c r="A648" s="79" t="s">
        <v>2744</v>
      </c>
      <c r="B648" s="79" t="s">
        <v>2745</v>
      </c>
      <c r="C648" s="79">
        <v>591936356</v>
      </c>
      <c r="D648" s="79">
        <v>0</v>
      </c>
      <c r="E648" s="79" t="s">
        <v>1124</v>
      </c>
      <c r="F648" s="79" t="s">
        <v>2539</v>
      </c>
      <c r="G648" s="79" t="s">
        <v>2581</v>
      </c>
      <c r="H648" s="79"/>
      <c r="I648" s="79"/>
    </row>
    <row r="649" spans="1:9" ht="14.25">
      <c r="A649" s="79" t="s">
        <v>2746</v>
      </c>
      <c r="B649" s="79" t="s">
        <v>2747</v>
      </c>
      <c r="C649" s="79">
        <v>591978956</v>
      </c>
      <c r="D649" s="79">
        <v>0</v>
      </c>
      <c r="E649" s="79" t="s">
        <v>1124</v>
      </c>
      <c r="F649" s="79" t="s">
        <v>2539</v>
      </c>
      <c r="G649" s="79" t="s">
        <v>1130</v>
      </c>
      <c r="H649" s="79"/>
      <c r="I649" s="79"/>
    </row>
    <row r="650" spans="1:9" ht="14.25">
      <c r="A650" s="79" t="s">
        <v>2746</v>
      </c>
      <c r="B650" s="79" t="s">
        <v>2747</v>
      </c>
      <c r="C650" s="79">
        <v>591978956</v>
      </c>
      <c r="D650" s="79">
        <v>0</v>
      </c>
      <c r="E650" s="79" t="s">
        <v>1124</v>
      </c>
      <c r="F650" s="79" t="s">
        <v>2539</v>
      </c>
      <c r="G650" s="79" t="s">
        <v>2109</v>
      </c>
      <c r="H650" s="79"/>
      <c r="I650" s="79"/>
    </row>
    <row r="651" spans="1:9" ht="14.25">
      <c r="A651" s="79" t="s">
        <v>2748</v>
      </c>
      <c r="B651" s="79" t="s">
        <v>2749</v>
      </c>
      <c r="C651" s="79">
        <v>591978959</v>
      </c>
      <c r="D651" s="79">
        <v>0</v>
      </c>
      <c r="E651" s="79" t="s">
        <v>1124</v>
      </c>
      <c r="F651" s="79" t="s">
        <v>2539</v>
      </c>
      <c r="G651" s="79" t="s">
        <v>1130</v>
      </c>
      <c r="H651" s="79"/>
      <c r="I651" s="79"/>
    </row>
    <row r="652" spans="1:9" ht="14.25">
      <c r="A652" s="79" t="s">
        <v>2748</v>
      </c>
      <c r="B652" s="79" t="s">
        <v>2749</v>
      </c>
      <c r="C652" s="79">
        <v>591978959</v>
      </c>
      <c r="D652" s="79">
        <v>0</v>
      </c>
      <c r="E652" s="79" t="s">
        <v>1124</v>
      </c>
      <c r="F652" s="79" t="s">
        <v>2539</v>
      </c>
      <c r="G652" s="79" t="s">
        <v>2572</v>
      </c>
      <c r="H652" s="79" t="s">
        <v>2573</v>
      </c>
      <c r="I652" s="79"/>
    </row>
    <row r="653" spans="1:9" ht="14.25">
      <c r="A653" s="79" t="s">
        <v>2748</v>
      </c>
      <c r="B653" s="79" t="s">
        <v>2749</v>
      </c>
      <c r="C653" s="79">
        <v>591978959</v>
      </c>
      <c r="D653" s="79">
        <v>0</v>
      </c>
      <c r="E653" s="79" t="s">
        <v>1124</v>
      </c>
      <c r="F653" s="79" t="s">
        <v>2539</v>
      </c>
      <c r="G653" s="79" t="s">
        <v>2568</v>
      </c>
      <c r="H653" s="79"/>
      <c r="I653" s="79"/>
    </row>
    <row r="654" spans="1:9" ht="14.25">
      <c r="A654" s="79" t="s">
        <v>2750</v>
      </c>
      <c r="B654" s="79" t="s">
        <v>2751</v>
      </c>
      <c r="C654" s="79">
        <v>591979319</v>
      </c>
      <c r="D654" s="79">
        <v>0</v>
      </c>
      <c r="E654" s="79" t="s">
        <v>1124</v>
      </c>
      <c r="F654" s="79" t="s">
        <v>2539</v>
      </c>
      <c r="G654" s="79" t="s">
        <v>2576</v>
      </c>
      <c r="H654" s="79"/>
      <c r="I654" s="79"/>
    </row>
    <row r="655" spans="1:9" ht="14.25">
      <c r="A655" s="79" t="s">
        <v>2750</v>
      </c>
      <c r="B655" s="79" t="s">
        <v>2751</v>
      </c>
      <c r="C655" s="79">
        <v>591979319</v>
      </c>
      <c r="D655" s="79">
        <v>0</v>
      </c>
      <c r="E655" s="79" t="s">
        <v>1124</v>
      </c>
      <c r="F655" s="79" t="s">
        <v>2539</v>
      </c>
      <c r="G655" s="79" t="s">
        <v>2577</v>
      </c>
      <c r="H655" s="79"/>
      <c r="I655" s="79"/>
    </row>
    <row r="656" spans="1:9" ht="14.25">
      <c r="A656" s="79" t="s">
        <v>2750</v>
      </c>
      <c r="B656" s="79" t="s">
        <v>2751</v>
      </c>
      <c r="C656" s="79">
        <v>591979319</v>
      </c>
      <c r="D656" s="79">
        <v>0</v>
      </c>
      <c r="E656" s="79" t="s">
        <v>1124</v>
      </c>
      <c r="F656" s="79" t="s">
        <v>2539</v>
      </c>
      <c r="G656" s="79" t="s">
        <v>1131</v>
      </c>
      <c r="H656" s="79" t="s">
        <v>1132</v>
      </c>
      <c r="I656" s="79"/>
    </row>
    <row r="657" spans="1:9" ht="14.25">
      <c r="A657" s="79" t="s">
        <v>2750</v>
      </c>
      <c r="B657" s="79" t="s">
        <v>2751</v>
      </c>
      <c r="C657" s="79">
        <v>591979319</v>
      </c>
      <c r="D657" s="79">
        <v>0</v>
      </c>
      <c r="E657" s="79" t="s">
        <v>1124</v>
      </c>
      <c r="F657" s="79" t="s">
        <v>2539</v>
      </c>
      <c r="G657" s="79" t="s">
        <v>2578</v>
      </c>
      <c r="H657" s="79"/>
      <c r="I657" s="79"/>
    </row>
    <row r="658" spans="1:9" ht="14.25">
      <c r="A658" s="79" t="s">
        <v>2752</v>
      </c>
      <c r="B658" s="79" t="s">
        <v>2753</v>
      </c>
      <c r="C658" s="79">
        <v>591979919</v>
      </c>
      <c r="D658" s="79">
        <v>0</v>
      </c>
      <c r="E658" s="79" t="s">
        <v>1124</v>
      </c>
      <c r="F658" s="79" t="s">
        <v>2539</v>
      </c>
      <c r="G658" s="79" t="s">
        <v>2546</v>
      </c>
      <c r="H658" s="79" t="s">
        <v>2547</v>
      </c>
      <c r="I658" s="79"/>
    </row>
    <row r="659" spans="1:9" ht="14.25">
      <c r="A659" s="79" t="s">
        <v>2752</v>
      </c>
      <c r="B659" s="79" t="s">
        <v>2753</v>
      </c>
      <c r="C659" s="79">
        <v>591979919</v>
      </c>
      <c r="D659" s="79">
        <v>0</v>
      </c>
      <c r="E659" s="79" t="s">
        <v>1124</v>
      </c>
      <c r="F659" s="79" t="s">
        <v>2539</v>
      </c>
      <c r="G659" s="79" t="s">
        <v>2581</v>
      </c>
      <c r="H659" s="79"/>
      <c r="I659" s="79"/>
    </row>
    <row r="660" spans="1:9" ht="14.25">
      <c r="A660" s="79" t="s">
        <v>2754</v>
      </c>
      <c r="B660" s="79" t="s">
        <v>2755</v>
      </c>
      <c r="C660" s="79">
        <v>592022519</v>
      </c>
      <c r="D660" s="79">
        <v>0</v>
      </c>
      <c r="E660" s="79" t="s">
        <v>1124</v>
      </c>
      <c r="F660" s="79" t="s">
        <v>2539</v>
      </c>
      <c r="G660" s="79" t="s">
        <v>1130</v>
      </c>
      <c r="H660" s="79"/>
      <c r="I660" s="79"/>
    </row>
    <row r="661" spans="1:9" ht="14.25">
      <c r="A661" s="79" t="s">
        <v>2754</v>
      </c>
      <c r="B661" s="79" t="s">
        <v>2755</v>
      </c>
      <c r="C661" s="79">
        <v>592022519</v>
      </c>
      <c r="D661" s="79">
        <v>0</v>
      </c>
      <c r="E661" s="79" t="s">
        <v>1124</v>
      </c>
      <c r="F661" s="79" t="s">
        <v>2539</v>
      </c>
      <c r="G661" s="79" t="s">
        <v>1131</v>
      </c>
      <c r="H661" s="79" t="s">
        <v>1132</v>
      </c>
      <c r="I661" s="79"/>
    </row>
    <row r="662" spans="1:9" ht="14.25">
      <c r="A662" s="79" t="s">
        <v>2754</v>
      </c>
      <c r="B662" s="79" t="s">
        <v>2755</v>
      </c>
      <c r="C662" s="79">
        <v>592022519</v>
      </c>
      <c r="D662" s="79">
        <v>0</v>
      </c>
      <c r="E662" s="79" t="s">
        <v>1124</v>
      </c>
      <c r="F662" s="79" t="s">
        <v>2539</v>
      </c>
      <c r="G662" s="79" t="s">
        <v>2578</v>
      </c>
      <c r="H662" s="79"/>
      <c r="I662" s="79"/>
    </row>
    <row r="663" spans="1:9" ht="14.25">
      <c r="A663" s="79" t="s">
        <v>2756</v>
      </c>
      <c r="B663" s="79" t="s">
        <v>2757</v>
      </c>
      <c r="C663" s="79">
        <v>592023119</v>
      </c>
      <c r="D663" s="79">
        <v>0</v>
      </c>
      <c r="E663" s="79" t="s">
        <v>1124</v>
      </c>
      <c r="F663" s="79" t="s">
        <v>2539</v>
      </c>
      <c r="G663" s="79" t="s">
        <v>2546</v>
      </c>
      <c r="H663" s="79" t="s">
        <v>2547</v>
      </c>
      <c r="I663" s="79"/>
    </row>
    <row r="664" spans="1:9" ht="14.25">
      <c r="A664" s="79" t="s">
        <v>2756</v>
      </c>
      <c r="B664" s="79" t="s">
        <v>2757</v>
      </c>
      <c r="C664" s="79">
        <v>592023119</v>
      </c>
      <c r="D664" s="79">
        <v>0</v>
      </c>
      <c r="E664" s="79" t="s">
        <v>1124</v>
      </c>
      <c r="F664" s="79" t="s">
        <v>2539</v>
      </c>
      <c r="G664" s="79" t="s">
        <v>2581</v>
      </c>
      <c r="H664" s="79"/>
      <c r="I664" s="79"/>
    </row>
    <row r="665" spans="1:9" ht="14.25">
      <c r="A665" s="79" t="s">
        <v>2758</v>
      </c>
      <c r="B665" s="79" t="s">
        <v>2759</v>
      </c>
      <c r="C665" s="79">
        <v>592065719</v>
      </c>
      <c r="D665" s="79">
        <v>0</v>
      </c>
      <c r="E665" s="79" t="s">
        <v>1124</v>
      </c>
      <c r="F665" s="79" t="s">
        <v>2539</v>
      </c>
      <c r="G665" s="79" t="s">
        <v>1130</v>
      </c>
      <c r="H665" s="79"/>
      <c r="I665" s="79"/>
    </row>
    <row r="666" spans="1:9" ht="14.25">
      <c r="A666" s="79" t="s">
        <v>2758</v>
      </c>
      <c r="B666" s="79" t="s">
        <v>2759</v>
      </c>
      <c r="C666" s="79">
        <v>592065719</v>
      </c>
      <c r="D666" s="79">
        <v>0</v>
      </c>
      <c r="E666" s="79" t="s">
        <v>1124</v>
      </c>
      <c r="F666" s="79" t="s">
        <v>2539</v>
      </c>
      <c r="G666" s="79" t="s">
        <v>1131</v>
      </c>
      <c r="H666" s="79" t="s">
        <v>1132</v>
      </c>
      <c r="I666" s="79"/>
    </row>
    <row r="667" spans="1:9" ht="14.25">
      <c r="A667" s="79" t="s">
        <v>2758</v>
      </c>
      <c r="B667" s="79" t="s">
        <v>2759</v>
      </c>
      <c r="C667" s="79">
        <v>592065719</v>
      </c>
      <c r="D667" s="79">
        <v>0</v>
      </c>
      <c r="E667" s="79" t="s">
        <v>1124</v>
      </c>
      <c r="F667" s="79" t="s">
        <v>2539</v>
      </c>
      <c r="G667" s="79" t="s">
        <v>2578</v>
      </c>
      <c r="H667" s="79"/>
      <c r="I667" s="79"/>
    </row>
    <row r="668" spans="1:9" ht="14.25">
      <c r="A668" s="79" t="s">
        <v>2760</v>
      </c>
      <c r="B668" s="79" t="s">
        <v>2761</v>
      </c>
      <c r="C668" s="79">
        <v>592066319</v>
      </c>
      <c r="D668" s="79">
        <v>0</v>
      </c>
      <c r="E668" s="79" t="s">
        <v>1124</v>
      </c>
      <c r="F668" s="79" t="s">
        <v>2539</v>
      </c>
      <c r="G668" s="79" t="s">
        <v>2546</v>
      </c>
      <c r="H668" s="79" t="s">
        <v>2547</v>
      </c>
      <c r="I668" s="79"/>
    </row>
    <row r="669" spans="1:9" ht="14.25">
      <c r="A669" s="79" t="s">
        <v>2760</v>
      </c>
      <c r="B669" s="79" t="s">
        <v>2761</v>
      </c>
      <c r="C669" s="79">
        <v>592066319</v>
      </c>
      <c r="D669" s="79">
        <v>0</v>
      </c>
      <c r="E669" s="79" t="s">
        <v>1124</v>
      </c>
      <c r="F669" s="79" t="s">
        <v>2539</v>
      </c>
      <c r="G669" s="79" t="s">
        <v>2581</v>
      </c>
      <c r="H669" s="79"/>
      <c r="I669" s="79"/>
    </row>
    <row r="670" spans="1:9" ht="14.25">
      <c r="A670" s="79" t="s">
        <v>2762</v>
      </c>
      <c r="B670" s="79" t="s">
        <v>2763</v>
      </c>
      <c r="C670" s="79">
        <v>592108919</v>
      </c>
      <c r="D670" s="79">
        <v>0</v>
      </c>
      <c r="E670" s="79" t="s">
        <v>1124</v>
      </c>
      <c r="F670" s="79" t="s">
        <v>2539</v>
      </c>
      <c r="G670" s="79" t="s">
        <v>1130</v>
      </c>
      <c r="H670" s="79"/>
      <c r="I670" s="79"/>
    </row>
    <row r="671" spans="1:9" ht="14.25">
      <c r="A671" s="79" t="s">
        <v>2762</v>
      </c>
      <c r="B671" s="79" t="s">
        <v>2763</v>
      </c>
      <c r="C671" s="79">
        <v>592108919</v>
      </c>
      <c r="D671" s="79">
        <v>0</v>
      </c>
      <c r="E671" s="79" t="s">
        <v>1124</v>
      </c>
      <c r="F671" s="79" t="s">
        <v>2539</v>
      </c>
      <c r="G671" s="79" t="s">
        <v>1131</v>
      </c>
      <c r="H671" s="79" t="s">
        <v>1132</v>
      </c>
      <c r="I671" s="79"/>
    </row>
    <row r="672" spans="1:9" ht="14.25">
      <c r="A672" s="79" t="s">
        <v>2762</v>
      </c>
      <c r="B672" s="79" t="s">
        <v>2763</v>
      </c>
      <c r="C672" s="79">
        <v>592108919</v>
      </c>
      <c r="D672" s="79">
        <v>0</v>
      </c>
      <c r="E672" s="79" t="s">
        <v>1124</v>
      </c>
      <c r="F672" s="79" t="s">
        <v>2539</v>
      </c>
      <c r="G672" s="79" t="s">
        <v>2578</v>
      </c>
      <c r="H672" s="79"/>
      <c r="I672" s="79"/>
    </row>
    <row r="673" spans="1:9" ht="14.25">
      <c r="A673" s="79" t="s">
        <v>2764</v>
      </c>
      <c r="B673" s="79" t="s">
        <v>2765</v>
      </c>
      <c r="C673" s="79">
        <v>592109519</v>
      </c>
      <c r="D673" s="79">
        <v>0</v>
      </c>
      <c r="E673" s="79" t="s">
        <v>1124</v>
      </c>
      <c r="F673" s="79" t="s">
        <v>2539</v>
      </c>
      <c r="G673" s="79" t="s">
        <v>2546</v>
      </c>
      <c r="H673" s="79" t="s">
        <v>2547</v>
      </c>
      <c r="I673" s="79"/>
    </row>
    <row r="674" spans="1:9" ht="14.25">
      <c r="A674" s="79" t="s">
        <v>2764</v>
      </c>
      <c r="B674" s="79" t="s">
        <v>2765</v>
      </c>
      <c r="C674" s="79">
        <v>592109519</v>
      </c>
      <c r="D674" s="79">
        <v>0</v>
      </c>
      <c r="E674" s="79" t="s">
        <v>1124</v>
      </c>
      <c r="F674" s="79" t="s">
        <v>2539</v>
      </c>
      <c r="G674" s="79" t="s">
        <v>2581</v>
      </c>
      <c r="H674" s="79"/>
      <c r="I674" s="79"/>
    </row>
    <row r="675" spans="1:9" ht="14.25">
      <c r="A675" s="79" t="s">
        <v>2766</v>
      </c>
      <c r="B675" s="79" t="s">
        <v>2767</v>
      </c>
      <c r="C675" s="79">
        <v>592152119</v>
      </c>
      <c r="D675" s="79">
        <v>0</v>
      </c>
      <c r="E675" s="79" t="s">
        <v>1124</v>
      </c>
      <c r="F675" s="79" t="s">
        <v>2539</v>
      </c>
      <c r="G675" s="79" t="s">
        <v>1130</v>
      </c>
      <c r="H675" s="79"/>
      <c r="I675" s="79"/>
    </row>
    <row r="676" spans="1:9" ht="14.25">
      <c r="A676" s="79" t="s">
        <v>2766</v>
      </c>
      <c r="B676" s="79" t="s">
        <v>2767</v>
      </c>
      <c r="C676" s="79">
        <v>592152119</v>
      </c>
      <c r="D676" s="79">
        <v>0</v>
      </c>
      <c r="E676" s="79" t="s">
        <v>1124</v>
      </c>
      <c r="F676" s="79" t="s">
        <v>2539</v>
      </c>
      <c r="G676" s="79" t="s">
        <v>1131</v>
      </c>
      <c r="H676" s="79" t="s">
        <v>1132</v>
      </c>
      <c r="I676" s="79"/>
    </row>
    <row r="677" spans="1:9" ht="14.25">
      <c r="A677" s="79" t="s">
        <v>2766</v>
      </c>
      <c r="B677" s="79" t="s">
        <v>2767</v>
      </c>
      <c r="C677" s="79">
        <v>592152119</v>
      </c>
      <c r="D677" s="79">
        <v>0</v>
      </c>
      <c r="E677" s="79" t="s">
        <v>1124</v>
      </c>
      <c r="F677" s="79" t="s">
        <v>2539</v>
      </c>
      <c r="G677" s="79" t="s">
        <v>2578</v>
      </c>
      <c r="H677" s="79"/>
      <c r="I677" s="79"/>
    </row>
    <row r="678" spans="1:9" ht="14.25">
      <c r="A678" s="79" t="s">
        <v>2768</v>
      </c>
      <c r="B678" s="79" t="s">
        <v>2769</v>
      </c>
      <c r="C678" s="79">
        <v>592152719</v>
      </c>
      <c r="D678" s="79">
        <v>0</v>
      </c>
      <c r="E678" s="79" t="s">
        <v>1124</v>
      </c>
      <c r="F678" s="79" t="s">
        <v>2539</v>
      </c>
      <c r="G678" s="79" t="s">
        <v>2546</v>
      </c>
      <c r="H678" s="79" t="s">
        <v>2547</v>
      </c>
      <c r="I678" s="79"/>
    </row>
    <row r="679" spans="1:9" ht="14.25">
      <c r="A679" s="79" t="s">
        <v>2768</v>
      </c>
      <c r="B679" s="79" t="s">
        <v>2769</v>
      </c>
      <c r="C679" s="79">
        <v>592152719</v>
      </c>
      <c r="D679" s="79">
        <v>0</v>
      </c>
      <c r="E679" s="79" t="s">
        <v>1124</v>
      </c>
      <c r="F679" s="79" t="s">
        <v>2539</v>
      </c>
      <c r="G679" s="79" t="s">
        <v>2581</v>
      </c>
      <c r="H679" s="79"/>
      <c r="I679" s="79"/>
    </row>
    <row r="680" spans="1:9" ht="14.25">
      <c r="A680" s="79" t="s">
        <v>2770</v>
      </c>
      <c r="B680" s="79" t="s">
        <v>2771</v>
      </c>
      <c r="C680" s="79">
        <v>592195319</v>
      </c>
      <c r="D680" s="79">
        <v>0</v>
      </c>
      <c r="E680" s="79" t="s">
        <v>1124</v>
      </c>
      <c r="F680" s="79" t="s">
        <v>2539</v>
      </c>
      <c r="G680" s="79" t="s">
        <v>1130</v>
      </c>
      <c r="H680" s="79"/>
      <c r="I680" s="79"/>
    </row>
    <row r="681" spans="1:9" ht="14.25">
      <c r="A681" s="79" t="s">
        <v>2770</v>
      </c>
      <c r="B681" s="79" t="s">
        <v>2771</v>
      </c>
      <c r="C681" s="79">
        <v>592195319</v>
      </c>
      <c r="D681" s="79">
        <v>0</v>
      </c>
      <c r="E681" s="79" t="s">
        <v>1124</v>
      </c>
      <c r="F681" s="79" t="s">
        <v>2539</v>
      </c>
      <c r="G681" s="79" t="s">
        <v>1131</v>
      </c>
      <c r="H681" s="79" t="s">
        <v>1132</v>
      </c>
      <c r="I681" s="79"/>
    </row>
    <row r="682" spans="1:9" ht="14.25">
      <c r="A682" s="79" t="s">
        <v>2770</v>
      </c>
      <c r="B682" s="79" t="s">
        <v>2771</v>
      </c>
      <c r="C682" s="79">
        <v>592195319</v>
      </c>
      <c r="D682" s="79">
        <v>0</v>
      </c>
      <c r="E682" s="79" t="s">
        <v>1124</v>
      </c>
      <c r="F682" s="79" t="s">
        <v>2539</v>
      </c>
      <c r="G682" s="79" t="s">
        <v>2578</v>
      </c>
      <c r="H682" s="79"/>
      <c r="I682" s="79"/>
    </row>
    <row r="683" spans="1:9" ht="14.25">
      <c r="A683" s="79" t="s">
        <v>2772</v>
      </c>
      <c r="B683" s="79" t="s">
        <v>2773</v>
      </c>
      <c r="C683" s="79">
        <v>592195919</v>
      </c>
      <c r="D683" s="79">
        <v>0</v>
      </c>
      <c r="E683" s="79" t="s">
        <v>1124</v>
      </c>
      <c r="F683" s="79" t="s">
        <v>2539</v>
      </c>
      <c r="G683" s="79" t="s">
        <v>2546</v>
      </c>
      <c r="H683" s="79" t="s">
        <v>2547</v>
      </c>
      <c r="I683" s="79"/>
    </row>
    <row r="684" spans="1:9" ht="14.25">
      <c r="A684" s="79" t="s">
        <v>2772</v>
      </c>
      <c r="B684" s="79" t="s">
        <v>2773</v>
      </c>
      <c r="C684" s="79">
        <v>592195919</v>
      </c>
      <c r="D684" s="79">
        <v>0</v>
      </c>
      <c r="E684" s="79" t="s">
        <v>1124</v>
      </c>
      <c r="F684" s="79" t="s">
        <v>2539</v>
      </c>
      <c r="G684" s="79" t="s">
        <v>2581</v>
      </c>
      <c r="H684" s="79"/>
      <c r="I684" s="79"/>
    </row>
    <row r="685" spans="1:9" ht="14.25">
      <c r="A685" s="79" t="s">
        <v>2774</v>
      </c>
      <c r="B685" s="79" t="s">
        <v>2775</v>
      </c>
      <c r="C685" s="79">
        <v>592238519</v>
      </c>
      <c r="D685" s="79">
        <v>0</v>
      </c>
      <c r="E685" s="79" t="s">
        <v>1124</v>
      </c>
      <c r="F685" s="79" t="s">
        <v>2539</v>
      </c>
      <c r="G685" s="79" t="s">
        <v>1130</v>
      </c>
      <c r="H685" s="79"/>
      <c r="I685" s="79"/>
    </row>
    <row r="686" spans="1:9" ht="14.25">
      <c r="A686" s="79" t="s">
        <v>2774</v>
      </c>
      <c r="B686" s="79" t="s">
        <v>2775</v>
      </c>
      <c r="C686" s="79">
        <v>592238519</v>
      </c>
      <c r="D686" s="79">
        <v>0</v>
      </c>
      <c r="E686" s="79" t="s">
        <v>1124</v>
      </c>
      <c r="F686" s="79" t="s">
        <v>2539</v>
      </c>
      <c r="G686" s="79" t="s">
        <v>1131</v>
      </c>
      <c r="H686" s="79" t="s">
        <v>1132</v>
      </c>
      <c r="I686" s="79"/>
    </row>
    <row r="687" spans="1:9" ht="14.25">
      <c r="A687" s="79" t="s">
        <v>2774</v>
      </c>
      <c r="B687" s="79" t="s">
        <v>2775</v>
      </c>
      <c r="C687" s="79">
        <v>592238519</v>
      </c>
      <c r="D687" s="79">
        <v>0</v>
      </c>
      <c r="E687" s="79" t="s">
        <v>1124</v>
      </c>
      <c r="F687" s="79" t="s">
        <v>2539</v>
      </c>
      <c r="G687" s="79" t="s">
        <v>2578</v>
      </c>
      <c r="H687" s="79"/>
      <c r="I687" s="79"/>
    </row>
    <row r="688" spans="1:9" ht="14.25">
      <c r="A688" s="79" t="s">
        <v>2776</v>
      </c>
      <c r="B688" s="79" t="s">
        <v>2777</v>
      </c>
      <c r="C688" s="79">
        <v>592239119</v>
      </c>
      <c r="D688" s="79">
        <v>0</v>
      </c>
      <c r="E688" s="79" t="s">
        <v>1124</v>
      </c>
      <c r="F688" s="79" t="s">
        <v>2539</v>
      </c>
      <c r="G688" s="79" t="s">
        <v>2546</v>
      </c>
      <c r="H688" s="79" t="s">
        <v>2547</v>
      </c>
      <c r="I688" s="79"/>
    </row>
    <row r="689" spans="1:9" ht="14.25">
      <c r="A689" s="79" t="s">
        <v>2776</v>
      </c>
      <c r="B689" s="79" t="s">
        <v>2777</v>
      </c>
      <c r="C689" s="79">
        <v>592239119</v>
      </c>
      <c r="D689" s="79">
        <v>0</v>
      </c>
      <c r="E689" s="79" t="s">
        <v>1124</v>
      </c>
      <c r="F689" s="79" t="s">
        <v>2539</v>
      </c>
      <c r="G689" s="79" t="s">
        <v>2581</v>
      </c>
      <c r="H689" s="79"/>
      <c r="I689" s="79"/>
    </row>
    <row r="690" spans="1:9" ht="14.25">
      <c r="A690" s="79" t="s">
        <v>2778</v>
      </c>
      <c r="B690" s="79" t="s">
        <v>2779</v>
      </c>
      <c r="C690" s="79">
        <v>592281719</v>
      </c>
      <c r="D690" s="79">
        <v>0</v>
      </c>
      <c r="E690" s="79" t="s">
        <v>1124</v>
      </c>
      <c r="F690" s="79" t="s">
        <v>2539</v>
      </c>
      <c r="G690" s="79" t="s">
        <v>1130</v>
      </c>
      <c r="H690" s="79"/>
      <c r="I690" s="79"/>
    </row>
    <row r="691" spans="1:9" ht="14.25">
      <c r="A691" s="79" t="s">
        <v>2778</v>
      </c>
      <c r="B691" s="79" t="s">
        <v>2779</v>
      </c>
      <c r="C691" s="79">
        <v>592281719</v>
      </c>
      <c r="D691" s="79">
        <v>0</v>
      </c>
      <c r="E691" s="79" t="s">
        <v>1124</v>
      </c>
      <c r="F691" s="79" t="s">
        <v>2539</v>
      </c>
      <c r="G691" s="79" t="s">
        <v>1131</v>
      </c>
      <c r="H691" s="79" t="s">
        <v>1132</v>
      </c>
      <c r="I691" s="79"/>
    </row>
    <row r="692" spans="1:9" ht="14.25">
      <c r="A692" s="79" t="s">
        <v>2778</v>
      </c>
      <c r="B692" s="79" t="s">
        <v>2779</v>
      </c>
      <c r="C692" s="79">
        <v>592281719</v>
      </c>
      <c r="D692" s="79">
        <v>0</v>
      </c>
      <c r="E692" s="79" t="s">
        <v>1124</v>
      </c>
      <c r="F692" s="79" t="s">
        <v>2539</v>
      </c>
      <c r="G692" s="79" t="s">
        <v>2578</v>
      </c>
      <c r="H692" s="79"/>
      <c r="I692" s="79"/>
    </row>
    <row r="693" spans="1:9" ht="14.25">
      <c r="A693" s="79" t="s">
        <v>2780</v>
      </c>
      <c r="B693" s="79" t="s">
        <v>2781</v>
      </c>
      <c r="C693" s="79">
        <v>592282319</v>
      </c>
      <c r="D693" s="79">
        <v>0</v>
      </c>
      <c r="E693" s="79" t="s">
        <v>1124</v>
      </c>
      <c r="F693" s="79" t="s">
        <v>2539</v>
      </c>
      <c r="G693" s="79" t="s">
        <v>2546</v>
      </c>
      <c r="H693" s="79" t="s">
        <v>2547</v>
      </c>
      <c r="I693" s="79"/>
    </row>
    <row r="694" spans="1:9" ht="14.25">
      <c r="A694" s="79" t="s">
        <v>2780</v>
      </c>
      <c r="B694" s="79" t="s">
        <v>2781</v>
      </c>
      <c r="C694" s="79">
        <v>592282319</v>
      </c>
      <c r="D694" s="79">
        <v>0</v>
      </c>
      <c r="E694" s="79" t="s">
        <v>1124</v>
      </c>
      <c r="F694" s="79" t="s">
        <v>2539</v>
      </c>
      <c r="G694" s="79" t="s">
        <v>2581</v>
      </c>
      <c r="H694" s="79"/>
      <c r="I694" s="79"/>
    </row>
    <row r="695" spans="1:9" ht="14.25">
      <c r="A695" s="79" t="s">
        <v>2782</v>
      </c>
      <c r="B695" s="79" t="s">
        <v>2783</v>
      </c>
      <c r="C695" s="79">
        <v>592324919</v>
      </c>
      <c r="D695" s="79">
        <v>0</v>
      </c>
      <c r="E695" s="79" t="s">
        <v>1124</v>
      </c>
      <c r="F695" s="79" t="s">
        <v>2539</v>
      </c>
      <c r="G695" s="79" t="s">
        <v>1130</v>
      </c>
      <c r="H695" s="79"/>
      <c r="I695" s="79"/>
    </row>
    <row r="696" spans="1:9" ht="14.25">
      <c r="A696" s="79" t="s">
        <v>2782</v>
      </c>
      <c r="B696" s="79" t="s">
        <v>2783</v>
      </c>
      <c r="C696" s="79">
        <v>592324919</v>
      </c>
      <c r="D696" s="79">
        <v>0</v>
      </c>
      <c r="E696" s="79" t="s">
        <v>1124</v>
      </c>
      <c r="F696" s="79" t="s">
        <v>2539</v>
      </c>
      <c r="G696" s="79" t="s">
        <v>1131</v>
      </c>
      <c r="H696" s="79" t="s">
        <v>1132</v>
      </c>
      <c r="I696" s="79"/>
    </row>
    <row r="697" spans="1:9" ht="14.25">
      <c r="A697" s="79" t="s">
        <v>2782</v>
      </c>
      <c r="B697" s="79" t="s">
        <v>2783</v>
      </c>
      <c r="C697" s="79">
        <v>592324919</v>
      </c>
      <c r="D697" s="79">
        <v>0</v>
      </c>
      <c r="E697" s="79" t="s">
        <v>1124</v>
      </c>
      <c r="F697" s="79" t="s">
        <v>2539</v>
      </c>
      <c r="G697" s="79" t="s">
        <v>2578</v>
      </c>
      <c r="H697" s="79"/>
      <c r="I697" s="79"/>
    </row>
    <row r="698" spans="1:9" ht="14.25">
      <c r="A698" s="79" t="s">
        <v>2784</v>
      </c>
      <c r="B698" s="79" t="s">
        <v>2785</v>
      </c>
      <c r="C698" s="79">
        <v>592325519</v>
      </c>
      <c r="D698" s="79">
        <v>0</v>
      </c>
      <c r="E698" s="79" t="s">
        <v>1124</v>
      </c>
      <c r="F698" s="79" t="s">
        <v>2539</v>
      </c>
      <c r="G698" s="79" t="s">
        <v>2546</v>
      </c>
      <c r="H698" s="79" t="s">
        <v>2547</v>
      </c>
      <c r="I698" s="79"/>
    </row>
    <row r="699" spans="1:9" ht="14.25">
      <c r="A699" s="79" t="s">
        <v>2784</v>
      </c>
      <c r="B699" s="79" t="s">
        <v>2785</v>
      </c>
      <c r="C699" s="79">
        <v>592325519</v>
      </c>
      <c r="D699" s="79">
        <v>0</v>
      </c>
      <c r="E699" s="79" t="s">
        <v>1124</v>
      </c>
      <c r="F699" s="79" t="s">
        <v>2539</v>
      </c>
      <c r="G699" s="79" t="s">
        <v>2581</v>
      </c>
      <c r="H699" s="79"/>
      <c r="I699" s="79"/>
    </row>
    <row r="700" spans="1:9" ht="14.25">
      <c r="A700" s="79" t="s">
        <v>2786</v>
      </c>
      <c r="B700" s="79" t="s">
        <v>2787</v>
      </c>
      <c r="C700" s="79">
        <v>592368119</v>
      </c>
      <c r="D700" s="79">
        <v>0</v>
      </c>
      <c r="E700" s="79" t="s">
        <v>1124</v>
      </c>
      <c r="F700" s="79" t="s">
        <v>2539</v>
      </c>
      <c r="G700" s="79" t="s">
        <v>1130</v>
      </c>
      <c r="H700" s="79"/>
      <c r="I700" s="79"/>
    </row>
    <row r="701" spans="1:9" ht="14.25">
      <c r="A701" s="79" t="s">
        <v>2786</v>
      </c>
      <c r="B701" s="79" t="s">
        <v>2787</v>
      </c>
      <c r="C701" s="79">
        <v>592368119</v>
      </c>
      <c r="D701" s="79">
        <v>0</v>
      </c>
      <c r="E701" s="79" t="s">
        <v>1124</v>
      </c>
      <c r="F701" s="79" t="s">
        <v>2539</v>
      </c>
      <c r="G701" s="79" t="s">
        <v>1131</v>
      </c>
      <c r="H701" s="79" t="s">
        <v>1132</v>
      </c>
      <c r="I701" s="79"/>
    </row>
    <row r="702" spans="1:9" ht="14.25">
      <c r="A702" s="79" t="s">
        <v>2786</v>
      </c>
      <c r="B702" s="79" t="s">
        <v>2787</v>
      </c>
      <c r="C702" s="79">
        <v>592368119</v>
      </c>
      <c r="D702" s="79">
        <v>0</v>
      </c>
      <c r="E702" s="79" t="s">
        <v>1124</v>
      </c>
      <c r="F702" s="79" t="s">
        <v>2539</v>
      </c>
      <c r="G702" s="79" t="s">
        <v>2578</v>
      </c>
      <c r="H702" s="79"/>
      <c r="I702" s="79"/>
    </row>
    <row r="703" spans="1:9" ht="14.25">
      <c r="A703" s="79" t="s">
        <v>2788</v>
      </c>
      <c r="B703" s="79" t="s">
        <v>2789</v>
      </c>
      <c r="C703" s="79">
        <v>592368719</v>
      </c>
      <c r="D703" s="79">
        <v>0</v>
      </c>
      <c r="E703" s="79" t="s">
        <v>1124</v>
      </c>
      <c r="F703" s="79" t="s">
        <v>2539</v>
      </c>
      <c r="G703" s="79" t="s">
        <v>2546</v>
      </c>
      <c r="H703" s="79" t="s">
        <v>2547</v>
      </c>
      <c r="I703" s="79"/>
    </row>
    <row r="704" spans="1:9" ht="14.25">
      <c r="A704" s="79" t="s">
        <v>2788</v>
      </c>
      <c r="B704" s="79" t="s">
        <v>2789</v>
      </c>
      <c r="C704" s="79">
        <v>592368719</v>
      </c>
      <c r="D704" s="79">
        <v>0</v>
      </c>
      <c r="E704" s="79" t="s">
        <v>1124</v>
      </c>
      <c r="F704" s="79" t="s">
        <v>2539</v>
      </c>
      <c r="G704" s="79" t="s">
        <v>2581</v>
      </c>
      <c r="H704" s="79"/>
      <c r="I704" s="79"/>
    </row>
    <row r="705" spans="1:9" ht="14.25">
      <c r="A705" s="79" t="s">
        <v>2790</v>
      </c>
      <c r="B705" s="79" t="s">
        <v>2791</v>
      </c>
      <c r="C705" s="79">
        <v>592411319</v>
      </c>
      <c r="D705" s="79">
        <v>0</v>
      </c>
      <c r="E705" s="79" t="s">
        <v>1124</v>
      </c>
      <c r="F705" s="79" t="s">
        <v>2539</v>
      </c>
      <c r="G705" s="79" t="s">
        <v>1130</v>
      </c>
      <c r="H705" s="79"/>
      <c r="I705" s="79"/>
    </row>
    <row r="706" spans="1:9" ht="14.25">
      <c r="A706" s="79" t="s">
        <v>2790</v>
      </c>
      <c r="B706" s="79" t="s">
        <v>2791</v>
      </c>
      <c r="C706" s="79">
        <v>592411319</v>
      </c>
      <c r="D706" s="79">
        <v>0</v>
      </c>
      <c r="E706" s="79" t="s">
        <v>1124</v>
      </c>
      <c r="F706" s="79" t="s">
        <v>2539</v>
      </c>
      <c r="G706" s="79" t="s">
        <v>1131</v>
      </c>
      <c r="H706" s="79" t="s">
        <v>1132</v>
      </c>
      <c r="I706" s="79"/>
    </row>
    <row r="707" spans="1:9" ht="14.25">
      <c r="A707" s="79" t="s">
        <v>2790</v>
      </c>
      <c r="B707" s="79" t="s">
        <v>2791</v>
      </c>
      <c r="C707" s="79">
        <v>592411319</v>
      </c>
      <c r="D707" s="79">
        <v>0</v>
      </c>
      <c r="E707" s="79" t="s">
        <v>1124</v>
      </c>
      <c r="F707" s="79" t="s">
        <v>2539</v>
      </c>
      <c r="G707" s="79" t="s">
        <v>2578</v>
      </c>
      <c r="H707" s="79"/>
      <c r="I707" s="79"/>
    </row>
    <row r="708" spans="1:9" ht="14.25">
      <c r="A708" s="79" t="s">
        <v>2792</v>
      </c>
      <c r="B708" s="79" t="s">
        <v>2793</v>
      </c>
      <c r="C708" s="79">
        <v>592411919</v>
      </c>
      <c r="D708" s="79">
        <v>0</v>
      </c>
      <c r="E708" s="79" t="s">
        <v>1124</v>
      </c>
      <c r="F708" s="79" t="s">
        <v>2539</v>
      </c>
      <c r="G708" s="79" t="s">
        <v>2546</v>
      </c>
      <c r="H708" s="79" t="s">
        <v>2547</v>
      </c>
      <c r="I708" s="79"/>
    </row>
    <row r="709" spans="1:9" ht="14.25">
      <c r="A709" s="79" t="s">
        <v>2792</v>
      </c>
      <c r="B709" s="79" t="s">
        <v>2793</v>
      </c>
      <c r="C709" s="79">
        <v>592411919</v>
      </c>
      <c r="D709" s="79">
        <v>0</v>
      </c>
      <c r="E709" s="79" t="s">
        <v>1124</v>
      </c>
      <c r="F709" s="79" t="s">
        <v>2539</v>
      </c>
      <c r="G709" s="79" t="s">
        <v>2581</v>
      </c>
      <c r="H709" s="79"/>
      <c r="I709" s="79"/>
    </row>
    <row r="710" spans="1:9" ht="14.25">
      <c r="A710" s="79" t="s">
        <v>2794</v>
      </c>
      <c r="B710" s="79" t="s">
        <v>2795</v>
      </c>
      <c r="C710" s="79">
        <v>592454519</v>
      </c>
      <c r="D710" s="79">
        <v>0</v>
      </c>
      <c r="E710" s="79" t="s">
        <v>1124</v>
      </c>
      <c r="F710" s="79" t="s">
        <v>2539</v>
      </c>
      <c r="G710" s="79" t="s">
        <v>1130</v>
      </c>
      <c r="H710" s="79"/>
      <c r="I710" s="79"/>
    </row>
    <row r="711" spans="1:9" ht="14.25">
      <c r="A711" s="79" t="s">
        <v>2794</v>
      </c>
      <c r="B711" s="79" t="s">
        <v>2795</v>
      </c>
      <c r="C711" s="79">
        <v>592454519</v>
      </c>
      <c r="D711" s="79">
        <v>0</v>
      </c>
      <c r="E711" s="79" t="s">
        <v>1124</v>
      </c>
      <c r="F711" s="79" t="s">
        <v>2539</v>
      </c>
      <c r="G711" s="79" t="s">
        <v>1131</v>
      </c>
      <c r="H711" s="79" t="s">
        <v>1132</v>
      </c>
      <c r="I711" s="79"/>
    </row>
    <row r="712" spans="1:9" ht="14.25">
      <c r="A712" s="79" t="s">
        <v>2794</v>
      </c>
      <c r="B712" s="79" t="s">
        <v>2795</v>
      </c>
      <c r="C712" s="79">
        <v>592454519</v>
      </c>
      <c r="D712" s="79">
        <v>0</v>
      </c>
      <c r="E712" s="79" t="s">
        <v>1124</v>
      </c>
      <c r="F712" s="79" t="s">
        <v>2539</v>
      </c>
      <c r="G712" s="79" t="s">
        <v>2578</v>
      </c>
      <c r="H712" s="79"/>
      <c r="I712" s="79"/>
    </row>
    <row r="713" spans="1:9" ht="14.25">
      <c r="A713" s="79" t="s">
        <v>2796</v>
      </c>
      <c r="B713" s="79" t="s">
        <v>2797</v>
      </c>
      <c r="C713" s="79">
        <v>592455119</v>
      </c>
      <c r="D713" s="79">
        <v>0</v>
      </c>
      <c r="E713" s="79" t="s">
        <v>1124</v>
      </c>
      <c r="F713" s="79" t="s">
        <v>2539</v>
      </c>
      <c r="G713" s="79" t="s">
        <v>2546</v>
      </c>
      <c r="H713" s="79" t="s">
        <v>2547</v>
      </c>
      <c r="I713" s="79"/>
    </row>
    <row r="714" spans="1:9" ht="14.25">
      <c r="A714" s="79" t="s">
        <v>2796</v>
      </c>
      <c r="B714" s="79" t="s">
        <v>2797</v>
      </c>
      <c r="C714" s="79">
        <v>592455119</v>
      </c>
      <c r="D714" s="79">
        <v>0</v>
      </c>
      <c r="E714" s="79" t="s">
        <v>1124</v>
      </c>
      <c r="F714" s="79" t="s">
        <v>2539</v>
      </c>
      <c r="G714" s="79" t="s">
        <v>2581</v>
      </c>
      <c r="H714" s="79"/>
      <c r="I714" s="79"/>
    </row>
    <row r="715" spans="1:9" ht="14.25">
      <c r="A715" s="79" t="s">
        <v>2798</v>
      </c>
      <c r="B715" s="79" t="s">
        <v>2799</v>
      </c>
      <c r="C715" s="79">
        <v>592497719</v>
      </c>
      <c r="D715" s="79">
        <v>0</v>
      </c>
      <c r="E715" s="79" t="s">
        <v>1124</v>
      </c>
      <c r="F715" s="79" t="s">
        <v>2539</v>
      </c>
      <c r="G715" s="79" t="s">
        <v>1130</v>
      </c>
      <c r="H715" s="79"/>
      <c r="I715" s="79"/>
    </row>
    <row r="716" spans="1:9" ht="14.25">
      <c r="A716" s="79" t="s">
        <v>2798</v>
      </c>
      <c r="B716" s="79" t="s">
        <v>2799</v>
      </c>
      <c r="C716" s="79">
        <v>592497719</v>
      </c>
      <c r="D716" s="79">
        <v>0</v>
      </c>
      <c r="E716" s="79" t="s">
        <v>1124</v>
      </c>
      <c r="F716" s="79" t="s">
        <v>2539</v>
      </c>
      <c r="G716" s="79" t="s">
        <v>1131</v>
      </c>
      <c r="H716" s="79" t="s">
        <v>1132</v>
      </c>
      <c r="I716" s="79"/>
    </row>
    <row r="717" spans="1:9" ht="14.25">
      <c r="A717" s="79" t="s">
        <v>2798</v>
      </c>
      <c r="B717" s="79" t="s">
        <v>2799</v>
      </c>
      <c r="C717" s="79">
        <v>592497719</v>
      </c>
      <c r="D717" s="79">
        <v>0</v>
      </c>
      <c r="E717" s="79" t="s">
        <v>1124</v>
      </c>
      <c r="F717" s="79" t="s">
        <v>2539</v>
      </c>
      <c r="G717" s="79" t="s">
        <v>2578</v>
      </c>
      <c r="H717" s="79"/>
      <c r="I717" s="79"/>
    </row>
    <row r="718" spans="1:9" ht="14.25">
      <c r="A718" s="79" t="s">
        <v>2800</v>
      </c>
      <c r="B718" s="79" t="s">
        <v>2801</v>
      </c>
      <c r="C718" s="79">
        <v>592498319</v>
      </c>
      <c r="D718" s="79">
        <v>0</v>
      </c>
      <c r="E718" s="79" t="s">
        <v>1124</v>
      </c>
      <c r="F718" s="79" t="s">
        <v>2539</v>
      </c>
      <c r="G718" s="79" t="s">
        <v>2546</v>
      </c>
      <c r="H718" s="79" t="s">
        <v>2547</v>
      </c>
      <c r="I718" s="79"/>
    </row>
    <row r="719" spans="1:9" ht="14.25">
      <c r="A719" s="79" t="s">
        <v>2800</v>
      </c>
      <c r="B719" s="79" t="s">
        <v>2801</v>
      </c>
      <c r="C719" s="79">
        <v>592498319</v>
      </c>
      <c r="D719" s="79">
        <v>0</v>
      </c>
      <c r="E719" s="79" t="s">
        <v>1124</v>
      </c>
      <c r="F719" s="79" t="s">
        <v>2539</v>
      </c>
      <c r="G719" s="79" t="s">
        <v>2581</v>
      </c>
      <c r="H719" s="79"/>
      <c r="I719" s="79"/>
    </row>
    <row r="720" spans="1:9" ht="14.25">
      <c r="A720" s="79" t="s">
        <v>2802</v>
      </c>
      <c r="B720" s="79" t="s">
        <v>2803</v>
      </c>
      <c r="C720" s="79">
        <v>592540919</v>
      </c>
      <c r="D720" s="79">
        <v>0</v>
      </c>
      <c r="E720" s="79" t="s">
        <v>1124</v>
      </c>
      <c r="F720" s="79" t="s">
        <v>2539</v>
      </c>
      <c r="G720" s="79" t="s">
        <v>1130</v>
      </c>
      <c r="H720" s="79"/>
      <c r="I720" s="79"/>
    </row>
    <row r="721" spans="1:9" ht="14.25">
      <c r="A721" s="79" t="s">
        <v>2802</v>
      </c>
      <c r="B721" s="79" t="s">
        <v>2803</v>
      </c>
      <c r="C721" s="79">
        <v>592540919</v>
      </c>
      <c r="D721" s="79">
        <v>0</v>
      </c>
      <c r="E721" s="79" t="s">
        <v>1124</v>
      </c>
      <c r="F721" s="79" t="s">
        <v>2539</v>
      </c>
      <c r="G721" s="79" t="s">
        <v>1131</v>
      </c>
      <c r="H721" s="79" t="s">
        <v>1132</v>
      </c>
      <c r="I721" s="79"/>
    </row>
    <row r="722" spans="1:9" ht="14.25">
      <c r="A722" s="79" t="s">
        <v>2802</v>
      </c>
      <c r="B722" s="79" t="s">
        <v>2803</v>
      </c>
      <c r="C722" s="79">
        <v>592540919</v>
      </c>
      <c r="D722" s="79">
        <v>0</v>
      </c>
      <c r="E722" s="79" t="s">
        <v>1124</v>
      </c>
      <c r="F722" s="79" t="s">
        <v>2539</v>
      </c>
      <c r="G722" s="79" t="s">
        <v>2578</v>
      </c>
      <c r="H722" s="79"/>
      <c r="I722" s="79"/>
    </row>
    <row r="723" spans="1:9" ht="14.25">
      <c r="A723" s="79" t="s">
        <v>2804</v>
      </c>
      <c r="B723" s="79" t="s">
        <v>2805</v>
      </c>
      <c r="C723" s="79">
        <v>592541519</v>
      </c>
      <c r="D723" s="79">
        <v>0</v>
      </c>
      <c r="E723" s="79" t="s">
        <v>1124</v>
      </c>
      <c r="F723" s="79" t="s">
        <v>2539</v>
      </c>
      <c r="G723" s="79" t="s">
        <v>2546</v>
      </c>
      <c r="H723" s="79" t="s">
        <v>2547</v>
      </c>
      <c r="I723" s="79"/>
    </row>
    <row r="724" spans="1:9" ht="14.25">
      <c r="A724" s="79" t="s">
        <v>2804</v>
      </c>
      <c r="B724" s="79" t="s">
        <v>2805</v>
      </c>
      <c r="C724" s="79">
        <v>592541519</v>
      </c>
      <c r="D724" s="79">
        <v>0</v>
      </c>
      <c r="E724" s="79" t="s">
        <v>1124</v>
      </c>
      <c r="F724" s="79" t="s">
        <v>2539</v>
      </c>
      <c r="G724" s="79" t="s">
        <v>2581</v>
      </c>
      <c r="H724" s="79"/>
      <c r="I724" s="79"/>
    </row>
    <row r="725" spans="1:9" ht="14.25">
      <c r="A725" s="79" t="s">
        <v>2806</v>
      </c>
      <c r="B725" s="79" t="s">
        <v>2807</v>
      </c>
      <c r="C725" s="79">
        <v>592584119</v>
      </c>
      <c r="D725" s="79">
        <v>0</v>
      </c>
      <c r="E725" s="79" t="s">
        <v>1124</v>
      </c>
      <c r="F725" s="79" t="s">
        <v>2539</v>
      </c>
      <c r="G725" s="79" t="s">
        <v>1130</v>
      </c>
      <c r="H725" s="79"/>
      <c r="I725" s="79"/>
    </row>
    <row r="726" spans="1:9" ht="14.25">
      <c r="A726" s="79" t="s">
        <v>2806</v>
      </c>
      <c r="B726" s="79" t="s">
        <v>2807</v>
      </c>
      <c r="C726" s="79">
        <v>592584119</v>
      </c>
      <c r="D726" s="79">
        <v>0</v>
      </c>
      <c r="E726" s="79" t="s">
        <v>1124</v>
      </c>
      <c r="F726" s="79" t="s">
        <v>2539</v>
      </c>
      <c r="G726" s="79" t="s">
        <v>1131</v>
      </c>
      <c r="H726" s="79" t="s">
        <v>1132</v>
      </c>
      <c r="I726" s="79"/>
    </row>
    <row r="727" spans="1:9" ht="14.25">
      <c r="A727" s="79" t="s">
        <v>2806</v>
      </c>
      <c r="B727" s="79" t="s">
        <v>2807</v>
      </c>
      <c r="C727" s="79">
        <v>592584119</v>
      </c>
      <c r="D727" s="79">
        <v>0</v>
      </c>
      <c r="E727" s="79" t="s">
        <v>1124</v>
      </c>
      <c r="F727" s="79" t="s">
        <v>2539</v>
      </c>
      <c r="G727" s="79" t="s">
        <v>2578</v>
      </c>
      <c r="H727" s="79"/>
      <c r="I727" s="79"/>
    </row>
    <row r="728" spans="1:9" ht="14.25">
      <c r="A728" s="79" t="s">
        <v>2808</v>
      </c>
      <c r="B728" s="79" t="s">
        <v>2809</v>
      </c>
      <c r="C728" s="79">
        <v>592584719</v>
      </c>
      <c r="D728" s="79">
        <v>0</v>
      </c>
      <c r="E728" s="79" t="s">
        <v>1124</v>
      </c>
      <c r="F728" s="79" t="s">
        <v>2539</v>
      </c>
      <c r="G728" s="79" t="s">
        <v>2546</v>
      </c>
      <c r="H728" s="79" t="s">
        <v>2547</v>
      </c>
      <c r="I728" s="79"/>
    </row>
    <row r="729" spans="1:9" ht="14.25">
      <c r="A729" s="79" t="s">
        <v>2808</v>
      </c>
      <c r="B729" s="79" t="s">
        <v>2809</v>
      </c>
      <c r="C729" s="79">
        <v>592584719</v>
      </c>
      <c r="D729" s="79">
        <v>0</v>
      </c>
      <c r="E729" s="79" t="s">
        <v>1124</v>
      </c>
      <c r="F729" s="79" t="s">
        <v>2539</v>
      </c>
      <c r="G729" s="79" t="s">
        <v>2581</v>
      </c>
      <c r="H729" s="79"/>
      <c r="I729" s="79"/>
    </row>
    <row r="730" spans="1:9" ht="14.25">
      <c r="A730" s="79" t="s">
        <v>2810</v>
      </c>
      <c r="B730" s="79" t="s">
        <v>2811</v>
      </c>
      <c r="C730" s="79">
        <v>592627319</v>
      </c>
      <c r="D730" s="79">
        <v>0</v>
      </c>
      <c r="E730" s="79" t="s">
        <v>1124</v>
      </c>
      <c r="F730" s="79" t="s">
        <v>2539</v>
      </c>
      <c r="G730" s="79" t="s">
        <v>1130</v>
      </c>
      <c r="H730" s="79"/>
      <c r="I730" s="79"/>
    </row>
    <row r="731" spans="1:9" ht="14.25">
      <c r="A731" s="79" t="s">
        <v>2810</v>
      </c>
      <c r="B731" s="79" t="s">
        <v>2811</v>
      </c>
      <c r="C731" s="79">
        <v>592627319</v>
      </c>
      <c r="D731" s="79">
        <v>0</v>
      </c>
      <c r="E731" s="79" t="s">
        <v>1124</v>
      </c>
      <c r="F731" s="79" t="s">
        <v>2539</v>
      </c>
      <c r="G731" s="79" t="s">
        <v>1131</v>
      </c>
      <c r="H731" s="79" t="s">
        <v>1132</v>
      </c>
      <c r="I731" s="79"/>
    </row>
    <row r="732" spans="1:9" ht="14.25">
      <c r="A732" s="79" t="s">
        <v>2810</v>
      </c>
      <c r="B732" s="79" t="s">
        <v>2811</v>
      </c>
      <c r="C732" s="79">
        <v>592627319</v>
      </c>
      <c r="D732" s="79">
        <v>0</v>
      </c>
      <c r="E732" s="79" t="s">
        <v>1124</v>
      </c>
      <c r="F732" s="79" t="s">
        <v>2539</v>
      </c>
      <c r="G732" s="79" t="s">
        <v>2578</v>
      </c>
      <c r="H732" s="79"/>
      <c r="I732" s="79"/>
    </row>
    <row r="733" spans="1:9" ht="14.25">
      <c r="A733" s="79" t="s">
        <v>2812</v>
      </c>
      <c r="B733" s="79" t="s">
        <v>2813</v>
      </c>
      <c r="C733" s="79">
        <v>592627919</v>
      </c>
      <c r="D733" s="79">
        <v>0</v>
      </c>
      <c r="E733" s="79" t="s">
        <v>1124</v>
      </c>
      <c r="F733" s="79" t="s">
        <v>2539</v>
      </c>
      <c r="G733" s="79" t="s">
        <v>2546</v>
      </c>
      <c r="H733" s="79" t="s">
        <v>2547</v>
      </c>
      <c r="I733" s="79"/>
    </row>
    <row r="734" spans="1:9" ht="14.25">
      <c r="A734" s="79" t="s">
        <v>2812</v>
      </c>
      <c r="B734" s="79" t="s">
        <v>2813</v>
      </c>
      <c r="C734" s="79">
        <v>592627919</v>
      </c>
      <c r="D734" s="79">
        <v>0</v>
      </c>
      <c r="E734" s="79" t="s">
        <v>1124</v>
      </c>
      <c r="F734" s="79" t="s">
        <v>2539</v>
      </c>
      <c r="G734" s="79" t="s">
        <v>2581</v>
      </c>
      <c r="H734" s="79"/>
      <c r="I734" s="79"/>
    </row>
    <row r="735" spans="1:9" ht="14.25">
      <c r="A735" s="79" t="s">
        <v>2814</v>
      </c>
      <c r="B735" s="79" t="s">
        <v>2815</v>
      </c>
      <c r="C735" s="79">
        <v>592670519</v>
      </c>
      <c r="D735" s="79">
        <v>0</v>
      </c>
      <c r="E735" s="79" t="s">
        <v>1124</v>
      </c>
      <c r="F735" s="79" t="s">
        <v>2539</v>
      </c>
      <c r="G735" s="79" t="s">
        <v>1130</v>
      </c>
      <c r="H735" s="79"/>
      <c r="I735" s="79"/>
    </row>
    <row r="736" spans="1:9" ht="14.25">
      <c r="A736" s="79" t="s">
        <v>2814</v>
      </c>
      <c r="B736" s="79" t="s">
        <v>2815</v>
      </c>
      <c r="C736" s="79">
        <v>592670519</v>
      </c>
      <c r="D736" s="79">
        <v>0</v>
      </c>
      <c r="E736" s="79" t="s">
        <v>1124</v>
      </c>
      <c r="F736" s="79" t="s">
        <v>2539</v>
      </c>
      <c r="G736" s="79" t="s">
        <v>1131</v>
      </c>
      <c r="H736" s="79" t="s">
        <v>1132</v>
      </c>
      <c r="I736" s="79"/>
    </row>
    <row r="737" spans="1:9" ht="14.25">
      <c r="A737" s="79" t="s">
        <v>2814</v>
      </c>
      <c r="B737" s="79" t="s">
        <v>2815</v>
      </c>
      <c r="C737" s="79">
        <v>592670519</v>
      </c>
      <c r="D737" s="79">
        <v>0</v>
      </c>
      <c r="E737" s="79" t="s">
        <v>1124</v>
      </c>
      <c r="F737" s="79" t="s">
        <v>2539</v>
      </c>
      <c r="G737" s="79" t="s">
        <v>2578</v>
      </c>
      <c r="H737" s="79"/>
      <c r="I737" s="79"/>
    </row>
    <row r="738" spans="1:9" ht="14.25">
      <c r="A738" s="79" t="s">
        <v>2816</v>
      </c>
      <c r="B738" s="79" t="s">
        <v>2817</v>
      </c>
      <c r="C738" s="79">
        <v>592671119</v>
      </c>
      <c r="D738" s="79">
        <v>0</v>
      </c>
      <c r="E738" s="79" t="s">
        <v>1124</v>
      </c>
      <c r="F738" s="79" t="s">
        <v>2539</v>
      </c>
      <c r="G738" s="79" t="s">
        <v>2546</v>
      </c>
      <c r="H738" s="79" t="s">
        <v>2547</v>
      </c>
      <c r="I738" s="79"/>
    </row>
    <row r="739" spans="1:9" ht="14.25">
      <c r="A739" s="79" t="s">
        <v>2816</v>
      </c>
      <c r="B739" s="79" t="s">
        <v>2817</v>
      </c>
      <c r="C739" s="79">
        <v>592671119</v>
      </c>
      <c r="D739" s="79">
        <v>0</v>
      </c>
      <c r="E739" s="79" t="s">
        <v>1124</v>
      </c>
      <c r="F739" s="79" t="s">
        <v>2539</v>
      </c>
      <c r="G739" s="79" t="s">
        <v>2581</v>
      </c>
      <c r="H739" s="79"/>
      <c r="I739" s="79"/>
    </row>
    <row r="740" spans="1:9" ht="14.25">
      <c r="A740" s="79" t="s">
        <v>2818</v>
      </c>
      <c r="B740" s="79" t="s">
        <v>2819</v>
      </c>
      <c r="C740" s="79">
        <v>592713719</v>
      </c>
      <c r="D740" s="79">
        <v>0</v>
      </c>
      <c r="E740" s="79" t="s">
        <v>1124</v>
      </c>
      <c r="F740" s="79" t="s">
        <v>2539</v>
      </c>
      <c r="G740" s="79" t="s">
        <v>1130</v>
      </c>
      <c r="H740" s="79"/>
      <c r="I740" s="79"/>
    </row>
    <row r="741" spans="1:9" ht="14.25">
      <c r="A741" s="79" t="s">
        <v>2818</v>
      </c>
      <c r="B741" s="79" t="s">
        <v>2819</v>
      </c>
      <c r="C741" s="79">
        <v>592713719</v>
      </c>
      <c r="D741" s="79">
        <v>0</v>
      </c>
      <c r="E741" s="79" t="s">
        <v>1124</v>
      </c>
      <c r="F741" s="79" t="s">
        <v>2539</v>
      </c>
      <c r="G741" s="79" t="s">
        <v>1131</v>
      </c>
      <c r="H741" s="79" t="s">
        <v>1132</v>
      </c>
      <c r="I741" s="79"/>
    </row>
    <row r="742" spans="1:9" ht="14.25">
      <c r="A742" s="79" t="s">
        <v>2818</v>
      </c>
      <c r="B742" s="79" t="s">
        <v>2819</v>
      </c>
      <c r="C742" s="79">
        <v>592713719</v>
      </c>
      <c r="D742" s="79">
        <v>0</v>
      </c>
      <c r="E742" s="79" t="s">
        <v>1124</v>
      </c>
      <c r="F742" s="79" t="s">
        <v>2539</v>
      </c>
      <c r="G742" s="79" t="s">
        <v>2578</v>
      </c>
      <c r="H742" s="79"/>
      <c r="I742" s="79"/>
    </row>
    <row r="743" spans="1:9" ht="14.25">
      <c r="A743" s="79" t="s">
        <v>2820</v>
      </c>
      <c r="B743" s="79" t="s">
        <v>2821</v>
      </c>
      <c r="C743" s="79">
        <v>592714319</v>
      </c>
      <c r="D743" s="79">
        <v>0</v>
      </c>
      <c r="E743" s="79" t="s">
        <v>1124</v>
      </c>
      <c r="F743" s="79" t="s">
        <v>2539</v>
      </c>
      <c r="G743" s="79" t="s">
        <v>2546</v>
      </c>
      <c r="H743" s="79" t="s">
        <v>2547</v>
      </c>
      <c r="I743" s="79"/>
    </row>
    <row r="744" spans="1:9" ht="14.25">
      <c r="A744" s="79" t="s">
        <v>2820</v>
      </c>
      <c r="B744" s="79" t="s">
        <v>2821</v>
      </c>
      <c r="C744" s="79">
        <v>592714319</v>
      </c>
      <c r="D744" s="79">
        <v>0</v>
      </c>
      <c r="E744" s="79" t="s">
        <v>1124</v>
      </c>
      <c r="F744" s="79" t="s">
        <v>2539</v>
      </c>
      <c r="G744" s="79" t="s">
        <v>2581</v>
      </c>
      <c r="H744" s="79"/>
      <c r="I744" s="79"/>
    </row>
    <row r="745" spans="1:9" ht="14.25">
      <c r="A745" s="79" t="s">
        <v>2822</v>
      </c>
      <c r="B745" s="79" t="s">
        <v>2823</v>
      </c>
      <c r="C745" s="79">
        <v>592756919</v>
      </c>
      <c r="D745" s="79">
        <v>0</v>
      </c>
      <c r="E745" s="79" t="s">
        <v>1124</v>
      </c>
      <c r="F745" s="79" t="s">
        <v>2539</v>
      </c>
      <c r="G745" s="79" t="s">
        <v>1130</v>
      </c>
      <c r="H745" s="79"/>
      <c r="I745" s="79"/>
    </row>
    <row r="746" spans="1:9" ht="14.25">
      <c r="A746" s="79" t="s">
        <v>2822</v>
      </c>
      <c r="B746" s="79" t="s">
        <v>2823</v>
      </c>
      <c r="C746" s="79">
        <v>592756919</v>
      </c>
      <c r="D746" s="79">
        <v>0</v>
      </c>
      <c r="E746" s="79" t="s">
        <v>1124</v>
      </c>
      <c r="F746" s="79" t="s">
        <v>2539</v>
      </c>
      <c r="G746" s="79" t="s">
        <v>1131</v>
      </c>
      <c r="H746" s="79" t="s">
        <v>1132</v>
      </c>
      <c r="I746" s="79"/>
    </row>
    <row r="747" spans="1:9" ht="14.25">
      <c r="A747" s="79" t="s">
        <v>2822</v>
      </c>
      <c r="B747" s="79" t="s">
        <v>2823</v>
      </c>
      <c r="C747" s="79">
        <v>592756919</v>
      </c>
      <c r="D747" s="79">
        <v>0</v>
      </c>
      <c r="E747" s="79" t="s">
        <v>1124</v>
      </c>
      <c r="F747" s="79" t="s">
        <v>2539</v>
      </c>
      <c r="G747" s="79" t="s">
        <v>2578</v>
      </c>
      <c r="H747" s="79"/>
      <c r="I747" s="79"/>
    </row>
    <row r="748" spans="1:9" ht="14.25">
      <c r="A748" s="79" t="s">
        <v>2824</v>
      </c>
      <c r="B748" s="79" t="s">
        <v>2825</v>
      </c>
      <c r="C748" s="79">
        <v>592757519</v>
      </c>
      <c r="D748" s="79">
        <v>0</v>
      </c>
      <c r="E748" s="79" t="s">
        <v>1124</v>
      </c>
      <c r="F748" s="79" t="s">
        <v>2539</v>
      </c>
      <c r="G748" s="79" t="s">
        <v>2546</v>
      </c>
      <c r="H748" s="79" t="s">
        <v>2547</v>
      </c>
      <c r="I748" s="79"/>
    </row>
    <row r="749" spans="1:9" ht="14.25">
      <c r="A749" s="79" t="s">
        <v>2824</v>
      </c>
      <c r="B749" s="79" t="s">
        <v>2825</v>
      </c>
      <c r="C749" s="79">
        <v>592757519</v>
      </c>
      <c r="D749" s="79">
        <v>0</v>
      </c>
      <c r="E749" s="79" t="s">
        <v>1124</v>
      </c>
      <c r="F749" s="79" t="s">
        <v>2539</v>
      </c>
      <c r="G749" s="79" t="s">
        <v>2581</v>
      </c>
      <c r="H749" s="79"/>
      <c r="I749" s="79"/>
    </row>
    <row r="750" spans="1:9" ht="14.25">
      <c r="A750" s="79" t="s">
        <v>2826</v>
      </c>
      <c r="B750" s="79" t="s">
        <v>2827</v>
      </c>
      <c r="C750" s="79">
        <v>592800119</v>
      </c>
      <c r="D750" s="79">
        <v>0</v>
      </c>
      <c r="E750" s="79" t="s">
        <v>1124</v>
      </c>
      <c r="F750" s="79" t="s">
        <v>2539</v>
      </c>
      <c r="G750" s="79" t="s">
        <v>1130</v>
      </c>
      <c r="H750" s="79"/>
      <c r="I750" s="79"/>
    </row>
    <row r="751" spans="1:9" ht="14.25">
      <c r="A751" s="79" t="s">
        <v>2826</v>
      </c>
      <c r="B751" s="79" t="s">
        <v>2827</v>
      </c>
      <c r="C751" s="79">
        <v>592800119</v>
      </c>
      <c r="D751" s="79">
        <v>0</v>
      </c>
      <c r="E751" s="79" t="s">
        <v>1124</v>
      </c>
      <c r="F751" s="79" t="s">
        <v>2539</v>
      </c>
      <c r="G751" s="79" t="s">
        <v>1131</v>
      </c>
      <c r="H751" s="79" t="s">
        <v>1132</v>
      </c>
      <c r="I751" s="79"/>
    </row>
    <row r="752" spans="1:9" ht="14.25">
      <c r="A752" s="79" t="s">
        <v>2826</v>
      </c>
      <c r="B752" s="79" t="s">
        <v>2827</v>
      </c>
      <c r="C752" s="79">
        <v>592800119</v>
      </c>
      <c r="D752" s="79">
        <v>0</v>
      </c>
      <c r="E752" s="79" t="s">
        <v>1124</v>
      </c>
      <c r="F752" s="79" t="s">
        <v>2539</v>
      </c>
      <c r="G752" s="79" t="s">
        <v>2578</v>
      </c>
      <c r="H752" s="79"/>
      <c r="I752" s="79"/>
    </row>
    <row r="753" spans="1:9" ht="14.25">
      <c r="A753" s="79" t="s">
        <v>2828</v>
      </c>
      <c r="B753" s="79" t="s">
        <v>2829</v>
      </c>
      <c r="C753" s="79">
        <v>592800719</v>
      </c>
      <c r="D753" s="79">
        <v>0</v>
      </c>
      <c r="E753" s="79" t="s">
        <v>1124</v>
      </c>
      <c r="F753" s="79" t="s">
        <v>2539</v>
      </c>
      <c r="G753" s="79" t="s">
        <v>2546</v>
      </c>
      <c r="H753" s="79" t="s">
        <v>2547</v>
      </c>
      <c r="I753" s="79"/>
    </row>
    <row r="754" spans="1:9" ht="14.25">
      <c r="A754" s="79" t="s">
        <v>2828</v>
      </c>
      <c r="B754" s="79" t="s">
        <v>2829</v>
      </c>
      <c r="C754" s="79">
        <v>592800719</v>
      </c>
      <c r="D754" s="79">
        <v>0</v>
      </c>
      <c r="E754" s="79" t="s">
        <v>1124</v>
      </c>
      <c r="F754" s="79" t="s">
        <v>2539</v>
      </c>
      <c r="G754" s="79" t="s">
        <v>2581</v>
      </c>
      <c r="H754" s="79"/>
      <c r="I754" s="79"/>
    </row>
    <row r="755" spans="1:9" ht="14.25">
      <c r="A755" s="79" t="s">
        <v>2830</v>
      </c>
      <c r="B755" s="79" t="s">
        <v>2831</v>
      </c>
      <c r="C755" s="79">
        <v>592843319</v>
      </c>
      <c r="D755" s="79">
        <v>0</v>
      </c>
      <c r="E755" s="79" t="s">
        <v>1124</v>
      </c>
      <c r="F755" s="79" t="s">
        <v>2539</v>
      </c>
      <c r="G755" s="79" t="s">
        <v>1130</v>
      </c>
      <c r="H755" s="79"/>
      <c r="I755" s="79"/>
    </row>
    <row r="756" spans="1:9" ht="14.25">
      <c r="A756" s="79" t="s">
        <v>2830</v>
      </c>
      <c r="B756" s="79" t="s">
        <v>2831</v>
      </c>
      <c r="C756" s="79">
        <v>592843319</v>
      </c>
      <c r="D756" s="79">
        <v>0</v>
      </c>
      <c r="E756" s="79" t="s">
        <v>1124</v>
      </c>
      <c r="F756" s="79" t="s">
        <v>2539</v>
      </c>
      <c r="G756" s="79" t="s">
        <v>1131</v>
      </c>
      <c r="H756" s="79" t="s">
        <v>1132</v>
      </c>
      <c r="I756" s="79"/>
    </row>
    <row r="757" spans="1:9" ht="14.25">
      <c r="A757" s="79" t="s">
        <v>2830</v>
      </c>
      <c r="B757" s="79" t="s">
        <v>2831</v>
      </c>
      <c r="C757" s="79">
        <v>592843319</v>
      </c>
      <c r="D757" s="79">
        <v>0</v>
      </c>
      <c r="E757" s="79" t="s">
        <v>1124</v>
      </c>
      <c r="F757" s="79" t="s">
        <v>2539</v>
      </c>
      <c r="G757" s="79" t="s">
        <v>2578</v>
      </c>
      <c r="H757" s="79"/>
      <c r="I757" s="79"/>
    </row>
    <row r="758" spans="1:9" ht="14.25">
      <c r="A758" s="79" t="s">
        <v>2832</v>
      </c>
      <c r="B758" s="79" t="s">
        <v>2833</v>
      </c>
      <c r="C758" s="79">
        <v>592843919</v>
      </c>
      <c r="D758" s="79">
        <v>0</v>
      </c>
      <c r="E758" s="79" t="s">
        <v>1124</v>
      </c>
      <c r="F758" s="79" t="s">
        <v>2539</v>
      </c>
      <c r="G758" s="79" t="s">
        <v>2546</v>
      </c>
      <c r="H758" s="79" t="s">
        <v>2547</v>
      </c>
      <c r="I758" s="79"/>
    </row>
    <row r="759" spans="1:9" ht="14.25">
      <c r="A759" s="79" t="s">
        <v>2832</v>
      </c>
      <c r="B759" s="79" t="s">
        <v>2833</v>
      </c>
      <c r="C759" s="79">
        <v>592843919</v>
      </c>
      <c r="D759" s="79">
        <v>0</v>
      </c>
      <c r="E759" s="79" t="s">
        <v>1124</v>
      </c>
      <c r="F759" s="79" t="s">
        <v>2539</v>
      </c>
      <c r="G759" s="79" t="s">
        <v>2581</v>
      </c>
      <c r="H759" s="79"/>
      <c r="I759" s="79"/>
    </row>
    <row r="760" spans="1:9" ht="14.25">
      <c r="A760" s="79" t="s">
        <v>2834</v>
      </c>
      <c r="B760" s="79" t="s">
        <v>2835</v>
      </c>
      <c r="C760" s="79">
        <v>592886519</v>
      </c>
      <c r="D760" s="79">
        <v>0</v>
      </c>
      <c r="E760" s="79" t="s">
        <v>1124</v>
      </c>
      <c r="F760" s="79" t="s">
        <v>2539</v>
      </c>
      <c r="G760" s="79" t="s">
        <v>1130</v>
      </c>
      <c r="H760" s="79"/>
      <c r="I760" s="79"/>
    </row>
    <row r="761" spans="1:9" ht="14.25">
      <c r="A761" s="79" t="s">
        <v>2834</v>
      </c>
      <c r="B761" s="79" t="s">
        <v>2835</v>
      </c>
      <c r="C761" s="79">
        <v>592886519</v>
      </c>
      <c r="D761" s="79">
        <v>0</v>
      </c>
      <c r="E761" s="79" t="s">
        <v>1124</v>
      </c>
      <c r="F761" s="79" t="s">
        <v>2539</v>
      </c>
      <c r="G761" s="79" t="s">
        <v>1131</v>
      </c>
      <c r="H761" s="79" t="s">
        <v>1132</v>
      </c>
      <c r="I761" s="79"/>
    </row>
    <row r="762" spans="1:9" ht="14.25">
      <c r="A762" s="79" t="s">
        <v>2834</v>
      </c>
      <c r="B762" s="79" t="s">
        <v>2835</v>
      </c>
      <c r="C762" s="79">
        <v>592886519</v>
      </c>
      <c r="D762" s="79">
        <v>0</v>
      </c>
      <c r="E762" s="79" t="s">
        <v>1124</v>
      </c>
      <c r="F762" s="79" t="s">
        <v>2539</v>
      </c>
      <c r="G762" s="79" t="s">
        <v>2578</v>
      </c>
      <c r="H762" s="79"/>
      <c r="I762" s="79"/>
    </row>
    <row r="763" spans="1:9" ht="14.25">
      <c r="A763" s="79" t="s">
        <v>2836</v>
      </c>
      <c r="B763" s="79" t="s">
        <v>2837</v>
      </c>
      <c r="C763" s="79">
        <v>592887119</v>
      </c>
      <c r="D763" s="79">
        <v>0</v>
      </c>
      <c r="E763" s="79" t="s">
        <v>1124</v>
      </c>
      <c r="F763" s="79" t="s">
        <v>2539</v>
      </c>
      <c r="G763" s="79" t="s">
        <v>2546</v>
      </c>
      <c r="H763" s="79" t="s">
        <v>2547</v>
      </c>
      <c r="I763" s="79"/>
    </row>
    <row r="764" spans="1:9" ht="14.25">
      <c r="A764" s="79" t="s">
        <v>2836</v>
      </c>
      <c r="B764" s="79" t="s">
        <v>2837</v>
      </c>
      <c r="C764" s="79">
        <v>592887119</v>
      </c>
      <c r="D764" s="79">
        <v>0</v>
      </c>
      <c r="E764" s="79" t="s">
        <v>1124</v>
      </c>
      <c r="F764" s="79" t="s">
        <v>2539</v>
      </c>
      <c r="G764" s="79" t="s">
        <v>2581</v>
      </c>
      <c r="H764" s="79"/>
      <c r="I764" s="79"/>
    </row>
    <row r="765" spans="1:9" ht="14.25">
      <c r="A765" s="79" t="s">
        <v>2838</v>
      </c>
      <c r="B765" s="79" t="s">
        <v>2839</v>
      </c>
      <c r="C765" s="79">
        <v>592929719</v>
      </c>
      <c r="D765" s="79">
        <v>0</v>
      </c>
      <c r="E765" s="79" t="s">
        <v>1124</v>
      </c>
      <c r="F765" s="79" t="s">
        <v>2539</v>
      </c>
      <c r="G765" s="79" t="s">
        <v>1130</v>
      </c>
      <c r="H765" s="79"/>
      <c r="I765" s="79"/>
    </row>
    <row r="766" spans="1:9" ht="14.25">
      <c r="A766" s="79" t="s">
        <v>2838</v>
      </c>
      <c r="B766" s="79" t="s">
        <v>2839</v>
      </c>
      <c r="C766" s="79">
        <v>592929719</v>
      </c>
      <c r="D766" s="79">
        <v>0</v>
      </c>
      <c r="E766" s="79" t="s">
        <v>1124</v>
      </c>
      <c r="F766" s="79" t="s">
        <v>2539</v>
      </c>
      <c r="G766" s="79" t="s">
        <v>1131</v>
      </c>
      <c r="H766" s="79" t="s">
        <v>1132</v>
      </c>
      <c r="I766" s="79"/>
    </row>
    <row r="767" spans="1:9" ht="14.25">
      <c r="A767" s="79" t="s">
        <v>2838</v>
      </c>
      <c r="B767" s="79" t="s">
        <v>2839</v>
      </c>
      <c r="C767" s="79">
        <v>592929719</v>
      </c>
      <c r="D767" s="79">
        <v>0</v>
      </c>
      <c r="E767" s="79" t="s">
        <v>1124</v>
      </c>
      <c r="F767" s="79" t="s">
        <v>2539</v>
      </c>
      <c r="G767" s="79" t="s">
        <v>2578</v>
      </c>
      <c r="H767" s="79"/>
      <c r="I767" s="79"/>
    </row>
    <row r="768" spans="1:9" ht="14.25">
      <c r="A768" s="79" t="s">
        <v>2840</v>
      </c>
      <c r="B768" s="79" t="s">
        <v>2841</v>
      </c>
      <c r="C768" s="79">
        <v>592930319</v>
      </c>
      <c r="D768" s="79">
        <v>0</v>
      </c>
      <c r="E768" s="79" t="s">
        <v>1124</v>
      </c>
      <c r="F768" s="79" t="s">
        <v>2539</v>
      </c>
      <c r="G768" s="79" t="s">
        <v>2546</v>
      </c>
      <c r="H768" s="79" t="s">
        <v>2547</v>
      </c>
      <c r="I768" s="79"/>
    </row>
    <row r="769" spans="1:9" ht="14.25">
      <c r="A769" s="79" t="s">
        <v>2840</v>
      </c>
      <c r="B769" s="79" t="s">
        <v>2841</v>
      </c>
      <c r="C769" s="79">
        <v>592930319</v>
      </c>
      <c r="D769" s="79">
        <v>0</v>
      </c>
      <c r="E769" s="79" t="s">
        <v>1124</v>
      </c>
      <c r="F769" s="79" t="s">
        <v>2539</v>
      </c>
      <c r="G769" s="79" t="s">
        <v>2581</v>
      </c>
      <c r="H769" s="79"/>
      <c r="I769" s="79"/>
    </row>
    <row r="770" spans="1:9" ht="14.25">
      <c r="A770" s="79" t="s">
        <v>2842</v>
      </c>
      <c r="B770" s="79" t="s">
        <v>2843</v>
      </c>
      <c r="C770" s="79">
        <v>592972919</v>
      </c>
      <c r="D770" s="79">
        <v>0</v>
      </c>
      <c r="E770" s="79" t="s">
        <v>1124</v>
      </c>
      <c r="F770" s="79" t="s">
        <v>2539</v>
      </c>
      <c r="G770" s="79" t="s">
        <v>1130</v>
      </c>
      <c r="H770" s="79"/>
      <c r="I770" s="79"/>
    </row>
    <row r="771" spans="1:9" ht="14.25">
      <c r="A771" s="79" t="s">
        <v>2842</v>
      </c>
      <c r="B771" s="79" t="s">
        <v>2843</v>
      </c>
      <c r="C771" s="79">
        <v>592972919</v>
      </c>
      <c r="D771" s="79">
        <v>0</v>
      </c>
      <c r="E771" s="79" t="s">
        <v>1124</v>
      </c>
      <c r="F771" s="79" t="s">
        <v>2539</v>
      </c>
      <c r="G771" s="79" t="s">
        <v>1131</v>
      </c>
      <c r="H771" s="79" t="s">
        <v>1132</v>
      </c>
      <c r="I771" s="79"/>
    </row>
    <row r="772" spans="1:9" ht="14.25">
      <c r="A772" s="79" t="s">
        <v>2842</v>
      </c>
      <c r="B772" s="79" t="s">
        <v>2843</v>
      </c>
      <c r="C772" s="79">
        <v>592972919</v>
      </c>
      <c r="D772" s="79">
        <v>0</v>
      </c>
      <c r="E772" s="79" t="s">
        <v>1124</v>
      </c>
      <c r="F772" s="79" t="s">
        <v>2539</v>
      </c>
      <c r="G772" s="79" t="s">
        <v>2578</v>
      </c>
      <c r="H772" s="79"/>
      <c r="I772" s="79"/>
    </row>
    <row r="773" spans="1:9" ht="14.25">
      <c r="A773" s="79" t="s">
        <v>2844</v>
      </c>
      <c r="B773" s="79" t="s">
        <v>2845</v>
      </c>
      <c r="C773" s="79">
        <v>592973519</v>
      </c>
      <c r="D773" s="79">
        <v>0</v>
      </c>
      <c r="E773" s="79" t="s">
        <v>1124</v>
      </c>
      <c r="F773" s="79" t="s">
        <v>2539</v>
      </c>
      <c r="G773" s="79" t="s">
        <v>2546</v>
      </c>
      <c r="H773" s="79" t="s">
        <v>2547</v>
      </c>
      <c r="I773" s="79"/>
    </row>
    <row r="774" spans="1:9" ht="14.25">
      <c r="A774" s="79" t="s">
        <v>2844</v>
      </c>
      <c r="B774" s="79" t="s">
        <v>2845</v>
      </c>
      <c r="C774" s="79">
        <v>592973519</v>
      </c>
      <c r="D774" s="79">
        <v>0</v>
      </c>
      <c r="E774" s="79" t="s">
        <v>1124</v>
      </c>
      <c r="F774" s="79" t="s">
        <v>2539</v>
      </c>
      <c r="G774" s="79" t="s">
        <v>2581</v>
      </c>
      <c r="H774" s="79"/>
      <c r="I774" s="79"/>
    </row>
    <row r="775" spans="1:9" ht="14.25">
      <c r="A775" s="79" t="s">
        <v>2846</v>
      </c>
      <c r="B775" s="79" t="s">
        <v>2847</v>
      </c>
      <c r="C775" s="79">
        <v>593016119</v>
      </c>
      <c r="D775" s="79">
        <v>0</v>
      </c>
      <c r="E775" s="79" t="s">
        <v>1124</v>
      </c>
      <c r="F775" s="79" t="s">
        <v>2539</v>
      </c>
      <c r="G775" s="79" t="s">
        <v>1130</v>
      </c>
      <c r="H775" s="79"/>
      <c r="I775" s="79"/>
    </row>
    <row r="776" spans="1:9" ht="14.25">
      <c r="A776" s="79" t="s">
        <v>2846</v>
      </c>
      <c r="B776" s="79" t="s">
        <v>2847</v>
      </c>
      <c r="C776" s="79">
        <v>593016119</v>
      </c>
      <c r="D776" s="79">
        <v>0</v>
      </c>
      <c r="E776" s="79" t="s">
        <v>1124</v>
      </c>
      <c r="F776" s="79" t="s">
        <v>2539</v>
      </c>
      <c r="G776" s="79" t="s">
        <v>1131</v>
      </c>
      <c r="H776" s="79" t="s">
        <v>1132</v>
      </c>
      <c r="I776" s="79"/>
    </row>
    <row r="777" spans="1:9" ht="14.25">
      <c r="A777" s="79" t="s">
        <v>2846</v>
      </c>
      <c r="B777" s="79" t="s">
        <v>2847</v>
      </c>
      <c r="C777" s="79">
        <v>593016119</v>
      </c>
      <c r="D777" s="79">
        <v>0</v>
      </c>
      <c r="E777" s="79" t="s">
        <v>1124</v>
      </c>
      <c r="F777" s="79" t="s">
        <v>2539</v>
      </c>
      <c r="G777" s="79" t="s">
        <v>2578</v>
      </c>
      <c r="H777" s="79"/>
      <c r="I777" s="79"/>
    </row>
    <row r="778" spans="1:9" ht="14.25">
      <c r="A778" s="79" t="s">
        <v>2848</v>
      </c>
      <c r="B778" s="79" t="s">
        <v>2849</v>
      </c>
      <c r="C778" s="79">
        <v>593016719</v>
      </c>
      <c r="D778" s="79">
        <v>0</v>
      </c>
      <c r="E778" s="79" t="s">
        <v>1124</v>
      </c>
      <c r="F778" s="79" t="s">
        <v>2539</v>
      </c>
      <c r="G778" s="79" t="s">
        <v>2546</v>
      </c>
      <c r="H778" s="79" t="s">
        <v>2547</v>
      </c>
      <c r="I778" s="79"/>
    </row>
    <row r="779" spans="1:9" ht="14.25">
      <c r="A779" s="79" t="s">
        <v>2848</v>
      </c>
      <c r="B779" s="79" t="s">
        <v>2849</v>
      </c>
      <c r="C779" s="79">
        <v>593016719</v>
      </c>
      <c r="D779" s="79">
        <v>0</v>
      </c>
      <c r="E779" s="79" t="s">
        <v>1124</v>
      </c>
      <c r="F779" s="79" t="s">
        <v>2539</v>
      </c>
      <c r="G779" s="79" t="s">
        <v>2581</v>
      </c>
      <c r="H779" s="79"/>
      <c r="I779" s="79"/>
    </row>
    <row r="780" spans="1:9" ht="14.25">
      <c r="A780" s="79" t="s">
        <v>2850</v>
      </c>
      <c r="B780" s="79" t="s">
        <v>2851</v>
      </c>
      <c r="C780" s="79">
        <v>593059319</v>
      </c>
      <c r="D780" s="79">
        <v>0</v>
      </c>
      <c r="E780" s="79" t="s">
        <v>1124</v>
      </c>
      <c r="F780" s="79" t="s">
        <v>2539</v>
      </c>
      <c r="G780" s="79" t="s">
        <v>1130</v>
      </c>
      <c r="H780" s="79"/>
      <c r="I780" s="79"/>
    </row>
    <row r="781" spans="1:9" ht="14.25">
      <c r="A781" s="79" t="s">
        <v>2850</v>
      </c>
      <c r="B781" s="79" t="s">
        <v>2851</v>
      </c>
      <c r="C781" s="79">
        <v>593059319</v>
      </c>
      <c r="D781" s="79">
        <v>0</v>
      </c>
      <c r="E781" s="79" t="s">
        <v>1124</v>
      </c>
      <c r="F781" s="79" t="s">
        <v>2539</v>
      </c>
      <c r="G781" s="79" t="s">
        <v>1131</v>
      </c>
      <c r="H781" s="79" t="s">
        <v>1132</v>
      </c>
      <c r="I781" s="79"/>
    </row>
    <row r="782" spans="1:9" ht="14.25">
      <c r="A782" s="79" t="s">
        <v>2850</v>
      </c>
      <c r="B782" s="79" t="s">
        <v>2851</v>
      </c>
      <c r="C782" s="79">
        <v>593059319</v>
      </c>
      <c r="D782" s="79">
        <v>0</v>
      </c>
      <c r="E782" s="79" t="s">
        <v>1124</v>
      </c>
      <c r="F782" s="79" t="s">
        <v>2539</v>
      </c>
      <c r="G782" s="79" t="s">
        <v>2578</v>
      </c>
      <c r="H782" s="79"/>
      <c r="I782" s="79"/>
    </row>
    <row r="783" spans="1:9" ht="14.25">
      <c r="A783" s="79" t="s">
        <v>2852</v>
      </c>
      <c r="B783" s="79" t="s">
        <v>2853</v>
      </c>
      <c r="C783" s="79">
        <v>593059919</v>
      </c>
      <c r="D783" s="79">
        <v>0</v>
      </c>
      <c r="E783" s="79" t="s">
        <v>1124</v>
      </c>
      <c r="F783" s="79" t="s">
        <v>2539</v>
      </c>
      <c r="G783" s="79" t="s">
        <v>2546</v>
      </c>
      <c r="H783" s="79" t="s">
        <v>2547</v>
      </c>
      <c r="I783" s="79"/>
    </row>
    <row r="784" spans="1:9" ht="14.25">
      <c r="A784" s="79" t="s">
        <v>2852</v>
      </c>
      <c r="B784" s="79" t="s">
        <v>2853</v>
      </c>
      <c r="C784" s="79">
        <v>593059919</v>
      </c>
      <c r="D784" s="79">
        <v>0</v>
      </c>
      <c r="E784" s="79" t="s">
        <v>1124</v>
      </c>
      <c r="F784" s="79" t="s">
        <v>2539</v>
      </c>
      <c r="G784" s="79" t="s">
        <v>2581</v>
      </c>
      <c r="H784" s="79"/>
      <c r="I784" s="79"/>
    </row>
    <row r="785" spans="1:9" ht="14.25">
      <c r="A785" s="79" t="s">
        <v>2854</v>
      </c>
      <c r="B785" s="79" t="s">
        <v>2855</v>
      </c>
      <c r="C785" s="79">
        <v>593102519</v>
      </c>
      <c r="D785" s="79">
        <v>0</v>
      </c>
      <c r="E785" s="79" t="s">
        <v>1124</v>
      </c>
      <c r="F785" s="79" t="s">
        <v>2539</v>
      </c>
      <c r="G785" s="79" t="s">
        <v>1130</v>
      </c>
      <c r="H785" s="79"/>
      <c r="I785" s="79"/>
    </row>
    <row r="786" spans="1:9" ht="14.25">
      <c r="A786" s="79" t="s">
        <v>2854</v>
      </c>
      <c r="B786" s="79" t="s">
        <v>2855</v>
      </c>
      <c r="C786" s="79">
        <v>593102519</v>
      </c>
      <c r="D786" s="79">
        <v>0</v>
      </c>
      <c r="E786" s="79" t="s">
        <v>1124</v>
      </c>
      <c r="F786" s="79" t="s">
        <v>2539</v>
      </c>
      <c r="G786" s="79" t="s">
        <v>1131</v>
      </c>
      <c r="H786" s="79" t="s">
        <v>1132</v>
      </c>
      <c r="I786" s="79"/>
    </row>
    <row r="787" spans="1:9" ht="14.25">
      <c r="A787" s="79" t="s">
        <v>2854</v>
      </c>
      <c r="B787" s="79" t="s">
        <v>2855</v>
      </c>
      <c r="C787" s="79">
        <v>593102519</v>
      </c>
      <c r="D787" s="79">
        <v>0</v>
      </c>
      <c r="E787" s="79" t="s">
        <v>1124</v>
      </c>
      <c r="F787" s="79" t="s">
        <v>2539</v>
      </c>
      <c r="G787" s="79" t="s">
        <v>2578</v>
      </c>
      <c r="H787" s="79"/>
      <c r="I787" s="79"/>
    </row>
    <row r="788" spans="1:9" ht="14.25">
      <c r="A788" s="79" t="s">
        <v>2856</v>
      </c>
      <c r="B788" s="79" t="s">
        <v>2857</v>
      </c>
      <c r="C788" s="79">
        <v>593103119</v>
      </c>
      <c r="D788" s="79">
        <v>0</v>
      </c>
      <c r="E788" s="79" t="s">
        <v>1124</v>
      </c>
      <c r="F788" s="79" t="s">
        <v>2539</v>
      </c>
      <c r="G788" s="79" t="s">
        <v>2546</v>
      </c>
      <c r="H788" s="79" t="s">
        <v>2547</v>
      </c>
      <c r="I788" s="79"/>
    </row>
    <row r="789" spans="1:9" ht="14.25">
      <c r="A789" s="79" t="s">
        <v>2856</v>
      </c>
      <c r="B789" s="79" t="s">
        <v>2857</v>
      </c>
      <c r="C789" s="79">
        <v>593103119</v>
      </c>
      <c r="D789" s="79">
        <v>0</v>
      </c>
      <c r="E789" s="79" t="s">
        <v>1124</v>
      </c>
      <c r="F789" s="79" t="s">
        <v>2539</v>
      </c>
      <c r="G789" s="79" t="s">
        <v>2581</v>
      </c>
      <c r="H789" s="79"/>
      <c r="I789" s="79"/>
    </row>
    <row r="790" spans="1:9" ht="14.25">
      <c r="A790" s="79" t="s">
        <v>2858</v>
      </c>
      <c r="B790" s="79" t="s">
        <v>2859</v>
      </c>
      <c r="C790" s="79">
        <v>593145719</v>
      </c>
      <c r="D790" s="79">
        <v>0</v>
      </c>
      <c r="E790" s="79" t="s">
        <v>1124</v>
      </c>
      <c r="F790" s="79" t="s">
        <v>2539</v>
      </c>
      <c r="G790" s="79" t="s">
        <v>1130</v>
      </c>
      <c r="H790" s="79"/>
      <c r="I790" s="79"/>
    </row>
    <row r="791" spans="1:9" ht="14.25">
      <c r="A791" s="79" t="s">
        <v>2858</v>
      </c>
      <c r="B791" s="79" t="s">
        <v>2859</v>
      </c>
      <c r="C791" s="79">
        <v>593145719</v>
      </c>
      <c r="D791" s="79">
        <v>0</v>
      </c>
      <c r="E791" s="79" t="s">
        <v>1124</v>
      </c>
      <c r="F791" s="79" t="s">
        <v>2539</v>
      </c>
      <c r="G791" s="79" t="s">
        <v>1131</v>
      </c>
      <c r="H791" s="79" t="s">
        <v>1132</v>
      </c>
      <c r="I791" s="79"/>
    </row>
    <row r="792" spans="1:9" ht="14.25">
      <c r="A792" s="79" t="s">
        <v>2858</v>
      </c>
      <c r="B792" s="79" t="s">
        <v>2859</v>
      </c>
      <c r="C792" s="79">
        <v>593145719</v>
      </c>
      <c r="D792" s="79">
        <v>0</v>
      </c>
      <c r="E792" s="79" t="s">
        <v>1124</v>
      </c>
      <c r="F792" s="79" t="s">
        <v>2539</v>
      </c>
      <c r="G792" s="79" t="s">
        <v>2578</v>
      </c>
      <c r="H792" s="79"/>
      <c r="I792" s="79"/>
    </row>
    <row r="793" spans="1:9" ht="14.25">
      <c r="A793" s="79" t="s">
        <v>2860</v>
      </c>
      <c r="B793" s="79" t="s">
        <v>2861</v>
      </c>
      <c r="C793" s="79">
        <v>593146319</v>
      </c>
      <c r="D793" s="79">
        <v>0</v>
      </c>
      <c r="E793" s="79" t="s">
        <v>1124</v>
      </c>
      <c r="F793" s="79" t="s">
        <v>2539</v>
      </c>
      <c r="G793" s="79" t="s">
        <v>2546</v>
      </c>
      <c r="H793" s="79" t="s">
        <v>2547</v>
      </c>
      <c r="I793" s="79"/>
    </row>
    <row r="794" spans="1:9" ht="14.25">
      <c r="A794" s="79" t="s">
        <v>2860</v>
      </c>
      <c r="B794" s="79" t="s">
        <v>2861</v>
      </c>
      <c r="C794" s="79">
        <v>593146319</v>
      </c>
      <c r="D794" s="79">
        <v>0</v>
      </c>
      <c r="E794" s="79" t="s">
        <v>1124</v>
      </c>
      <c r="F794" s="79" t="s">
        <v>2539</v>
      </c>
      <c r="G794" s="79" t="s">
        <v>2581</v>
      </c>
      <c r="H794" s="79"/>
      <c r="I794" s="79"/>
    </row>
    <row r="795" spans="1:9" ht="14.25">
      <c r="A795" s="79" t="s">
        <v>2862</v>
      </c>
      <c r="B795" s="79" t="s">
        <v>2863</v>
      </c>
      <c r="C795" s="79">
        <v>593188919</v>
      </c>
      <c r="D795" s="79">
        <v>0</v>
      </c>
      <c r="E795" s="79" t="s">
        <v>1124</v>
      </c>
      <c r="F795" s="79" t="s">
        <v>2539</v>
      </c>
      <c r="G795" s="79" t="s">
        <v>1130</v>
      </c>
      <c r="H795" s="79"/>
      <c r="I795" s="79"/>
    </row>
    <row r="796" spans="1:9" ht="14.25">
      <c r="A796" s="79" t="s">
        <v>2862</v>
      </c>
      <c r="B796" s="79" t="s">
        <v>2863</v>
      </c>
      <c r="C796" s="79">
        <v>593188919</v>
      </c>
      <c r="D796" s="79">
        <v>0</v>
      </c>
      <c r="E796" s="79" t="s">
        <v>1124</v>
      </c>
      <c r="F796" s="79" t="s">
        <v>2539</v>
      </c>
      <c r="G796" s="79" t="s">
        <v>1131</v>
      </c>
      <c r="H796" s="79" t="s">
        <v>1132</v>
      </c>
      <c r="I796" s="79"/>
    </row>
    <row r="797" spans="1:9" ht="14.25">
      <c r="A797" s="79" t="s">
        <v>2862</v>
      </c>
      <c r="B797" s="79" t="s">
        <v>2863</v>
      </c>
      <c r="C797" s="79">
        <v>593188919</v>
      </c>
      <c r="D797" s="79">
        <v>0</v>
      </c>
      <c r="E797" s="79" t="s">
        <v>1124</v>
      </c>
      <c r="F797" s="79" t="s">
        <v>2539</v>
      </c>
      <c r="G797" s="79" t="s">
        <v>2578</v>
      </c>
      <c r="H797" s="79"/>
      <c r="I797" s="79"/>
    </row>
    <row r="798" spans="1:9" ht="14.25">
      <c r="A798" s="79" t="s">
        <v>2864</v>
      </c>
      <c r="B798" s="79" t="s">
        <v>2865</v>
      </c>
      <c r="C798" s="79">
        <v>593189519</v>
      </c>
      <c r="D798" s="79">
        <v>0</v>
      </c>
      <c r="E798" s="79" t="s">
        <v>1124</v>
      </c>
      <c r="F798" s="79" t="s">
        <v>2539</v>
      </c>
      <c r="G798" s="79" t="s">
        <v>2546</v>
      </c>
      <c r="H798" s="79" t="s">
        <v>2547</v>
      </c>
      <c r="I798" s="79"/>
    </row>
    <row r="799" spans="1:9" ht="14.25">
      <c r="A799" s="79" t="s">
        <v>2864</v>
      </c>
      <c r="B799" s="79" t="s">
        <v>2865</v>
      </c>
      <c r="C799" s="79">
        <v>593189519</v>
      </c>
      <c r="D799" s="79">
        <v>0</v>
      </c>
      <c r="E799" s="79" t="s">
        <v>1124</v>
      </c>
      <c r="F799" s="79" t="s">
        <v>2539</v>
      </c>
      <c r="G799" s="79" t="s">
        <v>2581</v>
      </c>
      <c r="H799" s="79"/>
      <c r="I799" s="79"/>
    </row>
    <row r="800" spans="1:9" ht="14.25">
      <c r="A800" s="79" t="s">
        <v>2866</v>
      </c>
      <c r="B800" s="79" t="s">
        <v>2867</v>
      </c>
      <c r="C800" s="79">
        <v>593232119</v>
      </c>
      <c r="D800" s="79">
        <v>0</v>
      </c>
      <c r="E800" s="79" t="s">
        <v>1124</v>
      </c>
      <c r="F800" s="79" t="s">
        <v>2539</v>
      </c>
      <c r="G800" s="79" t="s">
        <v>1130</v>
      </c>
      <c r="H800" s="79"/>
      <c r="I800" s="79"/>
    </row>
    <row r="801" spans="1:9" ht="14.25">
      <c r="A801" s="79" t="s">
        <v>2866</v>
      </c>
      <c r="B801" s="79" t="s">
        <v>2867</v>
      </c>
      <c r="C801" s="79">
        <v>593232119</v>
      </c>
      <c r="D801" s="79">
        <v>0</v>
      </c>
      <c r="E801" s="79" t="s">
        <v>1124</v>
      </c>
      <c r="F801" s="79" t="s">
        <v>2539</v>
      </c>
      <c r="G801" s="79" t="s">
        <v>1131</v>
      </c>
      <c r="H801" s="79" t="s">
        <v>1132</v>
      </c>
      <c r="I801" s="79"/>
    </row>
    <row r="802" spans="1:9" ht="14.25">
      <c r="A802" s="79" t="s">
        <v>2866</v>
      </c>
      <c r="B802" s="79" t="s">
        <v>2867</v>
      </c>
      <c r="C802" s="79">
        <v>593232119</v>
      </c>
      <c r="D802" s="79">
        <v>0</v>
      </c>
      <c r="E802" s="79" t="s">
        <v>1124</v>
      </c>
      <c r="F802" s="79" t="s">
        <v>2539</v>
      </c>
      <c r="G802" s="79" t="s">
        <v>2578</v>
      </c>
      <c r="H802" s="79"/>
      <c r="I802" s="79"/>
    </row>
    <row r="803" spans="1:9" ht="14.25">
      <c r="A803" s="79" t="s">
        <v>2868</v>
      </c>
      <c r="B803" s="79" t="s">
        <v>2869</v>
      </c>
      <c r="C803" s="79">
        <v>593232719</v>
      </c>
      <c r="D803" s="79">
        <v>0</v>
      </c>
      <c r="E803" s="79" t="s">
        <v>1124</v>
      </c>
      <c r="F803" s="79" t="s">
        <v>2539</v>
      </c>
      <c r="G803" s="79" t="s">
        <v>2546</v>
      </c>
      <c r="H803" s="79" t="s">
        <v>2547</v>
      </c>
      <c r="I803" s="79"/>
    </row>
    <row r="804" spans="1:9" ht="14.25">
      <c r="A804" s="79" t="s">
        <v>2868</v>
      </c>
      <c r="B804" s="79" t="s">
        <v>2869</v>
      </c>
      <c r="C804" s="79">
        <v>593232719</v>
      </c>
      <c r="D804" s="79">
        <v>0</v>
      </c>
      <c r="E804" s="79" t="s">
        <v>1124</v>
      </c>
      <c r="F804" s="79" t="s">
        <v>2539</v>
      </c>
      <c r="G804" s="79" t="s">
        <v>2581</v>
      </c>
      <c r="H804" s="79"/>
      <c r="I804" s="79"/>
    </row>
    <row r="805" spans="1:9" ht="14.25">
      <c r="A805" s="79" t="s">
        <v>2870</v>
      </c>
      <c r="B805" s="79" t="s">
        <v>2871</v>
      </c>
      <c r="C805" s="79">
        <v>593275319</v>
      </c>
      <c r="D805" s="79">
        <v>0</v>
      </c>
      <c r="E805" s="79" t="s">
        <v>1124</v>
      </c>
      <c r="F805" s="79" t="s">
        <v>2539</v>
      </c>
      <c r="G805" s="79" t="s">
        <v>1130</v>
      </c>
      <c r="H805" s="79"/>
      <c r="I805" s="79"/>
    </row>
    <row r="806" spans="1:9" ht="14.25">
      <c r="A806" s="79" t="s">
        <v>2870</v>
      </c>
      <c r="B806" s="79" t="s">
        <v>2871</v>
      </c>
      <c r="C806" s="79">
        <v>593275319</v>
      </c>
      <c r="D806" s="79">
        <v>0</v>
      </c>
      <c r="E806" s="79" t="s">
        <v>1124</v>
      </c>
      <c r="F806" s="79" t="s">
        <v>2539</v>
      </c>
      <c r="G806" s="79" t="s">
        <v>1131</v>
      </c>
      <c r="H806" s="79" t="s">
        <v>1132</v>
      </c>
      <c r="I806" s="79"/>
    </row>
    <row r="807" spans="1:9" ht="14.25">
      <c r="A807" s="79" t="s">
        <v>2870</v>
      </c>
      <c r="B807" s="79" t="s">
        <v>2871</v>
      </c>
      <c r="C807" s="79">
        <v>593275319</v>
      </c>
      <c r="D807" s="79">
        <v>0</v>
      </c>
      <c r="E807" s="79" t="s">
        <v>1124</v>
      </c>
      <c r="F807" s="79" t="s">
        <v>2539</v>
      </c>
      <c r="G807" s="79" t="s">
        <v>2578</v>
      </c>
      <c r="H807" s="79"/>
      <c r="I807" s="79"/>
    </row>
    <row r="808" spans="1:9" ht="14.25">
      <c r="A808" s="79" t="s">
        <v>2872</v>
      </c>
      <c r="B808" s="79" t="s">
        <v>2873</v>
      </c>
      <c r="C808" s="79">
        <v>593275919</v>
      </c>
      <c r="D808" s="79">
        <v>0</v>
      </c>
      <c r="E808" s="79" t="s">
        <v>1124</v>
      </c>
      <c r="F808" s="79" t="s">
        <v>2539</v>
      </c>
      <c r="G808" s="79" t="s">
        <v>2546</v>
      </c>
      <c r="H808" s="79" t="s">
        <v>2547</v>
      </c>
      <c r="I808" s="79"/>
    </row>
    <row r="809" spans="1:9" ht="14.25">
      <c r="A809" s="79" t="s">
        <v>2872</v>
      </c>
      <c r="B809" s="79" t="s">
        <v>2873</v>
      </c>
      <c r="C809" s="79">
        <v>593275919</v>
      </c>
      <c r="D809" s="79">
        <v>0</v>
      </c>
      <c r="E809" s="79" t="s">
        <v>1124</v>
      </c>
      <c r="F809" s="79" t="s">
        <v>2539</v>
      </c>
      <c r="G809" s="79" t="s">
        <v>2581</v>
      </c>
      <c r="H809" s="79"/>
      <c r="I809" s="79"/>
    </row>
    <row r="810" spans="1:9" ht="14.25">
      <c r="A810" s="79" t="s">
        <v>2874</v>
      </c>
      <c r="B810" s="79" t="s">
        <v>2875</v>
      </c>
      <c r="C810" s="79">
        <v>593318519</v>
      </c>
      <c r="D810" s="79">
        <v>0</v>
      </c>
      <c r="E810" s="79" t="s">
        <v>1124</v>
      </c>
      <c r="F810" s="79" t="s">
        <v>2539</v>
      </c>
      <c r="G810" s="79" t="s">
        <v>1130</v>
      </c>
      <c r="H810" s="79"/>
      <c r="I810" s="79"/>
    </row>
    <row r="811" spans="1:9" ht="14.25">
      <c r="A811" s="79" t="s">
        <v>2874</v>
      </c>
      <c r="B811" s="79" t="s">
        <v>2875</v>
      </c>
      <c r="C811" s="79">
        <v>593318519</v>
      </c>
      <c r="D811" s="79">
        <v>0</v>
      </c>
      <c r="E811" s="79" t="s">
        <v>1124</v>
      </c>
      <c r="F811" s="79" t="s">
        <v>2539</v>
      </c>
      <c r="G811" s="79" t="s">
        <v>1131</v>
      </c>
      <c r="H811" s="79" t="s">
        <v>1132</v>
      </c>
      <c r="I811" s="79"/>
    </row>
    <row r="812" spans="1:9" ht="14.25">
      <c r="A812" s="79" t="s">
        <v>2874</v>
      </c>
      <c r="B812" s="79" t="s">
        <v>2875</v>
      </c>
      <c r="C812" s="79">
        <v>593318519</v>
      </c>
      <c r="D812" s="79">
        <v>0</v>
      </c>
      <c r="E812" s="79" t="s">
        <v>1124</v>
      </c>
      <c r="F812" s="79" t="s">
        <v>2539</v>
      </c>
      <c r="G812" s="79" t="s">
        <v>2578</v>
      </c>
      <c r="H812" s="79"/>
      <c r="I812" s="79"/>
    </row>
    <row r="813" spans="1:9" ht="14.25">
      <c r="A813" s="79" t="s">
        <v>2876</v>
      </c>
      <c r="B813" s="79" t="s">
        <v>2877</v>
      </c>
      <c r="C813" s="79">
        <v>593319119</v>
      </c>
      <c r="D813" s="79">
        <v>0</v>
      </c>
      <c r="E813" s="79" t="s">
        <v>1124</v>
      </c>
      <c r="F813" s="79" t="s">
        <v>2539</v>
      </c>
      <c r="G813" s="79" t="s">
        <v>2546</v>
      </c>
      <c r="H813" s="79" t="s">
        <v>2547</v>
      </c>
      <c r="I813" s="79"/>
    </row>
    <row r="814" spans="1:9" ht="14.25">
      <c r="A814" s="79" t="s">
        <v>2876</v>
      </c>
      <c r="B814" s="79" t="s">
        <v>2877</v>
      </c>
      <c r="C814" s="79">
        <v>593319119</v>
      </c>
      <c r="D814" s="79">
        <v>0</v>
      </c>
      <c r="E814" s="79" t="s">
        <v>1124</v>
      </c>
      <c r="F814" s="79" t="s">
        <v>2539</v>
      </c>
      <c r="G814" s="79" t="s">
        <v>2581</v>
      </c>
      <c r="H814" s="79"/>
      <c r="I814" s="79"/>
    </row>
    <row r="815" spans="1:9" ht="14.25">
      <c r="A815" s="79" t="s">
        <v>2878</v>
      </c>
      <c r="B815" s="79" t="s">
        <v>2879</v>
      </c>
      <c r="C815" s="79">
        <v>593361719</v>
      </c>
      <c r="D815" s="79">
        <v>0</v>
      </c>
      <c r="E815" s="79" t="s">
        <v>1124</v>
      </c>
      <c r="F815" s="79" t="s">
        <v>2539</v>
      </c>
      <c r="G815" s="79" t="s">
        <v>1130</v>
      </c>
      <c r="H815" s="79"/>
      <c r="I815" s="79"/>
    </row>
    <row r="816" spans="1:9" ht="14.25">
      <c r="A816" s="79" t="s">
        <v>2878</v>
      </c>
      <c r="B816" s="79" t="s">
        <v>2879</v>
      </c>
      <c r="C816" s="79">
        <v>593361719</v>
      </c>
      <c r="D816" s="79">
        <v>0</v>
      </c>
      <c r="E816" s="79" t="s">
        <v>1124</v>
      </c>
      <c r="F816" s="79" t="s">
        <v>2539</v>
      </c>
      <c r="G816" s="79" t="s">
        <v>1131</v>
      </c>
      <c r="H816" s="79" t="s">
        <v>1132</v>
      </c>
      <c r="I816" s="79"/>
    </row>
    <row r="817" spans="1:9" ht="14.25">
      <c r="A817" s="79" t="s">
        <v>2878</v>
      </c>
      <c r="B817" s="79" t="s">
        <v>2879</v>
      </c>
      <c r="C817" s="79">
        <v>593361719</v>
      </c>
      <c r="D817" s="79">
        <v>0</v>
      </c>
      <c r="E817" s="79" t="s">
        <v>1124</v>
      </c>
      <c r="F817" s="79" t="s">
        <v>2539</v>
      </c>
      <c r="G817" s="79" t="s">
        <v>2578</v>
      </c>
      <c r="H817" s="79"/>
      <c r="I817" s="79"/>
    </row>
    <row r="818" spans="1:9" ht="14.25">
      <c r="A818" s="79" t="s">
        <v>2880</v>
      </c>
      <c r="B818" s="79" t="s">
        <v>2881</v>
      </c>
      <c r="C818" s="79">
        <v>593362319</v>
      </c>
      <c r="D818" s="79">
        <v>0</v>
      </c>
      <c r="E818" s="79" t="s">
        <v>1124</v>
      </c>
      <c r="F818" s="79" t="s">
        <v>2539</v>
      </c>
      <c r="G818" s="79" t="s">
        <v>2546</v>
      </c>
      <c r="H818" s="79" t="s">
        <v>2547</v>
      </c>
      <c r="I818" s="79"/>
    </row>
    <row r="819" spans="1:9" ht="14.25">
      <c r="A819" s="79" t="s">
        <v>2880</v>
      </c>
      <c r="B819" s="79" t="s">
        <v>2881</v>
      </c>
      <c r="C819" s="79">
        <v>593362319</v>
      </c>
      <c r="D819" s="79">
        <v>0</v>
      </c>
      <c r="E819" s="79" t="s">
        <v>1124</v>
      </c>
      <c r="F819" s="79" t="s">
        <v>2539</v>
      </c>
      <c r="G819" s="79" t="s">
        <v>2581</v>
      </c>
      <c r="H819" s="79"/>
      <c r="I819" s="79"/>
    </row>
    <row r="820" spans="1:9" ht="14.25">
      <c r="A820" s="79" t="s">
        <v>2882</v>
      </c>
      <c r="B820" s="79" t="s">
        <v>2883</v>
      </c>
      <c r="C820" s="79">
        <v>593404919</v>
      </c>
      <c r="D820" s="79">
        <v>0</v>
      </c>
      <c r="E820" s="79" t="s">
        <v>1124</v>
      </c>
      <c r="F820" s="79" t="s">
        <v>2539</v>
      </c>
      <c r="G820" s="79" t="s">
        <v>1130</v>
      </c>
      <c r="H820" s="79"/>
      <c r="I820" s="79"/>
    </row>
    <row r="821" spans="1:9" ht="14.25">
      <c r="A821" s="79" t="s">
        <v>2882</v>
      </c>
      <c r="B821" s="79" t="s">
        <v>2883</v>
      </c>
      <c r="C821" s="79">
        <v>593404919</v>
      </c>
      <c r="D821" s="79">
        <v>0</v>
      </c>
      <c r="E821" s="79" t="s">
        <v>1124</v>
      </c>
      <c r="F821" s="79" t="s">
        <v>2539</v>
      </c>
      <c r="G821" s="79" t="s">
        <v>1131</v>
      </c>
      <c r="H821" s="79" t="s">
        <v>1132</v>
      </c>
      <c r="I821" s="79"/>
    </row>
    <row r="822" spans="1:9" ht="14.25">
      <c r="A822" s="79" t="s">
        <v>2882</v>
      </c>
      <c r="B822" s="79" t="s">
        <v>2883</v>
      </c>
      <c r="C822" s="79">
        <v>593404919</v>
      </c>
      <c r="D822" s="79">
        <v>0</v>
      </c>
      <c r="E822" s="79" t="s">
        <v>1124</v>
      </c>
      <c r="F822" s="79" t="s">
        <v>2539</v>
      </c>
      <c r="G822" s="79" t="s">
        <v>2578</v>
      </c>
      <c r="H822" s="79"/>
      <c r="I822" s="79"/>
    </row>
    <row r="823" spans="1:9" ht="14.25">
      <c r="A823" s="79" t="s">
        <v>2884</v>
      </c>
      <c r="B823" s="79" t="s">
        <v>2885</v>
      </c>
      <c r="C823" s="79">
        <v>593405519</v>
      </c>
      <c r="D823" s="79">
        <v>0</v>
      </c>
      <c r="E823" s="79" t="s">
        <v>1124</v>
      </c>
      <c r="F823" s="79" t="s">
        <v>2539</v>
      </c>
      <c r="G823" s="79" t="s">
        <v>2546</v>
      </c>
      <c r="H823" s="79" t="s">
        <v>2547</v>
      </c>
      <c r="I823" s="79"/>
    </row>
    <row r="824" spans="1:9" ht="14.25">
      <c r="A824" s="79" t="s">
        <v>2884</v>
      </c>
      <c r="B824" s="79" t="s">
        <v>2885</v>
      </c>
      <c r="C824" s="79">
        <v>593405519</v>
      </c>
      <c r="D824" s="79">
        <v>0</v>
      </c>
      <c r="E824" s="79" t="s">
        <v>1124</v>
      </c>
      <c r="F824" s="79" t="s">
        <v>2539</v>
      </c>
      <c r="G824" s="79" t="s">
        <v>2581</v>
      </c>
      <c r="H824" s="79"/>
      <c r="I824" s="79"/>
    </row>
    <row r="825" spans="1:9" ht="14.25">
      <c r="A825" s="79" t="s">
        <v>2886</v>
      </c>
      <c r="B825" s="79" t="s">
        <v>2887</v>
      </c>
      <c r="C825" s="79">
        <v>593448119</v>
      </c>
      <c r="D825" s="79">
        <v>0</v>
      </c>
      <c r="E825" s="79" t="s">
        <v>1124</v>
      </c>
      <c r="F825" s="79" t="s">
        <v>2539</v>
      </c>
      <c r="G825" s="79" t="s">
        <v>1130</v>
      </c>
      <c r="H825" s="79"/>
      <c r="I825" s="79"/>
    </row>
    <row r="826" spans="1:9" ht="14.25">
      <c r="A826" s="79" t="s">
        <v>2886</v>
      </c>
      <c r="B826" s="79" t="s">
        <v>2887</v>
      </c>
      <c r="C826" s="79">
        <v>593448119</v>
      </c>
      <c r="D826" s="79">
        <v>0</v>
      </c>
      <c r="E826" s="79" t="s">
        <v>1124</v>
      </c>
      <c r="F826" s="79" t="s">
        <v>2539</v>
      </c>
      <c r="G826" s="79" t="s">
        <v>1131</v>
      </c>
      <c r="H826" s="79" t="s">
        <v>1132</v>
      </c>
      <c r="I826" s="79"/>
    </row>
    <row r="827" spans="1:9" ht="14.25">
      <c r="A827" s="79" t="s">
        <v>2886</v>
      </c>
      <c r="B827" s="79" t="s">
        <v>2887</v>
      </c>
      <c r="C827" s="79">
        <v>593448119</v>
      </c>
      <c r="D827" s="79">
        <v>0</v>
      </c>
      <c r="E827" s="79" t="s">
        <v>1124</v>
      </c>
      <c r="F827" s="79" t="s">
        <v>2539</v>
      </c>
      <c r="G827" s="79" t="s">
        <v>2578</v>
      </c>
      <c r="H827" s="79"/>
      <c r="I827" s="79"/>
    </row>
    <row r="828" spans="1:9" ht="14.25">
      <c r="A828" s="79" t="s">
        <v>2888</v>
      </c>
      <c r="B828" s="79" t="s">
        <v>2889</v>
      </c>
      <c r="C828" s="79">
        <v>593448719</v>
      </c>
      <c r="D828" s="79">
        <v>0</v>
      </c>
      <c r="E828" s="79" t="s">
        <v>1124</v>
      </c>
      <c r="F828" s="79" t="s">
        <v>2539</v>
      </c>
      <c r="G828" s="79" t="s">
        <v>2546</v>
      </c>
      <c r="H828" s="79" t="s">
        <v>2547</v>
      </c>
      <c r="I828" s="79"/>
    </row>
    <row r="829" spans="1:9" ht="14.25">
      <c r="A829" s="79" t="s">
        <v>2888</v>
      </c>
      <c r="B829" s="79" t="s">
        <v>2889</v>
      </c>
      <c r="C829" s="79">
        <v>593448719</v>
      </c>
      <c r="D829" s="79">
        <v>0</v>
      </c>
      <c r="E829" s="79" t="s">
        <v>1124</v>
      </c>
      <c r="F829" s="79" t="s">
        <v>2539</v>
      </c>
      <c r="G829" s="79" t="s">
        <v>2581</v>
      </c>
      <c r="H829" s="79"/>
      <c r="I829" s="79"/>
    </row>
    <row r="830" spans="1:9" ht="14.25">
      <c r="A830" s="79" t="s">
        <v>2890</v>
      </c>
      <c r="B830" s="79" t="s">
        <v>2891</v>
      </c>
      <c r="C830" s="79">
        <v>593491319</v>
      </c>
      <c r="D830" s="79">
        <v>0</v>
      </c>
      <c r="E830" s="79" t="s">
        <v>1124</v>
      </c>
      <c r="F830" s="79" t="s">
        <v>2539</v>
      </c>
      <c r="G830" s="79" t="s">
        <v>1130</v>
      </c>
      <c r="H830" s="79"/>
      <c r="I830" s="79"/>
    </row>
    <row r="831" spans="1:9" ht="14.25">
      <c r="A831" s="79" t="s">
        <v>2890</v>
      </c>
      <c r="B831" s="79" t="s">
        <v>2891</v>
      </c>
      <c r="C831" s="79">
        <v>593491319</v>
      </c>
      <c r="D831" s="79">
        <v>0</v>
      </c>
      <c r="E831" s="79" t="s">
        <v>1124</v>
      </c>
      <c r="F831" s="79" t="s">
        <v>2539</v>
      </c>
      <c r="G831" s="79" t="s">
        <v>1131</v>
      </c>
      <c r="H831" s="79" t="s">
        <v>1132</v>
      </c>
      <c r="I831" s="79"/>
    </row>
    <row r="832" spans="1:9" ht="14.25">
      <c r="A832" s="79" t="s">
        <v>2890</v>
      </c>
      <c r="B832" s="79" t="s">
        <v>2891</v>
      </c>
      <c r="C832" s="79">
        <v>593491319</v>
      </c>
      <c r="D832" s="79">
        <v>0</v>
      </c>
      <c r="E832" s="79" t="s">
        <v>1124</v>
      </c>
      <c r="F832" s="79" t="s">
        <v>2539</v>
      </c>
      <c r="G832" s="79" t="s">
        <v>2578</v>
      </c>
      <c r="H832" s="79"/>
      <c r="I832" s="79"/>
    </row>
    <row r="833" spans="1:9" ht="14.25">
      <c r="A833" s="79" t="s">
        <v>2892</v>
      </c>
      <c r="B833" s="79" t="s">
        <v>2893</v>
      </c>
      <c r="C833" s="79">
        <v>593491919</v>
      </c>
      <c r="D833" s="79">
        <v>0</v>
      </c>
      <c r="E833" s="79" t="s">
        <v>1124</v>
      </c>
      <c r="F833" s="79" t="s">
        <v>2539</v>
      </c>
      <c r="G833" s="79" t="s">
        <v>2546</v>
      </c>
      <c r="H833" s="79" t="s">
        <v>2547</v>
      </c>
      <c r="I833" s="79"/>
    </row>
    <row r="834" spans="1:9" ht="14.25">
      <c r="A834" s="79" t="s">
        <v>2892</v>
      </c>
      <c r="B834" s="79" t="s">
        <v>2893</v>
      </c>
      <c r="C834" s="79">
        <v>593491919</v>
      </c>
      <c r="D834" s="79">
        <v>0</v>
      </c>
      <c r="E834" s="79" t="s">
        <v>1124</v>
      </c>
      <c r="F834" s="79" t="s">
        <v>2539</v>
      </c>
      <c r="G834" s="79" t="s">
        <v>2581</v>
      </c>
      <c r="H834" s="79"/>
      <c r="I834" s="79"/>
    </row>
    <row r="835" spans="1:9" ht="14.25">
      <c r="A835" s="79" t="s">
        <v>2894</v>
      </c>
      <c r="B835" s="79" t="s">
        <v>2895</v>
      </c>
      <c r="C835" s="79">
        <v>593534519</v>
      </c>
      <c r="D835" s="79">
        <v>0</v>
      </c>
      <c r="E835" s="79" t="s">
        <v>1124</v>
      </c>
      <c r="F835" s="79" t="s">
        <v>2539</v>
      </c>
      <c r="G835" s="79" t="s">
        <v>1130</v>
      </c>
      <c r="H835" s="79"/>
      <c r="I835" s="79"/>
    </row>
    <row r="836" spans="1:9" ht="14.25">
      <c r="A836" s="79" t="s">
        <v>2894</v>
      </c>
      <c r="B836" s="79" t="s">
        <v>2895</v>
      </c>
      <c r="C836" s="79">
        <v>593534519</v>
      </c>
      <c r="D836" s="79">
        <v>0</v>
      </c>
      <c r="E836" s="79" t="s">
        <v>1124</v>
      </c>
      <c r="F836" s="79" t="s">
        <v>2539</v>
      </c>
      <c r="G836" s="79" t="s">
        <v>1131</v>
      </c>
      <c r="H836" s="79" t="s">
        <v>1132</v>
      </c>
      <c r="I836" s="79"/>
    </row>
    <row r="837" spans="1:9" ht="14.25">
      <c r="A837" s="79" t="s">
        <v>2894</v>
      </c>
      <c r="B837" s="79" t="s">
        <v>2895</v>
      </c>
      <c r="C837" s="79">
        <v>593534519</v>
      </c>
      <c r="D837" s="79">
        <v>0</v>
      </c>
      <c r="E837" s="79" t="s">
        <v>1124</v>
      </c>
      <c r="F837" s="79" t="s">
        <v>2539</v>
      </c>
      <c r="G837" s="79" t="s">
        <v>2578</v>
      </c>
      <c r="H837" s="79"/>
      <c r="I837" s="79"/>
    </row>
    <row r="838" spans="1:9" ht="14.25">
      <c r="A838" s="79" t="s">
        <v>2896</v>
      </c>
      <c r="B838" s="79" t="s">
        <v>2897</v>
      </c>
      <c r="C838" s="79">
        <v>593535119</v>
      </c>
      <c r="D838" s="79">
        <v>0</v>
      </c>
      <c r="E838" s="79" t="s">
        <v>1124</v>
      </c>
      <c r="F838" s="79" t="s">
        <v>2539</v>
      </c>
      <c r="G838" s="79" t="s">
        <v>2546</v>
      </c>
      <c r="H838" s="79" t="s">
        <v>2547</v>
      </c>
      <c r="I838" s="79"/>
    </row>
    <row r="839" spans="1:9" ht="14.25">
      <c r="A839" s="79" t="s">
        <v>2896</v>
      </c>
      <c r="B839" s="79" t="s">
        <v>2897</v>
      </c>
      <c r="C839" s="79">
        <v>593535119</v>
      </c>
      <c r="D839" s="79">
        <v>0</v>
      </c>
      <c r="E839" s="79" t="s">
        <v>1124</v>
      </c>
      <c r="F839" s="79" t="s">
        <v>2539</v>
      </c>
      <c r="G839" s="79" t="s">
        <v>2581</v>
      </c>
      <c r="H839" s="79"/>
      <c r="I839" s="79"/>
    </row>
    <row r="840" spans="1:9" ht="14.25">
      <c r="A840" s="79" t="s">
        <v>2898</v>
      </c>
      <c r="B840" s="79" t="s">
        <v>2899</v>
      </c>
      <c r="C840" s="79">
        <v>593577719</v>
      </c>
      <c r="D840" s="79">
        <v>0</v>
      </c>
      <c r="E840" s="79" t="s">
        <v>1124</v>
      </c>
      <c r="F840" s="79" t="s">
        <v>2539</v>
      </c>
      <c r="G840" s="79" t="s">
        <v>1130</v>
      </c>
      <c r="H840" s="79"/>
      <c r="I840" s="79"/>
    </row>
    <row r="841" spans="1:9" ht="14.25">
      <c r="A841" s="79" t="s">
        <v>2898</v>
      </c>
      <c r="B841" s="79" t="s">
        <v>2899</v>
      </c>
      <c r="C841" s="79">
        <v>593577719</v>
      </c>
      <c r="D841" s="79">
        <v>0</v>
      </c>
      <c r="E841" s="79" t="s">
        <v>1124</v>
      </c>
      <c r="F841" s="79" t="s">
        <v>2539</v>
      </c>
      <c r="G841" s="79" t="s">
        <v>1131</v>
      </c>
      <c r="H841" s="79" t="s">
        <v>1132</v>
      </c>
      <c r="I841" s="79"/>
    </row>
    <row r="842" spans="1:9" ht="14.25">
      <c r="A842" s="79" t="s">
        <v>2898</v>
      </c>
      <c r="B842" s="79" t="s">
        <v>2899</v>
      </c>
      <c r="C842" s="79">
        <v>593577719</v>
      </c>
      <c r="D842" s="79">
        <v>0</v>
      </c>
      <c r="E842" s="79" t="s">
        <v>1124</v>
      </c>
      <c r="F842" s="79" t="s">
        <v>2539</v>
      </c>
      <c r="G842" s="79" t="s">
        <v>2578</v>
      </c>
      <c r="H842" s="79"/>
      <c r="I842" s="79"/>
    </row>
    <row r="843" spans="1:9" ht="14.25">
      <c r="A843" s="79" t="s">
        <v>2900</v>
      </c>
      <c r="B843" s="79" t="s">
        <v>2901</v>
      </c>
      <c r="C843" s="79">
        <v>593578319</v>
      </c>
      <c r="D843" s="79">
        <v>0</v>
      </c>
      <c r="E843" s="79" t="s">
        <v>1124</v>
      </c>
      <c r="F843" s="79" t="s">
        <v>2539</v>
      </c>
      <c r="G843" s="79" t="s">
        <v>2546</v>
      </c>
      <c r="H843" s="79" t="s">
        <v>2547</v>
      </c>
      <c r="I843" s="79"/>
    </row>
    <row r="844" spans="1:9" ht="14.25">
      <c r="A844" s="79" t="s">
        <v>2900</v>
      </c>
      <c r="B844" s="79" t="s">
        <v>2901</v>
      </c>
      <c r="C844" s="79">
        <v>593578319</v>
      </c>
      <c r="D844" s="79">
        <v>0</v>
      </c>
      <c r="E844" s="79" t="s">
        <v>1124</v>
      </c>
      <c r="F844" s="79" t="s">
        <v>2539</v>
      </c>
      <c r="G844" s="79" t="s">
        <v>2581</v>
      </c>
      <c r="H844" s="79"/>
      <c r="I844" s="79"/>
    </row>
    <row r="845" spans="1:9" ht="14.25">
      <c r="A845" s="79" t="s">
        <v>2902</v>
      </c>
      <c r="B845" s="79" t="s">
        <v>2903</v>
      </c>
      <c r="C845" s="79">
        <v>593620919</v>
      </c>
      <c r="D845" s="79">
        <v>0</v>
      </c>
      <c r="E845" s="79" t="s">
        <v>1124</v>
      </c>
      <c r="F845" s="79" t="s">
        <v>2539</v>
      </c>
      <c r="G845" s="79" t="s">
        <v>1130</v>
      </c>
      <c r="H845" s="79"/>
      <c r="I845" s="79"/>
    </row>
    <row r="846" spans="1:9" ht="14.25">
      <c r="A846" s="79" t="s">
        <v>2902</v>
      </c>
      <c r="B846" s="79" t="s">
        <v>2903</v>
      </c>
      <c r="C846" s="79">
        <v>593620919</v>
      </c>
      <c r="D846" s="79">
        <v>0</v>
      </c>
      <c r="E846" s="79" t="s">
        <v>1124</v>
      </c>
      <c r="F846" s="79" t="s">
        <v>2539</v>
      </c>
      <c r="G846" s="79" t="s">
        <v>1131</v>
      </c>
      <c r="H846" s="79" t="s">
        <v>1132</v>
      </c>
      <c r="I846" s="79"/>
    </row>
    <row r="847" spans="1:9" ht="14.25">
      <c r="A847" s="79" t="s">
        <v>2902</v>
      </c>
      <c r="B847" s="79" t="s">
        <v>2903</v>
      </c>
      <c r="C847" s="79">
        <v>593620919</v>
      </c>
      <c r="D847" s="79">
        <v>0</v>
      </c>
      <c r="E847" s="79" t="s">
        <v>1124</v>
      </c>
      <c r="F847" s="79" t="s">
        <v>2539</v>
      </c>
      <c r="G847" s="79" t="s">
        <v>2578</v>
      </c>
      <c r="H847" s="79"/>
      <c r="I847" s="79"/>
    </row>
    <row r="848" spans="1:9" ht="14.25">
      <c r="A848" s="79" t="s">
        <v>2904</v>
      </c>
      <c r="B848" s="79" t="s">
        <v>2905</v>
      </c>
      <c r="C848" s="79">
        <v>593621519</v>
      </c>
      <c r="D848" s="79">
        <v>0</v>
      </c>
      <c r="E848" s="79" t="s">
        <v>1124</v>
      </c>
      <c r="F848" s="79" t="s">
        <v>2539</v>
      </c>
      <c r="G848" s="79" t="s">
        <v>2546</v>
      </c>
      <c r="H848" s="79" t="s">
        <v>2547</v>
      </c>
      <c r="I848" s="79"/>
    </row>
    <row r="849" spans="1:9" ht="14.25">
      <c r="A849" s="79" t="s">
        <v>2904</v>
      </c>
      <c r="B849" s="79" t="s">
        <v>2905</v>
      </c>
      <c r="C849" s="79">
        <v>593621519</v>
      </c>
      <c r="D849" s="79">
        <v>0</v>
      </c>
      <c r="E849" s="79" t="s">
        <v>1124</v>
      </c>
      <c r="F849" s="79" t="s">
        <v>2539</v>
      </c>
      <c r="G849" s="79" t="s">
        <v>2581</v>
      </c>
      <c r="H849" s="79"/>
      <c r="I849" s="79"/>
    </row>
    <row r="850" spans="1:9" ht="14.25">
      <c r="A850" s="79" t="s">
        <v>2906</v>
      </c>
      <c r="B850" s="79" t="s">
        <v>2907</v>
      </c>
      <c r="C850" s="79">
        <v>593664119</v>
      </c>
      <c r="D850" s="79">
        <v>0</v>
      </c>
      <c r="E850" s="79" t="s">
        <v>1124</v>
      </c>
      <c r="F850" s="79" t="s">
        <v>2539</v>
      </c>
      <c r="G850" s="79" t="s">
        <v>1130</v>
      </c>
      <c r="H850" s="79"/>
      <c r="I850" s="79"/>
    </row>
    <row r="851" spans="1:9" ht="14.25">
      <c r="A851" s="79" t="s">
        <v>2906</v>
      </c>
      <c r="B851" s="79" t="s">
        <v>2907</v>
      </c>
      <c r="C851" s="79">
        <v>593664119</v>
      </c>
      <c r="D851" s="79">
        <v>0</v>
      </c>
      <c r="E851" s="79" t="s">
        <v>1124</v>
      </c>
      <c r="F851" s="79" t="s">
        <v>2539</v>
      </c>
      <c r="G851" s="79" t="s">
        <v>1131</v>
      </c>
      <c r="H851" s="79" t="s">
        <v>1132</v>
      </c>
      <c r="I851" s="79"/>
    </row>
    <row r="852" spans="1:9" ht="14.25">
      <c r="A852" s="79" t="s">
        <v>2906</v>
      </c>
      <c r="B852" s="79" t="s">
        <v>2907</v>
      </c>
      <c r="C852" s="79">
        <v>593664119</v>
      </c>
      <c r="D852" s="79">
        <v>0</v>
      </c>
      <c r="E852" s="79" t="s">
        <v>1124</v>
      </c>
      <c r="F852" s="79" t="s">
        <v>2539</v>
      </c>
      <c r="G852" s="79" t="s">
        <v>2578</v>
      </c>
      <c r="H852" s="79"/>
      <c r="I852" s="79"/>
    </row>
    <row r="853" spans="1:9" ht="14.25">
      <c r="A853" s="79" t="s">
        <v>2908</v>
      </c>
      <c r="B853" s="79" t="s">
        <v>2909</v>
      </c>
      <c r="C853" s="79">
        <v>593664719</v>
      </c>
      <c r="D853" s="79">
        <v>0</v>
      </c>
      <c r="E853" s="79" t="s">
        <v>1124</v>
      </c>
      <c r="F853" s="79" t="s">
        <v>2539</v>
      </c>
      <c r="G853" s="79" t="s">
        <v>2546</v>
      </c>
      <c r="H853" s="79" t="s">
        <v>2547</v>
      </c>
      <c r="I853" s="79"/>
    </row>
    <row r="854" spans="1:9" ht="14.25">
      <c r="A854" s="79" t="s">
        <v>2908</v>
      </c>
      <c r="B854" s="79" t="s">
        <v>2909</v>
      </c>
      <c r="C854" s="79">
        <v>593664719</v>
      </c>
      <c r="D854" s="79">
        <v>0</v>
      </c>
      <c r="E854" s="79" t="s">
        <v>1124</v>
      </c>
      <c r="F854" s="79" t="s">
        <v>2539</v>
      </c>
      <c r="G854" s="79" t="s">
        <v>2581</v>
      </c>
      <c r="H854" s="79"/>
      <c r="I854" s="79"/>
    </row>
    <row r="855" spans="1:9" ht="14.25">
      <c r="A855" s="79" t="s">
        <v>2910</v>
      </c>
      <c r="B855" s="79" t="s">
        <v>2911</v>
      </c>
      <c r="C855" s="79">
        <v>593707319</v>
      </c>
      <c r="D855" s="79">
        <v>0</v>
      </c>
      <c r="E855" s="79" t="s">
        <v>1124</v>
      </c>
      <c r="F855" s="79" t="s">
        <v>2539</v>
      </c>
      <c r="G855" s="79" t="s">
        <v>1130</v>
      </c>
      <c r="H855" s="79"/>
      <c r="I855" s="79"/>
    </row>
    <row r="856" spans="1:9" ht="14.25">
      <c r="A856" s="79" t="s">
        <v>2910</v>
      </c>
      <c r="B856" s="79" t="s">
        <v>2911</v>
      </c>
      <c r="C856" s="79">
        <v>593707319</v>
      </c>
      <c r="D856" s="79">
        <v>0</v>
      </c>
      <c r="E856" s="79" t="s">
        <v>1124</v>
      </c>
      <c r="F856" s="79" t="s">
        <v>2539</v>
      </c>
      <c r="G856" s="79" t="s">
        <v>2109</v>
      </c>
      <c r="H856" s="79"/>
      <c r="I856" s="79"/>
    </row>
    <row r="857" spans="1:9" ht="14.25">
      <c r="A857" s="79" t="s">
        <v>2912</v>
      </c>
      <c r="B857" s="79" t="s">
        <v>2913</v>
      </c>
      <c r="C857" s="79">
        <v>593707322</v>
      </c>
      <c r="D857" s="79">
        <v>0</v>
      </c>
      <c r="E857" s="79" t="s">
        <v>1124</v>
      </c>
      <c r="F857" s="79" t="s">
        <v>2539</v>
      </c>
      <c r="G857" s="79" t="s">
        <v>1130</v>
      </c>
      <c r="H857" s="79"/>
      <c r="I857" s="79"/>
    </row>
    <row r="858" spans="1:9" ht="14.25">
      <c r="A858" s="79" t="s">
        <v>2912</v>
      </c>
      <c r="B858" s="79" t="s">
        <v>2913</v>
      </c>
      <c r="C858" s="79">
        <v>593707322</v>
      </c>
      <c r="D858" s="79">
        <v>0</v>
      </c>
      <c r="E858" s="79" t="s">
        <v>1124</v>
      </c>
      <c r="F858" s="79" t="s">
        <v>2539</v>
      </c>
      <c r="G858" s="79" t="s">
        <v>2572</v>
      </c>
      <c r="H858" s="79" t="s">
        <v>2573</v>
      </c>
      <c r="I858" s="79"/>
    </row>
    <row r="859" spans="1:9" ht="14.25">
      <c r="A859" s="79" t="s">
        <v>2912</v>
      </c>
      <c r="B859" s="79" t="s">
        <v>2913</v>
      </c>
      <c r="C859" s="79">
        <v>593707322</v>
      </c>
      <c r="D859" s="79">
        <v>0</v>
      </c>
      <c r="E859" s="79" t="s">
        <v>1124</v>
      </c>
      <c r="F859" s="79" t="s">
        <v>2539</v>
      </c>
      <c r="G859" s="79" t="s">
        <v>2568</v>
      </c>
      <c r="H859" s="79"/>
      <c r="I859" s="79"/>
    </row>
    <row r="860" spans="1:9" ht="14.25">
      <c r="A860" s="79" t="s">
        <v>2914</v>
      </c>
      <c r="B860" s="79" t="s">
        <v>2915</v>
      </c>
      <c r="C860" s="79">
        <v>593707682</v>
      </c>
      <c r="D860" s="79">
        <v>0</v>
      </c>
      <c r="E860" s="79" t="s">
        <v>1124</v>
      </c>
      <c r="F860" s="79" t="s">
        <v>2539</v>
      </c>
      <c r="G860" s="79" t="s">
        <v>2576</v>
      </c>
      <c r="H860" s="79"/>
      <c r="I860" s="79"/>
    </row>
    <row r="861" spans="1:9" ht="14.25">
      <c r="A861" s="79" t="s">
        <v>2914</v>
      </c>
      <c r="B861" s="79" t="s">
        <v>2915</v>
      </c>
      <c r="C861" s="79">
        <v>593707682</v>
      </c>
      <c r="D861" s="79">
        <v>0</v>
      </c>
      <c r="E861" s="79" t="s">
        <v>1124</v>
      </c>
      <c r="F861" s="79" t="s">
        <v>2539</v>
      </c>
      <c r="G861" s="79" t="s">
        <v>2577</v>
      </c>
      <c r="H861" s="79"/>
      <c r="I861" s="79"/>
    </row>
    <row r="862" spans="1:9" ht="14.25">
      <c r="A862" s="79" t="s">
        <v>2914</v>
      </c>
      <c r="B862" s="79" t="s">
        <v>2915</v>
      </c>
      <c r="C862" s="79">
        <v>593707682</v>
      </c>
      <c r="D862" s="79">
        <v>0</v>
      </c>
      <c r="E862" s="79" t="s">
        <v>1124</v>
      </c>
      <c r="F862" s="79" t="s">
        <v>2539</v>
      </c>
      <c r="G862" s="79" t="s">
        <v>1131</v>
      </c>
      <c r="H862" s="79" t="s">
        <v>1132</v>
      </c>
      <c r="I862" s="79"/>
    </row>
    <row r="863" spans="1:9" ht="14.25">
      <c r="A863" s="79" t="s">
        <v>2914</v>
      </c>
      <c r="B863" s="79" t="s">
        <v>2915</v>
      </c>
      <c r="C863" s="79">
        <v>593707682</v>
      </c>
      <c r="D863" s="79">
        <v>0</v>
      </c>
      <c r="E863" s="79" t="s">
        <v>1124</v>
      </c>
      <c r="F863" s="79" t="s">
        <v>2539</v>
      </c>
      <c r="G863" s="79" t="s">
        <v>2578</v>
      </c>
      <c r="H863" s="79"/>
      <c r="I863" s="79"/>
    </row>
    <row r="864" spans="1:9" ht="14.25">
      <c r="A864" s="79" t="s">
        <v>2916</v>
      </c>
      <c r="B864" s="79" t="s">
        <v>2917</v>
      </c>
      <c r="C864" s="79">
        <v>593708282</v>
      </c>
      <c r="D864" s="79">
        <v>0</v>
      </c>
      <c r="E864" s="79" t="s">
        <v>1124</v>
      </c>
      <c r="F864" s="79" t="s">
        <v>2539</v>
      </c>
      <c r="G864" s="79" t="s">
        <v>2546</v>
      </c>
      <c r="H864" s="79" t="s">
        <v>2547</v>
      </c>
      <c r="I864" s="79"/>
    </row>
    <row r="865" spans="1:9" ht="14.25">
      <c r="A865" s="79" t="s">
        <v>2916</v>
      </c>
      <c r="B865" s="79" t="s">
        <v>2917</v>
      </c>
      <c r="C865" s="79">
        <v>593708282</v>
      </c>
      <c r="D865" s="79">
        <v>0</v>
      </c>
      <c r="E865" s="79" t="s">
        <v>1124</v>
      </c>
      <c r="F865" s="79" t="s">
        <v>2539</v>
      </c>
      <c r="G865" s="79" t="s">
        <v>2581</v>
      </c>
      <c r="H865" s="79"/>
      <c r="I865" s="79"/>
    </row>
    <row r="866" spans="1:9" ht="14.25">
      <c r="A866" s="79" t="s">
        <v>2918</v>
      </c>
      <c r="B866" s="79" t="s">
        <v>2919</v>
      </c>
      <c r="C866" s="79">
        <v>593750882</v>
      </c>
      <c r="D866" s="79">
        <v>0</v>
      </c>
      <c r="E866" s="79" t="s">
        <v>1124</v>
      </c>
      <c r="F866" s="79" t="s">
        <v>2539</v>
      </c>
      <c r="G866" s="79" t="s">
        <v>1130</v>
      </c>
      <c r="H866" s="79"/>
      <c r="I866" s="79"/>
    </row>
    <row r="867" spans="1:9" ht="14.25">
      <c r="A867" s="79" t="s">
        <v>2918</v>
      </c>
      <c r="B867" s="79" t="s">
        <v>2919</v>
      </c>
      <c r="C867" s="79">
        <v>593750882</v>
      </c>
      <c r="D867" s="79">
        <v>0</v>
      </c>
      <c r="E867" s="79" t="s">
        <v>1124</v>
      </c>
      <c r="F867" s="79" t="s">
        <v>2539</v>
      </c>
      <c r="G867" s="79" t="s">
        <v>1131</v>
      </c>
      <c r="H867" s="79" t="s">
        <v>1132</v>
      </c>
      <c r="I867" s="79"/>
    </row>
    <row r="868" spans="1:9" ht="14.25">
      <c r="A868" s="79" t="s">
        <v>2918</v>
      </c>
      <c r="B868" s="79" t="s">
        <v>2919</v>
      </c>
      <c r="C868" s="79">
        <v>593750882</v>
      </c>
      <c r="D868" s="79">
        <v>0</v>
      </c>
      <c r="E868" s="79" t="s">
        <v>1124</v>
      </c>
      <c r="F868" s="79" t="s">
        <v>2539</v>
      </c>
      <c r="G868" s="79" t="s">
        <v>2578</v>
      </c>
      <c r="H868" s="79"/>
      <c r="I868" s="79"/>
    </row>
    <row r="869" spans="1:9" ht="14.25">
      <c r="A869" s="79" t="s">
        <v>2920</v>
      </c>
      <c r="B869" s="79" t="s">
        <v>2921</v>
      </c>
      <c r="C869" s="79">
        <v>593751482</v>
      </c>
      <c r="D869" s="79">
        <v>0</v>
      </c>
      <c r="E869" s="79" t="s">
        <v>1124</v>
      </c>
      <c r="F869" s="79" t="s">
        <v>2539</v>
      </c>
      <c r="G869" s="79" t="s">
        <v>2546</v>
      </c>
      <c r="H869" s="79" t="s">
        <v>2547</v>
      </c>
      <c r="I869" s="79"/>
    </row>
    <row r="870" spans="1:9" ht="14.25">
      <c r="A870" s="79" t="s">
        <v>2920</v>
      </c>
      <c r="B870" s="79" t="s">
        <v>2921</v>
      </c>
      <c r="C870" s="79">
        <v>593751482</v>
      </c>
      <c r="D870" s="79">
        <v>0</v>
      </c>
      <c r="E870" s="79" t="s">
        <v>1124</v>
      </c>
      <c r="F870" s="79" t="s">
        <v>2539</v>
      </c>
      <c r="G870" s="79" t="s">
        <v>2581</v>
      </c>
      <c r="H870" s="79"/>
      <c r="I870" s="79"/>
    </row>
    <row r="871" spans="1:9" ht="14.25">
      <c r="A871" s="79" t="s">
        <v>2922</v>
      </c>
      <c r="B871" s="79" t="s">
        <v>2923</v>
      </c>
      <c r="C871" s="79">
        <v>593794082</v>
      </c>
      <c r="D871" s="79">
        <v>0</v>
      </c>
      <c r="E871" s="79" t="s">
        <v>1124</v>
      </c>
      <c r="F871" s="79" t="s">
        <v>2539</v>
      </c>
      <c r="G871" s="79" t="s">
        <v>1130</v>
      </c>
      <c r="H871" s="79"/>
      <c r="I871" s="79"/>
    </row>
    <row r="872" spans="1:9" ht="14.25">
      <c r="A872" s="79" t="s">
        <v>2922</v>
      </c>
      <c r="B872" s="79" t="s">
        <v>2923</v>
      </c>
      <c r="C872" s="79">
        <v>593794082</v>
      </c>
      <c r="D872" s="79">
        <v>0</v>
      </c>
      <c r="E872" s="79" t="s">
        <v>1124</v>
      </c>
      <c r="F872" s="79" t="s">
        <v>2539</v>
      </c>
      <c r="G872" s="79" t="s">
        <v>1131</v>
      </c>
      <c r="H872" s="79" t="s">
        <v>1132</v>
      </c>
      <c r="I872" s="79"/>
    </row>
    <row r="873" spans="1:9" ht="14.25">
      <c r="A873" s="79" t="s">
        <v>2922</v>
      </c>
      <c r="B873" s="79" t="s">
        <v>2923</v>
      </c>
      <c r="C873" s="79">
        <v>593794082</v>
      </c>
      <c r="D873" s="79">
        <v>0</v>
      </c>
      <c r="E873" s="79" t="s">
        <v>1124</v>
      </c>
      <c r="F873" s="79" t="s">
        <v>2539</v>
      </c>
      <c r="G873" s="79" t="s">
        <v>2578</v>
      </c>
      <c r="H873" s="79"/>
      <c r="I873" s="79"/>
    </row>
    <row r="874" spans="1:9" ht="14.25">
      <c r="A874" s="79" t="s">
        <v>2924</v>
      </c>
      <c r="B874" s="79" t="s">
        <v>2925</v>
      </c>
      <c r="C874" s="79">
        <v>593794682</v>
      </c>
      <c r="D874" s="79">
        <v>0</v>
      </c>
      <c r="E874" s="79" t="s">
        <v>1124</v>
      </c>
      <c r="F874" s="79" t="s">
        <v>2539</v>
      </c>
      <c r="G874" s="79" t="s">
        <v>2546</v>
      </c>
      <c r="H874" s="79" t="s">
        <v>2547</v>
      </c>
      <c r="I874" s="79"/>
    </row>
    <row r="875" spans="1:9" ht="14.25">
      <c r="A875" s="79" t="s">
        <v>2924</v>
      </c>
      <c r="B875" s="79" t="s">
        <v>2925</v>
      </c>
      <c r="C875" s="79">
        <v>593794682</v>
      </c>
      <c r="D875" s="79">
        <v>0</v>
      </c>
      <c r="E875" s="79" t="s">
        <v>1124</v>
      </c>
      <c r="F875" s="79" t="s">
        <v>2539</v>
      </c>
      <c r="G875" s="79" t="s">
        <v>2581</v>
      </c>
      <c r="H875" s="79"/>
      <c r="I875" s="79"/>
    </row>
    <row r="876" spans="1:9" ht="14.25">
      <c r="A876" s="79" t="s">
        <v>2926</v>
      </c>
      <c r="B876" s="79" t="s">
        <v>2927</v>
      </c>
      <c r="C876" s="79">
        <v>593837282</v>
      </c>
      <c r="D876" s="79">
        <v>0</v>
      </c>
      <c r="E876" s="79" t="s">
        <v>1124</v>
      </c>
      <c r="F876" s="79" t="s">
        <v>2539</v>
      </c>
      <c r="G876" s="79" t="s">
        <v>1130</v>
      </c>
      <c r="H876" s="79"/>
      <c r="I876" s="79"/>
    </row>
    <row r="877" spans="1:9" ht="14.25">
      <c r="A877" s="79" t="s">
        <v>2926</v>
      </c>
      <c r="B877" s="79" t="s">
        <v>2927</v>
      </c>
      <c r="C877" s="79">
        <v>593837282</v>
      </c>
      <c r="D877" s="79">
        <v>0</v>
      </c>
      <c r="E877" s="79" t="s">
        <v>1124</v>
      </c>
      <c r="F877" s="79" t="s">
        <v>2539</v>
      </c>
      <c r="G877" s="79" t="s">
        <v>1131</v>
      </c>
      <c r="H877" s="79" t="s">
        <v>1132</v>
      </c>
      <c r="I877" s="79"/>
    </row>
    <row r="878" spans="1:9" ht="14.25">
      <c r="A878" s="79" t="s">
        <v>2926</v>
      </c>
      <c r="B878" s="79" t="s">
        <v>2927</v>
      </c>
      <c r="C878" s="79">
        <v>593837282</v>
      </c>
      <c r="D878" s="79">
        <v>0</v>
      </c>
      <c r="E878" s="79" t="s">
        <v>1124</v>
      </c>
      <c r="F878" s="79" t="s">
        <v>2539</v>
      </c>
      <c r="G878" s="79" t="s">
        <v>2578</v>
      </c>
      <c r="H878" s="79"/>
      <c r="I878" s="79"/>
    </row>
    <row r="879" spans="1:9" ht="14.25">
      <c r="A879" s="79" t="s">
        <v>2928</v>
      </c>
      <c r="B879" s="79" t="s">
        <v>2929</v>
      </c>
      <c r="C879" s="79">
        <v>593837882</v>
      </c>
      <c r="D879" s="79">
        <v>0</v>
      </c>
      <c r="E879" s="79" t="s">
        <v>1124</v>
      </c>
      <c r="F879" s="79" t="s">
        <v>2539</v>
      </c>
      <c r="G879" s="79" t="s">
        <v>2546</v>
      </c>
      <c r="H879" s="79" t="s">
        <v>2547</v>
      </c>
      <c r="I879" s="79"/>
    </row>
    <row r="880" spans="1:9" ht="14.25">
      <c r="A880" s="79" t="s">
        <v>2928</v>
      </c>
      <c r="B880" s="79" t="s">
        <v>2929</v>
      </c>
      <c r="C880" s="79">
        <v>593837882</v>
      </c>
      <c r="D880" s="79">
        <v>0</v>
      </c>
      <c r="E880" s="79" t="s">
        <v>1124</v>
      </c>
      <c r="F880" s="79" t="s">
        <v>2539</v>
      </c>
      <c r="G880" s="79" t="s">
        <v>2581</v>
      </c>
      <c r="H880" s="79"/>
      <c r="I880" s="79"/>
    </row>
    <row r="881" spans="1:9" ht="14.25">
      <c r="A881" s="79" t="s">
        <v>2930</v>
      </c>
      <c r="B881" s="79" t="s">
        <v>2931</v>
      </c>
      <c r="C881" s="79">
        <v>593880482</v>
      </c>
      <c r="D881" s="79">
        <v>0</v>
      </c>
      <c r="E881" s="79" t="s">
        <v>1124</v>
      </c>
      <c r="F881" s="79" t="s">
        <v>2539</v>
      </c>
      <c r="G881" s="79" t="s">
        <v>1130</v>
      </c>
      <c r="H881" s="79"/>
      <c r="I881" s="79"/>
    </row>
    <row r="882" spans="1:9" ht="14.25">
      <c r="A882" s="79" t="s">
        <v>2930</v>
      </c>
      <c r="B882" s="79" t="s">
        <v>2931</v>
      </c>
      <c r="C882" s="79">
        <v>593880482</v>
      </c>
      <c r="D882" s="79">
        <v>0</v>
      </c>
      <c r="E882" s="79" t="s">
        <v>1124</v>
      </c>
      <c r="F882" s="79" t="s">
        <v>2539</v>
      </c>
      <c r="G882" s="79" t="s">
        <v>1131</v>
      </c>
      <c r="H882" s="79" t="s">
        <v>1132</v>
      </c>
      <c r="I882" s="79"/>
    </row>
    <row r="883" spans="1:9" ht="14.25">
      <c r="A883" s="79" t="s">
        <v>2930</v>
      </c>
      <c r="B883" s="79" t="s">
        <v>2931</v>
      </c>
      <c r="C883" s="79">
        <v>593880482</v>
      </c>
      <c r="D883" s="79">
        <v>0</v>
      </c>
      <c r="E883" s="79" t="s">
        <v>1124</v>
      </c>
      <c r="F883" s="79" t="s">
        <v>2539</v>
      </c>
      <c r="G883" s="79" t="s">
        <v>2578</v>
      </c>
      <c r="H883" s="79"/>
      <c r="I883" s="79"/>
    </row>
    <row r="884" spans="1:9" ht="14.25">
      <c r="A884" s="79" t="s">
        <v>2932</v>
      </c>
      <c r="B884" s="79" t="s">
        <v>2933</v>
      </c>
      <c r="C884" s="79">
        <v>593881082</v>
      </c>
      <c r="D884" s="79">
        <v>0</v>
      </c>
      <c r="E884" s="79" t="s">
        <v>1124</v>
      </c>
      <c r="F884" s="79" t="s">
        <v>2539</v>
      </c>
      <c r="G884" s="79" t="s">
        <v>2546</v>
      </c>
      <c r="H884" s="79" t="s">
        <v>2547</v>
      </c>
      <c r="I884" s="79"/>
    </row>
    <row r="885" spans="1:9" ht="14.25">
      <c r="A885" s="79" t="s">
        <v>2932</v>
      </c>
      <c r="B885" s="79" t="s">
        <v>2933</v>
      </c>
      <c r="C885" s="79">
        <v>593881082</v>
      </c>
      <c r="D885" s="79">
        <v>0</v>
      </c>
      <c r="E885" s="79" t="s">
        <v>1124</v>
      </c>
      <c r="F885" s="79" t="s">
        <v>2539</v>
      </c>
      <c r="G885" s="79" t="s">
        <v>2581</v>
      </c>
      <c r="H885" s="79"/>
      <c r="I885" s="79"/>
    </row>
    <row r="886" spans="1:9" ht="14.25">
      <c r="A886" s="79" t="s">
        <v>2934</v>
      </c>
      <c r="B886" s="79" t="s">
        <v>2935</v>
      </c>
      <c r="C886" s="79">
        <v>593923682</v>
      </c>
      <c r="D886" s="79">
        <v>0</v>
      </c>
      <c r="E886" s="79" t="s">
        <v>1124</v>
      </c>
      <c r="F886" s="79" t="s">
        <v>2539</v>
      </c>
      <c r="G886" s="79" t="s">
        <v>1130</v>
      </c>
      <c r="H886" s="79"/>
      <c r="I886" s="79"/>
    </row>
    <row r="887" spans="1:9" ht="14.25">
      <c r="A887" s="79" t="s">
        <v>2934</v>
      </c>
      <c r="B887" s="79" t="s">
        <v>2935</v>
      </c>
      <c r="C887" s="79">
        <v>593923682</v>
      </c>
      <c r="D887" s="79">
        <v>0</v>
      </c>
      <c r="E887" s="79" t="s">
        <v>1124</v>
      </c>
      <c r="F887" s="79" t="s">
        <v>2539</v>
      </c>
      <c r="G887" s="79" t="s">
        <v>1131</v>
      </c>
      <c r="H887" s="79" t="s">
        <v>1132</v>
      </c>
      <c r="I887" s="79"/>
    </row>
    <row r="888" spans="1:9" ht="14.25">
      <c r="A888" s="79" t="s">
        <v>2934</v>
      </c>
      <c r="B888" s="79" t="s">
        <v>2935</v>
      </c>
      <c r="C888" s="79">
        <v>593923682</v>
      </c>
      <c r="D888" s="79">
        <v>0</v>
      </c>
      <c r="E888" s="79" t="s">
        <v>1124</v>
      </c>
      <c r="F888" s="79" t="s">
        <v>2539</v>
      </c>
      <c r="G888" s="79" t="s">
        <v>2578</v>
      </c>
      <c r="H888" s="79"/>
      <c r="I888" s="79"/>
    </row>
    <row r="889" spans="1:9" ht="14.25">
      <c r="A889" s="79" t="s">
        <v>2936</v>
      </c>
      <c r="B889" s="79" t="s">
        <v>2937</v>
      </c>
      <c r="C889" s="79">
        <v>593924282</v>
      </c>
      <c r="D889" s="79">
        <v>0</v>
      </c>
      <c r="E889" s="79" t="s">
        <v>1124</v>
      </c>
      <c r="F889" s="79" t="s">
        <v>2539</v>
      </c>
      <c r="G889" s="79" t="s">
        <v>2546</v>
      </c>
      <c r="H889" s="79" t="s">
        <v>2547</v>
      </c>
      <c r="I889" s="79"/>
    </row>
    <row r="890" spans="1:9" ht="14.25">
      <c r="A890" s="79" t="s">
        <v>2936</v>
      </c>
      <c r="B890" s="79" t="s">
        <v>2937</v>
      </c>
      <c r="C890" s="79">
        <v>593924282</v>
      </c>
      <c r="D890" s="79">
        <v>0</v>
      </c>
      <c r="E890" s="79" t="s">
        <v>1124</v>
      </c>
      <c r="F890" s="79" t="s">
        <v>2539</v>
      </c>
      <c r="G890" s="79" t="s">
        <v>2581</v>
      </c>
      <c r="H890" s="79"/>
      <c r="I890" s="79"/>
    </row>
    <row r="891" spans="1:9" ht="14.25">
      <c r="A891" s="79" t="s">
        <v>2938</v>
      </c>
      <c r="B891" s="79" t="s">
        <v>2939</v>
      </c>
      <c r="C891" s="79">
        <v>593966882</v>
      </c>
      <c r="D891" s="79">
        <v>0</v>
      </c>
      <c r="E891" s="79" t="s">
        <v>1124</v>
      </c>
      <c r="F891" s="79" t="s">
        <v>2539</v>
      </c>
      <c r="G891" s="79" t="s">
        <v>1130</v>
      </c>
      <c r="H891" s="79"/>
      <c r="I891" s="79"/>
    </row>
    <row r="892" spans="1:9" ht="14.25">
      <c r="A892" s="79" t="s">
        <v>2938</v>
      </c>
      <c r="B892" s="79" t="s">
        <v>2939</v>
      </c>
      <c r="C892" s="79">
        <v>593966882</v>
      </c>
      <c r="D892" s="79">
        <v>0</v>
      </c>
      <c r="E892" s="79" t="s">
        <v>1124</v>
      </c>
      <c r="F892" s="79" t="s">
        <v>2539</v>
      </c>
      <c r="G892" s="79" t="s">
        <v>1131</v>
      </c>
      <c r="H892" s="79" t="s">
        <v>1132</v>
      </c>
      <c r="I892" s="79"/>
    </row>
    <row r="893" spans="1:9" ht="14.25">
      <c r="A893" s="79" t="s">
        <v>2938</v>
      </c>
      <c r="B893" s="79" t="s">
        <v>2939</v>
      </c>
      <c r="C893" s="79">
        <v>593966882</v>
      </c>
      <c r="D893" s="79">
        <v>0</v>
      </c>
      <c r="E893" s="79" t="s">
        <v>1124</v>
      </c>
      <c r="F893" s="79" t="s">
        <v>2539</v>
      </c>
      <c r="G893" s="79" t="s">
        <v>2578</v>
      </c>
      <c r="H893" s="79"/>
      <c r="I893" s="79"/>
    </row>
    <row r="894" spans="1:9" ht="14.25">
      <c r="A894" s="79" t="s">
        <v>2940</v>
      </c>
      <c r="B894" s="79" t="s">
        <v>2941</v>
      </c>
      <c r="C894" s="79">
        <v>593967482</v>
      </c>
      <c r="D894" s="79">
        <v>0</v>
      </c>
      <c r="E894" s="79" t="s">
        <v>1124</v>
      </c>
      <c r="F894" s="79" t="s">
        <v>2539</v>
      </c>
      <c r="G894" s="79" t="s">
        <v>2546</v>
      </c>
      <c r="H894" s="79" t="s">
        <v>2547</v>
      </c>
      <c r="I894" s="79"/>
    </row>
    <row r="895" spans="1:9" ht="14.25">
      <c r="A895" s="79" t="s">
        <v>2940</v>
      </c>
      <c r="B895" s="79" t="s">
        <v>2941</v>
      </c>
      <c r="C895" s="79">
        <v>593967482</v>
      </c>
      <c r="D895" s="79">
        <v>0</v>
      </c>
      <c r="E895" s="79" t="s">
        <v>1124</v>
      </c>
      <c r="F895" s="79" t="s">
        <v>2539</v>
      </c>
      <c r="G895" s="79" t="s">
        <v>2581</v>
      </c>
      <c r="H895" s="79"/>
      <c r="I895" s="79"/>
    </row>
    <row r="896" spans="1:9" ht="14.25">
      <c r="A896" s="79" t="s">
        <v>2942</v>
      </c>
      <c r="B896" s="79" t="s">
        <v>2943</v>
      </c>
      <c r="C896" s="79">
        <v>594010082</v>
      </c>
      <c r="D896" s="79">
        <v>0</v>
      </c>
      <c r="E896" s="79" t="s">
        <v>1124</v>
      </c>
      <c r="F896" s="79" t="s">
        <v>2539</v>
      </c>
      <c r="G896" s="79" t="s">
        <v>1130</v>
      </c>
      <c r="H896" s="79"/>
      <c r="I896" s="79"/>
    </row>
    <row r="897" spans="1:9" ht="14.25">
      <c r="A897" s="79" t="s">
        <v>2942</v>
      </c>
      <c r="B897" s="79" t="s">
        <v>2943</v>
      </c>
      <c r="C897" s="79">
        <v>594010082</v>
      </c>
      <c r="D897" s="79">
        <v>0</v>
      </c>
      <c r="E897" s="79" t="s">
        <v>1124</v>
      </c>
      <c r="F897" s="79" t="s">
        <v>2539</v>
      </c>
      <c r="G897" s="79" t="s">
        <v>1131</v>
      </c>
      <c r="H897" s="79" t="s">
        <v>1132</v>
      </c>
      <c r="I897" s="79"/>
    </row>
    <row r="898" spans="1:9" ht="14.25">
      <c r="A898" s="79" t="s">
        <v>2942</v>
      </c>
      <c r="B898" s="79" t="s">
        <v>2943</v>
      </c>
      <c r="C898" s="79">
        <v>594010082</v>
      </c>
      <c r="D898" s="79">
        <v>0</v>
      </c>
      <c r="E898" s="79" t="s">
        <v>1124</v>
      </c>
      <c r="F898" s="79" t="s">
        <v>2539</v>
      </c>
      <c r="G898" s="79" t="s">
        <v>2578</v>
      </c>
      <c r="H898" s="79"/>
      <c r="I898" s="79"/>
    </row>
    <row r="899" spans="1:9" ht="14.25">
      <c r="A899" s="79" t="s">
        <v>2944</v>
      </c>
      <c r="B899" s="79" t="s">
        <v>2945</v>
      </c>
      <c r="C899" s="79">
        <v>594010682</v>
      </c>
      <c r="D899" s="79">
        <v>0</v>
      </c>
      <c r="E899" s="79" t="s">
        <v>1124</v>
      </c>
      <c r="F899" s="79" t="s">
        <v>2539</v>
      </c>
      <c r="G899" s="79" t="s">
        <v>2546</v>
      </c>
      <c r="H899" s="79" t="s">
        <v>2547</v>
      </c>
      <c r="I899" s="79"/>
    </row>
    <row r="900" spans="1:9" ht="14.25">
      <c r="A900" s="79" t="s">
        <v>2944</v>
      </c>
      <c r="B900" s="79" t="s">
        <v>2945</v>
      </c>
      <c r="C900" s="79">
        <v>594010682</v>
      </c>
      <c r="D900" s="79">
        <v>0</v>
      </c>
      <c r="E900" s="79" t="s">
        <v>1124</v>
      </c>
      <c r="F900" s="79" t="s">
        <v>2539</v>
      </c>
      <c r="G900" s="79" t="s">
        <v>2581</v>
      </c>
      <c r="H900" s="79"/>
      <c r="I900" s="79"/>
    </row>
    <row r="901" spans="1:9" ht="14.25">
      <c r="A901" s="79" t="s">
        <v>2946</v>
      </c>
      <c r="B901" s="79" t="s">
        <v>2947</v>
      </c>
      <c r="C901" s="79">
        <v>594053282</v>
      </c>
      <c r="D901" s="79">
        <v>0</v>
      </c>
      <c r="E901" s="79" t="s">
        <v>1124</v>
      </c>
      <c r="F901" s="79" t="s">
        <v>2539</v>
      </c>
      <c r="G901" s="79" t="s">
        <v>1130</v>
      </c>
      <c r="H901" s="79"/>
      <c r="I901" s="79"/>
    </row>
    <row r="902" spans="1:9" ht="14.25">
      <c r="A902" s="79" t="s">
        <v>2946</v>
      </c>
      <c r="B902" s="79" t="s">
        <v>2947</v>
      </c>
      <c r="C902" s="79">
        <v>594053282</v>
      </c>
      <c r="D902" s="79">
        <v>0</v>
      </c>
      <c r="E902" s="79" t="s">
        <v>1124</v>
      </c>
      <c r="F902" s="79" t="s">
        <v>2539</v>
      </c>
      <c r="G902" s="79" t="s">
        <v>1131</v>
      </c>
      <c r="H902" s="79" t="s">
        <v>1132</v>
      </c>
      <c r="I902" s="79"/>
    </row>
    <row r="903" spans="1:9" ht="14.25">
      <c r="A903" s="79" t="s">
        <v>2946</v>
      </c>
      <c r="B903" s="79" t="s">
        <v>2947</v>
      </c>
      <c r="C903" s="79">
        <v>594053282</v>
      </c>
      <c r="D903" s="79">
        <v>0</v>
      </c>
      <c r="E903" s="79" t="s">
        <v>1124</v>
      </c>
      <c r="F903" s="79" t="s">
        <v>2539</v>
      </c>
      <c r="G903" s="79" t="s">
        <v>2578</v>
      </c>
      <c r="H903" s="79"/>
      <c r="I903" s="79"/>
    </row>
    <row r="904" spans="1:9" ht="14.25">
      <c r="A904" s="79" t="s">
        <v>2948</v>
      </c>
      <c r="B904" s="79" t="s">
        <v>2949</v>
      </c>
      <c r="C904" s="79">
        <v>594053882</v>
      </c>
      <c r="D904" s="79">
        <v>0</v>
      </c>
      <c r="E904" s="79" t="s">
        <v>1124</v>
      </c>
      <c r="F904" s="79" t="s">
        <v>2539</v>
      </c>
      <c r="G904" s="79" t="s">
        <v>2546</v>
      </c>
      <c r="H904" s="79" t="s">
        <v>2547</v>
      </c>
      <c r="I904" s="79"/>
    </row>
    <row r="905" spans="1:9" ht="14.25">
      <c r="A905" s="79" t="s">
        <v>2948</v>
      </c>
      <c r="B905" s="79" t="s">
        <v>2949</v>
      </c>
      <c r="C905" s="79">
        <v>594053882</v>
      </c>
      <c r="D905" s="79">
        <v>0</v>
      </c>
      <c r="E905" s="79" t="s">
        <v>1124</v>
      </c>
      <c r="F905" s="79" t="s">
        <v>2539</v>
      </c>
      <c r="G905" s="79" t="s">
        <v>2581</v>
      </c>
      <c r="H905" s="79"/>
      <c r="I905" s="79"/>
    </row>
    <row r="906" spans="1:9" ht="14.25">
      <c r="A906" s="79" t="s">
        <v>2950</v>
      </c>
      <c r="B906" s="79" t="s">
        <v>2951</v>
      </c>
      <c r="C906" s="79">
        <v>594096482</v>
      </c>
      <c r="D906" s="79">
        <v>0</v>
      </c>
      <c r="E906" s="79" t="s">
        <v>1124</v>
      </c>
      <c r="F906" s="79" t="s">
        <v>2539</v>
      </c>
      <c r="G906" s="79" t="s">
        <v>1130</v>
      </c>
      <c r="H906" s="79"/>
      <c r="I906" s="79"/>
    </row>
    <row r="907" spans="1:9" ht="14.25">
      <c r="A907" s="79" t="s">
        <v>2950</v>
      </c>
      <c r="B907" s="79" t="s">
        <v>2951</v>
      </c>
      <c r="C907" s="79">
        <v>594096482</v>
      </c>
      <c r="D907" s="79">
        <v>0</v>
      </c>
      <c r="E907" s="79" t="s">
        <v>1124</v>
      </c>
      <c r="F907" s="79" t="s">
        <v>2539</v>
      </c>
      <c r="G907" s="79" t="s">
        <v>1131</v>
      </c>
      <c r="H907" s="79" t="s">
        <v>1132</v>
      </c>
      <c r="I907" s="79"/>
    </row>
    <row r="908" spans="1:9" ht="14.25">
      <c r="A908" s="79" t="s">
        <v>2950</v>
      </c>
      <c r="B908" s="79" t="s">
        <v>2951</v>
      </c>
      <c r="C908" s="79">
        <v>594096482</v>
      </c>
      <c r="D908" s="79">
        <v>0</v>
      </c>
      <c r="E908" s="79" t="s">
        <v>1124</v>
      </c>
      <c r="F908" s="79" t="s">
        <v>2539</v>
      </c>
      <c r="G908" s="79" t="s">
        <v>2578</v>
      </c>
      <c r="H908" s="79"/>
      <c r="I908" s="79"/>
    </row>
    <row r="909" spans="1:9" ht="14.25">
      <c r="A909" s="79" t="s">
        <v>2952</v>
      </c>
      <c r="B909" s="79" t="s">
        <v>2953</v>
      </c>
      <c r="C909" s="79">
        <v>594097082</v>
      </c>
      <c r="D909" s="79">
        <v>0</v>
      </c>
      <c r="E909" s="79" t="s">
        <v>1124</v>
      </c>
      <c r="F909" s="79" t="s">
        <v>2539</v>
      </c>
      <c r="G909" s="79" t="s">
        <v>2546</v>
      </c>
      <c r="H909" s="79" t="s">
        <v>2547</v>
      </c>
      <c r="I909" s="79"/>
    </row>
    <row r="910" spans="1:9" ht="14.25">
      <c r="A910" s="79" t="s">
        <v>2952</v>
      </c>
      <c r="B910" s="79" t="s">
        <v>2953</v>
      </c>
      <c r="C910" s="79">
        <v>594097082</v>
      </c>
      <c r="D910" s="79">
        <v>0</v>
      </c>
      <c r="E910" s="79" t="s">
        <v>1124</v>
      </c>
      <c r="F910" s="79" t="s">
        <v>2539</v>
      </c>
      <c r="G910" s="79" t="s">
        <v>2581</v>
      </c>
      <c r="H910" s="79"/>
      <c r="I910" s="79"/>
    </row>
    <row r="911" spans="1:9" ht="14.25">
      <c r="A911" s="79" t="s">
        <v>2954</v>
      </c>
      <c r="B911" s="79" t="s">
        <v>2955</v>
      </c>
      <c r="C911" s="79">
        <v>594139682</v>
      </c>
      <c r="D911" s="79">
        <v>0</v>
      </c>
      <c r="E911" s="79" t="s">
        <v>1124</v>
      </c>
      <c r="F911" s="79" t="s">
        <v>2539</v>
      </c>
      <c r="G911" s="79" t="s">
        <v>1130</v>
      </c>
      <c r="H911" s="79"/>
      <c r="I911" s="79"/>
    </row>
    <row r="912" spans="1:9" ht="14.25">
      <c r="A912" s="79" t="s">
        <v>2954</v>
      </c>
      <c r="B912" s="79" t="s">
        <v>2955</v>
      </c>
      <c r="C912" s="79">
        <v>594139682</v>
      </c>
      <c r="D912" s="79">
        <v>0</v>
      </c>
      <c r="E912" s="79" t="s">
        <v>1124</v>
      </c>
      <c r="F912" s="79" t="s">
        <v>2539</v>
      </c>
      <c r="G912" s="79" t="s">
        <v>1131</v>
      </c>
      <c r="H912" s="79" t="s">
        <v>1132</v>
      </c>
      <c r="I912" s="79"/>
    </row>
    <row r="913" spans="1:9" ht="14.25">
      <c r="A913" s="79" t="s">
        <v>2954</v>
      </c>
      <c r="B913" s="79" t="s">
        <v>2955</v>
      </c>
      <c r="C913" s="79">
        <v>594139682</v>
      </c>
      <c r="D913" s="79">
        <v>0</v>
      </c>
      <c r="E913" s="79" t="s">
        <v>1124</v>
      </c>
      <c r="F913" s="79" t="s">
        <v>2539</v>
      </c>
      <c r="G913" s="79" t="s">
        <v>2578</v>
      </c>
      <c r="H913" s="79"/>
      <c r="I913" s="79"/>
    </row>
    <row r="914" spans="1:9" ht="14.25">
      <c r="A914" s="79" t="s">
        <v>2956</v>
      </c>
      <c r="B914" s="79" t="s">
        <v>2957</v>
      </c>
      <c r="C914" s="79">
        <v>594140282</v>
      </c>
      <c r="D914" s="79">
        <v>0</v>
      </c>
      <c r="E914" s="79" t="s">
        <v>1124</v>
      </c>
      <c r="F914" s="79" t="s">
        <v>2539</v>
      </c>
      <c r="G914" s="79" t="s">
        <v>2546</v>
      </c>
      <c r="H914" s="79" t="s">
        <v>2547</v>
      </c>
      <c r="I914" s="79"/>
    </row>
    <row r="915" spans="1:9" ht="14.25">
      <c r="A915" s="79" t="s">
        <v>2956</v>
      </c>
      <c r="B915" s="79" t="s">
        <v>2957</v>
      </c>
      <c r="C915" s="79">
        <v>594140282</v>
      </c>
      <c r="D915" s="79">
        <v>0</v>
      </c>
      <c r="E915" s="79" t="s">
        <v>1124</v>
      </c>
      <c r="F915" s="79" t="s">
        <v>2539</v>
      </c>
      <c r="G915" s="79" t="s">
        <v>2581</v>
      </c>
      <c r="H915" s="79"/>
      <c r="I915" s="79"/>
    </row>
    <row r="916" spans="1:9" ht="14.25">
      <c r="A916" s="79" t="s">
        <v>2958</v>
      </c>
      <c r="B916" s="79" t="s">
        <v>2959</v>
      </c>
      <c r="C916" s="79">
        <v>594182882</v>
      </c>
      <c r="D916" s="79">
        <v>0</v>
      </c>
      <c r="E916" s="79" t="s">
        <v>1124</v>
      </c>
      <c r="F916" s="79" t="s">
        <v>2539</v>
      </c>
      <c r="G916" s="79" t="s">
        <v>1130</v>
      </c>
      <c r="H916" s="79"/>
      <c r="I916" s="79"/>
    </row>
    <row r="917" spans="1:9" ht="14.25">
      <c r="A917" s="79" t="s">
        <v>2958</v>
      </c>
      <c r="B917" s="79" t="s">
        <v>2959</v>
      </c>
      <c r="C917" s="79">
        <v>594182882</v>
      </c>
      <c r="D917" s="79">
        <v>0</v>
      </c>
      <c r="E917" s="79" t="s">
        <v>1124</v>
      </c>
      <c r="F917" s="79" t="s">
        <v>2539</v>
      </c>
      <c r="G917" s="79" t="s">
        <v>1131</v>
      </c>
      <c r="H917" s="79" t="s">
        <v>1132</v>
      </c>
      <c r="I917" s="79"/>
    </row>
    <row r="918" spans="1:9" ht="14.25">
      <c r="A918" s="79" t="s">
        <v>2958</v>
      </c>
      <c r="B918" s="79" t="s">
        <v>2959</v>
      </c>
      <c r="C918" s="79">
        <v>594182882</v>
      </c>
      <c r="D918" s="79">
        <v>0</v>
      </c>
      <c r="E918" s="79" t="s">
        <v>1124</v>
      </c>
      <c r="F918" s="79" t="s">
        <v>2539</v>
      </c>
      <c r="G918" s="79" t="s">
        <v>2578</v>
      </c>
      <c r="H918" s="79"/>
      <c r="I918" s="79"/>
    </row>
    <row r="919" spans="1:9" ht="14.25">
      <c r="A919" s="79" t="s">
        <v>2960</v>
      </c>
      <c r="B919" s="79" t="s">
        <v>2961</v>
      </c>
      <c r="C919" s="79">
        <v>594183482</v>
      </c>
      <c r="D919" s="79">
        <v>0</v>
      </c>
      <c r="E919" s="79" t="s">
        <v>1124</v>
      </c>
      <c r="F919" s="79" t="s">
        <v>2539</v>
      </c>
      <c r="G919" s="79" t="s">
        <v>2546</v>
      </c>
      <c r="H919" s="79" t="s">
        <v>2547</v>
      </c>
      <c r="I919" s="79"/>
    </row>
    <row r="920" spans="1:9" ht="14.25">
      <c r="A920" s="79" t="s">
        <v>2960</v>
      </c>
      <c r="B920" s="79" t="s">
        <v>2961</v>
      </c>
      <c r="C920" s="79">
        <v>594183482</v>
      </c>
      <c r="D920" s="79">
        <v>0</v>
      </c>
      <c r="E920" s="79" t="s">
        <v>1124</v>
      </c>
      <c r="F920" s="79" t="s">
        <v>2539</v>
      </c>
      <c r="G920" s="79" t="s">
        <v>2581</v>
      </c>
      <c r="H920" s="79"/>
      <c r="I920" s="79"/>
    </row>
    <row r="921" spans="1:9" ht="14.25">
      <c r="A921" s="79" t="s">
        <v>2962</v>
      </c>
      <c r="B921" s="79" t="s">
        <v>2963</v>
      </c>
      <c r="C921" s="79">
        <v>594226082</v>
      </c>
      <c r="D921" s="79">
        <v>0</v>
      </c>
      <c r="E921" s="79" t="s">
        <v>1124</v>
      </c>
      <c r="F921" s="79" t="s">
        <v>2539</v>
      </c>
      <c r="G921" s="79" t="s">
        <v>1130</v>
      </c>
      <c r="H921" s="79"/>
      <c r="I921" s="79"/>
    </row>
    <row r="922" spans="1:9" ht="14.25">
      <c r="A922" s="79" t="s">
        <v>2962</v>
      </c>
      <c r="B922" s="79" t="s">
        <v>2963</v>
      </c>
      <c r="C922" s="79">
        <v>594226082</v>
      </c>
      <c r="D922" s="79">
        <v>0</v>
      </c>
      <c r="E922" s="79" t="s">
        <v>1124</v>
      </c>
      <c r="F922" s="79" t="s">
        <v>2539</v>
      </c>
      <c r="G922" s="79" t="s">
        <v>1131</v>
      </c>
      <c r="H922" s="79" t="s">
        <v>1132</v>
      </c>
      <c r="I922" s="79"/>
    </row>
    <row r="923" spans="1:9" ht="14.25">
      <c r="A923" s="79" t="s">
        <v>2962</v>
      </c>
      <c r="B923" s="79" t="s">
        <v>2963</v>
      </c>
      <c r="C923" s="79">
        <v>594226082</v>
      </c>
      <c r="D923" s="79">
        <v>0</v>
      </c>
      <c r="E923" s="79" t="s">
        <v>1124</v>
      </c>
      <c r="F923" s="79" t="s">
        <v>2539</v>
      </c>
      <c r="G923" s="79" t="s">
        <v>2578</v>
      </c>
      <c r="H923" s="79"/>
      <c r="I923" s="79"/>
    </row>
    <row r="924" spans="1:9" ht="14.25">
      <c r="A924" s="79" t="s">
        <v>2964</v>
      </c>
      <c r="B924" s="79" t="s">
        <v>2965</v>
      </c>
      <c r="C924" s="79">
        <v>594226682</v>
      </c>
      <c r="D924" s="79">
        <v>0</v>
      </c>
      <c r="E924" s="79" t="s">
        <v>1124</v>
      </c>
      <c r="F924" s="79" t="s">
        <v>2539</v>
      </c>
      <c r="G924" s="79" t="s">
        <v>2546</v>
      </c>
      <c r="H924" s="79" t="s">
        <v>2547</v>
      </c>
      <c r="I924" s="79"/>
    </row>
    <row r="925" spans="1:9" ht="14.25">
      <c r="A925" s="79" t="s">
        <v>2964</v>
      </c>
      <c r="B925" s="79" t="s">
        <v>2965</v>
      </c>
      <c r="C925" s="79">
        <v>594226682</v>
      </c>
      <c r="D925" s="79">
        <v>0</v>
      </c>
      <c r="E925" s="79" t="s">
        <v>1124</v>
      </c>
      <c r="F925" s="79" t="s">
        <v>2539</v>
      </c>
      <c r="G925" s="79" t="s">
        <v>2581</v>
      </c>
      <c r="H925" s="79"/>
      <c r="I925" s="79"/>
    </row>
    <row r="926" spans="1:9" ht="14.25">
      <c r="A926" s="79" t="s">
        <v>2966</v>
      </c>
      <c r="B926" s="79" t="s">
        <v>2967</v>
      </c>
      <c r="C926" s="79">
        <v>594269282</v>
      </c>
      <c r="D926" s="79">
        <v>0</v>
      </c>
      <c r="E926" s="79" t="s">
        <v>1124</v>
      </c>
      <c r="F926" s="79" t="s">
        <v>2539</v>
      </c>
      <c r="G926" s="79" t="s">
        <v>1130</v>
      </c>
      <c r="H926" s="79"/>
      <c r="I926" s="79"/>
    </row>
    <row r="927" spans="1:9" ht="14.25">
      <c r="A927" s="79" t="s">
        <v>2966</v>
      </c>
      <c r="B927" s="79" t="s">
        <v>2967</v>
      </c>
      <c r="C927" s="79">
        <v>594269282</v>
      </c>
      <c r="D927" s="79">
        <v>0</v>
      </c>
      <c r="E927" s="79" t="s">
        <v>1124</v>
      </c>
      <c r="F927" s="79" t="s">
        <v>2539</v>
      </c>
      <c r="G927" s="79" t="s">
        <v>1131</v>
      </c>
      <c r="H927" s="79" t="s">
        <v>1132</v>
      </c>
      <c r="I927" s="79"/>
    </row>
    <row r="928" spans="1:9" ht="14.25">
      <c r="A928" s="79" t="s">
        <v>2966</v>
      </c>
      <c r="B928" s="79" t="s">
        <v>2967</v>
      </c>
      <c r="C928" s="79">
        <v>594269282</v>
      </c>
      <c r="D928" s="79">
        <v>0</v>
      </c>
      <c r="E928" s="79" t="s">
        <v>1124</v>
      </c>
      <c r="F928" s="79" t="s">
        <v>2539</v>
      </c>
      <c r="G928" s="79" t="s">
        <v>2578</v>
      </c>
      <c r="H928" s="79"/>
      <c r="I928" s="79"/>
    </row>
    <row r="929" spans="1:9" ht="14.25">
      <c r="A929" s="79" t="s">
        <v>2968</v>
      </c>
      <c r="B929" s="79" t="s">
        <v>2969</v>
      </c>
      <c r="C929" s="79">
        <v>594269882</v>
      </c>
      <c r="D929" s="79">
        <v>0</v>
      </c>
      <c r="E929" s="79" t="s">
        <v>1124</v>
      </c>
      <c r="F929" s="79" t="s">
        <v>2539</v>
      </c>
      <c r="G929" s="79" t="s">
        <v>2546</v>
      </c>
      <c r="H929" s="79" t="s">
        <v>2547</v>
      </c>
      <c r="I929" s="79"/>
    </row>
    <row r="930" spans="1:9" ht="14.25">
      <c r="A930" s="79" t="s">
        <v>2968</v>
      </c>
      <c r="B930" s="79" t="s">
        <v>2969</v>
      </c>
      <c r="C930" s="79">
        <v>594269882</v>
      </c>
      <c r="D930" s="79">
        <v>0</v>
      </c>
      <c r="E930" s="79" t="s">
        <v>1124</v>
      </c>
      <c r="F930" s="79" t="s">
        <v>2539</v>
      </c>
      <c r="G930" s="79" t="s">
        <v>2581</v>
      </c>
      <c r="H930" s="79"/>
      <c r="I930" s="79"/>
    </row>
    <row r="931" spans="1:9" ht="14.25">
      <c r="A931" s="79" t="s">
        <v>2970</v>
      </c>
      <c r="B931" s="79" t="s">
        <v>2971</v>
      </c>
      <c r="C931" s="79">
        <v>594312482</v>
      </c>
      <c r="D931" s="79">
        <v>0</v>
      </c>
      <c r="E931" s="79" t="s">
        <v>1124</v>
      </c>
      <c r="F931" s="79" t="s">
        <v>2539</v>
      </c>
      <c r="G931" s="79" t="s">
        <v>1130</v>
      </c>
      <c r="H931" s="79"/>
      <c r="I931" s="79"/>
    </row>
    <row r="932" spans="1:9" ht="14.25">
      <c r="A932" s="79" t="s">
        <v>2970</v>
      </c>
      <c r="B932" s="79" t="s">
        <v>2971</v>
      </c>
      <c r="C932" s="79">
        <v>594312482</v>
      </c>
      <c r="D932" s="79">
        <v>0</v>
      </c>
      <c r="E932" s="79" t="s">
        <v>1124</v>
      </c>
      <c r="F932" s="79" t="s">
        <v>2539</v>
      </c>
      <c r="G932" s="79" t="s">
        <v>1131</v>
      </c>
      <c r="H932" s="79" t="s">
        <v>1132</v>
      </c>
      <c r="I932" s="79"/>
    </row>
    <row r="933" spans="1:9" ht="14.25">
      <c r="A933" s="79" t="s">
        <v>2970</v>
      </c>
      <c r="B933" s="79" t="s">
        <v>2971</v>
      </c>
      <c r="C933" s="79">
        <v>594312482</v>
      </c>
      <c r="D933" s="79">
        <v>0</v>
      </c>
      <c r="E933" s="79" t="s">
        <v>1124</v>
      </c>
      <c r="F933" s="79" t="s">
        <v>2539</v>
      </c>
      <c r="G933" s="79" t="s">
        <v>2578</v>
      </c>
      <c r="H933" s="79"/>
      <c r="I933" s="79"/>
    </row>
    <row r="934" spans="1:9" ht="14.25">
      <c r="A934" s="79" t="s">
        <v>2972</v>
      </c>
      <c r="B934" s="79" t="s">
        <v>2973</v>
      </c>
      <c r="C934" s="79">
        <v>594313082</v>
      </c>
      <c r="D934" s="79">
        <v>0</v>
      </c>
      <c r="E934" s="79" t="s">
        <v>1124</v>
      </c>
      <c r="F934" s="79" t="s">
        <v>2539</v>
      </c>
      <c r="G934" s="79" t="s">
        <v>2546</v>
      </c>
      <c r="H934" s="79" t="s">
        <v>2547</v>
      </c>
      <c r="I934" s="79"/>
    </row>
    <row r="935" spans="1:9" ht="14.25">
      <c r="A935" s="79" t="s">
        <v>2972</v>
      </c>
      <c r="B935" s="79" t="s">
        <v>2973</v>
      </c>
      <c r="C935" s="79">
        <v>594313082</v>
      </c>
      <c r="D935" s="79">
        <v>0</v>
      </c>
      <c r="E935" s="79" t="s">
        <v>1124</v>
      </c>
      <c r="F935" s="79" t="s">
        <v>2539</v>
      </c>
      <c r="G935" s="79" t="s">
        <v>2581</v>
      </c>
      <c r="H935" s="79"/>
      <c r="I935" s="79"/>
    </row>
    <row r="936" spans="1:9" ht="14.25">
      <c r="A936" s="79" t="s">
        <v>2974</v>
      </c>
      <c r="B936" s="79" t="s">
        <v>2975</v>
      </c>
      <c r="C936" s="79">
        <v>594355682</v>
      </c>
      <c r="D936" s="79">
        <v>0</v>
      </c>
      <c r="E936" s="79" t="s">
        <v>1124</v>
      </c>
      <c r="F936" s="79" t="s">
        <v>2539</v>
      </c>
      <c r="G936" s="79" t="s">
        <v>1130</v>
      </c>
      <c r="H936" s="79"/>
      <c r="I936" s="79"/>
    </row>
    <row r="937" spans="1:9" ht="14.25">
      <c r="A937" s="79" t="s">
        <v>2974</v>
      </c>
      <c r="B937" s="79" t="s">
        <v>2975</v>
      </c>
      <c r="C937" s="79">
        <v>594355682</v>
      </c>
      <c r="D937" s="79">
        <v>0</v>
      </c>
      <c r="E937" s="79" t="s">
        <v>1124</v>
      </c>
      <c r="F937" s="79" t="s">
        <v>2539</v>
      </c>
      <c r="G937" s="79" t="s">
        <v>1131</v>
      </c>
      <c r="H937" s="79" t="s">
        <v>1132</v>
      </c>
      <c r="I937" s="79"/>
    </row>
    <row r="938" spans="1:9" ht="14.25">
      <c r="A938" s="79" t="s">
        <v>2974</v>
      </c>
      <c r="B938" s="79" t="s">
        <v>2975</v>
      </c>
      <c r="C938" s="79">
        <v>594355682</v>
      </c>
      <c r="D938" s="79">
        <v>0</v>
      </c>
      <c r="E938" s="79" t="s">
        <v>1124</v>
      </c>
      <c r="F938" s="79" t="s">
        <v>2539</v>
      </c>
      <c r="G938" s="79" t="s">
        <v>2578</v>
      </c>
      <c r="H938" s="79"/>
      <c r="I938" s="79"/>
    </row>
    <row r="939" spans="1:9" ht="14.25">
      <c r="A939" s="79" t="s">
        <v>2976</v>
      </c>
      <c r="B939" s="79" t="s">
        <v>2977</v>
      </c>
      <c r="C939" s="79">
        <v>594356282</v>
      </c>
      <c r="D939" s="79">
        <v>0</v>
      </c>
      <c r="E939" s="79" t="s">
        <v>1124</v>
      </c>
      <c r="F939" s="79" t="s">
        <v>2539</v>
      </c>
      <c r="G939" s="79" t="s">
        <v>2546</v>
      </c>
      <c r="H939" s="79" t="s">
        <v>2547</v>
      </c>
      <c r="I939" s="79"/>
    </row>
    <row r="940" spans="1:9" ht="14.25">
      <c r="A940" s="79" t="s">
        <v>2976</v>
      </c>
      <c r="B940" s="79" t="s">
        <v>2977</v>
      </c>
      <c r="C940" s="79">
        <v>594356282</v>
      </c>
      <c r="D940" s="79">
        <v>0</v>
      </c>
      <c r="E940" s="79" t="s">
        <v>1124</v>
      </c>
      <c r="F940" s="79" t="s">
        <v>2539</v>
      </c>
      <c r="G940" s="79" t="s">
        <v>2581</v>
      </c>
      <c r="H940" s="79"/>
      <c r="I940" s="79"/>
    </row>
    <row r="941" spans="1:9" ht="14.25">
      <c r="A941" s="79" t="s">
        <v>2978</v>
      </c>
      <c r="B941" s="79" t="s">
        <v>2979</v>
      </c>
      <c r="C941" s="79">
        <v>594398882</v>
      </c>
      <c r="D941" s="79">
        <v>0</v>
      </c>
      <c r="E941" s="79" t="s">
        <v>1124</v>
      </c>
      <c r="F941" s="79" t="s">
        <v>2539</v>
      </c>
      <c r="G941" s="79" t="s">
        <v>1130</v>
      </c>
      <c r="H941" s="79"/>
      <c r="I941" s="79"/>
    </row>
    <row r="942" spans="1:9" ht="14.25">
      <c r="A942" s="79" t="s">
        <v>2978</v>
      </c>
      <c r="B942" s="79" t="s">
        <v>2979</v>
      </c>
      <c r="C942" s="79">
        <v>594398882</v>
      </c>
      <c r="D942" s="79">
        <v>0</v>
      </c>
      <c r="E942" s="79" t="s">
        <v>1124</v>
      </c>
      <c r="F942" s="79" t="s">
        <v>2539</v>
      </c>
      <c r="G942" s="79" t="s">
        <v>1131</v>
      </c>
      <c r="H942" s="79" t="s">
        <v>1132</v>
      </c>
      <c r="I942" s="79"/>
    </row>
    <row r="943" spans="1:9" ht="14.25">
      <c r="A943" s="79" t="s">
        <v>2978</v>
      </c>
      <c r="B943" s="79" t="s">
        <v>2979</v>
      </c>
      <c r="C943" s="79">
        <v>594398882</v>
      </c>
      <c r="D943" s="79">
        <v>0</v>
      </c>
      <c r="E943" s="79" t="s">
        <v>1124</v>
      </c>
      <c r="F943" s="79" t="s">
        <v>2539</v>
      </c>
      <c r="G943" s="79" t="s">
        <v>2578</v>
      </c>
      <c r="H943" s="79"/>
      <c r="I943" s="79"/>
    </row>
    <row r="944" spans="1:9" ht="14.25">
      <c r="A944" s="79" t="s">
        <v>2980</v>
      </c>
      <c r="B944" s="79" t="s">
        <v>2981</v>
      </c>
      <c r="C944" s="79">
        <v>594399482</v>
      </c>
      <c r="D944" s="79">
        <v>0</v>
      </c>
      <c r="E944" s="79" t="s">
        <v>1124</v>
      </c>
      <c r="F944" s="79" t="s">
        <v>2539</v>
      </c>
      <c r="G944" s="79" t="s">
        <v>2546</v>
      </c>
      <c r="H944" s="79" t="s">
        <v>2547</v>
      </c>
      <c r="I944" s="79"/>
    </row>
    <row r="945" spans="1:9" ht="14.25">
      <c r="A945" s="79" t="s">
        <v>2980</v>
      </c>
      <c r="B945" s="79" t="s">
        <v>2981</v>
      </c>
      <c r="C945" s="79">
        <v>594399482</v>
      </c>
      <c r="D945" s="79">
        <v>0</v>
      </c>
      <c r="E945" s="79" t="s">
        <v>1124</v>
      </c>
      <c r="F945" s="79" t="s">
        <v>2539</v>
      </c>
      <c r="G945" s="79" t="s">
        <v>2581</v>
      </c>
      <c r="H945" s="79"/>
      <c r="I945" s="79"/>
    </row>
    <row r="946" spans="1:9" ht="14.25">
      <c r="A946" s="79" t="s">
        <v>2982</v>
      </c>
      <c r="B946" s="79" t="s">
        <v>2983</v>
      </c>
      <c r="C946" s="79">
        <v>594442082</v>
      </c>
      <c r="D946" s="79">
        <v>0</v>
      </c>
      <c r="E946" s="79" t="s">
        <v>1124</v>
      </c>
      <c r="F946" s="79" t="s">
        <v>2539</v>
      </c>
      <c r="G946" s="79" t="s">
        <v>1130</v>
      </c>
      <c r="H946" s="79"/>
      <c r="I946" s="79"/>
    </row>
    <row r="947" spans="1:9" ht="14.25">
      <c r="A947" s="79" t="s">
        <v>2982</v>
      </c>
      <c r="B947" s="79" t="s">
        <v>2983</v>
      </c>
      <c r="C947" s="79">
        <v>594442082</v>
      </c>
      <c r="D947" s="79">
        <v>0</v>
      </c>
      <c r="E947" s="79" t="s">
        <v>1124</v>
      </c>
      <c r="F947" s="79" t="s">
        <v>2539</v>
      </c>
      <c r="G947" s="79" t="s">
        <v>1131</v>
      </c>
      <c r="H947" s="79" t="s">
        <v>1132</v>
      </c>
      <c r="I947" s="79"/>
    </row>
    <row r="948" spans="1:9" ht="14.25">
      <c r="A948" s="79" t="s">
        <v>2982</v>
      </c>
      <c r="B948" s="79" t="s">
        <v>2983</v>
      </c>
      <c r="C948" s="79">
        <v>594442082</v>
      </c>
      <c r="D948" s="79">
        <v>0</v>
      </c>
      <c r="E948" s="79" t="s">
        <v>1124</v>
      </c>
      <c r="F948" s="79" t="s">
        <v>2539</v>
      </c>
      <c r="G948" s="79" t="s">
        <v>2578</v>
      </c>
      <c r="H948" s="79"/>
      <c r="I948" s="79"/>
    </row>
    <row r="949" spans="1:9" ht="14.25">
      <c r="A949" s="79" t="s">
        <v>2984</v>
      </c>
      <c r="B949" s="79" t="s">
        <v>2985</v>
      </c>
      <c r="C949" s="79">
        <v>594442682</v>
      </c>
      <c r="D949" s="79">
        <v>0</v>
      </c>
      <c r="E949" s="79" t="s">
        <v>1124</v>
      </c>
      <c r="F949" s="79" t="s">
        <v>2539</v>
      </c>
      <c r="G949" s="79" t="s">
        <v>2546</v>
      </c>
      <c r="H949" s="79" t="s">
        <v>2547</v>
      </c>
      <c r="I949" s="79"/>
    </row>
    <row r="950" spans="1:9" ht="14.25">
      <c r="A950" s="79" t="s">
        <v>2984</v>
      </c>
      <c r="B950" s="79" t="s">
        <v>2985</v>
      </c>
      <c r="C950" s="79">
        <v>594442682</v>
      </c>
      <c r="D950" s="79">
        <v>0</v>
      </c>
      <c r="E950" s="79" t="s">
        <v>1124</v>
      </c>
      <c r="F950" s="79" t="s">
        <v>2539</v>
      </c>
      <c r="G950" s="79" t="s">
        <v>2581</v>
      </c>
      <c r="H950" s="79"/>
      <c r="I950" s="79"/>
    </row>
    <row r="951" spans="1:9" ht="14.25">
      <c r="A951" s="79" t="s">
        <v>2986</v>
      </c>
      <c r="B951" s="79" t="s">
        <v>2987</v>
      </c>
      <c r="C951" s="79">
        <v>594485282</v>
      </c>
      <c r="D951" s="79">
        <v>0</v>
      </c>
      <c r="E951" s="79" t="s">
        <v>1124</v>
      </c>
      <c r="F951" s="79" t="s">
        <v>2539</v>
      </c>
      <c r="G951" s="79" t="s">
        <v>1130</v>
      </c>
      <c r="H951" s="79"/>
      <c r="I951" s="79"/>
    </row>
    <row r="952" spans="1:9" ht="14.25">
      <c r="A952" s="79" t="s">
        <v>2986</v>
      </c>
      <c r="B952" s="79" t="s">
        <v>2987</v>
      </c>
      <c r="C952" s="79">
        <v>594485282</v>
      </c>
      <c r="D952" s="79">
        <v>0</v>
      </c>
      <c r="E952" s="79" t="s">
        <v>1124</v>
      </c>
      <c r="F952" s="79" t="s">
        <v>2539</v>
      </c>
      <c r="G952" s="79" t="s">
        <v>1131</v>
      </c>
      <c r="H952" s="79" t="s">
        <v>1132</v>
      </c>
      <c r="I952" s="79"/>
    </row>
    <row r="953" spans="1:9" ht="14.25">
      <c r="A953" s="79" t="s">
        <v>2986</v>
      </c>
      <c r="B953" s="79" t="s">
        <v>2987</v>
      </c>
      <c r="C953" s="79">
        <v>594485282</v>
      </c>
      <c r="D953" s="79">
        <v>0</v>
      </c>
      <c r="E953" s="79" t="s">
        <v>1124</v>
      </c>
      <c r="F953" s="79" t="s">
        <v>2539</v>
      </c>
      <c r="G953" s="79" t="s">
        <v>2578</v>
      </c>
      <c r="H953" s="79"/>
      <c r="I953" s="79"/>
    </row>
    <row r="954" spans="1:9" ht="14.25">
      <c r="A954" s="79" t="s">
        <v>2988</v>
      </c>
      <c r="B954" s="79" t="s">
        <v>2989</v>
      </c>
      <c r="C954" s="79">
        <v>594485882</v>
      </c>
      <c r="D954" s="79">
        <v>0</v>
      </c>
      <c r="E954" s="79" t="s">
        <v>1124</v>
      </c>
      <c r="F954" s="79" t="s">
        <v>2539</v>
      </c>
      <c r="G954" s="79" t="s">
        <v>2546</v>
      </c>
      <c r="H954" s="79" t="s">
        <v>2547</v>
      </c>
      <c r="I954" s="79"/>
    </row>
    <row r="955" spans="1:9" ht="14.25">
      <c r="A955" s="79" t="s">
        <v>2988</v>
      </c>
      <c r="B955" s="79" t="s">
        <v>2989</v>
      </c>
      <c r="C955" s="79">
        <v>594485882</v>
      </c>
      <c r="D955" s="79">
        <v>0</v>
      </c>
      <c r="E955" s="79" t="s">
        <v>1124</v>
      </c>
      <c r="F955" s="79" t="s">
        <v>2539</v>
      </c>
      <c r="G955" s="79" t="s">
        <v>2581</v>
      </c>
      <c r="H955" s="79"/>
      <c r="I955" s="79"/>
    </row>
    <row r="956" spans="1:9" ht="14.25">
      <c r="A956" s="79" t="s">
        <v>2990</v>
      </c>
      <c r="B956" s="79" t="s">
        <v>2991</v>
      </c>
      <c r="C956" s="79">
        <v>594528482</v>
      </c>
      <c r="D956" s="79">
        <v>0</v>
      </c>
      <c r="E956" s="79" t="s">
        <v>1124</v>
      </c>
      <c r="F956" s="79" t="s">
        <v>2539</v>
      </c>
      <c r="G956" s="79" t="s">
        <v>1130</v>
      </c>
      <c r="H956" s="79"/>
      <c r="I956" s="79"/>
    </row>
    <row r="957" spans="1:9" ht="14.25">
      <c r="A957" s="79" t="s">
        <v>2990</v>
      </c>
      <c r="B957" s="79" t="s">
        <v>2991</v>
      </c>
      <c r="C957" s="79">
        <v>594528482</v>
      </c>
      <c r="D957" s="79">
        <v>0</v>
      </c>
      <c r="E957" s="79" t="s">
        <v>1124</v>
      </c>
      <c r="F957" s="79" t="s">
        <v>2539</v>
      </c>
      <c r="G957" s="79" t="s">
        <v>1131</v>
      </c>
      <c r="H957" s="79" t="s">
        <v>1132</v>
      </c>
      <c r="I957" s="79"/>
    </row>
    <row r="958" spans="1:9" ht="14.25">
      <c r="A958" s="79" t="s">
        <v>2990</v>
      </c>
      <c r="B958" s="79" t="s">
        <v>2991</v>
      </c>
      <c r="C958" s="79">
        <v>594528482</v>
      </c>
      <c r="D958" s="79">
        <v>0</v>
      </c>
      <c r="E958" s="79" t="s">
        <v>1124</v>
      </c>
      <c r="F958" s="79" t="s">
        <v>2539</v>
      </c>
      <c r="G958" s="79" t="s">
        <v>2578</v>
      </c>
      <c r="H958" s="79"/>
      <c r="I958" s="79"/>
    </row>
    <row r="959" spans="1:9" ht="14.25">
      <c r="A959" s="79" t="s">
        <v>2992</v>
      </c>
      <c r="B959" s="79" t="s">
        <v>2993</v>
      </c>
      <c r="C959" s="79">
        <v>594529082</v>
      </c>
      <c r="D959" s="79">
        <v>0</v>
      </c>
      <c r="E959" s="79" t="s">
        <v>1124</v>
      </c>
      <c r="F959" s="79" t="s">
        <v>2539</v>
      </c>
      <c r="G959" s="79" t="s">
        <v>2546</v>
      </c>
      <c r="H959" s="79" t="s">
        <v>2547</v>
      </c>
      <c r="I959" s="79"/>
    </row>
    <row r="960" spans="1:9" ht="14.25">
      <c r="A960" s="79" t="s">
        <v>2992</v>
      </c>
      <c r="B960" s="79" t="s">
        <v>2993</v>
      </c>
      <c r="C960" s="79">
        <v>594529082</v>
      </c>
      <c r="D960" s="79">
        <v>0</v>
      </c>
      <c r="E960" s="79" t="s">
        <v>1124</v>
      </c>
      <c r="F960" s="79" t="s">
        <v>2539</v>
      </c>
      <c r="G960" s="79" t="s">
        <v>2581</v>
      </c>
      <c r="H960" s="79"/>
      <c r="I960" s="79"/>
    </row>
    <row r="961" spans="1:9" ht="14.25">
      <c r="A961" s="79" t="s">
        <v>2994</v>
      </c>
      <c r="B961" s="79" t="s">
        <v>2995</v>
      </c>
      <c r="C961" s="79">
        <v>594571682</v>
      </c>
      <c r="D961" s="79">
        <v>0</v>
      </c>
      <c r="E961" s="79" t="s">
        <v>1124</v>
      </c>
      <c r="F961" s="79" t="s">
        <v>2539</v>
      </c>
      <c r="G961" s="79" t="s">
        <v>1130</v>
      </c>
      <c r="H961" s="79"/>
      <c r="I961" s="79"/>
    </row>
    <row r="962" spans="1:9" ht="14.25">
      <c r="A962" s="79" t="s">
        <v>2994</v>
      </c>
      <c r="B962" s="79" t="s">
        <v>2995</v>
      </c>
      <c r="C962" s="79">
        <v>594571682</v>
      </c>
      <c r="D962" s="79">
        <v>0</v>
      </c>
      <c r="E962" s="79" t="s">
        <v>1124</v>
      </c>
      <c r="F962" s="79" t="s">
        <v>2539</v>
      </c>
      <c r="G962" s="79" t="s">
        <v>1131</v>
      </c>
      <c r="H962" s="79" t="s">
        <v>1132</v>
      </c>
      <c r="I962" s="79"/>
    </row>
    <row r="963" spans="1:9" ht="14.25">
      <c r="A963" s="79" t="s">
        <v>2994</v>
      </c>
      <c r="B963" s="79" t="s">
        <v>2995</v>
      </c>
      <c r="C963" s="79">
        <v>594571682</v>
      </c>
      <c r="D963" s="79">
        <v>0</v>
      </c>
      <c r="E963" s="79" t="s">
        <v>1124</v>
      </c>
      <c r="F963" s="79" t="s">
        <v>2539</v>
      </c>
      <c r="G963" s="79" t="s">
        <v>2578</v>
      </c>
      <c r="H963" s="79"/>
      <c r="I963" s="79"/>
    </row>
    <row r="964" spans="1:9" ht="14.25">
      <c r="A964" s="79" t="s">
        <v>2996</v>
      </c>
      <c r="B964" s="79" t="s">
        <v>2997</v>
      </c>
      <c r="C964" s="79">
        <v>594572282</v>
      </c>
      <c r="D964" s="79">
        <v>0</v>
      </c>
      <c r="E964" s="79" t="s">
        <v>1124</v>
      </c>
      <c r="F964" s="79" t="s">
        <v>2539</v>
      </c>
      <c r="G964" s="79" t="s">
        <v>2546</v>
      </c>
      <c r="H964" s="79" t="s">
        <v>2547</v>
      </c>
      <c r="I964" s="79"/>
    </row>
    <row r="965" spans="1:9" ht="14.25">
      <c r="A965" s="79" t="s">
        <v>2996</v>
      </c>
      <c r="B965" s="79" t="s">
        <v>2997</v>
      </c>
      <c r="C965" s="79">
        <v>594572282</v>
      </c>
      <c r="D965" s="79">
        <v>0</v>
      </c>
      <c r="E965" s="79" t="s">
        <v>1124</v>
      </c>
      <c r="F965" s="79" t="s">
        <v>2539</v>
      </c>
      <c r="G965" s="79" t="s">
        <v>2581</v>
      </c>
      <c r="H965" s="79"/>
      <c r="I965" s="79"/>
    </row>
    <row r="966" spans="1:9" ht="14.25">
      <c r="A966" s="79" t="s">
        <v>2998</v>
      </c>
      <c r="B966" s="79" t="s">
        <v>2999</v>
      </c>
      <c r="C966" s="79">
        <v>594614882</v>
      </c>
      <c r="D966" s="79">
        <v>0</v>
      </c>
      <c r="E966" s="79" t="s">
        <v>1124</v>
      </c>
      <c r="F966" s="79" t="s">
        <v>2539</v>
      </c>
      <c r="G966" s="79" t="s">
        <v>1130</v>
      </c>
      <c r="H966" s="79"/>
      <c r="I966" s="79"/>
    </row>
    <row r="967" spans="1:9" ht="14.25">
      <c r="A967" s="79" t="s">
        <v>2998</v>
      </c>
      <c r="B967" s="79" t="s">
        <v>2999</v>
      </c>
      <c r="C967" s="79">
        <v>594614882</v>
      </c>
      <c r="D967" s="79">
        <v>0</v>
      </c>
      <c r="E967" s="79" t="s">
        <v>1124</v>
      </c>
      <c r="F967" s="79" t="s">
        <v>2539</v>
      </c>
      <c r="G967" s="79" t="s">
        <v>1131</v>
      </c>
      <c r="H967" s="79" t="s">
        <v>1132</v>
      </c>
      <c r="I967" s="79"/>
    </row>
    <row r="968" spans="1:9" ht="14.25">
      <c r="A968" s="79" t="s">
        <v>2998</v>
      </c>
      <c r="B968" s="79" t="s">
        <v>2999</v>
      </c>
      <c r="C968" s="79">
        <v>594614882</v>
      </c>
      <c r="D968" s="79">
        <v>0</v>
      </c>
      <c r="E968" s="79" t="s">
        <v>1124</v>
      </c>
      <c r="F968" s="79" t="s">
        <v>2539</v>
      </c>
      <c r="G968" s="79" t="s">
        <v>2578</v>
      </c>
      <c r="H968" s="79"/>
      <c r="I968" s="79"/>
    </row>
    <row r="969" spans="1:9" ht="14.25">
      <c r="A969" s="79" t="s">
        <v>3000</v>
      </c>
      <c r="B969" s="79" t="s">
        <v>3001</v>
      </c>
      <c r="C969" s="79">
        <v>594615482</v>
      </c>
      <c r="D969" s="79">
        <v>0</v>
      </c>
      <c r="E969" s="79" t="s">
        <v>1124</v>
      </c>
      <c r="F969" s="79" t="s">
        <v>2539</v>
      </c>
      <c r="G969" s="79" t="s">
        <v>2546</v>
      </c>
      <c r="H969" s="79" t="s">
        <v>2547</v>
      </c>
      <c r="I969" s="79"/>
    </row>
    <row r="970" spans="1:9" ht="14.25">
      <c r="A970" s="79" t="s">
        <v>3000</v>
      </c>
      <c r="B970" s="79" t="s">
        <v>3001</v>
      </c>
      <c r="C970" s="79">
        <v>594615482</v>
      </c>
      <c r="D970" s="79">
        <v>0</v>
      </c>
      <c r="E970" s="79" t="s">
        <v>1124</v>
      </c>
      <c r="F970" s="79" t="s">
        <v>2539</v>
      </c>
      <c r="G970" s="79" t="s">
        <v>2581</v>
      </c>
      <c r="H970" s="79"/>
      <c r="I970" s="79"/>
    </row>
    <row r="971" spans="1:9" ht="14.25">
      <c r="A971" s="79" t="s">
        <v>3002</v>
      </c>
      <c r="B971" s="79" t="s">
        <v>3003</v>
      </c>
      <c r="C971" s="79">
        <v>594658082</v>
      </c>
      <c r="D971" s="79">
        <v>0</v>
      </c>
      <c r="E971" s="79" t="s">
        <v>1124</v>
      </c>
      <c r="F971" s="79" t="s">
        <v>2539</v>
      </c>
      <c r="G971" s="79" t="s">
        <v>1130</v>
      </c>
      <c r="H971" s="79"/>
      <c r="I971" s="79"/>
    </row>
    <row r="972" spans="1:9" ht="14.25">
      <c r="A972" s="79" t="s">
        <v>3002</v>
      </c>
      <c r="B972" s="79" t="s">
        <v>3003</v>
      </c>
      <c r="C972" s="79">
        <v>594658082</v>
      </c>
      <c r="D972" s="79">
        <v>0</v>
      </c>
      <c r="E972" s="79" t="s">
        <v>1124</v>
      </c>
      <c r="F972" s="79" t="s">
        <v>2539</v>
      </c>
      <c r="G972" s="79" t="s">
        <v>1131</v>
      </c>
      <c r="H972" s="79" t="s">
        <v>1132</v>
      </c>
      <c r="I972" s="79"/>
    </row>
    <row r="973" spans="1:9" ht="14.25">
      <c r="A973" s="79" t="s">
        <v>3002</v>
      </c>
      <c r="B973" s="79" t="s">
        <v>3003</v>
      </c>
      <c r="C973" s="79">
        <v>594658082</v>
      </c>
      <c r="D973" s="79">
        <v>0</v>
      </c>
      <c r="E973" s="79" t="s">
        <v>1124</v>
      </c>
      <c r="F973" s="79" t="s">
        <v>2539</v>
      </c>
      <c r="G973" s="79" t="s">
        <v>2578</v>
      </c>
      <c r="H973" s="79"/>
      <c r="I973" s="79"/>
    </row>
    <row r="974" spans="1:9" ht="14.25">
      <c r="A974" s="79" t="s">
        <v>3004</v>
      </c>
      <c r="B974" s="79" t="s">
        <v>3005</v>
      </c>
      <c r="C974" s="79">
        <v>594658682</v>
      </c>
      <c r="D974" s="79">
        <v>0</v>
      </c>
      <c r="E974" s="79" t="s">
        <v>1124</v>
      </c>
      <c r="F974" s="79" t="s">
        <v>2539</v>
      </c>
      <c r="G974" s="79" t="s">
        <v>2546</v>
      </c>
      <c r="H974" s="79" t="s">
        <v>2547</v>
      </c>
      <c r="I974" s="79"/>
    </row>
    <row r="975" spans="1:9" ht="14.25">
      <c r="A975" s="79" t="s">
        <v>3004</v>
      </c>
      <c r="B975" s="79" t="s">
        <v>3005</v>
      </c>
      <c r="C975" s="79">
        <v>594658682</v>
      </c>
      <c r="D975" s="79">
        <v>0</v>
      </c>
      <c r="E975" s="79" t="s">
        <v>1124</v>
      </c>
      <c r="F975" s="79" t="s">
        <v>2539</v>
      </c>
      <c r="G975" s="79" t="s">
        <v>2581</v>
      </c>
      <c r="H975" s="79"/>
      <c r="I975" s="79"/>
    </row>
    <row r="976" spans="1:9" ht="14.25">
      <c r="A976" s="79" t="s">
        <v>3006</v>
      </c>
      <c r="B976" s="79" t="s">
        <v>3007</v>
      </c>
      <c r="C976" s="79">
        <v>594701282</v>
      </c>
      <c r="D976" s="79">
        <v>0</v>
      </c>
      <c r="E976" s="79" t="s">
        <v>1124</v>
      </c>
      <c r="F976" s="79" t="s">
        <v>2539</v>
      </c>
      <c r="G976" s="79" t="s">
        <v>1130</v>
      </c>
      <c r="H976" s="79"/>
      <c r="I976" s="79"/>
    </row>
    <row r="977" spans="1:9" ht="14.25">
      <c r="A977" s="79" t="s">
        <v>3006</v>
      </c>
      <c r="B977" s="79" t="s">
        <v>3007</v>
      </c>
      <c r="C977" s="79">
        <v>594701282</v>
      </c>
      <c r="D977" s="79">
        <v>0</v>
      </c>
      <c r="E977" s="79" t="s">
        <v>1124</v>
      </c>
      <c r="F977" s="79" t="s">
        <v>2539</v>
      </c>
      <c r="G977" s="79" t="s">
        <v>1131</v>
      </c>
      <c r="H977" s="79" t="s">
        <v>1132</v>
      </c>
      <c r="I977" s="79"/>
    </row>
    <row r="978" spans="1:9" ht="14.25">
      <c r="A978" s="79" t="s">
        <v>3006</v>
      </c>
      <c r="B978" s="79" t="s">
        <v>3007</v>
      </c>
      <c r="C978" s="79">
        <v>594701282</v>
      </c>
      <c r="D978" s="79">
        <v>0</v>
      </c>
      <c r="E978" s="79" t="s">
        <v>1124</v>
      </c>
      <c r="F978" s="79" t="s">
        <v>2539</v>
      </c>
      <c r="G978" s="79" t="s">
        <v>2578</v>
      </c>
      <c r="H978" s="79"/>
      <c r="I978" s="79"/>
    </row>
    <row r="979" spans="1:9" ht="14.25">
      <c r="A979" s="79" t="s">
        <v>3008</v>
      </c>
      <c r="B979" s="79" t="s">
        <v>3009</v>
      </c>
      <c r="C979" s="79">
        <v>594701882</v>
      </c>
      <c r="D979" s="79">
        <v>0</v>
      </c>
      <c r="E979" s="79" t="s">
        <v>1124</v>
      </c>
      <c r="F979" s="79" t="s">
        <v>2539</v>
      </c>
      <c r="G979" s="79" t="s">
        <v>2546</v>
      </c>
      <c r="H979" s="79" t="s">
        <v>2547</v>
      </c>
      <c r="I979" s="79"/>
    </row>
    <row r="980" spans="1:9" ht="14.25">
      <c r="A980" s="79" t="s">
        <v>3008</v>
      </c>
      <c r="B980" s="79" t="s">
        <v>3009</v>
      </c>
      <c r="C980" s="79">
        <v>594701882</v>
      </c>
      <c r="D980" s="79">
        <v>0</v>
      </c>
      <c r="E980" s="79" t="s">
        <v>1124</v>
      </c>
      <c r="F980" s="79" t="s">
        <v>2539</v>
      </c>
      <c r="G980" s="79" t="s">
        <v>2581</v>
      </c>
      <c r="H980" s="79"/>
      <c r="I980" s="79"/>
    </row>
    <row r="981" spans="1:9" ht="14.25">
      <c r="A981" s="79" t="s">
        <v>3010</v>
      </c>
      <c r="B981" s="79" t="s">
        <v>3011</v>
      </c>
      <c r="C981" s="79">
        <v>594744482</v>
      </c>
      <c r="D981" s="79">
        <v>0</v>
      </c>
      <c r="E981" s="79" t="s">
        <v>1124</v>
      </c>
      <c r="F981" s="79" t="s">
        <v>2539</v>
      </c>
      <c r="G981" s="79" t="s">
        <v>1130</v>
      </c>
      <c r="H981" s="79"/>
      <c r="I981" s="79"/>
    </row>
    <row r="982" spans="1:9" ht="14.25">
      <c r="A982" s="79" t="s">
        <v>3010</v>
      </c>
      <c r="B982" s="79" t="s">
        <v>3011</v>
      </c>
      <c r="C982" s="79">
        <v>594744482</v>
      </c>
      <c r="D982" s="79">
        <v>0</v>
      </c>
      <c r="E982" s="79" t="s">
        <v>1124</v>
      </c>
      <c r="F982" s="79" t="s">
        <v>2539</v>
      </c>
      <c r="G982" s="79" t="s">
        <v>1131</v>
      </c>
      <c r="H982" s="79" t="s">
        <v>1132</v>
      </c>
      <c r="I982" s="79"/>
    </row>
    <row r="983" spans="1:9" ht="14.25">
      <c r="A983" s="79" t="s">
        <v>3010</v>
      </c>
      <c r="B983" s="79" t="s">
        <v>3011</v>
      </c>
      <c r="C983" s="79">
        <v>594744482</v>
      </c>
      <c r="D983" s="79">
        <v>0</v>
      </c>
      <c r="E983" s="79" t="s">
        <v>1124</v>
      </c>
      <c r="F983" s="79" t="s">
        <v>2539</v>
      </c>
      <c r="G983" s="79" t="s">
        <v>2578</v>
      </c>
      <c r="H983" s="79"/>
      <c r="I983" s="79"/>
    </row>
    <row r="984" spans="1:9" ht="14.25">
      <c r="A984" s="79" t="s">
        <v>3012</v>
      </c>
      <c r="B984" s="79" t="s">
        <v>3013</v>
      </c>
      <c r="C984" s="79">
        <v>594745082</v>
      </c>
      <c r="D984" s="79">
        <v>0</v>
      </c>
      <c r="E984" s="79" t="s">
        <v>1124</v>
      </c>
      <c r="F984" s="79" t="s">
        <v>2539</v>
      </c>
      <c r="G984" s="79" t="s">
        <v>2546</v>
      </c>
      <c r="H984" s="79" t="s">
        <v>2547</v>
      </c>
      <c r="I984" s="79"/>
    </row>
    <row r="985" spans="1:9" ht="14.25">
      <c r="A985" s="79" t="s">
        <v>3012</v>
      </c>
      <c r="B985" s="79" t="s">
        <v>3013</v>
      </c>
      <c r="C985" s="79">
        <v>594745082</v>
      </c>
      <c r="D985" s="79">
        <v>0</v>
      </c>
      <c r="E985" s="79" t="s">
        <v>1124</v>
      </c>
      <c r="F985" s="79" t="s">
        <v>2539</v>
      </c>
      <c r="G985" s="79" t="s">
        <v>2581</v>
      </c>
      <c r="H985" s="79"/>
      <c r="I985" s="79"/>
    </row>
    <row r="986" spans="1:9" ht="14.25">
      <c r="A986" s="79" t="s">
        <v>3014</v>
      </c>
      <c r="B986" s="79" t="s">
        <v>3015</v>
      </c>
      <c r="C986" s="79">
        <v>594787682</v>
      </c>
      <c r="D986" s="79">
        <v>0</v>
      </c>
      <c r="E986" s="79" t="s">
        <v>1124</v>
      </c>
      <c r="F986" s="79" t="s">
        <v>2539</v>
      </c>
      <c r="G986" s="79" t="s">
        <v>1130</v>
      </c>
      <c r="H986" s="79"/>
      <c r="I986" s="79"/>
    </row>
    <row r="987" spans="1:9" ht="14.25">
      <c r="A987" s="79" t="s">
        <v>3014</v>
      </c>
      <c r="B987" s="79" t="s">
        <v>3015</v>
      </c>
      <c r="C987" s="79">
        <v>594787682</v>
      </c>
      <c r="D987" s="79">
        <v>0</v>
      </c>
      <c r="E987" s="79" t="s">
        <v>1124</v>
      </c>
      <c r="F987" s="79" t="s">
        <v>2539</v>
      </c>
      <c r="G987" s="79" t="s">
        <v>1131</v>
      </c>
      <c r="H987" s="79" t="s">
        <v>1132</v>
      </c>
      <c r="I987" s="79"/>
    </row>
    <row r="988" spans="1:9" ht="14.25">
      <c r="A988" s="79" t="s">
        <v>3014</v>
      </c>
      <c r="B988" s="79" t="s">
        <v>3015</v>
      </c>
      <c r="C988" s="79">
        <v>594787682</v>
      </c>
      <c r="D988" s="79">
        <v>0</v>
      </c>
      <c r="E988" s="79" t="s">
        <v>1124</v>
      </c>
      <c r="F988" s="79" t="s">
        <v>2539</v>
      </c>
      <c r="G988" s="79" t="s">
        <v>2578</v>
      </c>
      <c r="H988" s="79"/>
      <c r="I988" s="79"/>
    </row>
    <row r="989" spans="1:9" ht="14.25">
      <c r="A989" s="79" t="s">
        <v>3016</v>
      </c>
      <c r="B989" s="79" t="s">
        <v>3017</v>
      </c>
      <c r="C989" s="79">
        <v>594788282</v>
      </c>
      <c r="D989" s="79">
        <v>0</v>
      </c>
      <c r="E989" s="79" t="s">
        <v>1124</v>
      </c>
      <c r="F989" s="79" t="s">
        <v>2539</v>
      </c>
      <c r="G989" s="79" t="s">
        <v>2546</v>
      </c>
      <c r="H989" s="79" t="s">
        <v>2547</v>
      </c>
      <c r="I989" s="79"/>
    </row>
    <row r="990" spans="1:9" ht="14.25">
      <c r="A990" s="79" t="s">
        <v>3016</v>
      </c>
      <c r="B990" s="79" t="s">
        <v>3017</v>
      </c>
      <c r="C990" s="79">
        <v>594788282</v>
      </c>
      <c r="D990" s="79">
        <v>0</v>
      </c>
      <c r="E990" s="79" t="s">
        <v>1124</v>
      </c>
      <c r="F990" s="79" t="s">
        <v>2539</v>
      </c>
      <c r="G990" s="79" t="s">
        <v>2581</v>
      </c>
      <c r="H990" s="79"/>
      <c r="I990" s="79"/>
    </row>
    <row r="991" spans="1:9" ht="14.25">
      <c r="A991" s="79" t="s">
        <v>3018</v>
      </c>
      <c r="B991" s="79" t="s">
        <v>3019</v>
      </c>
      <c r="C991" s="79">
        <v>594830882</v>
      </c>
      <c r="D991" s="79">
        <v>0</v>
      </c>
      <c r="E991" s="79" t="s">
        <v>1124</v>
      </c>
      <c r="F991" s="79" t="s">
        <v>2539</v>
      </c>
      <c r="G991" s="79" t="s">
        <v>1130</v>
      </c>
      <c r="H991" s="79"/>
      <c r="I991" s="79"/>
    </row>
    <row r="992" spans="1:9" ht="14.25">
      <c r="A992" s="79" t="s">
        <v>3018</v>
      </c>
      <c r="B992" s="79" t="s">
        <v>3019</v>
      </c>
      <c r="C992" s="79">
        <v>594830882</v>
      </c>
      <c r="D992" s="79">
        <v>0</v>
      </c>
      <c r="E992" s="79" t="s">
        <v>1124</v>
      </c>
      <c r="F992" s="79" t="s">
        <v>2539</v>
      </c>
      <c r="G992" s="79" t="s">
        <v>1131</v>
      </c>
      <c r="H992" s="79" t="s">
        <v>1132</v>
      </c>
      <c r="I992" s="79"/>
    </row>
    <row r="993" spans="1:9" ht="14.25">
      <c r="A993" s="79" t="s">
        <v>3018</v>
      </c>
      <c r="B993" s="79" t="s">
        <v>3019</v>
      </c>
      <c r="C993" s="79">
        <v>594830882</v>
      </c>
      <c r="D993" s="79">
        <v>0</v>
      </c>
      <c r="E993" s="79" t="s">
        <v>1124</v>
      </c>
      <c r="F993" s="79" t="s">
        <v>2539</v>
      </c>
      <c r="G993" s="79" t="s">
        <v>2578</v>
      </c>
      <c r="H993" s="79"/>
      <c r="I993" s="79"/>
    </row>
    <row r="994" spans="1:9" ht="14.25">
      <c r="A994" s="79" t="s">
        <v>3020</v>
      </c>
      <c r="B994" s="79" t="s">
        <v>3021</v>
      </c>
      <c r="C994" s="79">
        <v>594831482</v>
      </c>
      <c r="D994" s="79">
        <v>0</v>
      </c>
      <c r="E994" s="79" t="s">
        <v>1124</v>
      </c>
      <c r="F994" s="79" t="s">
        <v>2539</v>
      </c>
      <c r="G994" s="79" t="s">
        <v>2546</v>
      </c>
      <c r="H994" s="79" t="s">
        <v>2547</v>
      </c>
      <c r="I994" s="79"/>
    </row>
    <row r="995" spans="1:9" ht="14.25">
      <c r="A995" s="79" t="s">
        <v>3020</v>
      </c>
      <c r="B995" s="79" t="s">
        <v>3021</v>
      </c>
      <c r="C995" s="79">
        <v>594831482</v>
      </c>
      <c r="D995" s="79">
        <v>0</v>
      </c>
      <c r="E995" s="79" t="s">
        <v>1124</v>
      </c>
      <c r="F995" s="79" t="s">
        <v>2539</v>
      </c>
      <c r="G995" s="79" t="s">
        <v>2581</v>
      </c>
      <c r="H995" s="79"/>
      <c r="I995" s="79"/>
    </row>
    <row r="996" spans="1:9" ht="14.25">
      <c r="A996" s="79" t="s">
        <v>3022</v>
      </c>
      <c r="B996" s="79" t="s">
        <v>3023</v>
      </c>
      <c r="C996" s="79">
        <v>594874082</v>
      </c>
      <c r="D996" s="79">
        <v>0</v>
      </c>
      <c r="E996" s="79" t="s">
        <v>1124</v>
      </c>
      <c r="F996" s="79" t="s">
        <v>2539</v>
      </c>
      <c r="G996" s="79" t="s">
        <v>1130</v>
      </c>
      <c r="H996" s="79"/>
      <c r="I996" s="79"/>
    </row>
    <row r="997" spans="1:9" ht="14.25">
      <c r="A997" s="79" t="s">
        <v>3022</v>
      </c>
      <c r="B997" s="79" t="s">
        <v>3023</v>
      </c>
      <c r="C997" s="79">
        <v>594874082</v>
      </c>
      <c r="D997" s="79">
        <v>0</v>
      </c>
      <c r="E997" s="79" t="s">
        <v>1124</v>
      </c>
      <c r="F997" s="79" t="s">
        <v>2539</v>
      </c>
      <c r="G997" s="79" t="s">
        <v>1131</v>
      </c>
      <c r="H997" s="79" t="s">
        <v>1132</v>
      </c>
      <c r="I997" s="79"/>
    </row>
    <row r="998" spans="1:9" ht="14.25">
      <c r="A998" s="79" t="s">
        <v>3022</v>
      </c>
      <c r="B998" s="79" t="s">
        <v>3023</v>
      </c>
      <c r="C998" s="79">
        <v>594874082</v>
      </c>
      <c r="D998" s="79">
        <v>0</v>
      </c>
      <c r="E998" s="79" t="s">
        <v>1124</v>
      </c>
      <c r="F998" s="79" t="s">
        <v>2539</v>
      </c>
      <c r="G998" s="79" t="s">
        <v>2578</v>
      </c>
      <c r="H998" s="79"/>
      <c r="I998" s="79"/>
    </row>
    <row r="999" spans="1:9" ht="14.25">
      <c r="A999" s="79" t="s">
        <v>3024</v>
      </c>
      <c r="B999" s="79" t="s">
        <v>3025</v>
      </c>
      <c r="C999" s="79">
        <v>594874682</v>
      </c>
      <c r="D999" s="79">
        <v>0</v>
      </c>
      <c r="E999" s="79" t="s">
        <v>1124</v>
      </c>
      <c r="F999" s="79" t="s">
        <v>2539</v>
      </c>
      <c r="G999" s="79" t="s">
        <v>2546</v>
      </c>
      <c r="H999" s="79" t="s">
        <v>2547</v>
      </c>
      <c r="I999" s="79"/>
    </row>
    <row r="1000" spans="1:9" ht="14.25">
      <c r="A1000" s="79" t="s">
        <v>3024</v>
      </c>
      <c r="B1000" s="79" t="s">
        <v>3025</v>
      </c>
      <c r="C1000" s="79">
        <v>594874682</v>
      </c>
      <c r="D1000" s="79">
        <v>0</v>
      </c>
      <c r="E1000" s="79" t="s">
        <v>1124</v>
      </c>
      <c r="F1000" s="79" t="s">
        <v>2539</v>
      </c>
      <c r="G1000" s="79" t="s">
        <v>2581</v>
      </c>
      <c r="H1000" s="79"/>
      <c r="I1000" s="79"/>
    </row>
    <row r="1001" spans="1:9" ht="14.25">
      <c r="A1001" s="79" t="s">
        <v>3026</v>
      </c>
      <c r="B1001" s="79" t="s">
        <v>3027</v>
      </c>
      <c r="C1001" s="79">
        <v>594917282</v>
      </c>
      <c r="D1001" s="79">
        <v>0</v>
      </c>
      <c r="E1001" s="79" t="s">
        <v>1124</v>
      </c>
      <c r="F1001" s="79" t="s">
        <v>2539</v>
      </c>
      <c r="G1001" s="79" t="s">
        <v>1130</v>
      </c>
      <c r="H1001" s="79"/>
      <c r="I1001" s="79"/>
    </row>
    <row r="1002" spans="1:9" ht="14.25">
      <c r="A1002" s="79" t="s">
        <v>3026</v>
      </c>
      <c r="B1002" s="79" t="s">
        <v>3027</v>
      </c>
      <c r="C1002" s="79">
        <v>594917282</v>
      </c>
      <c r="D1002" s="79">
        <v>0</v>
      </c>
      <c r="E1002" s="79" t="s">
        <v>1124</v>
      </c>
      <c r="F1002" s="79" t="s">
        <v>2539</v>
      </c>
      <c r="G1002" s="79" t="s">
        <v>1131</v>
      </c>
      <c r="H1002" s="79" t="s">
        <v>1132</v>
      </c>
      <c r="I1002" s="79"/>
    </row>
    <row r="1003" spans="1:9" ht="14.25">
      <c r="A1003" s="79" t="s">
        <v>3026</v>
      </c>
      <c r="B1003" s="79" t="s">
        <v>3027</v>
      </c>
      <c r="C1003" s="79">
        <v>594917282</v>
      </c>
      <c r="D1003" s="79">
        <v>0</v>
      </c>
      <c r="E1003" s="79" t="s">
        <v>1124</v>
      </c>
      <c r="F1003" s="79" t="s">
        <v>2539</v>
      </c>
      <c r="G1003" s="79" t="s">
        <v>2578</v>
      </c>
      <c r="H1003" s="79"/>
      <c r="I1003" s="79"/>
    </row>
    <row r="1004" spans="1:9" ht="14.25">
      <c r="A1004" s="79" t="s">
        <v>3028</v>
      </c>
      <c r="B1004" s="79" t="s">
        <v>3029</v>
      </c>
      <c r="C1004" s="79">
        <v>594917882</v>
      </c>
      <c r="D1004" s="79">
        <v>0</v>
      </c>
      <c r="E1004" s="79" t="s">
        <v>1124</v>
      </c>
      <c r="F1004" s="79" t="s">
        <v>2539</v>
      </c>
      <c r="G1004" s="79" t="s">
        <v>2546</v>
      </c>
      <c r="H1004" s="79" t="s">
        <v>2547</v>
      </c>
      <c r="I1004" s="79"/>
    </row>
    <row r="1005" spans="1:9" ht="14.25">
      <c r="A1005" s="79" t="s">
        <v>3028</v>
      </c>
      <c r="B1005" s="79" t="s">
        <v>3029</v>
      </c>
      <c r="C1005" s="79">
        <v>594917882</v>
      </c>
      <c r="D1005" s="79">
        <v>0</v>
      </c>
      <c r="E1005" s="79" t="s">
        <v>1124</v>
      </c>
      <c r="F1005" s="79" t="s">
        <v>2539</v>
      </c>
      <c r="G1005" s="79" t="s">
        <v>2581</v>
      </c>
      <c r="H1005" s="79"/>
      <c r="I1005" s="79"/>
    </row>
    <row r="1006" spans="1:9" ht="14.25">
      <c r="A1006" s="79" t="s">
        <v>3030</v>
      </c>
      <c r="B1006" s="79" t="s">
        <v>3031</v>
      </c>
      <c r="C1006" s="79">
        <v>594960482</v>
      </c>
      <c r="D1006" s="79">
        <v>0</v>
      </c>
      <c r="E1006" s="79" t="s">
        <v>1124</v>
      </c>
      <c r="F1006" s="79" t="s">
        <v>2539</v>
      </c>
      <c r="G1006" s="79" t="s">
        <v>1130</v>
      </c>
      <c r="H1006" s="79"/>
      <c r="I1006" s="79"/>
    </row>
    <row r="1007" spans="1:9" ht="14.25">
      <c r="A1007" s="79" t="s">
        <v>3030</v>
      </c>
      <c r="B1007" s="79" t="s">
        <v>3031</v>
      </c>
      <c r="C1007" s="79">
        <v>594960482</v>
      </c>
      <c r="D1007" s="79">
        <v>0</v>
      </c>
      <c r="E1007" s="79" t="s">
        <v>1124</v>
      </c>
      <c r="F1007" s="79" t="s">
        <v>2539</v>
      </c>
      <c r="G1007" s="79" t="s">
        <v>1131</v>
      </c>
      <c r="H1007" s="79" t="s">
        <v>1132</v>
      </c>
      <c r="I1007" s="79"/>
    </row>
    <row r="1008" spans="1:9" ht="14.25">
      <c r="A1008" s="79" t="s">
        <v>3030</v>
      </c>
      <c r="B1008" s="79" t="s">
        <v>3031</v>
      </c>
      <c r="C1008" s="79">
        <v>594960482</v>
      </c>
      <c r="D1008" s="79">
        <v>0</v>
      </c>
      <c r="E1008" s="79" t="s">
        <v>1124</v>
      </c>
      <c r="F1008" s="79" t="s">
        <v>2539</v>
      </c>
      <c r="G1008" s="79" t="s">
        <v>2578</v>
      </c>
      <c r="H1008" s="79"/>
      <c r="I1008" s="79"/>
    </row>
    <row r="1009" spans="1:9" ht="14.25">
      <c r="A1009" s="79" t="s">
        <v>3032</v>
      </c>
      <c r="B1009" s="79" t="s">
        <v>3033</v>
      </c>
      <c r="C1009" s="79">
        <v>594961082</v>
      </c>
      <c r="D1009" s="79">
        <v>0</v>
      </c>
      <c r="E1009" s="79" t="s">
        <v>1124</v>
      </c>
      <c r="F1009" s="79" t="s">
        <v>2539</v>
      </c>
      <c r="G1009" s="79" t="s">
        <v>2546</v>
      </c>
      <c r="H1009" s="79" t="s">
        <v>2547</v>
      </c>
      <c r="I1009" s="79"/>
    </row>
    <row r="1010" spans="1:9" ht="14.25">
      <c r="A1010" s="79" t="s">
        <v>3032</v>
      </c>
      <c r="B1010" s="79" t="s">
        <v>3033</v>
      </c>
      <c r="C1010" s="79">
        <v>594961082</v>
      </c>
      <c r="D1010" s="79">
        <v>0</v>
      </c>
      <c r="E1010" s="79" t="s">
        <v>1124</v>
      </c>
      <c r="F1010" s="79" t="s">
        <v>2539</v>
      </c>
      <c r="G1010" s="79" t="s">
        <v>2581</v>
      </c>
      <c r="H1010" s="79"/>
      <c r="I1010" s="79"/>
    </row>
    <row r="1011" spans="1:9" ht="14.25">
      <c r="A1011" s="79" t="s">
        <v>3034</v>
      </c>
      <c r="B1011" s="79" t="s">
        <v>3035</v>
      </c>
      <c r="C1011" s="79">
        <v>595003682</v>
      </c>
      <c r="D1011" s="79">
        <v>0</v>
      </c>
      <c r="E1011" s="79" t="s">
        <v>1124</v>
      </c>
      <c r="F1011" s="79" t="s">
        <v>2539</v>
      </c>
      <c r="G1011" s="79" t="s">
        <v>1130</v>
      </c>
      <c r="H1011" s="79"/>
      <c r="I1011" s="79"/>
    </row>
    <row r="1012" spans="1:9" ht="14.25">
      <c r="A1012" s="79" t="s">
        <v>3034</v>
      </c>
      <c r="B1012" s="79" t="s">
        <v>3035</v>
      </c>
      <c r="C1012" s="79">
        <v>595003682</v>
      </c>
      <c r="D1012" s="79">
        <v>0</v>
      </c>
      <c r="E1012" s="79" t="s">
        <v>1124</v>
      </c>
      <c r="F1012" s="79" t="s">
        <v>2539</v>
      </c>
      <c r="G1012" s="79" t="s">
        <v>1131</v>
      </c>
      <c r="H1012" s="79" t="s">
        <v>1132</v>
      </c>
      <c r="I1012" s="79"/>
    </row>
    <row r="1013" spans="1:9" ht="14.25">
      <c r="A1013" s="79" t="s">
        <v>3034</v>
      </c>
      <c r="B1013" s="79" t="s">
        <v>3035</v>
      </c>
      <c r="C1013" s="79">
        <v>595003682</v>
      </c>
      <c r="D1013" s="79">
        <v>0</v>
      </c>
      <c r="E1013" s="79" t="s">
        <v>1124</v>
      </c>
      <c r="F1013" s="79" t="s">
        <v>2539</v>
      </c>
      <c r="G1013" s="79" t="s">
        <v>2578</v>
      </c>
      <c r="H1013" s="79"/>
      <c r="I1013" s="79"/>
    </row>
    <row r="1014" spans="1:9" ht="14.25">
      <c r="A1014" s="79" t="s">
        <v>3036</v>
      </c>
      <c r="B1014" s="79" t="s">
        <v>3037</v>
      </c>
      <c r="C1014" s="79">
        <v>595004282</v>
      </c>
      <c r="D1014" s="79">
        <v>0</v>
      </c>
      <c r="E1014" s="79" t="s">
        <v>1124</v>
      </c>
      <c r="F1014" s="79" t="s">
        <v>2539</v>
      </c>
      <c r="G1014" s="79" t="s">
        <v>2546</v>
      </c>
      <c r="H1014" s="79" t="s">
        <v>2547</v>
      </c>
      <c r="I1014" s="79"/>
    </row>
    <row r="1015" spans="1:9" ht="14.25">
      <c r="A1015" s="79" t="s">
        <v>3036</v>
      </c>
      <c r="B1015" s="79" t="s">
        <v>3037</v>
      </c>
      <c r="C1015" s="79">
        <v>595004282</v>
      </c>
      <c r="D1015" s="79">
        <v>0</v>
      </c>
      <c r="E1015" s="79" t="s">
        <v>1124</v>
      </c>
      <c r="F1015" s="79" t="s">
        <v>2539</v>
      </c>
      <c r="G1015" s="79" t="s">
        <v>2581</v>
      </c>
      <c r="H1015" s="79"/>
      <c r="I1015" s="79"/>
    </row>
    <row r="1016" spans="1:9" ht="14.25">
      <c r="A1016" s="79" t="s">
        <v>3038</v>
      </c>
      <c r="B1016" s="79" t="s">
        <v>3039</v>
      </c>
      <c r="C1016" s="79">
        <v>595046882</v>
      </c>
      <c r="D1016" s="79">
        <v>0</v>
      </c>
      <c r="E1016" s="79" t="s">
        <v>1124</v>
      </c>
      <c r="F1016" s="79" t="s">
        <v>2539</v>
      </c>
      <c r="G1016" s="79" t="s">
        <v>1130</v>
      </c>
      <c r="H1016" s="79"/>
      <c r="I1016" s="79"/>
    </row>
    <row r="1017" spans="1:9" ht="14.25">
      <c r="A1017" s="79" t="s">
        <v>3038</v>
      </c>
      <c r="B1017" s="79" t="s">
        <v>3039</v>
      </c>
      <c r="C1017" s="79">
        <v>595046882</v>
      </c>
      <c r="D1017" s="79">
        <v>0</v>
      </c>
      <c r="E1017" s="79" t="s">
        <v>1124</v>
      </c>
      <c r="F1017" s="79" t="s">
        <v>2539</v>
      </c>
      <c r="G1017" s="79" t="s">
        <v>1131</v>
      </c>
      <c r="H1017" s="79" t="s">
        <v>1132</v>
      </c>
      <c r="I1017" s="79"/>
    </row>
    <row r="1018" spans="1:9" ht="14.25">
      <c r="A1018" s="79" t="s">
        <v>3038</v>
      </c>
      <c r="B1018" s="79" t="s">
        <v>3039</v>
      </c>
      <c r="C1018" s="79">
        <v>595046882</v>
      </c>
      <c r="D1018" s="79">
        <v>0</v>
      </c>
      <c r="E1018" s="79" t="s">
        <v>1124</v>
      </c>
      <c r="F1018" s="79" t="s">
        <v>2539</v>
      </c>
      <c r="G1018" s="79" t="s">
        <v>2578</v>
      </c>
      <c r="H1018" s="79"/>
      <c r="I1018" s="79"/>
    </row>
    <row r="1019" spans="1:9" ht="14.25">
      <c r="A1019" s="79" t="s">
        <v>3040</v>
      </c>
      <c r="B1019" s="79" t="s">
        <v>3041</v>
      </c>
      <c r="C1019" s="79">
        <v>595047482</v>
      </c>
      <c r="D1019" s="79">
        <v>0</v>
      </c>
      <c r="E1019" s="79" t="s">
        <v>1124</v>
      </c>
      <c r="F1019" s="79" t="s">
        <v>2539</v>
      </c>
      <c r="G1019" s="79" t="s">
        <v>2546</v>
      </c>
      <c r="H1019" s="79" t="s">
        <v>2547</v>
      </c>
      <c r="I1019" s="79"/>
    </row>
    <row r="1020" spans="1:9" ht="14.25">
      <c r="A1020" s="79" t="s">
        <v>3040</v>
      </c>
      <c r="B1020" s="79" t="s">
        <v>3041</v>
      </c>
      <c r="C1020" s="79">
        <v>595047482</v>
      </c>
      <c r="D1020" s="79">
        <v>0</v>
      </c>
      <c r="E1020" s="79" t="s">
        <v>1124</v>
      </c>
      <c r="F1020" s="79" t="s">
        <v>2539</v>
      </c>
      <c r="G1020" s="79" t="s">
        <v>2581</v>
      </c>
      <c r="H1020" s="79"/>
      <c r="I1020" s="79"/>
    </row>
    <row r="1021" spans="1:9" ht="14.25">
      <c r="A1021" s="79" t="s">
        <v>3042</v>
      </c>
      <c r="B1021" s="79" t="s">
        <v>3043</v>
      </c>
      <c r="C1021" s="79">
        <v>595090082</v>
      </c>
      <c r="D1021" s="79">
        <v>0</v>
      </c>
      <c r="E1021" s="79" t="s">
        <v>1124</v>
      </c>
      <c r="F1021" s="79" t="s">
        <v>2539</v>
      </c>
      <c r="G1021" s="79" t="s">
        <v>1130</v>
      </c>
      <c r="H1021" s="79"/>
      <c r="I1021" s="79"/>
    </row>
    <row r="1022" spans="1:9" ht="14.25">
      <c r="A1022" s="79" t="s">
        <v>3042</v>
      </c>
      <c r="B1022" s="79" t="s">
        <v>3043</v>
      </c>
      <c r="C1022" s="79">
        <v>595090082</v>
      </c>
      <c r="D1022" s="79">
        <v>0</v>
      </c>
      <c r="E1022" s="79" t="s">
        <v>1124</v>
      </c>
      <c r="F1022" s="79" t="s">
        <v>2539</v>
      </c>
      <c r="G1022" s="79" t="s">
        <v>1131</v>
      </c>
      <c r="H1022" s="79" t="s">
        <v>1132</v>
      </c>
      <c r="I1022" s="79"/>
    </row>
    <row r="1023" spans="1:9" ht="14.25">
      <c r="A1023" s="79" t="s">
        <v>3042</v>
      </c>
      <c r="B1023" s="79" t="s">
        <v>3043</v>
      </c>
      <c r="C1023" s="79">
        <v>595090082</v>
      </c>
      <c r="D1023" s="79">
        <v>0</v>
      </c>
      <c r="E1023" s="79" t="s">
        <v>1124</v>
      </c>
      <c r="F1023" s="79" t="s">
        <v>2539</v>
      </c>
      <c r="G1023" s="79" t="s">
        <v>2578</v>
      </c>
      <c r="H1023" s="79"/>
      <c r="I1023" s="79"/>
    </row>
    <row r="1024" spans="1:9" ht="14.25">
      <c r="A1024" s="79" t="s">
        <v>3044</v>
      </c>
      <c r="B1024" s="79" t="s">
        <v>3045</v>
      </c>
      <c r="C1024" s="79">
        <v>595090682</v>
      </c>
      <c r="D1024" s="79">
        <v>0</v>
      </c>
      <c r="E1024" s="79" t="s">
        <v>1124</v>
      </c>
      <c r="F1024" s="79" t="s">
        <v>2539</v>
      </c>
      <c r="G1024" s="79" t="s">
        <v>2546</v>
      </c>
      <c r="H1024" s="79" t="s">
        <v>2547</v>
      </c>
      <c r="I1024" s="79"/>
    </row>
    <row r="1025" spans="1:9" ht="14.25">
      <c r="A1025" s="79" t="s">
        <v>3044</v>
      </c>
      <c r="B1025" s="79" t="s">
        <v>3045</v>
      </c>
      <c r="C1025" s="79">
        <v>595090682</v>
      </c>
      <c r="D1025" s="79">
        <v>0</v>
      </c>
      <c r="E1025" s="79" t="s">
        <v>1124</v>
      </c>
      <c r="F1025" s="79" t="s">
        <v>2539</v>
      </c>
      <c r="G1025" s="79" t="s">
        <v>2581</v>
      </c>
      <c r="H1025" s="79"/>
      <c r="I1025" s="79"/>
    </row>
    <row r="1026" spans="1:9" ht="14.25">
      <c r="A1026" s="79" t="s">
        <v>3046</v>
      </c>
      <c r="B1026" s="79" t="s">
        <v>3047</v>
      </c>
      <c r="C1026" s="79">
        <v>595133282</v>
      </c>
      <c r="D1026" s="79">
        <v>0</v>
      </c>
      <c r="E1026" s="79" t="s">
        <v>1124</v>
      </c>
      <c r="F1026" s="79" t="s">
        <v>2539</v>
      </c>
      <c r="G1026" s="79" t="s">
        <v>1130</v>
      </c>
      <c r="H1026" s="79"/>
      <c r="I1026" s="79"/>
    </row>
    <row r="1027" spans="1:9" ht="14.25">
      <c r="A1027" s="79" t="s">
        <v>3046</v>
      </c>
      <c r="B1027" s="79" t="s">
        <v>3047</v>
      </c>
      <c r="C1027" s="79">
        <v>595133282</v>
      </c>
      <c r="D1027" s="79">
        <v>0</v>
      </c>
      <c r="E1027" s="79" t="s">
        <v>1124</v>
      </c>
      <c r="F1027" s="79" t="s">
        <v>2539</v>
      </c>
      <c r="G1027" s="79" t="s">
        <v>1131</v>
      </c>
      <c r="H1027" s="79" t="s">
        <v>1132</v>
      </c>
      <c r="I1027" s="79"/>
    </row>
    <row r="1028" spans="1:9" ht="14.25">
      <c r="A1028" s="79" t="s">
        <v>3046</v>
      </c>
      <c r="B1028" s="79" t="s">
        <v>3047</v>
      </c>
      <c r="C1028" s="79">
        <v>595133282</v>
      </c>
      <c r="D1028" s="79">
        <v>0</v>
      </c>
      <c r="E1028" s="79" t="s">
        <v>1124</v>
      </c>
      <c r="F1028" s="79" t="s">
        <v>2539</v>
      </c>
      <c r="G1028" s="79" t="s">
        <v>2578</v>
      </c>
      <c r="H1028" s="79"/>
      <c r="I1028" s="79"/>
    </row>
    <row r="1029" spans="1:9" ht="14.25">
      <c r="A1029" s="79" t="s">
        <v>3048</v>
      </c>
      <c r="B1029" s="79" t="s">
        <v>3049</v>
      </c>
      <c r="C1029" s="79">
        <v>595133882</v>
      </c>
      <c r="D1029" s="79">
        <v>0</v>
      </c>
      <c r="E1029" s="79" t="s">
        <v>1124</v>
      </c>
      <c r="F1029" s="79" t="s">
        <v>2539</v>
      </c>
      <c r="G1029" s="79" t="s">
        <v>2546</v>
      </c>
      <c r="H1029" s="79" t="s">
        <v>2547</v>
      </c>
      <c r="I1029" s="79"/>
    </row>
    <row r="1030" spans="1:9" ht="14.25">
      <c r="A1030" s="79" t="s">
        <v>3048</v>
      </c>
      <c r="B1030" s="79" t="s">
        <v>3049</v>
      </c>
      <c r="C1030" s="79">
        <v>595133882</v>
      </c>
      <c r="D1030" s="79">
        <v>0</v>
      </c>
      <c r="E1030" s="79" t="s">
        <v>1124</v>
      </c>
      <c r="F1030" s="79" t="s">
        <v>2539</v>
      </c>
      <c r="G1030" s="79" t="s">
        <v>2581</v>
      </c>
      <c r="H1030" s="79"/>
      <c r="I1030" s="79"/>
    </row>
    <row r="1031" spans="1:9" ht="14.25">
      <c r="A1031" s="79" t="s">
        <v>3050</v>
      </c>
      <c r="B1031" s="79" t="s">
        <v>3051</v>
      </c>
      <c r="C1031" s="79">
        <v>595176482</v>
      </c>
      <c r="D1031" s="79">
        <v>0</v>
      </c>
      <c r="E1031" s="79" t="s">
        <v>1124</v>
      </c>
      <c r="F1031" s="79" t="s">
        <v>2539</v>
      </c>
      <c r="G1031" s="79" t="s">
        <v>1130</v>
      </c>
      <c r="H1031" s="79"/>
      <c r="I1031" s="79"/>
    </row>
    <row r="1032" spans="1:9" ht="14.25">
      <c r="A1032" s="79" t="s">
        <v>3050</v>
      </c>
      <c r="B1032" s="79" t="s">
        <v>3051</v>
      </c>
      <c r="C1032" s="79">
        <v>595176482</v>
      </c>
      <c r="D1032" s="79">
        <v>0</v>
      </c>
      <c r="E1032" s="79" t="s">
        <v>1124</v>
      </c>
      <c r="F1032" s="79" t="s">
        <v>2539</v>
      </c>
      <c r="G1032" s="79" t="s">
        <v>1131</v>
      </c>
      <c r="H1032" s="79" t="s">
        <v>1132</v>
      </c>
      <c r="I1032" s="79"/>
    </row>
    <row r="1033" spans="1:9" ht="14.25">
      <c r="A1033" s="79" t="s">
        <v>3050</v>
      </c>
      <c r="B1033" s="79" t="s">
        <v>3051</v>
      </c>
      <c r="C1033" s="79">
        <v>595176482</v>
      </c>
      <c r="D1033" s="79">
        <v>0</v>
      </c>
      <c r="E1033" s="79" t="s">
        <v>1124</v>
      </c>
      <c r="F1033" s="79" t="s">
        <v>2539</v>
      </c>
      <c r="G1033" s="79" t="s">
        <v>2578</v>
      </c>
      <c r="H1033" s="79"/>
      <c r="I1033" s="79"/>
    </row>
    <row r="1034" spans="1:9" ht="14.25">
      <c r="A1034" s="79" t="s">
        <v>3052</v>
      </c>
      <c r="B1034" s="79" t="s">
        <v>3053</v>
      </c>
      <c r="C1034" s="79">
        <v>595177082</v>
      </c>
      <c r="D1034" s="79">
        <v>0</v>
      </c>
      <c r="E1034" s="79" t="s">
        <v>1124</v>
      </c>
      <c r="F1034" s="79" t="s">
        <v>2539</v>
      </c>
      <c r="G1034" s="79" t="s">
        <v>2546</v>
      </c>
      <c r="H1034" s="79" t="s">
        <v>2547</v>
      </c>
      <c r="I1034" s="79"/>
    </row>
    <row r="1035" spans="1:9" ht="14.25">
      <c r="A1035" s="79" t="s">
        <v>3052</v>
      </c>
      <c r="B1035" s="79" t="s">
        <v>3053</v>
      </c>
      <c r="C1035" s="79">
        <v>595177082</v>
      </c>
      <c r="D1035" s="79">
        <v>0</v>
      </c>
      <c r="E1035" s="79" t="s">
        <v>1124</v>
      </c>
      <c r="F1035" s="79" t="s">
        <v>2539</v>
      </c>
      <c r="G1035" s="79" t="s">
        <v>2581</v>
      </c>
      <c r="H1035" s="79"/>
      <c r="I1035" s="79"/>
    </row>
    <row r="1036" spans="1:9" ht="14.25">
      <c r="A1036" s="79" t="s">
        <v>3054</v>
      </c>
      <c r="B1036" s="79" t="s">
        <v>3055</v>
      </c>
      <c r="C1036" s="79">
        <v>595219682</v>
      </c>
      <c r="D1036" s="79">
        <v>0</v>
      </c>
      <c r="E1036" s="79" t="s">
        <v>1124</v>
      </c>
      <c r="F1036" s="79" t="s">
        <v>2539</v>
      </c>
      <c r="G1036" s="79" t="s">
        <v>1130</v>
      </c>
      <c r="H1036" s="79"/>
      <c r="I1036" s="79"/>
    </row>
    <row r="1037" spans="1:9" ht="14.25">
      <c r="A1037" s="79" t="s">
        <v>3054</v>
      </c>
      <c r="B1037" s="79" t="s">
        <v>3055</v>
      </c>
      <c r="C1037" s="79">
        <v>595219682</v>
      </c>
      <c r="D1037" s="79">
        <v>0</v>
      </c>
      <c r="E1037" s="79" t="s">
        <v>1124</v>
      </c>
      <c r="F1037" s="79" t="s">
        <v>2539</v>
      </c>
      <c r="G1037" s="79" t="s">
        <v>1131</v>
      </c>
      <c r="H1037" s="79" t="s">
        <v>1132</v>
      </c>
      <c r="I1037" s="79"/>
    </row>
    <row r="1038" spans="1:9" ht="14.25">
      <c r="A1038" s="79" t="s">
        <v>3054</v>
      </c>
      <c r="B1038" s="79" t="s">
        <v>3055</v>
      </c>
      <c r="C1038" s="79">
        <v>595219682</v>
      </c>
      <c r="D1038" s="79">
        <v>0</v>
      </c>
      <c r="E1038" s="79" t="s">
        <v>1124</v>
      </c>
      <c r="F1038" s="79" t="s">
        <v>2539</v>
      </c>
      <c r="G1038" s="79" t="s">
        <v>2578</v>
      </c>
      <c r="H1038" s="79"/>
      <c r="I1038" s="79"/>
    </row>
    <row r="1039" spans="1:9" ht="14.25">
      <c r="A1039" s="79" t="s">
        <v>3056</v>
      </c>
      <c r="B1039" s="79" t="s">
        <v>3057</v>
      </c>
      <c r="C1039" s="79">
        <v>595220282</v>
      </c>
      <c r="D1039" s="79">
        <v>0</v>
      </c>
      <c r="E1039" s="79" t="s">
        <v>1124</v>
      </c>
      <c r="F1039" s="79" t="s">
        <v>2539</v>
      </c>
      <c r="G1039" s="79" t="s">
        <v>2546</v>
      </c>
      <c r="H1039" s="79" t="s">
        <v>2547</v>
      </c>
      <c r="I1039" s="79"/>
    </row>
    <row r="1040" spans="1:9" ht="14.25">
      <c r="A1040" s="79" t="s">
        <v>3056</v>
      </c>
      <c r="B1040" s="79" t="s">
        <v>3057</v>
      </c>
      <c r="C1040" s="79">
        <v>595220282</v>
      </c>
      <c r="D1040" s="79">
        <v>0</v>
      </c>
      <c r="E1040" s="79" t="s">
        <v>1124</v>
      </c>
      <c r="F1040" s="79" t="s">
        <v>2539</v>
      </c>
      <c r="G1040" s="79" t="s">
        <v>2581</v>
      </c>
      <c r="H1040" s="79"/>
      <c r="I1040" s="79"/>
    </row>
    <row r="1041" spans="1:9" ht="14.25">
      <c r="A1041" s="79" t="s">
        <v>3058</v>
      </c>
      <c r="B1041" s="79" t="s">
        <v>3059</v>
      </c>
      <c r="C1041" s="79">
        <v>595262882</v>
      </c>
      <c r="D1041" s="79">
        <v>0</v>
      </c>
      <c r="E1041" s="79" t="s">
        <v>1124</v>
      </c>
      <c r="F1041" s="79" t="s">
        <v>2539</v>
      </c>
      <c r="G1041" s="79" t="s">
        <v>1130</v>
      </c>
      <c r="H1041" s="79"/>
      <c r="I1041" s="79"/>
    </row>
    <row r="1042" spans="1:9" ht="14.25">
      <c r="A1042" s="79" t="s">
        <v>3058</v>
      </c>
      <c r="B1042" s="79" t="s">
        <v>3059</v>
      </c>
      <c r="C1042" s="79">
        <v>595262882</v>
      </c>
      <c r="D1042" s="79">
        <v>0</v>
      </c>
      <c r="E1042" s="79" t="s">
        <v>1124</v>
      </c>
      <c r="F1042" s="79" t="s">
        <v>2539</v>
      </c>
      <c r="G1042" s="79" t="s">
        <v>1131</v>
      </c>
      <c r="H1042" s="79" t="s">
        <v>1132</v>
      </c>
      <c r="I1042" s="79"/>
    </row>
    <row r="1043" spans="1:9" ht="14.25">
      <c r="A1043" s="79" t="s">
        <v>3058</v>
      </c>
      <c r="B1043" s="79" t="s">
        <v>3059</v>
      </c>
      <c r="C1043" s="79">
        <v>595262882</v>
      </c>
      <c r="D1043" s="79">
        <v>0</v>
      </c>
      <c r="E1043" s="79" t="s">
        <v>1124</v>
      </c>
      <c r="F1043" s="79" t="s">
        <v>2539</v>
      </c>
      <c r="G1043" s="79" t="s">
        <v>2578</v>
      </c>
      <c r="H1043" s="79"/>
      <c r="I1043" s="79"/>
    </row>
    <row r="1044" spans="1:9" ht="14.25">
      <c r="A1044" s="79" t="s">
        <v>3060</v>
      </c>
      <c r="B1044" s="79" t="s">
        <v>3061</v>
      </c>
      <c r="C1044" s="79">
        <v>595263482</v>
      </c>
      <c r="D1044" s="79">
        <v>0</v>
      </c>
      <c r="E1044" s="79" t="s">
        <v>1124</v>
      </c>
      <c r="F1044" s="79" t="s">
        <v>2539</v>
      </c>
      <c r="G1044" s="79" t="s">
        <v>2546</v>
      </c>
      <c r="H1044" s="79" t="s">
        <v>2547</v>
      </c>
      <c r="I1044" s="79"/>
    </row>
    <row r="1045" spans="1:9" ht="14.25">
      <c r="A1045" s="79" t="s">
        <v>3060</v>
      </c>
      <c r="B1045" s="79" t="s">
        <v>3061</v>
      </c>
      <c r="C1045" s="79">
        <v>595263482</v>
      </c>
      <c r="D1045" s="79">
        <v>0</v>
      </c>
      <c r="E1045" s="79" t="s">
        <v>1124</v>
      </c>
      <c r="F1045" s="79" t="s">
        <v>2539</v>
      </c>
      <c r="G1045" s="79" t="s">
        <v>2581</v>
      </c>
      <c r="H1045" s="79"/>
      <c r="I1045" s="79"/>
    </row>
    <row r="1046" spans="1:9" ht="14.25">
      <c r="A1046" s="79" t="s">
        <v>3062</v>
      </c>
      <c r="B1046" s="79" t="s">
        <v>3063</v>
      </c>
      <c r="C1046" s="79">
        <v>595306082</v>
      </c>
      <c r="D1046" s="79">
        <v>0</v>
      </c>
      <c r="E1046" s="79" t="s">
        <v>1124</v>
      </c>
      <c r="F1046" s="79" t="s">
        <v>2539</v>
      </c>
      <c r="G1046" s="79" t="s">
        <v>1130</v>
      </c>
      <c r="H1046" s="79"/>
      <c r="I1046" s="79"/>
    </row>
    <row r="1047" spans="1:9" ht="14.25">
      <c r="A1047" s="79" t="s">
        <v>3062</v>
      </c>
      <c r="B1047" s="79" t="s">
        <v>3063</v>
      </c>
      <c r="C1047" s="79">
        <v>595306082</v>
      </c>
      <c r="D1047" s="79">
        <v>0</v>
      </c>
      <c r="E1047" s="79" t="s">
        <v>1124</v>
      </c>
      <c r="F1047" s="79" t="s">
        <v>2539</v>
      </c>
      <c r="G1047" s="79" t="s">
        <v>1131</v>
      </c>
      <c r="H1047" s="79" t="s">
        <v>1132</v>
      </c>
      <c r="I1047" s="79"/>
    </row>
    <row r="1048" spans="1:9" ht="14.25">
      <c r="A1048" s="79" t="s">
        <v>3062</v>
      </c>
      <c r="B1048" s="79" t="s">
        <v>3063</v>
      </c>
      <c r="C1048" s="79">
        <v>595306082</v>
      </c>
      <c r="D1048" s="79">
        <v>0</v>
      </c>
      <c r="E1048" s="79" t="s">
        <v>1124</v>
      </c>
      <c r="F1048" s="79" t="s">
        <v>2539</v>
      </c>
      <c r="G1048" s="79" t="s">
        <v>2578</v>
      </c>
      <c r="H1048" s="79"/>
      <c r="I1048" s="79"/>
    </row>
    <row r="1049" spans="1:9" ht="14.25">
      <c r="A1049" s="79" t="s">
        <v>3064</v>
      </c>
      <c r="B1049" s="79" t="s">
        <v>3065</v>
      </c>
      <c r="C1049" s="79">
        <v>595306682</v>
      </c>
      <c r="D1049" s="79">
        <v>0</v>
      </c>
      <c r="E1049" s="79" t="s">
        <v>1124</v>
      </c>
      <c r="F1049" s="79" t="s">
        <v>2539</v>
      </c>
      <c r="G1049" s="79" t="s">
        <v>2546</v>
      </c>
      <c r="H1049" s="79" t="s">
        <v>2547</v>
      </c>
      <c r="I1049" s="79"/>
    </row>
    <row r="1050" spans="1:9" ht="14.25">
      <c r="A1050" s="79" t="s">
        <v>3064</v>
      </c>
      <c r="B1050" s="79" t="s">
        <v>3065</v>
      </c>
      <c r="C1050" s="79">
        <v>595306682</v>
      </c>
      <c r="D1050" s="79">
        <v>0</v>
      </c>
      <c r="E1050" s="79" t="s">
        <v>1124</v>
      </c>
      <c r="F1050" s="79" t="s">
        <v>2539</v>
      </c>
      <c r="G1050" s="79" t="s">
        <v>2581</v>
      </c>
      <c r="H1050" s="79"/>
      <c r="I1050" s="79"/>
    </row>
    <row r="1051" spans="1:9" ht="14.25">
      <c r="A1051" s="79" t="s">
        <v>3066</v>
      </c>
      <c r="B1051" s="79" t="s">
        <v>3067</v>
      </c>
      <c r="C1051" s="79">
        <v>595349282</v>
      </c>
      <c r="D1051" s="79">
        <v>0</v>
      </c>
      <c r="E1051" s="79" t="s">
        <v>1124</v>
      </c>
      <c r="F1051" s="79" t="s">
        <v>2539</v>
      </c>
      <c r="G1051" s="79" t="s">
        <v>1130</v>
      </c>
      <c r="H1051" s="79"/>
      <c r="I1051" s="79"/>
    </row>
    <row r="1052" spans="1:9" ht="14.25">
      <c r="A1052" s="79" t="s">
        <v>3066</v>
      </c>
      <c r="B1052" s="79" t="s">
        <v>3067</v>
      </c>
      <c r="C1052" s="79">
        <v>595349282</v>
      </c>
      <c r="D1052" s="79">
        <v>0</v>
      </c>
      <c r="E1052" s="79" t="s">
        <v>1124</v>
      </c>
      <c r="F1052" s="79" t="s">
        <v>2539</v>
      </c>
      <c r="G1052" s="79" t="s">
        <v>1131</v>
      </c>
      <c r="H1052" s="79" t="s">
        <v>1132</v>
      </c>
      <c r="I1052" s="79"/>
    </row>
    <row r="1053" spans="1:9" ht="14.25">
      <c r="A1053" s="79" t="s">
        <v>3066</v>
      </c>
      <c r="B1053" s="79" t="s">
        <v>3067</v>
      </c>
      <c r="C1053" s="79">
        <v>595349282</v>
      </c>
      <c r="D1053" s="79">
        <v>0</v>
      </c>
      <c r="E1053" s="79" t="s">
        <v>1124</v>
      </c>
      <c r="F1053" s="79" t="s">
        <v>2539</v>
      </c>
      <c r="G1053" s="79" t="s">
        <v>2578</v>
      </c>
      <c r="H1053" s="79"/>
      <c r="I1053" s="79"/>
    </row>
    <row r="1054" spans="1:9" ht="14.25">
      <c r="A1054" s="79" t="s">
        <v>3068</v>
      </c>
      <c r="B1054" s="79" t="s">
        <v>3069</v>
      </c>
      <c r="C1054" s="79">
        <v>595349882</v>
      </c>
      <c r="D1054" s="79">
        <v>0</v>
      </c>
      <c r="E1054" s="79" t="s">
        <v>1124</v>
      </c>
      <c r="F1054" s="79" t="s">
        <v>2539</v>
      </c>
      <c r="G1054" s="79" t="s">
        <v>2546</v>
      </c>
      <c r="H1054" s="79" t="s">
        <v>2547</v>
      </c>
      <c r="I1054" s="79"/>
    </row>
    <row r="1055" spans="1:9" ht="14.25">
      <c r="A1055" s="79" t="s">
        <v>3068</v>
      </c>
      <c r="B1055" s="79" t="s">
        <v>3069</v>
      </c>
      <c r="C1055" s="79">
        <v>595349882</v>
      </c>
      <c r="D1055" s="79">
        <v>0</v>
      </c>
      <c r="E1055" s="79" t="s">
        <v>1124</v>
      </c>
      <c r="F1055" s="79" t="s">
        <v>2539</v>
      </c>
      <c r="G1055" s="79" t="s">
        <v>2581</v>
      </c>
      <c r="H1055" s="79"/>
      <c r="I1055" s="79"/>
    </row>
    <row r="1056" spans="1:9" ht="14.25">
      <c r="A1056" s="79" t="s">
        <v>3070</v>
      </c>
      <c r="B1056" s="79" t="s">
        <v>3071</v>
      </c>
      <c r="C1056" s="79">
        <v>595392482</v>
      </c>
      <c r="D1056" s="79">
        <v>0</v>
      </c>
      <c r="E1056" s="79" t="s">
        <v>1124</v>
      </c>
      <c r="F1056" s="79" t="s">
        <v>2539</v>
      </c>
      <c r="G1056" s="79" t="s">
        <v>1130</v>
      </c>
      <c r="H1056" s="79"/>
      <c r="I1056" s="79"/>
    </row>
    <row r="1057" spans="1:9" ht="14.25">
      <c r="A1057" s="79" t="s">
        <v>3070</v>
      </c>
      <c r="B1057" s="79" t="s">
        <v>3071</v>
      </c>
      <c r="C1057" s="79">
        <v>595392482</v>
      </c>
      <c r="D1057" s="79">
        <v>0</v>
      </c>
      <c r="E1057" s="79" t="s">
        <v>1124</v>
      </c>
      <c r="F1057" s="79" t="s">
        <v>2539</v>
      </c>
      <c r="G1057" s="79" t="s">
        <v>1131</v>
      </c>
      <c r="H1057" s="79" t="s">
        <v>1132</v>
      </c>
      <c r="I1057" s="79"/>
    </row>
    <row r="1058" spans="1:9" ht="14.25">
      <c r="A1058" s="79" t="s">
        <v>3070</v>
      </c>
      <c r="B1058" s="79" t="s">
        <v>3071</v>
      </c>
      <c r="C1058" s="79">
        <v>595392482</v>
      </c>
      <c r="D1058" s="79">
        <v>0</v>
      </c>
      <c r="E1058" s="79" t="s">
        <v>1124</v>
      </c>
      <c r="F1058" s="79" t="s">
        <v>2539</v>
      </c>
      <c r="G1058" s="79" t="s">
        <v>2578</v>
      </c>
      <c r="H1058" s="79"/>
      <c r="I1058" s="79"/>
    </row>
    <row r="1059" spans="1:9" ht="14.25">
      <c r="A1059" s="79" t="s">
        <v>3072</v>
      </c>
      <c r="B1059" s="79" t="s">
        <v>3073</v>
      </c>
      <c r="C1059" s="79">
        <v>595393082</v>
      </c>
      <c r="D1059" s="79">
        <v>0</v>
      </c>
      <c r="E1059" s="79" t="s">
        <v>1124</v>
      </c>
      <c r="F1059" s="79" t="s">
        <v>2539</v>
      </c>
      <c r="G1059" s="79" t="s">
        <v>2546</v>
      </c>
      <c r="H1059" s="79" t="s">
        <v>2547</v>
      </c>
      <c r="I1059" s="79"/>
    </row>
    <row r="1060" spans="1:9" ht="14.25">
      <c r="A1060" s="79" t="s">
        <v>3072</v>
      </c>
      <c r="B1060" s="79" t="s">
        <v>3073</v>
      </c>
      <c r="C1060" s="79">
        <v>595393082</v>
      </c>
      <c r="D1060" s="79">
        <v>0</v>
      </c>
      <c r="E1060" s="79" t="s">
        <v>1124</v>
      </c>
      <c r="F1060" s="79" t="s">
        <v>2539</v>
      </c>
      <c r="G1060" s="79" t="s">
        <v>2581</v>
      </c>
      <c r="H1060" s="79"/>
      <c r="I1060" s="79"/>
    </row>
    <row r="1061" spans="1:9" ht="14.25">
      <c r="A1061" s="79" t="s">
        <v>3074</v>
      </c>
      <c r="B1061" s="79" t="s">
        <v>3075</v>
      </c>
      <c r="C1061" s="79">
        <v>595435682</v>
      </c>
      <c r="D1061" s="79">
        <v>0</v>
      </c>
      <c r="E1061" s="79" t="s">
        <v>1124</v>
      </c>
      <c r="F1061" s="79" t="s">
        <v>2539</v>
      </c>
      <c r="G1061" s="79" t="s">
        <v>1130</v>
      </c>
      <c r="H1061" s="79"/>
      <c r="I1061" s="79"/>
    </row>
    <row r="1062" spans="1:9" ht="14.25">
      <c r="A1062" s="79" t="s">
        <v>3074</v>
      </c>
      <c r="B1062" s="79" t="s">
        <v>3075</v>
      </c>
      <c r="C1062" s="79">
        <v>595435682</v>
      </c>
      <c r="D1062" s="79">
        <v>0</v>
      </c>
      <c r="E1062" s="79" t="s">
        <v>1124</v>
      </c>
      <c r="F1062" s="79" t="s">
        <v>2539</v>
      </c>
      <c r="G1062" s="79" t="s">
        <v>2109</v>
      </c>
      <c r="H1062" s="79"/>
      <c r="I1062" s="79"/>
    </row>
    <row r="1063" spans="1:9" ht="14.25">
      <c r="A1063" s="79" t="s">
        <v>3076</v>
      </c>
      <c r="B1063" s="79" t="s">
        <v>3077</v>
      </c>
      <c r="C1063" s="79">
        <v>595435685</v>
      </c>
      <c r="D1063" s="79">
        <v>0</v>
      </c>
      <c r="E1063" s="79" t="s">
        <v>1124</v>
      </c>
      <c r="F1063" s="79" t="s">
        <v>2539</v>
      </c>
      <c r="G1063" s="79" t="s">
        <v>1130</v>
      </c>
      <c r="H1063" s="79"/>
      <c r="I1063" s="79"/>
    </row>
    <row r="1064" spans="1:9" ht="14.25">
      <c r="A1064" s="79" t="s">
        <v>3076</v>
      </c>
      <c r="B1064" s="79" t="s">
        <v>3077</v>
      </c>
      <c r="C1064" s="79">
        <v>595435685</v>
      </c>
      <c r="D1064" s="79">
        <v>0</v>
      </c>
      <c r="E1064" s="79" t="s">
        <v>1124</v>
      </c>
      <c r="F1064" s="79" t="s">
        <v>2539</v>
      </c>
      <c r="G1064" s="79" t="s">
        <v>2572</v>
      </c>
      <c r="H1064" s="79" t="s">
        <v>2573</v>
      </c>
      <c r="I1064" s="79"/>
    </row>
    <row r="1065" spans="1:9" ht="14.25">
      <c r="A1065" s="79" t="s">
        <v>3076</v>
      </c>
      <c r="B1065" s="79" t="s">
        <v>3077</v>
      </c>
      <c r="C1065" s="79">
        <v>595435685</v>
      </c>
      <c r="D1065" s="79">
        <v>0</v>
      </c>
      <c r="E1065" s="79" t="s">
        <v>1124</v>
      </c>
      <c r="F1065" s="79" t="s">
        <v>2539</v>
      </c>
      <c r="G1065" s="79" t="s">
        <v>2568</v>
      </c>
      <c r="H1065" s="79"/>
      <c r="I1065" s="79"/>
    </row>
    <row r="1066" spans="1:9" ht="14.25">
      <c r="A1066" s="79" t="s">
        <v>3078</v>
      </c>
      <c r="B1066" s="79" t="s">
        <v>3079</v>
      </c>
      <c r="C1066" s="79">
        <v>595436045</v>
      </c>
      <c r="D1066" s="79">
        <v>0</v>
      </c>
      <c r="E1066" s="79" t="s">
        <v>1124</v>
      </c>
      <c r="F1066" s="79" t="s">
        <v>2539</v>
      </c>
      <c r="G1066" s="79" t="s">
        <v>2576</v>
      </c>
      <c r="H1066" s="79"/>
      <c r="I1066" s="79"/>
    </row>
    <row r="1067" spans="1:9" ht="14.25">
      <c r="A1067" s="79" t="s">
        <v>3078</v>
      </c>
      <c r="B1067" s="79" t="s">
        <v>3079</v>
      </c>
      <c r="C1067" s="79">
        <v>595436045</v>
      </c>
      <c r="D1067" s="79">
        <v>0</v>
      </c>
      <c r="E1067" s="79" t="s">
        <v>1124</v>
      </c>
      <c r="F1067" s="79" t="s">
        <v>2539</v>
      </c>
      <c r="G1067" s="79" t="s">
        <v>2577</v>
      </c>
      <c r="H1067" s="79"/>
      <c r="I1067" s="79"/>
    </row>
    <row r="1068" spans="1:9" ht="14.25">
      <c r="A1068" s="79" t="s">
        <v>3078</v>
      </c>
      <c r="B1068" s="79" t="s">
        <v>3079</v>
      </c>
      <c r="C1068" s="79">
        <v>595436045</v>
      </c>
      <c r="D1068" s="79">
        <v>0</v>
      </c>
      <c r="E1068" s="79" t="s">
        <v>1124</v>
      </c>
      <c r="F1068" s="79" t="s">
        <v>2539</v>
      </c>
      <c r="G1068" s="79" t="s">
        <v>1131</v>
      </c>
      <c r="H1068" s="79" t="s">
        <v>1132</v>
      </c>
      <c r="I1068" s="79"/>
    </row>
    <row r="1069" spans="1:9" ht="14.25">
      <c r="A1069" s="79" t="s">
        <v>3078</v>
      </c>
      <c r="B1069" s="79" t="s">
        <v>3079</v>
      </c>
      <c r="C1069" s="79">
        <v>595436045</v>
      </c>
      <c r="D1069" s="79">
        <v>0</v>
      </c>
      <c r="E1069" s="79" t="s">
        <v>1124</v>
      </c>
      <c r="F1069" s="79" t="s">
        <v>2539</v>
      </c>
      <c r="G1069" s="79" t="s">
        <v>2578</v>
      </c>
      <c r="H1069" s="79"/>
      <c r="I1069" s="79"/>
    </row>
    <row r="1070" spans="1:9" ht="14.25">
      <c r="A1070" s="79" t="s">
        <v>3080</v>
      </c>
      <c r="B1070" s="79" t="s">
        <v>3081</v>
      </c>
      <c r="C1070" s="79">
        <v>595436645</v>
      </c>
      <c r="D1070" s="79">
        <v>0</v>
      </c>
      <c r="E1070" s="79" t="s">
        <v>1124</v>
      </c>
      <c r="F1070" s="79" t="s">
        <v>2539</v>
      </c>
      <c r="G1070" s="79" t="s">
        <v>2546</v>
      </c>
      <c r="H1070" s="79" t="s">
        <v>2547</v>
      </c>
      <c r="I1070" s="79"/>
    </row>
    <row r="1071" spans="1:9" ht="14.25">
      <c r="A1071" s="79" t="s">
        <v>3080</v>
      </c>
      <c r="B1071" s="79" t="s">
        <v>3081</v>
      </c>
      <c r="C1071" s="79">
        <v>595436645</v>
      </c>
      <c r="D1071" s="79">
        <v>0</v>
      </c>
      <c r="E1071" s="79" t="s">
        <v>1124</v>
      </c>
      <c r="F1071" s="79" t="s">
        <v>2539</v>
      </c>
      <c r="G1071" s="79" t="s">
        <v>2581</v>
      </c>
      <c r="H1071" s="79"/>
      <c r="I1071" s="79"/>
    </row>
    <row r="1072" spans="1:9" ht="14.25">
      <c r="A1072" s="79" t="s">
        <v>3082</v>
      </c>
      <c r="B1072" s="79" t="s">
        <v>3083</v>
      </c>
      <c r="C1072" s="79">
        <v>595479245</v>
      </c>
      <c r="D1072" s="79">
        <v>0</v>
      </c>
      <c r="E1072" s="79" t="s">
        <v>1124</v>
      </c>
      <c r="F1072" s="79" t="s">
        <v>2539</v>
      </c>
      <c r="G1072" s="79" t="s">
        <v>1130</v>
      </c>
      <c r="H1072" s="79"/>
      <c r="I1072" s="79"/>
    </row>
    <row r="1073" spans="1:9" ht="14.25">
      <c r="A1073" s="79" t="s">
        <v>3082</v>
      </c>
      <c r="B1073" s="79" t="s">
        <v>3083</v>
      </c>
      <c r="C1073" s="79">
        <v>595479245</v>
      </c>
      <c r="D1073" s="79">
        <v>0</v>
      </c>
      <c r="E1073" s="79" t="s">
        <v>1124</v>
      </c>
      <c r="F1073" s="79" t="s">
        <v>2539</v>
      </c>
      <c r="G1073" s="79" t="s">
        <v>1131</v>
      </c>
      <c r="H1073" s="79" t="s">
        <v>1132</v>
      </c>
      <c r="I1073" s="79"/>
    </row>
    <row r="1074" spans="1:9" ht="14.25">
      <c r="A1074" s="79" t="s">
        <v>3082</v>
      </c>
      <c r="B1074" s="79" t="s">
        <v>3083</v>
      </c>
      <c r="C1074" s="79">
        <v>595479245</v>
      </c>
      <c r="D1074" s="79">
        <v>0</v>
      </c>
      <c r="E1074" s="79" t="s">
        <v>1124</v>
      </c>
      <c r="F1074" s="79" t="s">
        <v>2539</v>
      </c>
      <c r="G1074" s="79" t="s">
        <v>2578</v>
      </c>
      <c r="H1074" s="79"/>
      <c r="I1074" s="79"/>
    </row>
    <row r="1075" spans="1:9" ht="14.25">
      <c r="A1075" s="79" t="s">
        <v>3084</v>
      </c>
      <c r="B1075" s="79" t="s">
        <v>3085</v>
      </c>
      <c r="C1075" s="79">
        <v>595479845</v>
      </c>
      <c r="D1075" s="79">
        <v>0</v>
      </c>
      <c r="E1075" s="79" t="s">
        <v>1124</v>
      </c>
      <c r="F1075" s="79" t="s">
        <v>2539</v>
      </c>
      <c r="G1075" s="79" t="s">
        <v>2546</v>
      </c>
      <c r="H1075" s="79" t="s">
        <v>2547</v>
      </c>
      <c r="I1075" s="79"/>
    </row>
    <row r="1076" spans="1:9" ht="14.25">
      <c r="A1076" s="79" t="s">
        <v>3084</v>
      </c>
      <c r="B1076" s="79" t="s">
        <v>3085</v>
      </c>
      <c r="C1076" s="79">
        <v>595479845</v>
      </c>
      <c r="D1076" s="79">
        <v>0</v>
      </c>
      <c r="E1076" s="79" t="s">
        <v>1124</v>
      </c>
      <c r="F1076" s="79" t="s">
        <v>2539</v>
      </c>
      <c r="G1076" s="79" t="s">
        <v>2581</v>
      </c>
      <c r="H1076" s="79"/>
      <c r="I1076" s="79"/>
    </row>
    <row r="1077" spans="1:9" ht="14.25">
      <c r="A1077" s="79" t="s">
        <v>3086</v>
      </c>
      <c r="B1077" s="79" t="s">
        <v>3087</v>
      </c>
      <c r="C1077" s="79">
        <v>595522445</v>
      </c>
      <c r="D1077" s="79">
        <v>0</v>
      </c>
      <c r="E1077" s="79" t="s">
        <v>1124</v>
      </c>
      <c r="F1077" s="79" t="s">
        <v>2539</v>
      </c>
      <c r="G1077" s="79" t="s">
        <v>1130</v>
      </c>
      <c r="H1077" s="79"/>
      <c r="I1077" s="79"/>
    </row>
    <row r="1078" spans="1:9" ht="14.25">
      <c r="A1078" s="79" t="s">
        <v>3086</v>
      </c>
      <c r="B1078" s="79" t="s">
        <v>3087</v>
      </c>
      <c r="C1078" s="79">
        <v>595522445</v>
      </c>
      <c r="D1078" s="79">
        <v>0</v>
      </c>
      <c r="E1078" s="79" t="s">
        <v>1124</v>
      </c>
      <c r="F1078" s="79" t="s">
        <v>2539</v>
      </c>
      <c r="G1078" s="79" t="s">
        <v>1131</v>
      </c>
      <c r="H1078" s="79" t="s">
        <v>1132</v>
      </c>
      <c r="I1078" s="79"/>
    </row>
    <row r="1079" spans="1:9" ht="14.25">
      <c r="A1079" s="79" t="s">
        <v>3086</v>
      </c>
      <c r="B1079" s="79" t="s">
        <v>3087</v>
      </c>
      <c r="C1079" s="79">
        <v>595522445</v>
      </c>
      <c r="D1079" s="79">
        <v>0</v>
      </c>
      <c r="E1079" s="79" t="s">
        <v>1124</v>
      </c>
      <c r="F1079" s="79" t="s">
        <v>2539</v>
      </c>
      <c r="G1079" s="79" t="s">
        <v>2578</v>
      </c>
      <c r="H1079" s="79"/>
      <c r="I1079" s="79"/>
    </row>
    <row r="1080" spans="1:9" ht="14.25">
      <c r="A1080" s="79" t="s">
        <v>3088</v>
      </c>
      <c r="B1080" s="79" t="s">
        <v>3089</v>
      </c>
      <c r="C1080" s="79">
        <v>595523045</v>
      </c>
      <c r="D1080" s="79">
        <v>0</v>
      </c>
      <c r="E1080" s="79" t="s">
        <v>1124</v>
      </c>
      <c r="F1080" s="79" t="s">
        <v>2539</v>
      </c>
      <c r="G1080" s="79" t="s">
        <v>2546</v>
      </c>
      <c r="H1080" s="79" t="s">
        <v>2547</v>
      </c>
      <c r="I1080" s="79"/>
    </row>
    <row r="1081" spans="1:9" ht="14.25">
      <c r="A1081" s="79" t="s">
        <v>3088</v>
      </c>
      <c r="B1081" s="79" t="s">
        <v>3089</v>
      </c>
      <c r="C1081" s="79">
        <v>595523045</v>
      </c>
      <c r="D1081" s="79">
        <v>0</v>
      </c>
      <c r="E1081" s="79" t="s">
        <v>1124</v>
      </c>
      <c r="F1081" s="79" t="s">
        <v>2539</v>
      </c>
      <c r="G1081" s="79" t="s">
        <v>2581</v>
      </c>
      <c r="H1081" s="79"/>
      <c r="I1081" s="79"/>
    </row>
    <row r="1082" spans="1:9" ht="14.25">
      <c r="A1082" s="79" t="s">
        <v>3090</v>
      </c>
      <c r="B1082" s="79" t="s">
        <v>3091</v>
      </c>
      <c r="C1082" s="79">
        <v>595565645</v>
      </c>
      <c r="D1082" s="79">
        <v>0</v>
      </c>
      <c r="E1082" s="79" t="s">
        <v>1124</v>
      </c>
      <c r="F1082" s="79" t="s">
        <v>2539</v>
      </c>
      <c r="G1082" s="79" t="s">
        <v>1130</v>
      </c>
      <c r="H1082" s="79"/>
      <c r="I1082" s="79"/>
    </row>
    <row r="1083" spans="1:9" ht="14.25">
      <c r="A1083" s="79" t="s">
        <v>3090</v>
      </c>
      <c r="B1083" s="79" t="s">
        <v>3091</v>
      </c>
      <c r="C1083" s="79">
        <v>595565645</v>
      </c>
      <c r="D1083" s="79">
        <v>0</v>
      </c>
      <c r="E1083" s="79" t="s">
        <v>1124</v>
      </c>
      <c r="F1083" s="79" t="s">
        <v>2539</v>
      </c>
      <c r="G1083" s="79" t="s">
        <v>1131</v>
      </c>
      <c r="H1083" s="79" t="s">
        <v>1132</v>
      </c>
      <c r="I1083" s="79"/>
    </row>
    <row r="1084" spans="1:9" ht="14.25">
      <c r="A1084" s="79" t="s">
        <v>3090</v>
      </c>
      <c r="B1084" s="79" t="s">
        <v>3091</v>
      </c>
      <c r="C1084" s="79">
        <v>595565645</v>
      </c>
      <c r="D1084" s="79">
        <v>0</v>
      </c>
      <c r="E1084" s="79" t="s">
        <v>1124</v>
      </c>
      <c r="F1084" s="79" t="s">
        <v>2539</v>
      </c>
      <c r="G1084" s="79" t="s">
        <v>2578</v>
      </c>
      <c r="H1084" s="79"/>
      <c r="I1084" s="79"/>
    </row>
    <row r="1085" spans="1:9" ht="14.25">
      <c r="A1085" s="79" t="s">
        <v>3092</v>
      </c>
      <c r="B1085" s="79" t="s">
        <v>3093</v>
      </c>
      <c r="C1085" s="79">
        <v>595566245</v>
      </c>
      <c r="D1085" s="79">
        <v>0</v>
      </c>
      <c r="E1085" s="79" t="s">
        <v>1124</v>
      </c>
      <c r="F1085" s="79" t="s">
        <v>2539</v>
      </c>
      <c r="G1085" s="79" t="s">
        <v>2546</v>
      </c>
      <c r="H1085" s="79" t="s">
        <v>2547</v>
      </c>
      <c r="I1085" s="79"/>
    </row>
    <row r="1086" spans="1:9" ht="14.25">
      <c r="A1086" s="79" t="s">
        <v>3092</v>
      </c>
      <c r="B1086" s="79" t="s">
        <v>3093</v>
      </c>
      <c r="C1086" s="79">
        <v>595566245</v>
      </c>
      <c r="D1086" s="79">
        <v>0</v>
      </c>
      <c r="E1086" s="79" t="s">
        <v>1124</v>
      </c>
      <c r="F1086" s="79" t="s">
        <v>2539</v>
      </c>
      <c r="G1086" s="79" t="s">
        <v>2581</v>
      </c>
      <c r="H1086" s="79"/>
      <c r="I1086" s="79"/>
    </row>
    <row r="1087" spans="1:9" ht="14.25">
      <c r="A1087" s="79" t="s">
        <v>3094</v>
      </c>
      <c r="B1087" s="79" t="s">
        <v>3095</v>
      </c>
      <c r="C1087" s="79">
        <v>595608845</v>
      </c>
      <c r="D1087" s="79">
        <v>0</v>
      </c>
      <c r="E1087" s="79" t="s">
        <v>1124</v>
      </c>
      <c r="F1087" s="79" t="s">
        <v>2539</v>
      </c>
      <c r="G1087" s="79" t="s">
        <v>1130</v>
      </c>
      <c r="H1087" s="79"/>
      <c r="I1087" s="79"/>
    </row>
    <row r="1088" spans="1:9" ht="14.25">
      <c r="A1088" s="79" t="s">
        <v>3094</v>
      </c>
      <c r="B1088" s="79" t="s">
        <v>3095</v>
      </c>
      <c r="C1088" s="79">
        <v>595608845</v>
      </c>
      <c r="D1088" s="79">
        <v>0</v>
      </c>
      <c r="E1088" s="79" t="s">
        <v>1124</v>
      </c>
      <c r="F1088" s="79" t="s">
        <v>2539</v>
      </c>
      <c r="G1088" s="79" t="s">
        <v>1131</v>
      </c>
      <c r="H1088" s="79" t="s">
        <v>1132</v>
      </c>
      <c r="I1088" s="79"/>
    </row>
    <row r="1089" spans="1:9" ht="14.25">
      <c r="A1089" s="79" t="s">
        <v>3094</v>
      </c>
      <c r="B1089" s="79" t="s">
        <v>3095</v>
      </c>
      <c r="C1089" s="79">
        <v>595608845</v>
      </c>
      <c r="D1089" s="79">
        <v>0</v>
      </c>
      <c r="E1089" s="79" t="s">
        <v>1124</v>
      </c>
      <c r="F1089" s="79" t="s">
        <v>2539</v>
      </c>
      <c r="G1089" s="79" t="s">
        <v>2578</v>
      </c>
      <c r="H1089" s="79"/>
      <c r="I1089" s="79"/>
    </row>
    <row r="1090" spans="1:9" ht="14.25">
      <c r="A1090" s="79" t="s">
        <v>3096</v>
      </c>
      <c r="B1090" s="79" t="s">
        <v>3097</v>
      </c>
      <c r="C1090" s="79">
        <v>595609445</v>
      </c>
      <c r="D1090" s="79">
        <v>0</v>
      </c>
      <c r="E1090" s="79" t="s">
        <v>1124</v>
      </c>
      <c r="F1090" s="79" t="s">
        <v>2539</v>
      </c>
      <c r="G1090" s="79" t="s">
        <v>2546</v>
      </c>
      <c r="H1090" s="79" t="s">
        <v>2547</v>
      </c>
      <c r="I1090" s="79"/>
    </row>
    <row r="1091" spans="1:9" ht="14.25">
      <c r="A1091" s="79" t="s">
        <v>3096</v>
      </c>
      <c r="B1091" s="79" t="s">
        <v>3097</v>
      </c>
      <c r="C1091" s="79">
        <v>595609445</v>
      </c>
      <c r="D1091" s="79">
        <v>0</v>
      </c>
      <c r="E1091" s="79" t="s">
        <v>1124</v>
      </c>
      <c r="F1091" s="79" t="s">
        <v>2539</v>
      </c>
      <c r="G1091" s="79" t="s">
        <v>2581</v>
      </c>
      <c r="H1091" s="79"/>
      <c r="I1091" s="79"/>
    </row>
    <row r="1092" spans="1:9" ht="14.25">
      <c r="A1092" s="79" t="s">
        <v>3098</v>
      </c>
      <c r="B1092" s="79" t="s">
        <v>3099</v>
      </c>
      <c r="C1092" s="79">
        <v>595652045</v>
      </c>
      <c r="D1092" s="79">
        <v>0</v>
      </c>
      <c r="E1092" s="79" t="s">
        <v>1124</v>
      </c>
      <c r="F1092" s="79" t="s">
        <v>2539</v>
      </c>
      <c r="G1092" s="79" t="s">
        <v>1130</v>
      </c>
      <c r="H1092" s="79"/>
      <c r="I1092" s="79"/>
    </row>
    <row r="1093" spans="1:9" ht="14.25">
      <c r="A1093" s="79" t="s">
        <v>3098</v>
      </c>
      <c r="B1093" s="79" t="s">
        <v>3099</v>
      </c>
      <c r="C1093" s="79">
        <v>595652045</v>
      </c>
      <c r="D1093" s="79">
        <v>0</v>
      </c>
      <c r="E1093" s="79" t="s">
        <v>1124</v>
      </c>
      <c r="F1093" s="79" t="s">
        <v>2539</v>
      </c>
      <c r="G1093" s="79" t="s">
        <v>1131</v>
      </c>
      <c r="H1093" s="79" t="s">
        <v>1132</v>
      </c>
      <c r="I1093" s="79"/>
    </row>
    <row r="1094" spans="1:9" ht="14.25">
      <c r="A1094" s="79" t="s">
        <v>3098</v>
      </c>
      <c r="B1094" s="79" t="s">
        <v>3099</v>
      </c>
      <c r="C1094" s="79">
        <v>595652045</v>
      </c>
      <c r="D1094" s="79">
        <v>0</v>
      </c>
      <c r="E1094" s="79" t="s">
        <v>1124</v>
      </c>
      <c r="F1094" s="79" t="s">
        <v>2539</v>
      </c>
      <c r="G1094" s="79" t="s">
        <v>2578</v>
      </c>
      <c r="H1094" s="79"/>
      <c r="I1094" s="79"/>
    </row>
    <row r="1095" spans="1:9" ht="14.25">
      <c r="A1095" s="79" t="s">
        <v>3100</v>
      </c>
      <c r="B1095" s="79" t="s">
        <v>3101</v>
      </c>
      <c r="C1095" s="79">
        <v>595652645</v>
      </c>
      <c r="D1095" s="79">
        <v>0</v>
      </c>
      <c r="E1095" s="79" t="s">
        <v>1124</v>
      </c>
      <c r="F1095" s="79" t="s">
        <v>2539</v>
      </c>
      <c r="G1095" s="79" t="s">
        <v>2546</v>
      </c>
      <c r="H1095" s="79" t="s">
        <v>2547</v>
      </c>
      <c r="I1095" s="79"/>
    </row>
    <row r="1096" spans="1:9" ht="14.25">
      <c r="A1096" s="79" t="s">
        <v>3100</v>
      </c>
      <c r="B1096" s="79" t="s">
        <v>3101</v>
      </c>
      <c r="C1096" s="79">
        <v>595652645</v>
      </c>
      <c r="D1096" s="79">
        <v>0</v>
      </c>
      <c r="E1096" s="79" t="s">
        <v>1124</v>
      </c>
      <c r="F1096" s="79" t="s">
        <v>2539</v>
      </c>
      <c r="G1096" s="79" t="s">
        <v>2581</v>
      </c>
      <c r="H1096" s="79"/>
      <c r="I1096" s="79"/>
    </row>
    <row r="1097" spans="1:9" ht="14.25">
      <c r="A1097" s="79" t="s">
        <v>3102</v>
      </c>
      <c r="B1097" s="79" t="s">
        <v>3103</v>
      </c>
      <c r="C1097" s="79">
        <v>595695245</v>
      </c>
      <c r="D1097" s="79">
        <v>0</v>
      </c>
      <c r="E1097" s="79" t="s">
        <v>1124</v>
      </c>
      <c r="F1097" s="79" t="s">
        <v>2539</v>
      </c>
      <c r="G1097" s="79" t="s">
        <v>1130</v>
      </c>
      <c r="H1097" s="79"/>
      <c r="I1097" s="79"/>
    </row>
    <row r="1098" spans="1:9" ht="14.25">
      <c r="A1098" s="79" t="s">
        <v>3102</v>
      </c>
      <c r="B1098" s="79" t="s">
        <v>3103</v>
      </c>
      <c r="C1098" s="79">
        <v>595695245</v>
      </c>
      <c r="D1098" s="79">
        <v>0</v>
      </c>
      <c r="E1098" s="79" t="s">
        <v>1124</v>
      </c>
      <c r="F1098" s="79" t="s">
        <v>2539</v>
      </c>
      <c r="G1098" s="79" t="s">
        <v>1131</v>
      </c>
      <c r="H1098" s="79" t="s">
        <v>1132</v>
      </c>
      <c r="I1098" s="79"/>
    </row>
    <row r="1099" spans="1:9" ht="14.25">
      <c r="A1099" s="79" t="s">
        <v>3102</v>
      </c>
      <c r="B1099" s="79" t="s">
        <v>3103</v>
      </c>
      <c r="C1099" s="79">
        <v>595695245</v>
      </c>
      <c r="D1099" s="79">
        <v>0</v>
      </c>
      <c r="E1099" s="79" t="s">
        <v>1124</v>
      </c>
      <c r="F1099" s="79" t="s">
        <v>2539</v>
      </c>
      <c r="G1099" s="79" t="s">
        <v>2578</v>
      </c>
      <c r="H1099" s="79"/>
      <c r="I1099" s="79"/>
    </row>
    <row r="1100" spans="1:9" ht="14.25">
      <c r="A1100" s="79" t="s">
        <v>3104</v>
      </c>
      <c r="B1100" s="79" t="s">
        <v>3105</v>
      </c>
      <c r="C1100" s="79">
        <v>595695845</v>
      </c>
      <c r="D1100" s="79">
        <v>0</v>
      </c>
      <c r="E1100" s="79" t="s">
        <v>1124</v>
      </c>
      <c r="F1100" s="79" t="s">
        <v>2539</v>
      </c>
      <c r="G1100" s="79" t="s">
        <v>2546</v>
      </c>
      <c r="H1100" s="79" t="s">
        <v>2547</v>
      </c>
      <c r="I1100" s="79"/>
    </row>
    <row r="1101" spans="1:9" ht="14.25">
      <c r="A1101" s="79" t="s">
        <v>3104</v>
      </c>
      <c r="B1101" s="79" t="s">
        <v>3105</v>
      </c>
      <c r="C1101" s="79">
        <v>595695845</v>
      </c>
      <c r="D1101" s="79">
        <v>0</v>
      </c>
      <c r="E1101" s="79" t="s">
        <v>1124</v>
      </c>
      <c r="F1101" s="79" t="s">
        <v>2539</v>
      </c>
      <c r="G1101" s="79" t="s">
        <v>2581</v>
      </c>
      <c r="H1101" s="79"/>
      <c r="I1101" s="79"/>
    </row>
    <row r="1102" spans="1:9" ht="14.25">
      <c r="A1102" s="79" t="s">
        <v>3106</v>
      </c>
      <c r="B1102" s="79" t="s">
        <v>3107</v>
      </c>
      <c r="C1102" s="79">
        <v>595738445</v>
      </c>
      <c r="D1102" s="79">
        <v>0</v>
      </c>
      <c r="E1102" s="79" t="s">
        <v>1124</v>
      </c>
      <c r="F1102" s="79" t="s">
        <v>2539</v>
      </c>
      <c r="G1102" s="79" t="s">
        <v>1130</v>
      </c>
      <c r="H1102" s="79"/>
      <c r="I1102" s="79"/>
    </row>
    <row r="1103" spans="1:9" ht="14.25">
      <c r="A1103" s="79" t="s">
        <v>3106</v>
      </c>
      <c r="B1103" s="79" t="s">
        <v>3107</v>
      </c>
      <c r="C1103" s="79">
        <v>595738445</v>
      </c>
      <c r="D1103" s="79">
        <v>0</v>
      </c>
      <c r="E1103" s="79" t="s">
        <v>1124</v>
      </c>
      <c r="F1103" s="79" t="s">
        <v>2539</v>
      </c>
      <c r="G1103" s="79" t="s">
        <v>1131</v>
      </c>
      <c r="H1103" s="79" t="s">
        <v>1132</v>
      </c>
      <c r="I1103" s="79"/>
    </row>
    <row r="1104" spans="1:9" ht="14.25">
      <c r="A1104" s="79" t="s">
        <v>3106</v>
      </c>
      <c r="B1104" s="79" t="s">
        <v>3107</v>
      </c>
      <c r="C1104" s="79">
        <v>595738445</v>
      </c>
      <c r="D1104" s="79">
        <v>0</v>
      </c>
      <c r="E1104" s="79" t="s">
        <v>1124</v>
      </c>
      <c r="F1104" s="79" t="s">
        <v>2539</v>
      </c>
      <c r="G1104" s="79" t="s">
        <v>2578</v>
      </c>
      <c r="H1104" s="79"/>
      <c r="I1104" s="79"/>
    </row>
    <row r="1105" spans="1:9" ht="14.25">
      <c r="A1105" s="79" t="s">
        <v>3108</v>
      </c>
      <c r="B1105" s="79" t="s">
        <v>3109</v>
      </c>
      <c r="C1105" s="79">
        <v>595739045</v>
      </c>
      <c r="D1105" s="79">
        <v>0</v>
      </c>
      <c r="E1105" s="79" t="s">
        <v>1124</v>
      </c>
      <c r="F1105" s="79" t="s">
        <v>2539</v>
      </c>
      <c r="G1105" s="79" t="s">
        <v>2546</v>
      </c>
      <c r="H1105" s="79" t="s">
        <v>2547</v>
      </c>
      <c r="I1105" s="79"/>
    </row>
    <row r="1106" spans="1:9" ht="14.25">
      <c r="A1106" s="79" t="s">
        <v>3108</v>
      </c>
      <c r="B1106" s="79" t="s">
        <v>3109</v>
      </c>
      <c r="C1106" s="79">
        <v>595739045</v>
      </c>
      <c r="D1106" s="79">
        <v>0</v>
      </c>
      <c r="E1106" s="79" t="s">
        <v>1124</v>
      </c>
      <c r="F1106" s="79" t="s">
        <v>2539</v>
      </c>
      <c r="G1106" s="79" t="s">
        <v>2581</v>
      </c>
      <c r="H1106" s="79"/>
      <c r="I1106" s="79"/>
    </row>
    <row r="1107" spans="1:9" ht="14.25">
      <c r="A1107" s="79" t="s">
        <v>3110</v>
      </c>
      <c r="B1107" s="79" t="s">
        <v>3111</v>
      </c>
      <c r="C1107" s="79">
        <v>595781645</v>
      </c>
      <c r="D1107" s="79">
        <v>0</v>
      </c>
      <c r="E1107" s="79" t="s">
        <v>1124</v>
      </c>
      <c r="F1107" s="79" t="s">
        <v>2539</v>
      </c>
      <c r="G1107" s="79" t="s">
        <v>1130</v>
      </c>
      <c r="H1107" s="79"/>
      <c r="I1107" s="79"/>
    </row>
    <row r="1108" spans="1:9" ht="14.25">
      <c r="A1108" s="79" t="s">
        <v>3110</v>
      </c>
      <c r="B1108" s="79" t="s">
        <v>3111</v>
      </c>
      <c r="C1108" s="79">
        <v>595781645</v>
      </c>
      <c r="D1108" s="79">
        <v>0</v>
      </c>
      <c r="E1108" s="79" t="s">
        <v>1124</v>
      </c>
      <c r="F1108" s="79" t="s">
        <v>2539</v>
      </c>
      <c r="G1108" s="79" t="s">
        <v>1131</v>
      </c>
      <c r="H1108" s="79" t="s">
        <v>1132</v>
      </c>
      <c r="I1108" s="79"/>
    </row>
    <row r="1109" spans="1:9" ht="14.25">
      <c r="A1109" s="79" t="s">
        <v>3110</v>
      </c>
      <c r="B1109" s="79" t="s">
        <v>3111</v>
      </c>
      <c r="C1109" s="79">
        <v>595781645</v>
      </c>
      <c r="D1109" s="79">
        <v>0</v>
      </c>
      <c r="E1109" s="79" t="s">
        <v>1124</v>
      </c>
      <c r="F1109" s="79" t="s">
        <v>2539</v>
      </c>
      <c r="G1109" s="79" t="s">
        <v>2578</v>
      </c>
      <c r="H1109" s="79"/>
      <c r="I1109" s="79"/>
    </row>
    <row r="1110" spans="1:9" ht="14.25">
      <c r="A1110" s="79" t="s">
        <v>3112</v>
      </c>
      <c r="B1110" s="79" t="s">
        <v>3113</v>
      </c>
      <c r="C1110" s="79">
        <v>595782245</v>
      </c>
      <c r="D1110" s="79">
        <v>0</v>
      </c>
      <c r="E1110" s="79" t="s">
        <v>1124</v>
      </c>
      <c r="F1110" s="79" t="s">
        <v>2539</v>
      </c>
      <c r="G1110" s="79" t="s">
        <v>2546</v>
      </c>
      <c r="H1110" s="79" t="s">
        <v>2547</v>
      </c>
      <c r="I1110" s="79"/>
    </row>
    <row r="1111" spans="1:9" ht="14.25">
      <c r="A1111" s="79" t="s">
        <v>3112</v>
      </c>
      <c r="B1111" s="79" t="s">
        <v>3113</v>
      </c>
      <c r="C1111" s="79">
        <v>595782245</v>
      </c>
      <c r="D1111" s="79">
        <v>0</v>
      </c>
      <c r="E1111" s="79" t="s">
        <v>1124</v>
      </c>
      <c r="F1111" s="79" t="s">
        <v>2539</v>
      </c>
      <c r="G1111" s="79" t="s">
        <v>2581</v>
      </c>
      <c r="H1111" s="79"/>
      <c r="I1111" s="79"/>
    </row>
    <row r="1112" spans="1:9" ht="14.25">
      <c r="A1112" s="79" t="s">
        <v>3114</v>
      </c>
      <c r="B1112" s="79" t="s">
        <v>3115</v>
      </c>
      <c r="C1112" s="79">
        <v>595824845</v>
      </c>
      <c r="D1112" s="79">
        <v>0</v>
      </c>
      <c r="E1112" s="79" t="s">
        <v>1124</v>
      </c>
      <c r="F1112" s="79" t="s">
        <v>2539</v>
      </c>
      <c r="G1112" s="79" t="s">
        <v>1130</v>
      </c>
      <c r="H1112" s="79"/>
      <c r="I1112" s="79"/>
    </row>
    <row r="1113" spans="1:9" ht="14.25">
      <c r="A1113" s="79" t="s">
        <v>3114</v>
      </c>
      <c r="B1113" s="79" t="s">
        <v>3115</v>
      </c>
      <c r="C1113" s="79">
        <v>595824845</v>
      </c>
      <c r="D1113" s="79">
        <v>0</v>
      </c>
      <c r="E1113" s="79" t="s">
        <v>1124</v>
      </c>
      <c r="F1113" s="79" t="s">
        <v>2539</v>
      </c>
      <c r="G1113" s="79" t="s">
        <v>1131</v>
      </c>
      <c r="H1113" s="79" t="s">
        <v>1132</v>
      </c>
      <c r="I1113" s="79"/>
    </row>
    <row r="1114" spans="1:9" ht="14.25">
      <c r="A1114" s="79" t="s">
        <v>3114</v>
      </c>
      <c r="B1114" s="79" t="s">
        <v>3115</v>
      </c>
      <c r="C1114" s="79">
        <v>595824845</v>
      </c>
      <c r="D1114" s="79">
        <v>0</v>
      </c>
      <c r="E1114" s="79" t="s">
        <v>1124</v>
      </c>
      <c r="F1114" s="79" t="s">
        <v>2539</v>
      </c>
      <c r="G1114" s="79" t="s">
        <v>2578</v>
      </c>
      <c r="H1114" s="79"/>
      <c r="I1114" s="79"/>
    </row>
    <row r="1115" spans="1:9" ht="14.25">
      <c r="A1115" s="79" t="s">
        <v>3116</v>
      </c>
      <c r="B1115" s="79" t="s">
        <v>3117</v>
      </c>
      <c r="C1115" s="79">
        <v>595825445</v>
      </c>
      <c r="D1115" s="79">
        <v>0</v>
      </c>
      <c r="E1115" s="79" t="s">
        <v>1124</v>
      </c>
      <c r="F1115" s="79" t="s">
        <v>2539</v>
      </c>
      <c r="G1115" s="79" t="s">
        <v>2546</v>
      </c>
      <c r="H1115" s="79" t="s">
        <v>2547</v>
      </c>
      <c r="I1115" s="79"/>
    </row>
    <row r="1116" spans="1:9" ht="14.25">
      <c r="A1116" s="79" t="s">
        <v>3116</v>
      </c>
      <c r="B1116" s="79" t="s">
        <v>3117</v>
      </c>
      <c r="C1116" s="79">
        <v>595825445</v>
      </c>
      <c r="D1116" s="79">
        <v>0</v>
      </c>
      <c r="E1116" s="79" t="s">
        <v>1124</v>
      </c>
      <c r="F1116" s="79" t="s">
        <v>2539</v>
      </c>
      <c r="G1116" s="79" t="s">
        <v>2581</v>
      </c>
      <c r="H1116" s="79"/>
      <c r="I1116" s="79"/>
    </row>
    <row r="1117" spans="1:9" ht="14.25">
      <c r="A1117" s="79" t="s">
        <v>3118</v>
      </c>
      <c r="B1117" s="79" t="s">
        <v>3119</v>
      </c>
      <c r="C1117" s="79">
        <v>595868045</v>
      </c>
      <c r="D1117" s="79">
        <v>0</v>
      </c>
      <c r="E1117" s="79" t="s">
        <v>1124</v>
      </c>
      <c r="F1117" s="79" t="s">
        <v>2539</v>
      </c>
      <c r="G1117" s="79" t="s">
        <v>1130</v>
      </c>
      <c r="H1117" s="79"/>
      <c r="I1117" s="79"/>
    </row>
    <row r="1118" spans="1:9" ht="14.25">
      <c r="A1118" s="79" t="s">
        <v>3118</v>
      </c>
      <c r="B1118" s="79" t="s">
        <v>3119</v>
      </c>
      <c r="C1118" s="79">
        <v>595868045</v>
      </c>
      <c r="D1118" s="79">
        <v>0</v>
      </c>
      <c r="E1118" s="79" t="s">
        <v>1124</v>
      </c>
      <c r="F1118" s="79" t="s">
        <v>2539</v>
      </c>
      <c r="G1118" s="79" t="s">
        <v>1131</v>
      </c>
      <c r="H1118" s="79" t="s">
        <v>1132</v>
      </c>
      <c r="I1118" s="79"/>
    </row>
    <row r="1119" spans="1:9" ht="14.25">
      <c r="A1119" s="79" t="s">
        <v>3118</v>
      </c>
      <c r="B1119" s="79" t="s">
        <v>3119</v>
      </c>
      <c r="C1119" s="79">
        <v>595868045</v>
      </c>
      <c r="D1119" s="79">
        <v>0</v>
      </c>
      <c r="E1119" s="79" t="s">
        <v>1124</v>
      </c>
      <c r="F1119" s="79" t="s">
        <v>2539</v>
      </c>
      <c r="G1119" s="79" t="s">
        <v>2578</v>
      </c>
      <c r="H1119" s="79"/>
      <c r="I1119" s="79"/>
    </row>
    <row r="1120" spans="1:9" ht="14.25">
      <c r="A1120" s="79" t="s">
        <v>3120</v>
      </c>
      <c r="B1120" s="79" t="s">
        <v>3121</v>
      </c>
      <c r="C1120" s="79">
        <v>595868645</v>
      </c>
      <c r="D1120" s="79">
        <v>0</v>
      </c>
      <c r="E1120" s="79" t="s">
        <v>1124</v>
      </c>
      <c r="F1120" s="79" t="s">
        <v>2539</v>
      </c>
      <c r="G1120" s="79" t="s">
        <v>2546</v>
      </c>
      <c r="H1120" s="79" t="s">
        <v>2547</v>
      </c>
      <c r="I1120" s="79"/>
    </row>
    <row r="1121" spans="1:9" ht="14.25">
      <c r="A1121" s="79" t="s">
        <v>3120</v>
      </c>
      <c r="B1121" s="79" t="s">
        <v>3121</v>
      </c>
      <c r="C1121" s="79">
        <v>595868645</v>
      </c>
      <c r="D1121" s="79">
        <v>0</v>
      </c>
      <c r="E1121" s="79" t="s">
        <v>1124</v>
      </c>
      <c r="F1121" s="79" t="s">
        <v>2539</v>
      </c>
      <c r="G1121" s="79" t="s">
        <v>2581</v>
      </c>
      <c r="H1121" s="79"/>
      <c r="I1121" s="79"/>
    </row>
    <row r="1122" spans="1:9" ht="14.25">
      <c r="A1122" s="79" t="s">
        <v>3122</v>
      </c>
      <c r="B1122" s="79" t="s">
        <v>3123</v>
      </c>
      <c r="C1122" s="79">
        <v>595911245</v>
      </c>
      <c r="D1122" s="79">
        <v>0</v>
      </c>
      <c r="E1122" s="79" t="s">
        <v>1124</v>
      </c>
      <c r="F1122" s="79" t="s">
        <v>2539</v>
      </c>
      <c r="G1122" s="79" t="s">
        <v>1130</v>
      </c>
      <c r="H1122" s="79"/>
      <c r="I1122" s="79"/>
    </row>
    <row r="1123" spans="1:9" ht="14.25">
      <c r="A1123" s="79" t="s">
        <v>3122</v>
      </c>
      <c r="B1123" s="79" t="s">
        <v>3123</v>
      </c>
      <c r="C1123" s="79">
        <v>595911245</v>
      </c>
      <c r="D1123" s="79">
        <v>0</v>
      </c>
      <c r="E1123" s="79" t="s">
        <v>1124</v>
      </c>
      <c r="F1123" s="79" t="s">
        <v>2539</v>
      </c>
      <c r="G1123" s="79" t="s">
        <v>1131</v>
      </c>
      <c r="H1123" s="79" t="s">
        <v>1132</v>
      </c>
      <c r="I1123" s="79"/>
    </row>
    <row r="1124" spans="1:9" ht="14.25">
      <c r="A1124" s="79" t="s">
        <v>3122</v>
      </c>
      <c r="B1124" s="79" t="s">
        <v>3123</v>
      </c>
      <c r="C1124" s="79">
        <v>595911245</v>
      </c>
      <c r="D1124" s="79">
        <v>0</v>
      </c>
      <c r="E1124" s="79" t="s">
        <v>1124</v>
      </c>
      <c r="F1124" s="79" t="s">
        <v>2539</v>
      </c>
      <c r="G1124" s="79" t="s">
        <v>2578</v>
      </c>
      <c r="H1124" s="79"/>
      <c r="I1124" s="79"/>
    </row>
    <row r="1125" spans="1:9" ht="14.25">
      <c r="A1125" s="79" t="s">
        <v>3124</v>
      </c>
      <c r="B1125" s="79" t="s">
        <v>3125</v>
      </c>
      <c r="C1125" s="79">
        <v>595911845</v>
      </c>
      <c r="D1125" s="79">
        <v>0</v>
      </c>
      <c r="E1125" s="79" t="s">
        <v>1124</v>
      </c>
      <c r="F1125" s="79" t="s">
        <v>2539</v>
      </c>
      <c r="G1125" s="79" t="s">
        <v>2546</v>
      </c>
      <c r="H1125" s="79" t="s">
        <v>2547</v>
      </c>
      <c r="I1125" s="79"/>
    </row>
    <row r="1126" spans="1:9" ht="14.25">
      <c r="A1126" s="79" t="s">
        <v>3124</v>
      </c>
      <c r="B1126" s="79" t="s">
        <v>3125</v>
      </c>
      <c r="C1126" s="79">
        <v>595911845</v>
      </c>
      <c r="D1126" s="79">
        <v>0</v>
      </c>
      <c r="E1126" s="79" t="s">
        <v>1124</v>
      </c>
      <c r="F1126" s="79" t="s">
        <v>2539</v>
      </c>
      <c r="G1126" s="79" t="s">
        <v>2581</v>
      </c>
      <c r="H1126" s="79"/>
      <c r="I1126" s="79"/>
    </row>
    <row r="1127" spans="1:9" ht="14.25">
      <c r="A1127" s="79" t="s">
        <v>3126</v>
      </c>
      <c r="B1127" s="79" t="s">
        <v>3127</v>
      </c>
      <c r="C1127" s="79">
        <v>595954445</v>
      </c>
      <c r="D1127" s="79">
        <v>0</v>
      </c>
      <c r="E1127" s="79" t="s">
        <v>1124</v>
      </c>
      <c r="F1127" s="79" t="s">
        <v>2539</v>
      </c>
      <c r="G1127" s="79" t="s">
        <v>1130</v>
      </c>
      <c r="H1127" s="79"/>
      <c r="I1127" s="79"/>
    </row>
    <row r="1128" spans="1:9" ht="14.25">
      <c r="A1128" s="79" t="s">
        <v>3126</v>
      </c>
      <c r="B1128" s="79" t="s">
        <v>3127</v>
      </c>
      <c r="C1128" s="79">
        <v>595954445</v>
      </c>
      <c r="D1128" s="79">
        <v>0</v>
      </c>
      <c r="E1128" s="79" t="s">
        <v>1124</v>
      </c>
      <c r="F1128" s="79" t="s">
        <v>2539</v>
      </c>
      <c r="G1128" s="79" t="s">
        <v>1131</v>
      </c>
      <c r="H1128" s="79" t="s">
        <v>1132</v>
      </c>
      <c r="I1128" s="79"/>
    </row>
    <row r="1129" spans="1:9" ht="14.25">
      <c r="A1129" s="79" t="s">
        <v>3126</v>
      </c>
      <c r="B1129" s="79" t="s">
        <v>3127</v>
      </c>
      <c r="C1129" s="79">
        <v>595954445</v>
      </c>
      <c r="D1129" s="79">
        <v>0</v>
      </c>
      <c r="E1129" s="79" t="s">
        <v>1124</v>
      </c>
      <c r="F1129" s="79" t="s">
        <v>2539</v>
      </c>
      <c r="G1129" s="79" t="s">
        <v>2578</v>
      </c>
      <c r="H1129" s="79"/>
      <c r="I1129" s="79"/>
    </row>
    <row r="1130" spans="1:9" ht="14.25">
      <c r="A1130" s="79" t="s">
        <v>3128</v>
      </c>
      <c r="B1130" s="79" t="s">
        <v>3129</v>
      </c>
      <c r="C1130" s="79">
        <v>595955045</v>
      </c>
      <c r="D1130" s="79">
        <v>0</v>
      </c>
      <c r="E1130" s="79" t="s">
        <v>1124</v>
      </c>
      <c r="F1130" s="79" t="s">
        <v>2539</v>
      </c>
      <c r="G1130" s="79" t="s">
        <v>2546</v>
      </c>
      <c r="H1130" s="79" t="s">
        <v>2547</v>
      </c>
      <c r="I1130" s="79"/>
    </row>
    <row r="1131" spans="1:9" ht="14.25">
      <c r="A1131" s="79" t="s">
        <v>3128</v>
      </c>
      <c r="B1131" s="79" t="s">
        <v>3129</v>
      </c>
      <c r="C1131" s="79">
        <v>595955045</v>
      </c>
      <c r="D1131" s="79">
        <v>0</v>
      </c>
      <c r="E1131" s="79" t="s">
        <v>1124</v>
      </c>
      <c r="F1131" s="79" t="s">
        <v>2539</v>
      </c>
      <c r="G1131" s="79" t="s">
        <v>2581</v>
      </c>
      <c r="H1131" s="79"/>
      <c r="I1131" s="79"/>
    </row>
    <row r="1132" spans="1:9" ht="14.25">
      <c r="A1132" s="79" t="s">
        <v>3130</v>
      </c>
      <c r="B1132" s="79" t="s">
        <v>3131</v>
      </c>
      <c r="C1132" s="79">
        <v>595997645</v>
      </c>
      <c r="D1132" s="79">
        <v>0</v>
      </c>
      <c r="E1132" s="79" t="s">
        <v>1124</v>
      </c>
      <c r="F1132" s="79" t="s">
        <v>2539</v>
      </c>
      <c r="G1132" s="79" t="s">
        <v>1130</v>
      </c>
      <c r="H1132" s="79"/>
      <c r="I1132" s="79"/>
    </row>
    <row r="1133" spans="1:9" ht="14.25">
      <c r="A1133" s="79" t="s">
        <v>3130</v>
      </c>
      <c r="B1133" s="79" t="s">
        <v>3131</v>
      </c>
      <c r="C1133" s="79">
        <v>595997645</v>
      </c>
      <c r="D1133" s="79">
        <v>0</v>
      </c>
      <c r="E1133" s="79" t="s">
        <v>1124</v>
      </c>
      <c r="F1133" s="79" t="s">
        <v>2539</v>
      </c>
      <c r="G1133" s="79" t="s">
        <v>1131</v>
      </c>
      <c r="H1133" s="79" t="s">
        <v>1132</v>
      </c>
      <c r="I1133" s="79"/>
    </row>
    <row r="1134" spans="1:9" ht="14.25">
      <c r="A1134" s="79" t="s">
        <v>3130</v>
      </c>
      <c r="B1134" s="79" t="s">
        <v>3131</v>
      </c>
      <c r="C1134" s="79">
        <v>595997645</v>
      </c>
      <c r="D1134" s="79">
        <v>0</v>
      </c>
      <c r="E1134" s="79" t="s">
        <v>1124</v>
      </c>
      <c r="F1134" s="79" t="s">
        <v>2539</v>
      </c>
      <c r="G1134" s="79" t="s">
        <v>2578</v>
      </c>
      <c r="H1134" s="79"/>
      <c r="I1134" s="79"/>
    </row>
    <row r="1135" spans="1:9" ht="14.25">
      <c r="A1135" s="79" t="s">
        <v>3132</v>
      </c>
      <c r="B1135" s="79" t="s">
        <v>3133</v>
      </c>
      <c r="C1135" s="79">
        <v>595998245</v>
      </c>
      <c r="D1135" s="79">
        <v>0</v>
      </c>
      <c r="E1135" s="79" t="s">
        <v>1124</v>
      </c>
      <c r="F1135" s="79" t="s">
        <v>2539</v>
      </c>
      <c r="G1135" s="79" t="s">
        <v>2546</v>
      </c>
      <c r="H1135" s="79" t="s">
        <v>2547</v>
      </c>
      <c r="I1135" s="79"/>
    </row>
    <row r="1136" spans="1:9" ht="14.25">
      <c r="A1136" s="79" t="s">
        <v>3132</v>
      </c>
      <c r="B1136" s="79" t="s">
        <v>3133</v>
      </c>
      <c r="C1136" s="79">
        <v>595998245</v>
      </c>
      <c r="D1136" s="79">
        <v>0</v>
      </c>
      <c r="E1136" s="79" t="s">
        <v>1124</v>
      </c>
      <c r="F1136" s="79" t="s">
        <v>2539</v>
      </c>
      <c r="G1136" s="79" t="s">
        <v>2581</v>
      </c>
      <c r="H1136" s="79"/>
      <c r="I1136" s="79"/>
    </row>
    <row r="1137" spans="1:9" ht="14.25">
      <c r="A1137" s="79" t="s">
        <v>3134</v>
      </c>
      <c r="B1137" s="79" t="s">
        <v>3135</v>
      </c>
      <c r="C1137" s="79">
        <v>596040845</v>
      </c>
      <c r="D1137" s="79">
        <v>0</v>
      </c>
      <c r="E1137" s="79" t="s">
        <v>1124</v>
      </c>
      <c r="F1137" s="79" t="s">
        <v>2539</v>
      </c>
      <c r="G1137" s="79" t="s">
        <v>1130</v>
      </c>
      <c r="H1137" s="79"/>
      <c r="I1137" s="79"/>
    </row>
    <row r="1138" spans="1:9" ht="14.25">
      <c r="A1138" s="79" t="s">
        <v>3134</v>
      </c>
      <c r="B1138" s="79" t="s">
        <v>3135</v>
      </c>
      <c r="C1138" s="79">
        <v>596040845</v>
      </c>
      <c r="D1138" s="79">
        <v>0</v>
      </c>
      <c r="E1138" s="79" t="s">
        <v>1124</v>
      </c>
      <c r="F1138" s="79" t="s">
        <v>2539</v>
      </c>
      <c r="G1138" s="79" t="s">
        <v>1131</v>
      </c>
      <c r="H1138" s="79" t="s">
        <v>1132</v>
      </c>
      <c r="I1138" s="79"/>
    </row>
    <row r="1139" spans="1:9" ht="14.25">
      <c r="A1139" s="79" t="s">
        <v>3134</v>
      </c>
      <c r="B1139" s="79" t="s">
        <v>3135</v>
      </c>
      <c r="C1139" s="79">
        <v>596040845</v>
      </c>
      <c r="D1139" s="79">
        <v>0</v>
      </c>
      <c r="E1139" s="79" t="s">
        <v>1124</v>
      </c>
      <c r="F1139" s="79" t="s">
        <v>2539</v>
      </c>
      <c r="G1139" s="79" t="s">
        <v>2578</v>
      </c>
      <c r="H1139" s="79"/>
      <c r="I1139" s="79"/>
    </row>
    <row r="1140" spans="1:9" ht="14.25">
      <c r="A1140" s="79" t="s">
        <v>3136</v>
      </c>
      <c r="B1140" s="79" t="s">
        <v>3137</v>
      </c>
      <c r="C1140" s="79">
        <v>596041445</v>
      </c>
      <c r="D1140" s="79">
        <v>0</v>
      </c>
      <c r="E1140" s="79" t="s">
        <v>1124</v>
      </c>
      <c r="F1140" s="79" t="s">
        <v>2539</v>
      </c>
      <c r="G1140" s="79" t="s">
        <v>2546</v>
      </c>
      <c r="H1140" s="79" t="s">
        <v>2547</v>
      </c>
      <c r="I1140" s="79"/>
    </row>
    <row r="1141" spans="1:9" ht="14.25">
      <c r="A1141" s="79" t="s">
        <v>3136</v>
      </c>
      <c r="B1141" s="79" t="s">
        <v>3137</v>
      </c>
      <c r="C1141" s="79">
        <v>596041445</v>
      </c>
      <c r="D1141" s="79">
        <v>0</v>
      </c>
      <c r="E1141" s="79" t="s">
        <v>1124</v>
      </c>
      <c r="F1141" s="79" t="s">
        <v>2539</v>
      </c>
      <c r="G1141" s="79" t="s">
        <v>2581</v>
      </c>
      <c r="H1141" s="79"/>
      <c r="I1141" s="79"/>
    </row>
    <row r="1142" spans="1:9" ht="14.25">
      <c r="A1142" s="79" t="s">
        <v>3138</v>
      </c>
      <c r="B1142" s="79" t="s">
        <v>3139</v>
      </c>
      <c r="C1142" s="79">
        <v>596084045</v>
      </c>
      <c r="D1142" s="79">
        <v>0</v>
      </c>
      <c r="E1142" s="79" t="s">
        <v>1124</v>
      </c>
      <c r="F1142" s="79" t="s">
        <v>2539</v>
      </c>
      <c r="G1142" s="79" t="s">
        <v>1130</v>
      </c>
      <c r="H1142" s="79"/>
      <c r="I1142" s="79"/>
    </row>
    <row r="1143" spans="1:9" ht="14.25">
      <c r="A1143" s="79" t="s">
        <v>3138</v>
      </c>
      <c r="B1143" s="79" t="s">
        <v>3139</v>
      </c>
      <c r="C1143" s="79">
        <v>596084045</v>
      </c>
      <c r="D1143" s="79">
        <v>0</v>
      </c>
      <c r="E1143" s="79" t="s">
        <v>1124</v>
      </c>
      <c r="F1143" s="79" t="s">
        <v>2539</v>
      </c>
      <c r="G1143" s="79" t="s">
        <v>1131</v>
      </c>
      <c r="H1143" s="79" t="s">
        <v>1132</v>
      </c>
      <c r="I1143" s="79"/>
    </row>
    <row r="1144" spans="1:9" ht="14.25">
      <c r="A1144" s="79" t="s">
        <v>3138</v>
      </c>
      <c r="B1144" s="79" t="s">
        <v>3139</v>
      </c>
      <c r="C1144" s="79">
        <v>596084045</v>
      </c>
      <c r="D1144" s="79">
        <v>0</v>
      </c>
      <c r="E1144" s="79" t="s">
        <v>1124</v>
      </c>
      <c r="F1144" s="79" t="s">
        <v>2539</v>
      </c>
      <c r="G1144" s="79" t="s">
        <v>2578</v>
      </c>
      <c r="H1144" s="79"/>
      <c r="I1144" s="79"/>
    </row>
    <row r="1145" spans="1:9" ht="14.25">
      <c r="A1145" s="79" t="s">
        <v>3140</v>
      </c>
      <c r="B1145" s="79" t="s">
        <v>3141</v>
      </c>
      <c r="C1145" s="79">
        <v>596084645</v>
      </c>
      <c r="D1145" s="79">
        <v>0</v>
      </c>
      <c r="E1145" s="79" t="s">
        <v>1124</v>
      </c>
      <c r="F1145" s="79" t="s">
        <v>2539</v>
      </c>
      <c r="G1145" s="79" t="s">
        <v>2546</v>
      </c>
      <c r="H1145" s="79" t="s">
        <v>2547</v>
      </c>
      <c r="I1145" s="79"/>
    </row>
    <row r="1146" spans="1:9" ht="14.25">
      <c r="A1146" s="79" t="s">
        <v>3140</v>
      </c>
      <c r="B1146" s="79" t="s">
        <v>3141</v>
      </c>
      <c r="C1146" s="79">
        <v>596084645</v>
      </c>
      <c r="D1146" s="79">
        <v>0</v>
      </c>
      <c r="E1146" s="79" t="s">
        <v>1124</v>
      </c>
      <c r="F1146" s="79" t="s">
        <v>2539</v>
      </c>
      <c r="G1146" s="79" t="s">
        <v>2581</v>
      </c>
      <c r="H1146" s="79"/>
      <c r="I1146" s="79"/>
    </row>
    <row r="1147" spans="1:9" ht="14.25">
      <c r="A1147" s="79" t="s">
        <v>3142</v>
      </c>
      <c r="B1147" s="79" t="s">
        <v>3143</v>
      </c>
      <c r="C1147" s="79">
        <v>596127245</v>
      </c>
      <c r="D1147" s="79">
        <v>0</v>
      </c>
      <c r="E1147" s="79" t="s">
        <v>1124</v>
      </c>
      <c r="F1147" s="79" t="s">
        <v>2539</v>
      </c>
      <c r="G1147" s="79" t="s">
        <v>1130</v>
      </c>
      <c r="H1147" s="79"/>
      <c r="I1147" s="79"/>
    </row>
    <row r="1148" spans="1:9" ht="14.25">
      <c r="A1148" s="79" t="s">
        <v>3142</v>
      </c>
      <c r="B1148" s="79" t="s">
        <v>3143</v>
      </c>
      <c r="C1148" s="79">
        <v>596127245</v>
      </c>
      <c r="D1148" s="79">
        <v>0</v>
      </c>
      <c r="E1148" s="79" t="s">
        <v>1124</v>
      </c>
      <c r="F1148" s="79" t="s">
        <v>2539</v>
      </c>
      <c r="G1148" s="79" t="s">
        <v>1131</v>
      </c>
      <c r="H1148" s="79" t="s">
        <v>1132</v>
      </c>
      <c r="I1148" s="79"/>
    </row>
    <row r="1149" spans="1:9" ht="14.25">
      <c r="A1149" s="79" t="s">
        <v>3142</v>
      </c>
      <c r="B1149" s="79" t="s">
        <v>3143</v>
      </c>
      <c r="C1149" s="79">
        <v>596127245</v>
      </c>
      <c r="D1149" s="79">
        <v>0</v>
      </c>
      <c r="E1149" s="79" t="s">
        <v>1124</v>
      </c>
      <c r="F1149" s="79" t="s">
        <v>2539</v>
      </c>
      <c r="G1149" s="79" t="s">
        <v>2578</v>
      </c>
      <c r="H1149" s="79"/>
      <c r="I1149" s="79"/>
    </row>
    <row r="1150" spans="1:9" ht="14.25">
      <c r="A1150" s="79" t="s">
        <v>3144</v>
      </c>
      <c r="B1150" s="79" t="s">
        <v>3145</v>
      </c>
      <c r="C1150" s="79">
        <v>596127845</v>
      </c>
      <c r="D1150" s="79">
        <v>0</v>
      </c>
      <c r="E1150" s="79" t="s">
        <v>1124</v>
      </c>
      <c r="F1150" s="79" t="s">
        <v>2539</v>
      </c>
      <c r="G1150" s="79" t="s">
        <v>2546</v>
      </c>
      <c r="H1150" s="79" t="s">
        <v>2547</v>
      </c>
      <c r="I1150" s="79"/>
    </row>
    <row r="1151" spans="1:9" ht="14.25">
      <c r="A1151" s="79" t="s">
        <v>3144</v>
      </c>
      <c r="B1151" s="79" t="s">
        <v>3145</v>
      </c>
      <c r="C1151" s="79">
        <v>596127845</v>
      </c>
      <c r="D1151" s="79">
        <v>0</v>
      </c>
      <c r="E1151" s="79" t="s">
        <v>1124</v>
      </c>
      <c r="F1151" s="79" t="s">
        <v>2539</v>
      </c>
      <c r="G1151" s="79" t="s">
        <v>2581</v>
      </c>
      <c r="H1151" s="79"/>
      <c r="I1151" s="79"/>
    </row>
    <row r="1152" spans="1:9" ht="14.25">
      <c r="A1152" s="79" t="s">
        <v>3146</v>
      </c>
      <c r="B1152" s="79" t="s">
        <v>3147</v>
      </c>
      <c r="C1152" s="79">
        <v>596170445</v>
      </c>
      <c r="D1152" s="79">
        <v>0</v>
      </c>
      <c r="E1152" s="79" t="s">
        <v>1124</v>
      </c>
      <c r="F1152" s="79" t="s">
        <v>2539</v>
      </c>
      <c r="G1152" s="79" t="s">
        <v>1130</v>
      </c>
      <c r="H1152" s="79"/>
      <c r="I1152" s="79"/>
    </row>
    <row r="1153" spans="1:9" ht="14.25">
      <c r="A1153" s="79" t="s">
        <v>3146</v>
      </c>
      <c r="B1153" s="79" t="s">
        <v>3147</v>
      </c>
      <c r="C1153" s="79">
        <v>596170445</v>
      </c>
      <c r="D1153" s="79">
        <v>0</v>
      </c>
      <c r="E1153" s="79" t="s">
        <v>1124</v>
      </c>
      <c r="F1153" s="79" t="s">
        <v>2539</v>
      </c>
      <c r="G1153" s="79" t="s">
        <v>1131</v>
      </c>
      <c r="H1153" s="79" t="s">
        <v>1132</v>
      </c>
      <c r="I1153" s="79"/>
    </row>
    <row r="1154" spans="1:9" ht="14.25">
      <c r="A1154" s="79" t="s">
        <v>3146</v>
      </c>
      <c r="B1154" s="79" t="s">
        <v>3147</v>
      </c>
      <c r="C1154" s="79">
        <v>596170445</v>
      </c>
      <c r="D1154" s="79">
        <v>0</v>
      </c>
      <c r="E1154" s="79" t="s">
        <v>1124</v>
      </c>
      <c r="F1154" s="79" t="s">
        <v>2539</v>
      </c>
      <c r="G1154" s="79" t="s">
        <v>2578</v>
      </c>
      <c r="H1154" s="79"/>
      <c r="I1154" s="79"/>
    </row>
    <row r="1155" spans="1:9" ht="14.25">
      <c r="A1155" s="79" t="s">
        <v>3148</v>
      </c>
      <c r="B1155" s="79" t="s">
        <v>3149</v>
      </c>
      <c r="C1155" s="79">
        <v>596171045</v>
      </c>
      <c r="D1155" s="79">
        <v>0</v>
      </c>
      <c r="E1155" s="79" t="s">
        <v>1124</v>
      </c>
      <c r="F1155" s="79" t="s">
        <v>2539</v>
      </c>
      <c r="G1155" s="79" t="s">
        <v>2546</v>
      </c>
      <c r="H1155" s="79" t="s">
        <v>2547</v>
      </c>
      <c r="I1155" s="79"/>
    </row>
    <row r="1156" spans="1:9" ht="14.25">
      <c r="A1156" s="79" t="s">
        <v>3148</v>
      </c>
      <c r="B1156" s="79" t="s">
        <v>3149</v>
      </c>
      <c r="C1156" s="79">
        <v>596171045</v>
      </c>
      <c r="D1156" s="79">
        <v>0</v>
      </c>
      <c r="E1156" s="79" t="s">
        <v>1124</v>
      </c>
      <c r="F1156" s="79" t="s">
        <v>2539</v>
      </c>
      <c r="G1156" s="79" t="s">
        <v>2581</v>
      </c>
      <c r="H1156" s="79"/>
      <c r="I1156" s="79"/>
    </row>
    <row r="1157" spans="1:9" ht="14.25">
      <c r="A1157" s="79" t="s">
        <v>3150</v>
      </c>
      <c r="B1157" s="79" t="s">
        <v>3151</v>
      </c>
      <c r="C1157" s="79">
        <v>596213645</v>
      </c>
      <c r="D1157" s="79">
        <v>0</v>
      </c>
      <c r="E1157" s="79" t="s">
        <v>1124</v>
      </c>
      <c r="F1157" s="79" t="s">
        <v>2539</v>
      </c>
      <c r="G1157" s="79" t="s">
        <v>1130</v>
      </c>
      <c r="H1157" s="79"/>
      <c r="I1157" s="79"/>
    </row>
    <row r="1158" spans="1:9" ht="14.25">
      <c r="A1158" s="79" t="s">
        <v>3150</v>
      </c>
      <c r="B1158" s="79" t="s">
        <v>3151</v>
      </c>
      <c r="C1158" s="79">
        <v>596213645</v>
      </c>
      <c r="D1158" s="79">
        <v>0</v>
      </c>
      <c r="E1158" s="79" t="s">
        <v>1124</v>
      </c>
      <c r="F1158" s="79" t="s">
        <v>2539</v>
      </c>
      <c r="G1158" s="79" t="s">
        <v>1131</v>
      </c>
      <c r="H1158" s="79" t="s">
        <v>1132</v>
      </c>
      <c r="I1158" s="79"/>
    </row>
    <row r="1159" spans="1:9" ht="14.25">
      <c r="A1159" s="79" t="s">
        <v>3150</v>
      </c>
      <c r="B1159" s="79" t="s">
        <v>3151</v>
      </c>
      <c r="C1159" s="79">
        <v>596213645</v>
      </c>
      <c r="D1159" s="79">
        <v>0</v>
      </c>
      <c r="E1159" s="79" t="s">
        <v>1124</v>
      </c>
      <c r="F1159" s="79" t="s">
        <v>2539</v>
      </c>
      <c r="G1159" s="79" t="s">
        <v>2578</v>
      </c>
      <c r="H1159" s="79"/>
      <c r="I1159" s="79"/>
    </row>
    <row r="1160" spans="1:9" ht="14.25">
      <c r="A1160" s="79" t="s">
        <v>3152</v>
      </c>
      <c r="B1160" s="79" t="s">
        <v>3153</v>
      </c>
      <c r="C1160" s="79">
        <v>596214245</v>
      </c>
      <c r="D1160" s="79">
        <v>0</v>
      </c>
      <c r="E1160" s="79" t="s">
        <v>1124</v>
      </c>
      <c r="F1160" s="79" t="s">
        <v>2539</v>
      </c>
      <c r="G1160" s="79" t="s">
        <v>2546</v>
      </c>
      <c r="H1160" s="79" t="s">
        <v>2547</v>
      </c>
      <c r="I1160" s="79"/>
    </row>
    <row r="1161" spans="1:9" ht="14.25">
      <c r="A1161" s="79" t="s">
        <v>3152</v>
      </c>
      <c r="B1161" s="79" t="s">
        <v>3153</v>
      </c>
      <c r="C1161" s="79">
        <v>596214245</v>
      </c>
      <c r="D1161" s="79">
        <v>0</v>
      </c>
      <c r="E1161" s="79" t="s">
        <v>1124</v>
      </c>
      <c r="F1161" s="79" t="s">
        <v>2539</v>
      </c>
      <c r="G1161" s="79" t="s">
        <v>2581</v>
      </c>
      <c r="H1161" s="79"/>
      <c r="I1161" s="79"/>
    </row>
    <row r="1162" spans="1:9" ht="14.25">
      <c r="A1162" s="79" t="s">
        <v>3154</v>
      </c>
      <c r="B1162" s="79" t="s">
        <v>3155</v>
      </c>
      <c r="C1162" s="79">
        <v>596256845</v>
      </c>
      <c r="D1162" s="79">
        <v>0</v>
      </c>
      <c r="E1162" s="79" t="s">
        <v>1124</v>
      </c>
      <c r="F1162" s="79" t="s">
        <v>2539</v>
      </c>
      <c r="G1162" s="79" t="s">
        <v>1130</v>
      </c>
      <c r="H1162" s="79"/>
      <c r="I1162" s="79"/>
    </row>
    <row r="1163" spans="1:9" ht="14.25">
      <c r="A1163" s="79" t="s">
        <v>3154</v>
      </c>
      <c r="B1163" s="79" t="s">
        <v>3155</v>
      </c>
      <c r="C1163" s="79">
        <v>596256845</v>
      </c>
      <c r="D1163" s="79">
        <v>0</v>
      </c>
      <c r="E1163" s="79" t="s">
        <v>1124</v>
      </c>
      <c r="F1163" s="79" t="s">
        <v>2539</v>
      </c>
      <c r="G1163" s="79" t="s">
        <v>1131</v>
      </c>
      <c r="H1163" s="79" t="s">
        <v>1132</v>
      </c>
      <c r="I1163" s="79"/>
    </row>
    <row r="1164" spans="1:9" ht="14.25">
      <c r="A1164" s="79" t="s">
        <v>3154</v>
      </c>
      <c r="B1164" s="79" t="s">
        <v>3155</v>
      </c>
      <c r="C1164" s="79">
        <v>596256845</v>
      </c>
      <c r="D1164" s="79">
        <v>0</v>
      </c>
      <c r="E1164" s="79" t="s">
        <v>1124</v>
      </c>
      <c r="F1164" s="79" t="s">
        <v>2539</v>
      </c>
      <c r="G1164" s="79" t="s">
        <v>2578</v>
      </c>
      <c r="H1164" s="79"/>
      <c r="I1164" s="79"/>
    </row>
    <row r="1165" spans="1:9" ht="14.25">
      <c r="A1165" s="79" t="s">
        <v>3156</v>
      </c>
      <c r="B1165" s="79" t="s">
        <v>3157</v>
      </c>
      <c r="C1165" s="79">
        <v>596257445</v>
      </c>
      <c r="D1165" s="79">
        <v>0</v>
      </c>
      <c r="E1165" s="79" t="s">
        <v>1124</v>
      </c>
      <c r="F1165" s="79" t="s">
        <v>2539</v>
      </c>
      <c r="G1165" s="79" t="s">
        <v>2546</v>
      </c>
      <c r="H1165" s="79" t="s">
        <v>2547</v>
      </c>
      <c r="I1165" s="79"/>
    </row>
    <row r="1166" spans="1:9" ht="14.25">
      <c r="A1166" s="79" t="s">
        <v>3156</v>
      </c>
      <c r="B1166" s="79" t="s">
        <v>3157</v>
      </c>
      <c r="C1166" s="79">
        <v>596257445</v>
      </c>
      <c r="D1166" s="79">
        <v>0</v>
      </c>
      <c r="E1166" s="79" t="s">
        <v>1124</v>
      </c>
      <c r="F1166" s="79" t="s">
        <v>2539</v>
      </c>
      <c r="G1166" s="79" t="s">
        <v>2581</v>
      </c>
      <c r="H1166" s="79"/>
      <c r="I1166" s="79"/>
    </row>
    <row r="1167" spans="1:9" ht="14.25">
      <c r="A1167" s="79" t="s">
        <v>3158</v>
      </c>
      <c r="B1167" s="79" t="s">
        <v>3159</v>
      </c>
      <c r="C1167" s="79">
        <v>596300045</v>
      </c>
      <c r="D1167" s="79">
        <v>0</v>
      </c>
      <c r="E1167" s="79" t="s">
        <v>1124</v>
      </c>
      <c r="F1167" s="79" t="s">
        <v>2539</v>
      </c>
      <c r="G1167" s="79" t="s">
        <v>1130</v>
      </c>
      <c r="H1167" s="79"/>
      <c r="I1167" s="79"/>
    </row>
    <row r="1168" spans="1:9" ht="14.25">
      <c r="A1168" s="79" t="s">
        <v>3158</v>
      </c>
      <c r="B1168" s="79" t="s">
        <v>3159</v>
      </c>
      <c r="C1168" s="79">
        <v>596300045</v>
      </c>
      <c r="D1168" s="79">
        <v>0</v>
      </c>
      <c r="E1168" s="79" t="s">
        <v>1124</v>
      </c>
      <c r="F1168" s="79" t="s">
        <v>2539</v>
      </c>
      <c r="G1168" s="79" t="s">
        <v>1131</v>
      </c>
      <c r="H1168" s="79" t="s">
        <v>1132</v>
      </c>
      <c r="I1168" s="79"/>
    </row>
    <row r="1169" spans="1:9" ht="14.25">
      <c r="A1169" s="79" t="s">
        <v>3158</v>
      </c>
      <c r="B1169" s="79" t="s">
        <v>3159</v>
      </c>
      <c r="C1169" s="79">
        <v>596300045</v>
      </c>
      <c r="D1169" s="79">
        <v>0</v>
      </c>
      <c r="E1169" s="79" t="s">
        <v>1124</v>
      </c>
      <c r="F1169" s="79" t="s">
        <v>2539</v>
      </c>
      <c r="G1169" s="79" t="s">
        <v>2578</v>
      </c>
      <c r="H1169" s="79"/>
      <c r="I1169" s="79"/>
    </row>
    <row r="1170" spans="1:9" ht="14.25">
      <c r="A1170" s="79" t="s">
        <v>3160</v>
      </c>
      <c r="B1170" s="79" t="s">
        <v>3161</v>
      </c>
      <c r="C1170" s="79">
        <v>596300645</v>
      </c>
      <c r="D1170" s="79">
        <v>0</v>
      </c>
      <c r="E1170" s="79" t="s">
        <v>1124</v>
      </c>
      <c r="F1170" s="79" t="s">
        <v>2539</v>
      </c>
      <c r="G1170" s="79" t="s">
        <v>2546</v>
      </c>
      <c r="H1170" s="79" t="s">
        <v>2547</v>
      </c>
      <c r="I1170" s="79"/>
    </row>
    <row r="1171" spans="1:9" ht="14.25">
      <c r="A1171" s="79" t="s">
        <v>3160</v>
      </c>
      <c r="B1171" s="79" t="s">
        <v>3161</v>
      </c>
      <c r="C1171" s="79">
        <v>596300645</v>
      </c>
      <c r="D1171" s="79">
        <v>0</v>
      </c>
      <c r="E1171" s="79" t="s">
        <v>1124</v>
      </c>
      <c r="F1171" s="79" t="s">
        <v>2539</v>
      </c>
      <c r="G1171" s="79" t="s">
        <v>2581</v>
      </c>
      <c r="H1171" s="79"/>
      <c r="I1171" s="79"/>
    </row>
    <row r="1172" spans="1:9" ht="14.25">
      <c r="A1172" s="79" t="s">
        <v>3162</v>
      </c>
      <c r="B1172" s="79" t="s">
        <v>3163</v>
      </c>
      <c r="C1172" s="79">
        <v>596343245</v>
      </c>
      <c r="D1172" s="79">
        <v>0</v>
      </c>
      <c r="E1172" s="79" t="s">
        <v>1124</v>
      </c>
      <c r="F1172" s="79" t="s">
        <v>2539</v>
      </c>
      <c r="G1172" s="79" t="s">
        <v>1130</v>
      </c>
      <c r="H1172" s="79"/>
      <c r="I1172" s="79"/>
    </row>
    <row r="1173" spans="1:9" ht="14.25">
      <c r="A1173" s="79" t="s">
        <v>3162</v>
      </c>
      <c r="B1173" s="79" t="s">
        <v>3163</v>
      </c>
      <c r="C1173" s="79">
        <v>596343245</v>
      </c>
      <c r="D1173" s="79">
        <v>0</v>
      </c>
      <c r="E1173" s="79" t="s">
        <v>1124</v>
      </c>
      <c r="F1173" s="79" t="s">
        <v>2539</v>
      </c>
      <c r="G1173" s="79" t="s">
        <v>1131</v>
      </c>
      <c r="H1173" s="79" t="s">
        <v>1132</v>
      </c>
      <c r="I1173" s="79"/>
    </row>
    <row r="1174" spans="1:9" ht="14.25">
      <c r="A1174" s="79" t="s">
        <v>3162</v>
      </c>
      <c r="B1174" s="79" t="s">
        <v>3163</v>
      </c>
      <c r="C1174" s="79">
        <v>596343245</v>
      </c>
      <c r="D1174" s="79">
        <v>0</v>
      </c>
      <c r="E1174" s="79" t="s">
        <v>1124</v>
      </c>
      <c r="F1174" s="79" t="s">
        <v>2539</v>
      </c>
      <c r="G1174" s="79" t="s">
        <v>2578</v>
      </c>
      <c r="H1174" s="79"/>
      <c r="I1174" s="79"/>
    </row>
    <row r="1175" spans="1:9" ht="14.25">
      <c r="A1175" s="79" t="s">
        <v>3164</v>
      </c>
      <c r="B1175" s="79" t="s">
        <v>3165</v>
      </c>
      <c r="C1175" s="79">
        <v>596343845</v>
      </c>
      <c r="D1175" s="79">
        <v>0</v>
      </c>
      <c r="E1175" s="79" t="s">
        <v>1124</v>
      </c>
      <c r="F1175" s="79" t="s">
        <v>2539</v>
      </c>
      <c r="G1175" s="79" t="s">
        <v>2546</v>
      </c>
      <c r="H1175" s="79" t="s">
        <v>2547</v>
      </c>
      <c r="I1175" s="79"/>
    </row>
    <row r="1176" spans="1:9" ht="14.25">
      <c r="A1176" s="79" t="s">
        <v>3164</v>
      </c>
      <c r="B1176" s="79" t="s">
        <v>3165</v>
      </c>
      <c r="C1176" s="79">
        <v>596343845</v>
      </c>
      <c r="D1176" s="79">
        <v>0</v>
      </c>
      <c r="E1176" s="79" t="s">
        <v>1124</v>
      </c>
      <c r="F1176" s="79" t="s">
        <v>2539</v>
      </c>
      <c r="G1176" s="79" t="s">
        <v>2581</v>
      </c>
      <c r="H1176" s="79"/>
      <c r="I1176" s="79"/>
    </row>
    <row r="1177" spans="1:9" ht="14.25">
      <c r="A1177" s="79" t="s">
        <v>3166</v>
      </c>
      <c r="B1177" s="79" t="s">
        <v>3167</v>
      </c>
      <c r="C1177" s="79">
        <v>596386445</v>
      </c>
      <c r="D1177" s="79">
        <v>0</v>
      </c>
      <c r="E1177" s="79" t="s">
        <v>1124</v>
      </c>
      <c r="F1177" s="79" t="s">
        <v>2539</v>
      </c>
      <c r="G1177" s="79" t="s">
        <v>1130</v>
      </c>
      <c r="H1177" s="79"/>
      <c r="I1177" s="79"/>
    </row>
    <row r="1178" spans="1:9" ht="14.25">
      <c r="A1178" s="79" t="s">
        <v>3166</v>
      </c>
      <c r="B1178" s="79" t="s">
        <v>3167</v>
      </c>
      <c r="C1178" s="79">
        <v>596386445</v>
      </c>
      <c r="D1178" s="79">
        <v>0</v>
      </c>
      <c r="E1178" s="79" t="s">
        <v>1124</v>
      </c>
      <c r="F1178" s="79" t="s">
        <v>2539</v>
      </c>
      <c r="G1178" s="79" t="s">
        <v>1131</v>
      </c>
      <c r="H1178" s="79" t="s">
        <v>1132</v>
      </c>
      <c r="I1178" s="79"/>
    </row>
    <row r="1179" spans="1:9" ht="14.25">
      <c r="A1179" s="79" t="s">
        <v>3166</v>
      </c>
      <c r="B1179" s="79" t="s">
        <v>3167</v>
      </c>
      <c r="C1179" s="79">
        <v>596386445</v>
      </c>
      <c r="D1179" s="79">
        <v>0</v>
      </c>
      <c r="E1179" s="79" t="s">
        <v>1124</v>
      </c>
      <c r="F1179" s="79" t="s">
        <v>2539</v>
      </c>
      <c r="G1179" s="79" t="s">
        <v>2578</v>
      </c>
      <c r="H1179" s="79"/>
      <c r="I1179" s="79"/>
    </row>
    <row r="1180" spans="1:9" ht="14.25">
      <c r="A1180" s="79" t="s">
        <v>3168</v>
      </c>
      <c r="B1180" s="79" t="s">
        <v>3169</v>
      </c>
      <c r="C1180" s="79">
        <v>596387045</v>
      </c>
      <c r="D1180" s="79">
        <v>0</v>
      </c>
      <c r="E1180" s="79" t="s">
        <v>1124</v>
      </c>
      <c r="F1180" s="79" t="s">
        <v>2539</v>
      </c>
      <c r="G1180" s="79" t="s">
        <v>2546</v>
      </c>
      <c r="H1180" s="79" t="s">
        <v>2547</v>
      </c>
      <c r="I1180" s="79"/>
    </row>
    <row r="1181" spans="1:9" ht="14.25">
      <c r="A1181" s="79" t="s">
        <v>3168</v>
      </c>
      <c r="B1181" s="79" t="s">
        <v>3169</v>
      </c>
      <c r="C1181" s="79">
        <v>596387045</v>
      </c>
      <c r="D1181" s="79">
        <v>0</v>
      </c>
      <c r="E1181" s="79" t="s">
        <v>1124</v>
      </c>
      <c r="F1181" s="79" t="s">
        <v>2539</v>
      </c>
      <c r="G1181" s="79" t="s">
        <v>2581</v>
      </c>
      <c r="H1181" s="79"/>
      <c r="I1181" s="79"/>
    </row>
    <row r="1182" spans="1:9" ht="14.25">
      <c r="A1182" s="79" t="s">
        <v>3170</v>
      </c>
      <c r="B1182" s="79" t="s">
        <v>3171</v>
      </c>
      <c r="C1182" s="79">
        <v>596429645</v>
      </c>
      <c r="D1182" s="79">
        <v>0</v>
      </c>
      <c r="E1182" s="79" t="s">
        <v>1124</v>
      </c>
      <c r="F1182" s="79" t="s">
        <v>2539</v>
      </c>
      <c r="G1182" s="79" t="s">
        <v>1130</v>
      </c>
      <c r="H1182" s="79"/>
      <c r="I1182" s="79"/>
    </row>
    <row r="1183" spans="1:9" ht="14.25">
      <c r="A1183" s="79" t="s">
        <v>3170</v>
      </c>
      <c r="B1183" s="79" t="s">
        <v>3171</v>
      </c>
      <c r="C1183" s="79">
        <v>596429645</v>
      </c>
      <c r="D1183" s="79">
        <v>0</v>
      </c>
      <c r="E1183" s="79" t="s">
        <v>1124</v>
      </c>
      <c r="F1183" s="79" t="s">
        <v>2539</v>
      </c>
      <c r="G1183" s="79" t="s">
        <v>1131</v>
      </c>
      <c r="H1183" s="79" t="s">
        <v>1132</v>
      </c>
      <c r="I1183" s="79"/>
    </row>
    <row r="1184" spans="1:9" ht="14.25">
      <c r="A1184" s="79" t="s">
        <v>3170</v>
      </c>
      <c r="B1184" s="79" t="s">
        <v>3171</v>
      </c>
      <c r="C1184" s="79">
        <v>596429645</v>
      </c>
      <c r="D1184" s="79">
        <v>0</v>
      </c>
      <c r="E1184" s="79" t="s">
        <v>1124</v>
      </c>
      <c r="F1184" s="79" t="s">
        <v>2539</v>
      </c>
      <c r="G1184" s="79" t="s">
        <v>2578</v>
      </c>
      <c r="H1184" s="79"/>
      <c r="I1184" s="79"/>
    </row>
    <row r="1185" spans="1:9" ht="14.25">
      <c r="A1185" s="79" t="s">
        <v>3172</v>
      </c>
      <c r="B1185" s="79" t="s">
        <v>3173</v>
      </c>
      <c r="C1185" s="79">
        <v>596430245</v>
      </c>
      <c r="D1185" s="79">
        <v>0</v>
      </c>
      <c r="E1185" s="79" t="s">
        <v>1124</v>
      </c>
      <c r="F1185" s="79" t="s">
        <v>2539</v>
      </c>
      <c r="G1185" s="79" t="s">
        <v>2546</v>
      </c>
      <c r="H1185" s="79" t="s">
        <v>2547</v>
      </c>
      <c r="I1185" s="79"/>
    </row>
    <row r="1186" spans="1:9" ht="14.25">
      <c r="A1186" s="79" t="s">
        <v>3172</v>
      </c>
      <c r="B1186" s="79" t="s">
        <v>3173</v>
      </c>
      <c r="C1186" s="79">
        <v>596430245</v>
      </c>
      <c r="D1186" s="79">
        <v>0</v>
      </c>
      <c r="E1186" s="79" t="s">
        <v>1124</v>
      </c>
      <c r="F1186" s="79" t="s">
        <v>2539</v>
      </c>
      <c r="G1186" s="79" t="s">
        <v>2581</v>
      </c>
      <c r="H1186" s="79"/>
      <c r="I1186" s="79"/>
    </row>
    <row r="1187" spans="1:9" ht="14.25">
      <c r="A1187" s="79" t="s">
        <v>3174</v>
      </c>
      <c r="B1187" s="79" t="s">
        <v>3175</v>
      </c>
      <c r="C1187" s="79">
        <v>596472845</v>
      </c>
      <c r="D1187" s="79">
        <v>0</v>
      </c>
      <c r="E1187" s="79" t="s">
        <v>1124</v>
      </c>
      <c r="F1187" s="79" t="s">
        <v>2539</v>
      </c>
      <c r="G1187" s="79" t="s">
        <v>1130</v>
      </c>
      <c r="H1187" s="79"/>
      <c r="I1187" s="79"/>
    </row>
    <row r="1188" spans="1:9" ht="14.25">
      <c r="A1188" s="79" t="s">
        <v>3174</v>
      </c>
      <c r="B1188" s="79" t="s">
        <v>3175</v>
      </c>
      <c r="C1188" s="79">
        <v>596472845</v>
      </c>
      <c r="D1188" s="79">
        <v>0</v>
      </c>
      <c r="E1188" s="79" t="s">
        <v>1124</v>
      </c>
      <c r="F1188" s="79" t="s">
        <v>2539</v>
      </c>
      <c r="G1188" s="79" t="s">
        <v>1131</v>
      </c>
      <c r="H1188" s="79" t="s">
        <v>1132</v>
      </c>
      <c r="I1188" s="79"/>
    </row>
    <row r="1189" spans="1:9" ht="14.25">
      <c r="A1189" s="79" t="s">
        <v>3174</v>
      </c>
      <c r="B1189" s="79" t="s">
        <v>3175</v>
      </c>
      <c r="C1189" s="79">
        <v>596472845</v>
      </c>
      <c r="D1189" s="79">
        <v>0</v>
      </c>
      <c r="E1189" s="79" t="s">
        <v>1124</v>
      </c>
      <c r="F1189" s="79" t="s">
        <v>2539</v>
      </c>
      <c r="G1189" s="79" t="s">
        <v>2578</v>
      </c>
      <c r="H1189" s="79"/>
      <c r="I1189" s="79"/>
    </row>
    <row r="1190" spans="1:9" ht="14.25">
      <c r="A1190" s="79" t="s">
        <v>3176</v>
      </c>
      <c r="B1190" s="79" t="s">
        <v>3177</v>
      </c>
      <c r="C1190" s="79">
        <v>596473445</v>
      </c>
      <c r="D1190" s="79">
        <v>0</v>
      </c>
      <c r="E1190" s="79" t="s">
        <v>1124</v>
      </c>
      <c r="F1190" s="79" t="s">
        <v>2539</v>
      </c>
      <c r="G1190" s="79" t="s">
        <v>2546</v>
      </c>
      <c r="H1190" s="79" t="s">
        <v>2547</v>
      </c>
      <c r="I1190" s="79"/>
    </row>
    <row r="1191" spans="1:9" ht="14.25">
      <c r="A1191" s="79" t="s">
        <v>3176</v>
      </c>
      <c r="B1191" s="79" t="s">
        <v>3177</v>
      </c>
      <c r="C1191" s="79">
        <v>596473445</v>
      </c>
      <c r="D1191" s="79">
        <v>0</v>
      </c>
      <c r="E1191" s="79" t="s">
        <v>1124</v>
      </c>
      <c r="F1191" s="79" t="s">
        <v>2539</v>
      </c>
      <c r="G1191" s="79" t="s">
        <v>2581</v>
      </c>
      <c r="H1191" s="79"/>
      <c r="I1191" s="79"/>
    </row>
    <row r="1192" spans="1:9" ht="14.25">
      <c r="A1192" s="79" t="s">
        <v>3178</v>
      </c>
      <c r="B1192" s="79" t="s">
        <v>3179</v>
      </c>
      <c r="C1192" s="79">
        <v>596516045</v>
      </c>
      <c r="D1192" s="79">
        <v>0</v>
      </c>
      <c r="E1192" s="79" t="s">
        <v>1124</v>
      </c>
      <c r="F1192" s="79" t="s">
        <v>2539</v>
      </c>
      <c r="G1192" s="79" t="s">
        <v>1130</v>
      </c>
      <c r="H1192" s="79"/>
      <c r="I1192" s="79"/>
    </row>
    <row r="1193" spans="1:9" ht="14.25">
      <c r="A1193" s="79" t="s">
        <v>3178</v>
      </c>
      <c r="B1193" s="79" t="s">
        <v>3179</v>
      </c>
      <c r="C1193" s="79">
        <v>596516045</v>
      </c>
      <c r="D1193" s="79">
        <v>0</v>
      </c>
      <c r="E1193" s="79" t="s">
        <v>1124</v>
      </c>
      <c r="F1193" s="79" t="s">
        <v>2539</v>
      </c>
      <c r="G1193" s="79" t="s">
        <v>1131</v>
      </c>
      <c r="H1193" s="79" t="s">
        <v>1132</v>
      </c>
      <c r="I1193" s="79"/>
    </row>
    <row r="1194" spans="1:9" ht="14.25">
      <c r="A1194" s="79" t="s">
        <v>3178</v>
      </c>
      <c r="B1194" s="79" t="s">
        <v>3179</v>
      </c>
      <c r="C1194" s="79">
        <v>596516045</v>
      </c>
      <c r="D1194" s="79">
        <v>0</v>
      </c>
      <c r="E1194" s="79" t="s">
        <v>1124</v>
      </c>
      <c r="F1194" s="79" t="s">
        <v>2539</v>
      </c>
      <c r="G1194" s="79" t="s">
        <v>2578</v>
      </c>
      <c r="H1194" s="79"/>
      <c r="I1194" s="79"/>
    </row>
    <row r="1195" spans="1:9" ht="14.25">
      <c r="A1195" s="79" t="s">
        <v>3180</v>
      </c>
      <c r="B1195" s="79" t="s">
        <v>3181</v>
      </c>
      <c r="C1195" s="79">
        <v>596516645</v>
      </c>
      <c r="D1195" s="79">
        <v>0</v>
      </c>
      <c r="E1195" s="79" t="s">
        <v>1124</v>
      </c>
      <c r="F1195" s="79" t="s">
        <v>2539</v>
      </c>
      <c r="G1195" s="79" t="s">
        <v>2546</v>
      </c>
      <c r="H1195" s="79" t="s">
        <v>2547</v>
      </c>
      <c r="I1195" s="79"/>
    </row>
    <row r="1196" spans="1:9" ht="14.25">
      <c r="A1196" s="79" t="s">
        <v>3180</v>
      </c>
      <c r="B1196" s="79" t="s">
        <v>3181</v>
      </c>
      <c r="C1196" s="79">
        <v>596516645</v>
      </c>
      <c r="D1196" s="79">
        <v>0</v>
      </c>
      <c r="E1196" s="79" t="s">
        <v>1124</v>
      </c>
      <c r="F1196" s="79" t="s">
        <v>2539</v>
      </c>
      <c r="G1196" s="79" t="s">
        <v>2581</v>
      </c>
      <c r="H1196" s="79"/>
      <c r="I1196" s="79"/>
    </row>
    <row r="1197" spans="1:9" ht="14.25">
      <c r="A1197" s="79" t="s">
        <v>3182</v>
      </c>
      <c r="B1197" s="79" t="s">
        <v>3183</v>
      </c>
      <c r="C1197" s="79">
        <v>596559245</v>
      </c>
      <c r="D1197" s="79">
        <v>0</v>
      </c>
      <c r="E1197" s="79" t="s">
        <v>1124</v>
      </c>
      <c r="F1197" s="79" t="s">
        <v>2539</v>
      </c>
      <c r="G1197" s="79" t="s">
        <v>1130</v>
      </c>
      <c r="H1197" s="79"/>
      <c r="I1197" s="79"/>
    </row>
    <row r="1198" spans="1:9" ht="14.25">
      <c r="A1198" s="79" t="s">
        <v>3182</v>
      </c>
      <c r="B1198" s="79" t="s">
        <v>3183</v>
      </c>
      <c r="C1198" s="79">
        <v>596559245</v>
      </c>
      <c r="D1198" s="79">
        <v>0</v>
      </c>
      <c r="E1198" s="79" t="s">
        <v>1124</v>
      </c>
      <c r="F1198" s="79" t="s">
        <v>2539</v>
      </c>
      <c r="G1198" s="79" t="s">
        <v>1131</v>
      </c>
      <c r="H1198" s="79" t="s">
        <v>1132</v>
      </c>
      <c r="I1198" s="79"/>
    </row>
    <row r="1199" spans="1:9" ht="14.25">
      <c r="A1199" s="79" t="s">
        <v>3182</v>
      </c>
      <c r="B1199" s="79" t="s">
        <v>3183</v>
      </c>
      <c r="C1199" s="79">
        <v>596559245</v>
      </c>
      <c r="D1199" s="79">
        <v>0</v>
      </c>
      <c r="E1199" s="79" t="s">
        <v>1124</v>
      </c>
      <c r="F1199" s="79" t="s">
        <v>2539</v>
      </c>
      <c r="G1199" s="79" t="s">
        <v>2578</v>
      </c>
      <c r="H1199" s="79"/>
      <c r="I1199" s="79"/>
    </row>
    <row r="1200" spans="1:9" ht="14.25">
      <c r="A1200" s="79" t="s">
        <v>3184</v>
      </c>
      <c r="B1200" s="79" t="s">
        <v>3185</v>
      </c>
      <c r="C1200" s="79">
        <v>596559845</v>
      </c>
      <c r="D1200" s="79">
        <v>0</v>
      </c>
      <c r="E1200" s="79" t="s">
        <v>1124</v>
      </c>
      <c r="F1200" s="79" t="s">
        <v>2539</v>
      </c>
      <c r="G1200" s="79" t="s">
        <v>2546</v>
      </c>
      <c r="H1200" s="79" t="s">
        <v>2547</v>
      </c>
      <c r="I1200" s="79"/>
    </row>
    <row r="1201" spans="1:9" ht="14.25">
      <c r="A1201" s="79" t="s">
        <v>3184</v>
      </c>
      <c r="B1201" s="79" t="s">
        <v>3185</v>
      </c>
      <c r="C1201" s="79">
        <v>596559845</v>
      </c>
      <c r="D1201" s="79">
        <v>0</v>
      </c>
      <c r="E1201" s="79" t="s">
        <v>1124</v>
      </c>
      <c r="F1201" s="79" t="s">
        <v>2539</v>
      </c>
      <c r="G1201" s="79" t="s">
        <v>2581</v>
      </c>
      <c r="H1201" s="79"/>
      <c r="I1201" s="79"/>
    </row>
    <row r="1202" spans="1:9" ht="14.25">
      <c r="A1202" s="79" t="s">
        <v>3186</v>
      </c>
      <c r="B1202" s="79" t="s">
        <v>3187</v>
      </c>
      <c r="C1202" s="79">
        <v>596602445</v>
      </c>
      <c r="D1202" s="79">
        <v>0</v>
      </c>
      <c r="E1202" s="79" t="s">
        <v>1124</v>
      </c>
      <c r="F1202" s="79" t="s">
        <v>2539</v>
      </c>
      <c r="G1202" s="79" t="s">
        <v>1130</v>
      </c>
      <c r="H1202" s="79"/>
      <c r="I1202" s="79"/>
    </row>
    <row r="1203" spans="1:9" ht="14.25">
      <c r="A1203" s="79" t="s">
        <v>3186</v>
      </c>
      <c r="B1203" s="79" t="s">
        <v>3187</v>
      </c>
      <c r="C1203" s="79">
        <v>596602445</v>
      </c>
      <c r="D1203" s="79">
        <v>0</v>
      </c>
      <c r="E1203" s="79" t="s">
        <v>1124</v>
      </c>
      <c r="F1203" s="79" t="s">
        <v>2539</v>
      </c>
      <c r="G1203" s="79" t="s">
        <v>1131</v>
      </c>
      <c r="H1203" s="79" t="s">
        <v>1132</v>
      </c>
      <c r="I1203" s="79"/>
    </row>
    <row r="1204" spans="1:9" ht="14.25">
      <c r="A1204" s="79" t="s">
        <v>3186</v>
      </c>
      <c r="B1204" s="79" t="s">
        <v>3187</v>
      </c>
      <c r="C1204" s="79">
        <v>596602445</v>
      </c>
      <c r="D1204" s="79">
        <v>0</v>
      </c>
      <c r="E1204" s="79" t="s">
        <v>1124</v>
      </c>
      <c r="F1204" s="79" t="s">
        <v>2539</v>
      </c>
      <c r="G1204" s="79" t="s">
        <v>2578</v>
      </c>
      <c r="H1204" s="79"/>
      <c r="I1204" s="79"/>
    </row>
    <row r="1205" spans="1:9" ht="14.25">
      <c r="A1205" s="79" t="s">
        <v>3188</v>
      </c>
      <c r="B1205" s="79" t="s">
        <v>3189</v>
      </c>
      <c r="C1205" s="79">
        <v>596603045</v>
      </c>
      <c r="D1205" s="79">
        <v>0</v>
      </c>
      <c r="E1205" s="79" t="s">
        <v>1124</v>
      </c>
      <c r="F1205" s="79" t="s">
        <v>2539</v>
      </c>
      <c r="G1205" s="79" t="s">
        <v>2546</v>
      </c>
      <c r="H1205" s="79" t="s">
        <v>2547</v>
      </c>
      <c r="I1205" s="79"/>
    </row>
    <row r="1206" spans="1:9" ht="14.25">
      <c r="A1206" s="79" t="s">
        <v>3188</v>
      </c>
      <c r="B1206" s="79" t="s">
        <v>3189</v>
      </c>
      <c r="C1206" s="79">
        <v>596603045</v>
      </c>
      <c r="D1206" s="79">
        <v>0</v>
      </c>
      <c r="E1206" s="79" t="s">
        <v>1124</v>
      </c>
      <c r="F1206" s="79" t="s">
        <v>2539</v>
      </c>
      <c r="G1206" s="79" t="s">
        <v>2581</v>
      </c>
      <c r="H1206" s="79"/>
      <c r="I1206" s="79"/>
    </row>
    <row r="1207" spans="1:9" ht="14.25">
      <c r="A1207" s="79" t="s">
        <v>3190</v>
      </c>
      <c r="B1207" s="79" t="s">
        <v>3191</v>
      </c>
      <c r="C1207" s="79">
        <v>596645645</v>
      </c>
      <c r="D1207" s="79">
        <v>0</v>
      </c>
      <c r="E1207" s="79" t="s">
        <v>1124</v>
      </c>
      <c r="F1207" s="79" t="s">
        <v>2539</v>
      </c>
      <c r="G1207" s="79" t="s">
        <v>1130</v>
      </c>
      <c r="H1207" s="79"/>
      <c r="I1207" s="79"/>
    </row>
    <row r="1208" spans="1:9" ht="14.25">
      <c r="A1208" s="79" t="s">
        <v>3190</v>
      </c>
      <c r="B1208" s="79" t="s">
        <v>3191</v>
      </c>
      <c r="C1208" s="79">
        <v>596645645</v>
      </c>
      <c r="D1208" s="79">
        <v>0</v>
      </c>
      <c r="E1208" s="79" t="s">
        <v>1124</v>
      </c>
      <c r="F1208" s="79" t="s">
        <v>2539</v>
      </c>
      <c r="G1208" s="79" t="s">
        <v>1131</v>
      </c>
      <c r="H1208" s="79" t="s">
        <v>1132</v>
      </c>
      <c r="I1208" s="79"/>
    </row>
    <row r="1209" spans="1:9" ht="14.25">
      <c r="A1209" s="79" t="s">
        <v>3190</v>
      </c>
      <c r="B1209" s="79" t="s">
        <v>3191</v>
      </c>
      <c r="C1209" s="79">
        <v>596645645</v>
      </c>
      <c r="D1209" s="79">
        <v>0</v>
      </c>
      <c r="E1209" s="79" t="s">
        <v>1124</v>
      </c>
      <c r="F1209" s="79" t="s">
        <v>2539</v>
      </c>
      <c r="G1209" s="79" t="s">
        <v>2578</v>
      </c>
      <c r="H1209" s="79"/>
      <c r="I1209" s="79"/>
    </row>
    <row r="1210" spans="1:9" ht="14.25">
      <c r="A1210" s="79" t="s">
        <v>3192</v>
      </c>
      <c r="B1210" s="79" t="s">
        <v>3193</v>
      </c>
      <c r="C1210" s="79">
        <v>596646245</v>
      </c>
      <c r="D1210" s="79">
        <v>0</v>
      </c>
      <c r="E1210" s="79" t="s">
        <v>1124</v>
      </c>
      <c r="F1210" s="79" t="s">
        <v>2539</v>
      </c>
      <c r="G1210" s="79" t="s">
        <v>2546</v>
      </c>
      <c r="H1210" s="79" t="s">
        <v>2547</v>
      </c>
      <c r="I1210" s="79"/>
    </row>
    <row r="1211" spans="1:9" ht="14.25">
      <c r="A1211" s="79" t="s">
        <v>3192</v>
      </c>
      <c r="B1211" s="79" t="s">
        <v>3193</v>
      </c>
      <c r="C1211" s="79">
        <v>596646245</v>
      </c>
      <c r="D1211" s="79">
        <v>0</v>
      </c>
      <c r="E1211" s="79" t="s">
        <v>1124</v>
      </c>
      <c r="F1211" s="79" t="s">
        <v>2539</v>
      </c>
      <c r="G1211" s="79" t="s">
        <v>2581</v>
      </c>
      <c r="H1211" s="79"/>
      <c r="I1211" s="79"/>
    </row>
    <row r="1212" spans="1:9" ht="14.25">
      <c r="A1212" s="79" t="s">
        <v>3194</v>
      </c>
      <c r="B1212" s="79" t="s">
        <v>3195</v>
      </c>
      <c r="C1212" s="79">
        <v>596688845</v>
      </c>
      <c r="D1212" s="79">
        <v>0</v>
      </c>
      <c r="E1212" s="79" t="s">
        <v>1124</v>
      </c>
      <c r="F1212" s="79" t="s">
        <v>2539</v>
      </c>
      <c r="G1212" s="79" t="s">
        <v>1130</v>
      </c>
      <c r="H1212" s="79"/>
      <c r="I1212" s="79"/>
    </row>
    <row r="1213" spans="1:9" ht="14.25">
      <c r="A1213" s="79" t="s">
        <v>3194</v>
      </c>
      <c r="B1213" s="79" t="s">
        <v>3195</v>
      </c>
      <c r="C1213" s="79">
        <v>596688845</v>
      </c>
      <c r="D1213" s="79">
        <v>0</v>
      </c>
      <c r="E1213" s="79" t="s">
        <v>1124</v>
      </c>
      <c r="F1213" s="79" t="s">
        <v>2539</v>
      </c>
      <c r="G1213" s="79" t="s">
        <v>1131</v>
      </c>
      <c r="H1213" s="79" t="s">
        <v>1132</v>
      </c>
      <c r="I1213" s="79"/>
    </row>
    <row r="1214" spans="1:9" ht="14.25">
      <c r="A1214" s="79" t="s">
        <v>3194</v>
      </c>
      <c r="B1214" s="79" t="s">
        <v>3195</v>
      </c>
      <c r="C1214" s="79">
        <v>596688845</v>
      </c>
      <c r="D1214" s="79">
        <v>0</v>
      </c>
      <c r="E1214" s="79" t="s">
        <v>1124</v>
      </c>
      <c r="F1214" s="79" t="s">
        <v>2539</v>
      </c>
      <c r="G1214" s="79" t="s">
        <v>2578</v>
      </c>
      <c r="H1214" s="79"/>
      <c r="I1214" s="79"/>
    </row>
    <row r="1215" spans="1:9" ht="14.25">
      <c r="A1215" s="79" t="s">
        <v>3196</v>
      </c>
      <c r="B1215" s="79" t="s">
        <v>3197</v>
      </c>
      <c r="C1215" s="79">
        <v>596689445</v>
      </c>
      <c r="D1215" s="79">
        <v>0</v>
      </c>
      <c r="E1215" s="79" t="s">
        <v>1124</v>
      </c>
      <c r="F1215" s="79" t="s">
        <v>2539</v>
      </c>
      <c r="G1215" s="79" t="s">
        <v>2546</v>
      </c>
      <c r="H1215" s="79" t="s">
        <v>2547</v>
      </c>
      <c r="I1215" s="79"/>
    </row>
    <row r="1216" spans="1:9" ht="14.25">
      <c r="A1216" s="79" t="s">
        <v>3196</v>
      </c>
      <c r="B1216" s="79" t="s">
        <v>3197</v>
      </c>
      <c r="C1216" s="79">
        <v>596689445</v>
      </c>
      <c r="D1216" s="79">
        <v>0</v>
      </c>
      <c r="E1216" s="79" t="s">
        <v>1124</v>
      </c>
      <c r="F1216" s="79" t="s">
        <v>2539</v>
      </c>
      <c r="G1216" s="79" t="s">
        <v>2581</v>
      </c>
      <c r="H1216" s="79"/>
      <c r="I1216" s="79"/>
    </row>
    <row r="1217" spans="1:9" ht="14.25">
      <c r="A1217" s="79" t="s">
        <v>3198</v>
      </c>
      <c r="B1217" s="79" t="s">
        <v>3199</v>
      </c>
      <c r="C1217" s="79">
        <v>596732045</v>
      </c>
      <c r="D1217" s="79">
        <v>0</v>
      </c>
      <c r="E1217" s="79" t="s">
        <v>1124</v>
      </c>
      <c r="F1217" s="79" t="s">
        <v>2539</v>
      </c>
      <c r="G1217" s="79" t="s">
        <v>1130</v>
      </c>
      <c r="H1217" s="79"/>
      <c r="I1217" s="79"/>
    </row>
    <row r="1218" spans="1:9" ht="14.25">
      <c r="A1218" s="79" t="s">
        <v>3198</v>
      </c>
      <c r="B1218" s="79" t="s">
        <v>3199</v>
      </c>
      <c r="C1218" s="79">
        <v>596732045</v>
      </c>
      <c r="D1218" s="79">
        <v>0</v>
      </c>
      <c r="E1218" s="79" t="s">
        <v>1124</v>
      </c>
      <c r="F1218" s="79" t="s">
        <v>2539</v>
      </c>
      <c r="G1218" s="79" t="s">
        <v>1131</v>
      </c>
      <c r="H1218" s="79" t="s">
        <v>1132</v>
      </c>
      <c r="I1218" s="79"/>
    </row>
    <row r="1219" spans="1:9" ht="14.25">
      <c r="A1219" s="79" t="s">
        <v>3198</v>
      </c>
      <c r="B1219" s="79" t="s">
        <v>3199</v>
      </c>
      <c r="C1219" s="79">
        <v>596732045</v>
      </c>
      <c r="D1219" s="79">
        <v>0</v>
      </c>
      <c r="E1219" s="79" t="s">
        <v>1124</v>
      </c>
      <c r="F1219" s="79" t="s">
        <v>2539</v>
      </c>
      <c r="G1219" s="79" t="s">
        <v>2578</v>
      </c>
      <c r="H1219" s="79"/>
      <c r="I1219" s="79"/>
    </row>
    <row r="1220" spans="1:9" ht="14.25">
      <c r="A1220" s="79" t="s">
        <v>3200</v>
      </c>
      <c r="B1220" s="79" t="s">
        <v>3201</v>
      </c>
      <c r="C1220" s="79">
        <v>596732645</v>
      </c>
      <c r="D1220" s="79">
        <v>0</v>
      </c>
      <c r="E1220" s="79" t="s">
        <v>1124</v>
      </c>
      <c r="F1220" s="79" t="s">
        <v>2539</v>
      </c>
      <c r="G1220" s="79" t="s">
        <v>2546</v>
      </c>
      <c r="H1220" s="79" t="s">
        <v>2547</v>
      </c>
      <c r="I1220" s="79"/>
    </row>
    <row r="1221" spans="1:9" ht="14.25">
      <c r="A1221" s="79" t="s">
        <v>3200</v>
      </c>
      <c r="B1221" s="79" t="s">
        <v>3201</v>
      </c>
      <c r="C1221" s="79">
        <v>596732645</v>
      </c>
      <c r="D1221" s="79">
        <v>0</v>
      </c>
      <c r="E1221" s="79" t="s">
        <v>1124</v>
      </c>
      <c r="F1221" s="79" t="s">
        <v>2539</v>
      </c>
      <c r="G1221" s="79" t="s">
        <v>2581</v>
      </c>
      <c r="H1221" s="79"/>
      <c r="I1221" s="79"/>
    </row>
    <row r="1222" spans="1:9" ht="14.25">
      <c r="A1222" s="79" t="s">
        <v>3202</v>
      </c>
      <c r="B1222" s="79" t="s">
        <v>3203</v>
      </c>
      <c r="C1222" s="79">
        <v>596775245</v>
      </c>
      <c r="D1222" s="79">
        <v>0</v>
      </c>
      <c r="E1222" s="79" t="s">
        <v>1124</v>
      </c>
      <c r="F1222" s="79" t="s">
        <v>2539</v>
      </c>
      <c r="G1222" s="79" t="s">
        <v>1130</v>
      </c>
      <c r="H1222" s="79"/>
      <c r="I1222" s="79"/>
    </row>
    <row r="1223" spans="1:9" ht="14.25">
      <c r="A1223" s="79" t="s">
        <v>3202</v>
      </c>
      <c r="B1223" s="79" t="s">
        <v>3203</v>
      </c>
      <c r="C1223" s="79">
        <v>596775245</v>
      </c>
      <c r="D1223" s="79">
        <v>0</v>
      </c>
      <c r="E1223" s="79" t="s">
        <v>1124</v>
      </c>
      <c r="F1223" s="79" t="s">
        <v>2539</v>
      </c>
      <c r="G1223" s="79" t="s">
        <v>1131</v>
      </c>
      <c r="H1223" s="79" t="s">
        <v>1132</v>
      </c>
      <c r="I1223" s="79"/>
    </row>
    <row r="1224" spans="1:9" ht="14.25">
      <c r="A1224" s="79" t="s">
        <v>3202</v>
      </c>
      <c r="B1224" s="79" t="s">
        <v>3203</v>
      </c>
      <c r="C1224" s="79">
        <v>596775245</v>
      </c>
      <c r="D1224" s="79">
        <v>0</v>
      </c>
      <c r="E1224" s="79" t="s">
        <v>1124</v>
      </c>
      <c r="F1224" s="79" t="s">
        <v>2539</v>
      </c>
      <c r="G1224" s="79" t="s">
        <v>2578</v>
      </c>
      <c r="H1224" s="79"/>
      <c r="I1224" s="79"/>
    </row>
    <row r="1225" spans="1:9" ht="14.25">
      <c r="A1225" s="79" t="s">
        <v>3204</v>
      </c>
      <c r="B1225" s="79" t="s">
        <v>3205</v>
      </c>
      <c r="C1225" s="79">
        <v>596775845</v>
      </c>
      <c r="D1225" s="79">
        <v>0</v>
      </c>
      <c r="E1225" s="79" t="s">
        <v>1124</v>
      </c>
      <c r="F1225" s="79" t="s">
        <v>2539</v>
      </c>
      <c r="G1225" s="79" t="s">
        <v>2546</v>
      </c>
      <c r="H1225" s="79" t="s">
        <v>2547</v>
      </c>
      <c r="I1225" s="79"/>
    </row>
    <row r="1226" spans="1:9" ht="14.25">
      <c r="A1226" s="79" t="s">
        <v>3204</v>
      </c>
      <c r="B1226" s="79" t="s">
        <v>3205</v>
      </c>
      <c r="C1226" s="79">
        <v>596775845</v>
      </c>
      <c r="D1226" s="79">
        <v>0</v>
      </c>
      <c r="E1226" s="79" t="s">
        <v>1124</v>
      </c>
      <c r="F1226" s="79" t="s">
        <v>2539</v>
      </c>
      <c r="G1226" s="79" t="s">
        <v>2581</v>
      </c>
      <c r="H1226" s="79"/>
      <c r="I1226" s="79"/>
    </row>
    <row r="1227" spans="1:9" ht="14.25">
      <c r="A1227" s="79" t="s">
        <v>3206</v>
      </c>
      <c r="B1227" s="79" t="s">
        <v>3207</v>
      </c>
      <c r="C1227" s="79">
        <v>596818445</v>
      </c>
      <c r="D1227" s="79">
        <v>0</v>
      </c>
      <c r="E1227" s="79" t="s">
        <v>1124</v>
      </c>
      <c r="F1227" s="79" t="s">
        <v>2539</v>
      </c>
      <c r="G1227" s="79" t="s">
        <v>1130</v>
      </c>
      <c r="H1227" s="79"/>
      <c r="I1227" s="79"/>
    </row>
    <row r="1228" spans="1:9" ht="14.25">
      <c r="A1228" s="79" t="s">
        <v>3206</v>
      </c>
      <c r="B1228" s="79" t="s">
        <v>3207</v>
      </c>
      <c r="C1228" s="79">
        <v>596818445</v>
      </c>
      <c r="D1228" s="79">
        <v>0</v>
      </c>
      <c r="E1228" s="79" t="s">
        <v>1124</v>
      </c>
      <c r="F1228" s="79" t="s">
        <v>2539</v>
      </c>
      <c r="G1228" s="79" t="s">
        <v>1131</v>
      </c>
      <c r="H1228" s="79" t="s">
        <v>1132</v>
      </c>
      <c r="I1228" s="79"/>
    </row>
    <row r="1229" spans="1:9" ht="14.25">
      <c r="A1229" s="79" t="s">
        <v>3206</v>
      </c>
      <c r="B1229" s="79" t="s">
        <v>3207</v>
      </c>
      <c r="C1229" s="79">
        <v>596818445</v>
      </c>
      <c r="D1229" s="79">
        <v>0</v>
      </c>
      <c r="E1229" s="79" t="s">
        <v>1124</v>
      </c>
      <c r="F1229" s="79" t="s">
        <v>2539</v>
      </c>
      <c r="G1229" s="79" t="s">
        <v>2578</v>
      </c>
      <c r="H1229" s="79"/>
      <c r="I1229" s="79"/>
    </row>
    <row r="1230" spans="1:9" ht="14.25">
      <c r="A1230" s="79" t="s">
        <v>3208</v>
      </c>
      <c r="B1230" s="79" t="s">
        <v>3209</v>
      </c>
      <c r="C1230" s="79">
        <v>596819045</v>
      </c>
      <c r="D1230" s="79">
        <v>0</v>
      </c>
      <c r="E1230" s="79" t="s">
        <v>1124</v>
      </c>
      <c r="F1230" s="79" t="s">
        <v>2539</v>
      </c>
      <c r="G1230" s="79" t="s">
        <v>2546</v>
      </c>
      <c r="H1230" s="79" t="s">
        <v>2547</v>
      </c>
      <c r="I1230" s="79"/>
    </row>
    <row r="1231" spans="1:9" ht="14.25">
      <c r="A1231" s="79" t="s">
        <v>3208</v>
      </c>
      <c r="B1231" s="79" t="s">
        <v>3209</v>
      </c>
      <c r="C1231" s="79">
        <v>596819045</v>
      </c>
      <c r="D1231" s="79">
        <v>0</v>
      </c>
      <c r="E1231" s="79" t="s">
        <v>1124</v>
      </c>
      <c r="F1231" s="79" t="s">
        <v>2539</v>
      </c>
      <c r="G1231" s="79" t="s">
        <v>2581</v>
      </c>
      <c r="H1231" s="79"/>
      <c r="I1231" s="79"/>
    </row>
    <row r="1232" spans="1:9" ht="14.25">
      <c r="A1232" s="79" t="s">
        <v>3210</v>
      </c>
      <c r="B1232" s="79" t="s">
        <v>3211</v>
      </c>
      <c r="C1232" s="79">
        <v>596861645</v>
      </c>
      <c r="D1232" s="79">
        <v>0</v>
      </c>
      <c r="E1232" s="79" t="s">
        <v>1124</v>
      </c>
      <c r="F1232" s="79" t="s">
        <v>2539</v>
      </c>
      <c r="G1232" s="79" t="s">
        <v>1130</v>
      </c>
      <c r="H1232" s="79"/>
      <c r="I1232" s="79"/>
    </row>
    <row r="1233" spans="1:9" ht="14.25">
      <c r="A1233" s="79" t="s">
        <v>3210</v>
      </c>
      <c r="B1233" s="79" t="s">
        <v>3211</v>
      </c>
      <c r="C1233" s="79">
        <v>596861645</v>
      </c>
      <c r="D1233" s="79">
        <v>0</v>
      </c>
      <c r="E1233" s="79" t="s">
        <v>1124</v>
      </c>
      <c r="F1233" s="79" t="s">
        <v>2539</v>
      </c>
      <c r="G1233" s="79" t="s">
        <v>1131</v>
      </c>
      <c r="H1233" s="79" t="s">
        <v>1132</v>
      </c>
      <c r="I1233" s="79"/>
    </row>
    <row r="1234" spans="1:9" ht="14.25">
      <c r="A1234" s="79" t="s">
        <v>3210</v>
      </c>
      <c r="B1234" s="79" t="s">
        <v>3211</v>
      </c>
      <c r="C1234" s="79">
        <v>596861645</v>
      </c>
      <c r="D1234" s="79">
        <v>0</v>
      </c>
      <c r="E1234" s="79" t="s">
        <v>1124</v>
      </c>
      <c r="F1234" s="79" t="s">
        <v>2539</v>
      </c>
      <c r="G1234" s="79" t="s">
        <v>2578</v>
      </c>
      <c r="H1234" s="79"/>
      <c r="I1234" s="79"/>
    </row>
    <row r="1235" spans="1:9" ht="14.25">
      <c r="A1235" s="79" t="s">
        <v>3212</v>
      </c>
      <c r="B1235" s="79" t="s">
        <v>3213</v>
      </c>
      <c r="C1235" s="79">
        <v>596862245</v>
      </c>
      <c r="D1235" s="79">
        <v>0</v>
      </c>
      <c r="E1235" s="79" t="s">
        <v>1124</v>
      </c>
      <c r="F1235" s="79" t="s">
        <v>2539</v>
      </c>
      <c r="G1235" s="79" t="s">
        <v>2546</v>
      </c>
      <c r="H1235" s="79" t="s">
        <v>2547</v>
      </c>
      <c r="I1235" s="79"/>
    </row>
    <row r="1236" spans="1:9" ht="14.25">
      <c r="A1236" s="79" t="s">
        <v>3212</v>
      </c>
      <c r="B1236" s="79" t="s">
        <v>3213</v>
      </c>
      <c r="C1236" s="79">
        <v>596862245</v>
      </c>
      <c r="D1236" s="79">
        <v>0</v>
      </c>
      <c r="E1236" s="79" t="s">
        <v>1124</v>
      </c>
      <c r="F1236" s="79" t="s">
        <v>2539</v>
      </c>
      <c r="G1236" s="79" t="s">
        <v>2581</v>
      </c>
      <c r="H1236" s="79"/>
      <c r="I1236" s="79"/>
    </row>
    <row r="1237" spans="1:9" ht="14.25">
      <c r="A1237" s="79" t="s">
        <v>3214</v>
      </c>
      <c r="B1237" s="79" t="s">
        <v>3215</v>
      </c>
      <c r="C1237" s="79">
        <v>596904845</v>
      </c>
      <c r="D1237" s="79">
        <v>0</v>
      </c>
      <c r="E1237" s="79" t="s">
        <v>1124</v>
      </c>
      <c r="F1237" s="79" t="s">
        <v>2539</v>
      </c>
      <c r="G1237" s="79" t="s">
        <v>1130</v>
      </c>
      <c r="H1237" s="79"/>
      <c r="I1237" s="79"/>
    </row>
    <row r="1238" spans="1:9" ht="14.25">
      <c r="A1238" s="79" t="s">
        <v>3214</v>
      </c>
      <c r="B1238" s="79" t="s">
        <v>3215</v>
      </c>
      <c r="C1238" s="79">
        <v>596904845</v>
      </c>
      <c r="D1238" s="79">
        <v>0</v>
      </c>
      <c r="E1238" s="79" t="s">
        <v>1124</v>
      </c>
      <c r="F1238" s="79" t="s">
        <v>2539</v>
      </c>
      <c r="G1238" s="79" t="s">
        <v>1131</v>
      </c>
      <c r="H1238" s="79" t="s">
        <v>1132</v>
      </c>
      <c r="I1238" s="79"/>
    </row>
    <row r="1239" spans="1:9" ht="14.25">
      <c r="A1239" s="79" t="s">
        <v>3214</v>
      </c>
      <c r="B1239" s="79" t="s">
        <v>3215</v>
      </c>
      <c r="C1239" s="79">
        <v>596904845</v>
      </c>
      <c r="D1239" s="79">
        <v>0</v>
      </c>
      <c r="E1239" s="79" t="s">
        <v>1124</v>
      </c>
      <c r="F1239" s="79" t="s">
        <v>2539</v>
      </c>
      <c r="G1239" s="79" t="s">
        <v>2578</v>
      </c>
      <c r="H1239" s="79"/>
      <c r="I1239" s="79"/>
    </row>
    <row r="1240" spans="1:9" ht="14.25">
      <c r="A1240" s="79" t="s">
        <v>3216</v>
      </c>
      <c r="B1240" s="79" t="s">
        <v>3217</v>
      </c>
      <c r="C1240" s="79">
        <v>596905445</v>
      </c>
      <c r="D1240" s="79">
        <v>0</v>
      </c>
      <c r="E1240" s="79" t="s">
        <v>1124</v>
      </c>
      <c r="F1240" s="79" t="s">
        <v>2539</v>
      </c>
      <c r="G1240" s="79" t="s">
        <v>2546</v>
      </c>
      <c r="H1240" s="79" t="s">
        <v>2547</v>
      </c>
      <c r="I1240" s="79"/>
    </row>
    <row r="1241" spans="1:9" ht="14.25">
      <c r="A1241" s="79" t="s">
        <v>3216</v>
      </c>
      <c r="B1241" s="79" t="s">
        <v>3217</v>
      </c>
      <c r="C1241" s="79">
        <v>596905445</v>
      </c>
      <c r="D1241" s="79">
        <v>0</v>
      </c>
      <c r="E1241" s="79" t="s">
        <v>1124</v>
      </c>
      <c r="F1241" s="79" t="s">
        <v>2539</v>
      </c>
      <c r="G1241" s="79" t="s">
        <v>2581</v>
      </c>
      <c r="H1241" s="79"/>
      <c r="I1241" s="79"/>
    </row>
    <row r="1242" spans="1:9" ht="14.25">
      <c r="A1242" s="79" t="s">
        <v>3218</v>
      </c>
      <c r="B1242" s="79" t="s">
        <v>3219</v>
      </c>
      <c r="C1242" s="79">
        <v>596948045</v>
      </c>
      <c r="D1242" s="79">
        <v>0</v>
      </c>
      <c r="E1242" s="79" t="s">
        <v>1124</v>
      </c>
      <c r="F1242" s="79" t="s">
        <v>2539</v>
      </c>
      <c r="G1242" s="79" t="s">
        <v>1130</v>
      </c>
      <c r="H1242" s="79"/>
      <c r="I1242" s="79"/>
    </row>
    <row r="1243" spans="1:9" ht="14.25">
      <c r="A1243" s="79" t="s">
        <v>3218</v>
      </c>
      <c r="B1243" s="79" t="s">
        <v>3219</v>
      </c>
      <c r="C1243" s="79">
        <v>596948045</v>
      </c>
      <c r="D1243" s="79">
        <v>0</v>
      </c>
      <c r="E1243" s="79" t="s">
        <v>1124</v>
      </c>
      <c r="F1243" s="79" t="s">
        <v>2539</v>
      </c>
      <c r="G1243" s="79" t="s">
        <v>1131</v>
      </c>
      <c r="H1243" s="79" t="s">
        <v>1132</v>
      </c>
      <c r="I1243" s="79"/>
    </row>
    <row r="1244" spans="1:9" ht="14.25">
      <c r="A1244" s="79" t="s">
        <v>3218</v>
      </c>
      <c r="B1244" s="79" t="s">
        <v>3219</v>
      </c>
      <c r="C1244" s="79">
        <v>596948045</v>
      </c>
      <c r="D1244" s="79">
        <v>0</v>
      </c>
      <c r="E1244" s="79" t="s">
        <v>1124</v>
      </c>
      <c r="F1244" s="79" t="s">
        <v>2539</v>
      </c>
      <c r="G1244" s="79" t="s">
        <v>2578</v>
      </c>
      <c r="H1244" s="79"/>
      <c r="I1244" s="79"/>
    </row>
    <row r="1245" spans="1:9" ht="14.25">
      <c r="A1245" s="79" t="s">
        <v>3220</v>
      </c>
      <c r="B1245" s="79" t="s">
        <v>3221</v>
      </c>
      <c r="C1245" s="79">
        <v>596948645</v>
      </c>
      <c r="D1245" s="79">
        <v>0</v>
      </c>
      <c r="E1245" s="79" t="s">
        <v>1124</v>
      </c>
      <c r="F1245" s="79" t="s">
        <v>2539</v>
      </c>
      <c r="G1245" s="79" t="s">
        <v>2546</v>
      </c>
      <c r="H1245" s="79" t="s">
        <v>2547</v>
      </c>
      <c r="I1245" s="79"/>
    </row>
    <row r="1246" spans="1:9" ht="14.25">
      <c r="A1246" s="79" t="s">
        <v>3220</v>
      </c>
      <c r="B1246" s="79" t="s">
        <v>3221</v>
      </c>
      <c r="C1246" s="79">
        <v>596948645</v>
      </c>
      <c r="D1246" s="79">
        <v>0</v>
      </c>
      <c r="E1246" s="79" t="s">
        <v>1124</v>
      </c>
      <c r="F1246" s="79" t="s">
        <v>2539</v>
      </c>
      <c r="G1246" s="79" t="s">
        <v>2581</v>
      </c>
      <c r="H1246" s="79"/>
      <c r="I1246" s="79"/>
    </row>
    <row r="1247" spans="1:9" ht="14.25">
      <c r="A1247" s="79" t="s">
        <v>3222</v>
      </c>
      <c r="B1247" s="79" t="s">
        <v>3223</v>
      </c>
      <c r="C1247" s="79">
        <v>596991245</v>
      </c>
      <c r="D1247" s="79">
        <v>0</v>
      </c>
      <c r="E1247" s="79" t="s">
        <v>1124</v>
      </c>
      <c r="F1247" s="79" t="s">
        <v>2539</v>
      </c>
      <c r="G1247" s="79" t="s">
        <v>1130</v>
      </c>
      <c r="H1247" s="79"/>
      <c r="I1247" s="79"/>
    </row>
    <row r="1248" spans="1:9" ht="14.25">
      <c r="A1248" s="79" t="s">
        <v>3222</v>
      </c>
      <c r="B1248" s="79" t="s">
        <v>3223</v>
      </c>
      <c r="C1248" s="79">
        <v>596991245</v>
      </c>
      <c r="D1248" s="79">
        <v>0</v>
      </c>
      <c r="E1248" s="79" t="s">
        <v>1124</v>
      </c>
      <c r="F1248" s="79" t="s">
        <v>2539</v>
      </c>
      <c r="G1248" s="79" t="s">
        <v>1131</v>
      </c>
      <c r="H1248" s="79" t="s">
        <v>1132</v>
      </c>
      <c r="I1248" s="79"/>
    </row>
    <row r="1249" spans="1:9" ht="14.25">
      <c r="A1249" s="79" t="s">
        <v>3222</v>
      </c>
      <c r="B1249" s="79" t="s">
        <v>3223</v>
      </c>
      <c r="C1249" s="79">
        <v>596991245</v>
      </c>
      <c r="D1249" s="79">
        <v>0</v>
      </c>
      <c r="E1249" s="79" t="s">
        <v>1124</v>
      </c>
      <c r="F1249" s="79" t="s">
        <v>2539</v>
      </c>
      <c r="G1249" s="79" t="s">
        <v>2578</v>
      </c>
      <c r="H1249" s="79"/>
      <c r="I1249" s="79"/>
    </row>
    <row r="1250" spans="1:9" ht="14.25">
      <c r="A1250" s="79" t="s">
        <v>3224</v>
      </c>
      <c r="B1250" s="79" t="s">
        <v>3225</v>
      </c>
      <c r="C1250" s="79">
        <v>596991845</v>
      </c>
      <c r="D1250" s="79">
        <v>0</v>
      </c>
      <c r="E1250" s="79" t="s">
        <v>1124</v>
      </c>
      <c r="F1250" s="79" t="s">
        <v>2539</v>
      </c>
      <c r="G1250" s="79" t="s">
        <v>2546</v>
      </c>
      <c r="H1250" s="79" t="s">
        <v>2547</v>
      </c>
      <c r="I1250" s="79"/>
    </row>
    <row r="1251" spans="1:9" ht="14.25">
      <c r="A1251" s="79" t="s">
        <v>3224</v>
      </c>
      <c r="B1251" s="79" t="s">
        <v>3225</v>
      </c>
      <c r="C1251" s="79">
        <v>596991845</v>
      </c>
      <c r="D1251" s="79">
        <v>0</v>
      </c>
      <c r="E1251" s="79" t="s">
        <v>1124</v>
      </c>
      <c r="F1251" s="79" t="s">
        <v>2539</v>
      </c>
      <c r="G1251" s="79" t="s">
        <v>2581</v>
      </c>
      <c r="H1251" s="79"/>
      <c r="I1251" s="79"/>
    </row>
    <row r="1252" spans="1:9" ht="14.25">
      <c r="A1252" s="79" t="s">
        <v>3226</v>
      </c>
      <c r="B1252" s="79" t="s">
        <v>3227</v>
      </c>
      <c r="C1252" s="79">
        <v>597034445</v>
      </c>
      <c r="D1252" s="79">
        <v>0</v>
      </c>
      <c r="E1252" s="79" t="s">
        <v>1124</v>
      </c>
      <c r="F1252" s="79" t="s">
        <v>2539</v>
      </c>
      <c r="G1252" s="79" t="s">
        <v>1130</v>
      </c>
      <c r="H1252" s="79"/>
      <c r="I1252" s="79"/>
    </row>
    <row r="1253" spans="1:9" ht="14.25">
      <c r="A1253" s="79" t="s">
        <v>3226</v>
      </c>
      <c r="B1253" s="79" t="s">
        <v>3227</v>
      </c>
      <c r="C1253" s="79">
        <v>597034445</v>
      </c>
      <c r="D1253" s="79">
        <v>0</v>
      </c>
      <c r="E1253" s="79" t="s">
        <v>1124</v>
      </c>
      <c r="F1253" s="79" t="s">
        <v>2539</v>
      </c>
      <c r="G1253" s="79" t="s">
        <v>1131</v>
      </c>
      <c r="H1253" s="79" t="s">
        <v>1132</v>
      </c>
      <c r="I1253" s="79"/>
    </row>
    <row r="1254" spans="1:9" ht="14.25">
      <c r="A1254" s="79" t="s">
        <v>3226</v>
      </c>
      <c r="B1254" s="79" t="s">
        <v>3227</v>
      </c>
      <c r="C1254" s="79">
        <v>597034445</v>
      </c>
      <c r="D1254" s="79">
        <v>0</v>
      </c>
      <c r="E1254" s="79" t="s">
        <v>1124</v>
      </c>
      <c r="F1254" s="79" t="s">
        <v>2539</v>
      </c>
      <c r="G1254" s="79" t="s">
        <v>2578</v>
      </c>
      <c r="H1254" s="79"/>
      <c r="I1254" s="79"/>
    </row>
    <row r="1255" spans="1:9" ht="14.25">
      <c r="A1255" s="79" t="s">
        <v>3228</v>
      </c>
      <c r="B1255" s="79" t="s">
        <v>3229</v>
      </c>
      <c r="C1255" s="79">
        <v>597035045</v>
      </c>
      <c r="D1255" s="79">
        <v>0</v>
      </c>
      <c r="E1255" s="79" t="s">
        <v>1124</v>
      </c>
      <c r="F1255" s="79" t="s">
        <v>2539</v>
      </c>
      <c r="G1255" s="79" t="s">
        <v>2546</v>
      </c>
      <c r="H1255" s="79" t="s">
        <v>2547</v>
      </c>
      <c r="I1255" s="79"/>
    </row>
    <row r="1256" spans="1:9" ht="14.25">
      <c r="A1256" s="79" t="s">
        <v>3228</v>
      </c>
      <c r="B1256" s="79" t="s">
        <v>3229</v>
      </c>
      <c r="C1256" s="79">
        <v>597035045</v>
      </c>
      <c r="D1256" s="79">
        <v>0</v>
      </c>
      <c r="E1256" s="79" t="s">
        <v>1124</v>
      </c>
      <c r="F1256" s="79" t="s">
        <v>2539</v>
      </c>
      <c r="G1256" s="79" t="s">
        <v>2581</v>
      </c>
      <c r="H1256" s="79"/>
      <c r="I1256" s="79"/>
    </row>
    <row r="1257" spans="1:9" ht="14.25">
      <c r="A1257" s="79" t="s">
        <v>3230</v>
      </c>
      <c r="B1257" s="79" t="s">
        <v>3231</v>
      </c>
      <c r="C1257" s="79">
        <v>597077645</v>
      </c>
      <c r="D1257" s="79">
        <v>0</v>
      </c>
      <c r="E1257" s="79" t="s">
        <v>1124</v>
      </c>
      <c r="F1257" s="79" t="s">
        <v>2539</v>
      </c>
      <c r="G1257" s="79" t="s">
        <v>1130</v>
      </c>
      <c r="H1257" s="79"/>
      <c r="I1257" s="79"/>
    </row>
    <row r="1258" spans="1:9" ht="14.25">
      <c r="A1258" s="79" t="s">
        <v>3230</v>
      </c>
      <c r="B1258" s="79" t="s">
        <v>3231</v>
      </c>
      <c r="C1258" s="79">
        <v>597077645</v>
      </c>
      <c r="D1258" s="79">
        <v>0</v>
      </c>
      <c r="E1258" s="79" t="s">
        <v>1124</v>
      </c>
      <c r="F1258" s="79" t="s">
        <v>2539</v>
      </c>
      <c r="G1258" s="79" t="s">
        <v>1131</v>
      </c>
      <c r="H1258" s="79" t="s">
        <v>1132</v>
      </c>
      <c r="I1258" s="79"/>
    </row>
    <row r="1259" spans="1:9" ht="14.25">
      <c r="A1259" s="79" t="s">
        <v>3230</v>
      </c>
      <c r="B1259" s="79" t="s">
        <v>3231</v>
      </c>
      <c r="C1259" s="79">
        <v>597077645</v>
      </c>
      <c r="D1259" s="79">
        <v>0</v>
      </c>
      <c r="E1259" s="79" t="s">
        <v>1124</v>
      </c>
      <c r="F1259" s="79" t="s">
        <v>2539</v>
      </c>
      <c r="G1259" s="79" t="s">
        <v>2578</v>
      </c>
      <c r="H1259" s="79"/>
      <c r="I1259" s="79"/>
    </row>
    <row r="1260" spans="1:9" ht="14.25">
      <c r="A1260" s="79" t="s">
        <v>3232</v>
      </c>
      <c r="B1260" s="79" t="s">
        <v>3233</v>
      </c>
      <c r="C1260" s="79">
        <v>597078245</v>
      </c>
      <c r="D1260" s="79">
        <v>0</v>
      </c>
      <c r="E1260" s="79" t="s">
        <v>1124</v>
      </c>
      <c r="F1260" s="79" t="s">
        <v>2539</v>
      </c>
      <c r="G1260" s="79" t="s">
        <v>2546</v>
      </c>
      <c r="H1260" s="79" t="s">
        <v>2547</v>
      </c>
      <c r="I1260" s="79"/>
    </row>
    <row r="1261" spans="1:9" ht="14.25">
      <c r="A1261" s="79" t="s">
        <v>3232</v>
      </c>
      <c r="B1261" s="79" t="s">
        <v>3233</v>
      </c>
      <c r="C1261" s="79">
        <v>597078245</v>
      </c>
      <c r="D1261" s="79">
        <v>0</v>
      </c>
      <c r="E1261" s="79" t="s">
        <v>1124</v>
      </c>
      <c r="F1261" s="79" t="s">
        <v>2539</v>
      </c>
      <c r="G1261" s="79" t="s">
        <v>2581</v>
      </c>
      <c r="H1261" s="79"/>
      <c r="I1261" s="79"/>
    </row>
    <row r="1262" spans="1:9" ht="14.25">
      <c r="A1262" s="79" t="s">
        <v>3234</v>
      </c>
      <c r="B1262" s="79" t="s">
        <v>3235</v>
      </c>
      <c r="C1262" s="79">
        <v>597120845</v>
      </c>
      <c r="D1262" s="79">
        <v>0</v>
      </c>
      <c r="E1262" s="79" t="s">
        <v>1124</v>
      </c>
      <c r="F1262" s="79" t="s">
        <v>2539</v>
      </c>
      <c r="G1262" s="79" t="s">
        <v>1130</v>
      </c>
      <c r="H1262" s="79"/>
      <c r="I1262" s="79"/>
    </row>
    <row r="1263" spans="1:9" ht="14.25">
      <c r="A1263" s="79" t="s">
        <v>3234</v>
      </c>
      <c r="B1263" s="79" t="s">
        <v>3235</v>
      </c>
      <c r="C1263" s="79">
        <v>597120845</v>
      </c>
      <c r="D1263" s="79">
        <v>0</v>
      </c>
      <c r="E1263" s="79" t="s">
        <v>1124</v>
      </c>
      <c r="F1263" s="79" t="s">
        <v>2539</v>
      </c>
      <c r="G1263" s="79" t="s">
        <v>1131</v>
      </c>
      <c r="H1263" s="79" t="s">
        <v>1132</v>
      </c>
      <c r="I1263" s="79"/>
    </row>
    <row r="1264" spans="1:9" ht="14.25">
      <c r="A1264" s="79" t="s">
        <v>3234</v>
      </c>
      <c r="B1264" s="79" t="s">
        <v>3235</v>
      </c>
      <c r="C1264" s="79">
        <v>597120845</v>
      </c>
      <c r="D1264" s="79">
        <v>0</v>
      </c>
      <c r="E1264" s="79" t="s">
        <v>1124</v>
      </c>
      <c r="F1264" s="79" t="s">
        <v>2539</v>
      </c>
      <c r="G1264" s="79" t="s">
        <v>2578</v>
      </c>
      <c r="H1264" s="79"/>
      <c r="I1264" s="79"/>
    </row>
    <row r="1265" spans="1:9" ht="14.25">
      <c r="A1265" s="79" t="s">
        <v>3236</v>
      </c>
      <c r="B1265" s="79" t="s">
        <v>3237</v>
      </c>
      <c r="C1265" s="79">
        <v>597121445</v>
      </c>
      <c r="D1265" s="79">
        <v>0</v>
      </c>
      <c r="E1265" s="79" t="s">
        <v>1124</v>
      </c>
      <c r="F1265" s="79" t="s">
        <v>2539</v>
      </c>
      <c r="G1265" s="79" t="s">
        <v>2546</v>
      </c>
      <c r="H1265" s="79" t="s">
        <v>2547</v>
      </c>
      <c r="I1265" s="79"/>
    </row>
    <row r="1266" spans="1:9" ht="14.25">
      <c r="A1266" s="79" t="s">
        <v>3236</v>
      </c>
      <c r="B1266" s="79" t="s">
        <v>3237</v>
      </c>
      <c r="C1266" s="79">
        <v>597121445</v>
      </c>
      <c r="D1266" s="79">
        <v>0</v>
      </c>
      <c r="E1266" s="79" t="s">
        <v>1124</v>
      </c>
      <c r="F1266" s="79" t="s">
        <v>2539</v>
      </c>
      <c r="G1266" s="79" t="s">
        <v>2581</v>
      </c>
      <c r="H1266" s="79"/>
      <c r="I1266" s="79"/>
    </row>
    <row r="1267" spans="1:9" ht="14.25">
      <c r="A1267" s="79" t="s">
        <v>3238</v>
      </c>
      <c r="B1267" s="79" t="s">
        <v>3239</v>
      </c>
      <c r="C1267" s="79">
        <v>597164045</v>
      </c>
      <c r="D1267" s="79">
        <v>0</v>
      </c>
      <c r="E1267" s="79" t="s">
        <v>1124</v>
      </c>
      <c r="F1267" s="79" t="s">
        <v>2539</v>
      </c>
      <c r="G1267" s="79" t="s">
        <v>1130</v>
      </c>
      <c r="H1267" s="79"/>
      <c r="I1267" s="79"/>
    </row>
    <row r="1268" spans="1:9" ht="14.25">
      <c r="A1268" s="79" t="s">
        <v>3238</v>
      </c>
      <c r="B1268" s="79" t="s">
        <v>3239</v>
      </c>
      <c r="C1268" s="79">
        <v>597164045</v>
      </c>
      <c r="D1268" s="79">
        <v>0</v>
      </c>
      <c r="E1268" s="79" t="s">
        <v>1124</v>
      </c>
      <c r="F1268" s="79" t="s">
        <v>2539</v>
      </c>
      <c r="G1268" s="79" t="s">
        <v>2109</v>
      </c>
      <c r="H1268" s="79"/>
      <c r="I1268" s="79"/>
    </row>
    <row r="1269" spans="1:9" ht="14.25">
      <c r="A1269" s="79" t="s">
        <v>3240</v>
      </c>
      <c r="B1269" s="79" t="s">
        <v>3241</v>
      </c>
      <c r="C1269" s="79">
        <v>597164048</v>
      </c>
      <c r="D1269" s="79">
        <v>0</v>
      </c>
      <c r="E1269" s="79" t="s">
        <v>1124</v>
      </c>
      <c r="F1269" s="79" t="s">
        <v>2539</v>
      </c>
      <c r="G1269" s="79" t="s">
        <v>1130</v>
      </c>
      <c r="H1269" s="79"/>
      <c r="I1269" s="79"/>
    </row>
    <row r="1270" spans="1:9" ht="14.25">
      <c r="A1270" s="79" t="s">
        <v>3240</v>
      </c>
      <c r="B1270" s="79" t="s">
        <v>3241</v>
      </c>
      <c r="C1270" s="79">
        <v>597164048</v>
      </c>
      <c r="D1270" s="79">
        <v>0</v>
      </c>
      <c r="E1270" s="79" t="s">
        <v>1124</v>
      </c>
      <c r="F1270" s="79" t="s">
        <v>2539</v>
      </c>
      <c r="G1270" s="79" t="s">
        <v>2572</v>
      </c>
      <c r="H1270" s="79" t="s">
        <v>2573</v>
      </c>
      <c r="I1270" s="79"/>
    </row>
    <row r="1271" spans="1:9" ht="14.25">
      <c r="A1271" s="79" t="s">
        <v>3240</v>
      </c>
      <c r="B1271" s="79" t="s">
        <v>3241</v>
      </c>
      <c r="C1271" s="79">
        <v>597164048</v>
      </c>
      <c r="D1271" s="79">
        <v>0</v>
      </c>
      <c r="E1271" s="79" t="s">
        <v>1124</v>
      </c>
      <c r="F1271" s="79" t="s">
        <v>2539</v>
      </c>
      <c r="G1271" s="79" t="s">
        <v>2568</v>
      </c>
      <c r="H1271" s="79"/>
      <c r="I1271" s="79"/>
    </row>
    <row r="1272" spans="1:9" ht="14.25">
      <c r="A1272" s="79" t="s">
        <v>3242</v>
      </c>
      <c r="B1272" s="79" t="s">
        <v>3243</v>
      </c>
      <c r="C1272" s="79">
        <v>597164408</v>
      </c>
      <c r="D1272" s="79">
        <v>0</v>
      </c>
      <c r="E1272" s="79" t="s">
        <v>1124</v>
      </c>
      <c r="F1272" s="79" t="s">
        <v>2539</v>
      </c>
      <c r="G1272" s="79" t="s">
        <v>2576</v>
      </c>
      <c r="H1272" s="79"/>
      <c r="I1272" s="79"/>
    </row>
    <row r="1273" spans="1:9" ht="14.25">
      <c r="A1273" s="79" t="s">
        <v>3242</v>
      </c>
      <c r="B1273" s="79" t="s">
        <v>3243</v>
      </c>
      <c r="C1273" s="79">
        <v>597164408</v>
      </c>
      <c r="D1273" s="79">
        <v>0</v>
      </c>
      <c r="E1273" s="79" t="s">
        <v>1124</v>
      </c>
      <c r="F1273" s="79" t="s">
        <v>2539</v>
      </c>
      <c r="G1273" s="79" t="s">
        <v>2577</v>
      </c>
      <c r="H1273" s="79"/>
      <c r="I1273" s="79"/>
    </row>
    <row r="1274" spans="1:9" ht="14.25">
      <c r="A1274" s="79" t="s">
        <v>3242</v>
      </c>
      <c r="B1274" s="79" t="s">
        <v>3243</v>
      </c>
      <c r="C1274" s="79">
        <v>597164408</v>
      </c>
      <c r="D1274" s="79">
        <v>0</v>
      </c>
      <c r="E1274" s="79" t="s">
        <v>1124</v>
      </c>
      <c r="F1274" s="79" t="s">
        <v>2539</v>
      </c>
      <c r="G1274" s="79" t="s">
        <v>1131</v>
      </c>
      <c r="H1274" s="79" t="s">
        <v>1132</v>
      </c>
      <c r="I1274" s="79"/>
    </row>
    <row r="1275" spans="1:9" ht="14.25">
      <c r="A1275" s="79" t="s">
        <v>3242</v>
      </c>
      <c r="B1275" s="79" t="s">
        <v>3243</v>
      </c>
      <c r="C1275" s="79">
        <v>597164408</v>
      </c>
      <c r="D1275" s="79">
        <v>0</v>
      </c>
      <c r="E1275" s="79" t="s">
        <v>1124</v>
      </c>
      <c r="F1275" s="79" t="s">
        <v>2539</v>
      </c>
      <c r="G1275" s="79" t="s">
        <v>2578</v>
      </c>
      <c r="H1275" s="79"/>
      <c r="I1275" s="79"/>
    </row>
    <row r="1276" spans="1:9" ht="14.25">
      <c r="A1276" s="79" t="s">
        <v>3244</v>
      </c>
      <c r="B1276" s="79" t="s">
        <v>3245</v>
      </c>
      <c r="C1276" s="79">
        <v>597165008</v>
      </c>
      <c r="D1276" s="79">
        <v>0</v>
      </c>
      <c r="E1276" s="79" t="s">
        <v>1124</v>
      </c>
      <c r="F1276" s="79" t="s">
        <v>2539</v>
      </c>
      <c r="G1276" s="79" t="s">
        <v>2546</v>
      </c>
      <c r="H1276" s="79" t="s">
        <v>2547</v>
      </c>
      <c r="I1276" s="79"/>
    </row>
    <row r="1277" spans="1:9" ht="14.25">
      <c r="A1277" s="79" t="s">
        <v>3244</v>
      </c>
      <c r="B1277" s="79" t="s">
        <v>3245</v>
      </c>
      <c r="C1277" s="79">
        <v>597165008</v>
      </c>
      <c r="D1277" s="79">
        <v>0</v>
      </c>
      <c r="E1277" s="79" t="s">
        <v>1124</v>
      </c>
      <c r="F1277" s="79" t="s">
        <v>2539</v>
      </c>
      <c r="G1277" s="79" t="s">
        <v>2581</v>
      </c>
      <c r="H1277" s="79"/>
      <c r="I1277" s="79"/>
    </row>
    <row r="1278" spans="1:9" ht="14.25">
      <c r="A1278" s="79" t="s">
        <v>3246</v>
      </c>
      <c r="B1278" s="79" t="s">
        <v>3247</v>
      </c>
      <c r="C1278" s="79">
        <v>597207608</v>
      </c>
      <c r="D1278" s="79">
        <v>0</v>
      </c>
      <c r="E1278" s="79" t="s">
        <v>1124</v>
      </c>
      <c r="F1278" s="79" t="s">
        <v>2539</v>
      </c>
      <c r="G1278" s="79" t="s">
        <v>1130</v>
      </c>
      <c r="H1278" s="79"/>
      <c r="I1278" s="79"/>
    </row>
    <row r="1279" spans="1:9" ht="14.25">
      <c r="A1279" s="79" t="s">
        <v>3246</v>
      </c>
      <c r="B1279" s="79" t="s">
        <v>3247</v>
      </c>
      <c r="C1279" s="79">
        <v>597207608</v>
      </c>
      <c r="D1279" s="79">
        <v>0</v>
      </c>
      <c r="E1279" s="79" t="s">
        <v>1124</v>
      </c>
      <c r="F1279" s="79" t="s">
        <v>2539</v>
      </c>
      <c r="G1279" s="79" t="s">
        <v>1131</v>
      </c>
      <c r="H1279" s="79" t="s">
        <v>1132</v>
      </c>
      <c r="I1279" s="79"/>
    </row>
    <row r="1280" spans="1:9" ht="14.25">
      <c r="A1280" s="79" t="s">
        <v>3246</v>
      </c>
      <c r="B1280" s="79" t="s">
        <v>3247</v>
      </c>
      <c r="C1280" s="79">
        <v>597207608</v>
      </c>
      <c r="D1280" s="79">
        <v>0</v>
      </c>
      <c r="E1280" s="79" t="s">
        <v>1124</v>
      </c>
      <c r="F1280" s="79" t="s">
        <v>2539</v>
      </c>
      <c r="G1280" s="79" t="s">
        <v>2578</v>
      </c>
      <c r="H1280" s="79"/>
      <c r="I1280" s="79"/>
    </row>
    <row r="1281" spans="1:9" ht="14.25">
      <c r="A1281" s="79" t="s">
        <v>3248</v>
      </c>
      <c r="B1281" s="79" t="s">
        <v>3249</v>
      </c>
      <c r="C1281" s="79">
        <v>597208208</v>
      </c>
      <c r="D1281" s="79">
        <v>0</v>
      </c>
      <c r="E1281" s="79" t="s">
        <v>1124</v>
      </c>
      <c r="F1281" s="79" t="s">
        <v>2539</v>
      </c>
      <c r="G1281" s="79" t="s">
        <v>2546</v>
      </c>
      <c r="H1281" s="79" t="s">
        <v>2547</v>
      </c>
      <c r="I1281" s="79"/>
    </row>
    <row r="1282" spans="1:9" ht="14.25">
      <c r="A1282" s="79" t="s">
        <v>3248</v>
      </c>
      <c r="B1282" s="79" t="s">
        <v>3249</v>
      </c>
      <c r="C1282" s="79">
        <v>597208208</v>
      </c>
      <c r="D1282" s="79">
        <v>0</v>
      </c>
      <c r="E1282" s="79" t="s">
        <v>1124</v>
      </c>
      <c r="F1282" s="79" t="s">
        <v>2539</v>
      </c>
      <c r="G1282" s="79" t="s">
        <v>2581</v>
      </c>
      <c r="H1282" s="79"/>
      <c r="I1282" s="79"/>
    </row>
    <row r="1283" spans="1:9" ht="14.25">
      <c r="A1283" s="79" t="s">
        <v>3250</v>
      </c>
      <c r="B1283" s="79" t="s">
        <v>3251</v>
      </c>
      <c r="C1283" s="79">
        <v>597250808</v>
      </c>
      <c r="D1283" s="79">
        <v>0</v>
      </c>
      <c r="E1283" s="79" t="s">
        <v>1124</v>
      </c>
      <c r="F1283" s="79" t="s">
        <v>2539</v>
      </c>
      <c r="G1283" s="79" t="s">
        <v>1130</v>
      </c>
      <c r="H1283" s="79"/>
      <c r="I1283" s="79"/>
    </row>
    <row r="1284" spans="1:9" ht="14.25">
      <c r="A1284" s="79" t="s">
        <v>3250</v>
      </c>
      <c r="B1284" s="79" t="s">
        <v>3251</v>
      </c>
      <c r="C1284" s="79">
        <v>597250808</v>
      </c>
      <c r="D1284" s="79">
        <v>0</v>
      </c>
      <c r="E1284" s="79" t="s">
        <v>1124</v>
      </c>
      <c r="F1284" s="79" t="s">
        <v>2539</v>
      </c>
      <c r="G1284" s="79" t="s">
        <v>1131</v>
      </c>
      <c r="H1284" s="79" t="s">
        <v>1132</v>
      </c>
      <c r="I1284" s="79"/>
    </row>
    <row r="1285" spans="1:9" ht="14.25">
      <c r="A1285" s="79" t="s">
        <v>3250</v>
      </c>
      <c r="B1285" s="79" t="s">
        <v>3251</v>
      </c>
      <c r="C1285" s="79">
        <v>597250808</v>
      </c>
      <c r="D1285" s="79">
        <v>0</v>
      </c>
      <c r="E1285" s="79" t="s">
        <v>1124</v>
      </c>
      <c r="F1285" s="79" t="s">
        <v>2539</v>
      </c>
      <c r="G1285" s="79" t="s">
        <v>2578</v>
      </c>
      <c r="H1285" s="79"/>
      <c r="I1285" s="79"/>
    </row>
    <row r="1286" spans="1:9" ht="14.25">
      <c r="A1286" s="79" t="s">
        <v>3252</v>
      </c>
      <c r="B1286" s="79" t="s">
        <v>3253</v>
      </c>
      <c r="C1286" s="79">
        <v>597251408</v>
      </c>
      <c r="D1286" s="79">
        <v>0</v>
      </c>
      <c r="E1286" s="79" t="s">
        <v>1124</v>
      </c>
      <c r="F1286" s="79" t="s">
        <v>2539</v>
      </c>
      <c r="G1286" s="79" t="s">
        <v>2546</v>
      </c>
      <c r="H1286" s="79" t="s">
        <v>2547</v>
      </c>
      <c r="I1286" s="79"/>
    </row>
    <row r="1287" spans="1:9" ht="14.25">
      <c r="A1287" s="79" t="s">
        <v>3252</v>
      </c>
      <c r="B1287" s="79" t="s">
        <v>3253</v>
      </c>
      <c r="C1287" s="79">
        <v>597251408</v>
      </c>
      <c r="D1287" s="79">
        <v>0</v>
      </c>
      <c r="E1287" s="79" t="s">
        <v>1124</v>
      </c>
      <c r="F1287" s="79" t="s">
        <v>2539</v>
      </c>
      <c r="G1287" s="79" t="s">
        <v>2581</v>
      </c>
      <c r="H1287" s="79"/>
      <c r="I1287" s="79"/>
    </row>
    <row r="1288" spans="1:9" ht="14.25">
      <c r="A1288" s="79" t="s">
        <v>3254</v>
      </c>
      <c r="B1288" s="79" t="s">
        <v>3255</v>
      </c>
      <c r="C1288" s="79">
        <v>597294008</v>
      </c>
      <c r="D1288" s="79">
        <v>0</v>
      </c>
      <c r="E1288" s="79" t="s">
        <v>1124</v>
      </c>
      <c r="F1288" s="79" t="s">
        <v>2539</v>
      </c>
      <c r="G1288" s="79" t="s">
        <v>1130</v>
      </c>
      <c r="H1288" s="79"/>
      <c r="I1288" s="79"/>
    </row>
    <row r="1289" spans="1:9" ht="14.25">
      <c r="A1289" s="79" t="s">
        <v>3254</v>
      </c>
      <c r="B1289" s="79" t="s">
        <v>3255</v>
      </c>
      <c r="C1289" s="79">
        <v>597294008</v>
      </c>
      <c r="D1289" s="79">
        <v>0</v>
      </c>
      <c r="E1289" s="79" t="s">
        <v>1124</v>
      </c>
      <c r="F1289" s="79" t="s">
        <v>2539</v>
      </c>
      <c r="G1289" s="79" t="s">
        <v>1131</v>
      </c>
      <c r="H1289" s="79" t="s">
        <v>1132</v>
      </c>
      <c r="I1289" s="79"/>
    </row>
    <row r="1290" spans="1:9" ht="14.25">
      <c r="A1290" s="79" t="s">
        <v>3254</v>
      </c>
      <c r="B1290" s="79" t="s">
        <v>3255</v>
      </c>
      <c r="C1290" s="79">
        <v>597294008</v>
      </c>
      <c r="D1290" s="79">
        <v>0</v>
      </c>
      <c r="E1290" s="79" t="s">
        <v>1124</v>
      </c>
      <c r="F1290" s="79" t="s">
        <v>2539</v>
      </c>
      <c r="G1290" s="79" t="s">
        <v>2578</v>
      </c>
      <c r="H1290" s="79"/>
      <c r="I1290" s="79"/>
    </row>
    <row r="1291" spans="1:9" ht="14.25">
      <c r="A1291" s="79" t="s">
        <v>3256</v>
      </c>
      <c r="B1291" s="79" t="s">
        <v>3257</v>
      </c>
      <c r="C1291" s="79">
        <v>597294608</v>
      </c>
      <c r="D1291" s="79">
        <v>0</v>
      </c>
      <c r="E1291" s="79" t="s">
        <v>1124</v>
      </c>
      <c r="F1291" s="79" t="s">
        <v>2539</v>
      </c>
      <c r="G1291" s="79" t="s">
        <v>2546</v>
      </c>
      <c r="H1291" s="79" t="s">
        <v>2547</v>
      </c>
      <c r="I1291" s="79"/>
    </row>
    <row r="1292" spans="1:9" ht="14.25">
      <c r="A1292" s="79" t="s">
        <v>3256</v>
      </c>
      <c r="B1292" s="79" t="s">
        <v>3257</v>
      </c>
      <c r="C1292" s="79">
        <v>597294608</v>
      </c>
      <c r="D1292" s="79">
        <v>0</v>
      </c>
      <c r="E1292" s="79" t="s">
        <v>1124</v>
      </c>
      <c r="F1292" s="79" t="s">
        <v>2539</v>
      </c>
      <c r="G1292" s="79" t="s">
        <v>2581</v>
      </c>
      <c r="H1292" s="79"/>
      <c r="I1292" s="79"/>
    </row>
    <row r="1293" spans="1:9" ht="14.25">
      <c r="A1293" s="79" t="s">
        <v>3258</v>
      </c>
      <c r="B1293" s="79" t="s">
        <v>3259</v>
      </c>
      <c r="C1293" s="79">
        <v>597337208</v>
      </c>
      <c r="D1293" s="79">
        <v>0</v>
      </c>
      <c r="E1293" s="79" t="s">
        <v>1124</v>
      </c>
      <c r="F1293" s="79" t="s">
        <v>2539</v>
      </c>
      <c r="G1293" s="79" t="s">
        <v>1130</v>
      </c>
      <c r="H1293" s="79"/>
      <c r="I1293" s="79"/>
    </row>
    <row r="1294" spans="1:9" ht="14.25">
      <c r="A1294" s="79" t="s">
        <v>3258</v>
      </c>
      <c r="B1294" s="79" t="s">
        <v>3259</v>
      </c>
      <c r="C1294" s="79">
        <v>597337208</v>
      </c>
      <c r="D1294" s="79">
        <v>0</v>
      </c>
      <c r="E1294" s="79" t="s">
        <v>1124</v>
      </c>
      <c r="F1294" s="79" t="s">
        <v>2539</v>
      </c>
      <c r="G1294" s="79" t="s">
        <v>1131</v>
      </c>
      <c r="H1294" s="79" t="s">
        <v>1132</v>
      </c>
      <c r="I1294" s="79"/>
    </row>
    <row r="1295" spans="1:9" ht="14.25">
      <c r="A1295" s="79" t="s">
        <v>3258</v>
      </c>
      <c r="B1295" s="79" t="s">
        <v>3259</v>
      </c>
      <c r="C1295" s="79">
        <v>597337208</v>
      </c>
      <c r="D1295" s="79">
        <v>0</v>
      </c>
      <c r="E1295" s="79" t="s">
        <v>1124</v>
      </c>
      <c r="F1295" s="79" t="s">
        <v>2539</v>
      </c>
      <c r="G1295" s="79" t="s">
        <v>2578</v>
      </c>
      <c r="H1295" s="79"/>
      <c r="I1295" s="79"/>
    </row>
    <row r="1296" spans="1:9" ht="14.25">
      <c r="A1296" s="79" t="s">
        <v>3260</v>
      </c>
      <c r="B1296" s="79" t="s">
        <v>3261</v>
      </c>
      <c r="C1296" s="79">
        <v>597337808</v>
      </c>
      <c r="D1296" s="79">
        <v>0</v>
      </c>
      <c r="E1296" s="79" t="s">
        <v>1124</v>
      </c>
      <c r="F1296" s="79" t="s">
        <v>2539</v>
      </c>
      <c r="G1296" s="79" t="s">
        <v>2546</v>
      </c>
      <c r="H1296" s="79" t="s">
        <v>2547</v>
      </c>
      <c r="I1296" s="79"/>
    </row>
    <row r="1297" spans="1:9" ht="14.25">
      <c r="A1297" s="79" t="s">
        <v>3260</v>
      </c>
      <c r="B1297" s="79" t="s">
        <v>3261</v>
      </c>
      <c r="C1297" s="79">
        <v>597337808</v>
      </c>
      <c r="D1297" s="79">
        <v>0</v>
      </c>
      <c r="E1297" s="79" t="s">
        <v>1124</v>
      </c>
      <c r="F1297" s="79" t="s">
        <v>2539</v>
      </c>
      <c r="G1297" s="79" t="s">
        <v>2581</v>
      </c>
      <c r="H1297" s="79"/>
      <c r="I1297" s="79"/>
    </row>
    <row r="1298" spans="1:9" ht="14.25">
      <c r="A1298" s="79" t="s">
        <v>3262</v>
      </c>
      <c r="B1298" s="79" t="s">
        <v>3263</v>
      </c>
      <c r="C1298" s="79">
        <v>597380408</v>
      </c>
      <c r="D1298" s="79">
        <v>0</v>
      </c>
      <c r="E1298" s="79" t="s">
        <v>1124</v>
      </c>
      <c r="F1298" s="79" t="s">
        <v>2539</v>
      </c>
      <c r="G1298" s="79" t="s">
        <v>1130</v>
      </c>
      <c r="H1298" s="79"/>
      <c r="I1298" s="79"/>
    </row>
    <row r="1299" spans="1:9" ht="14.25">
      <c r="A1299" s="79" t="s">
        <v>3262</v>
      </c>
      <c r="B1299" s="79" t="s">
        <v>3263</v>
      </c>
      <c r="C1299" s="79">
        <v>597380408</v>
      </c>
      <c r="D1299" s="79">
        <v>0</v>
      </c>
      <c r="E1299" s="79" t="s">
        <v>1124</v>
      </c>
      <c r="F1299" s="79" t="s">
        <v>2539</v>
      </c>
      <c r="G1299" s="79" t="s">
        <v>1131</v>
      </c>
      <c r="H1299" s="79" t="s">
        <v>1132</v>
      </c>
      <c r="I1299" s="79"/>
    </row>
    <row r="1300" spans="1:9" ht="14.25">
      <c r="A1300" s="79" t="s">
        <v>3262</v>
      </c>
      <c r="B1300" s="79" t="s">
        <v>3263</v>
      </c>
      <c r="C1300" s="79">
        <v>597380408</v>
      </c>
      <c r="D1300" s="79">
        <v>0</v>
      </c>
      <c r="E1300" s="79" t="s">
        <v>1124</v>
      </c>
      <c r="F1300" s="79" t="s">
        <v>2539</v>
      </c>
      <c r="G1300" s="79" t="s">
        <v>2578</v>
      </c>
      <c r="H1300" s="79"/>
      <c r="I1300" s="79"/>
    </row>
    <row r="1301" spans="1:9" ht="14.25">
      <c r="A1301" s="79" t="s">
        <v>3264</v>
      </c>
      <c r="B1301" s="79" t="s">
        <v>3265</v>
      </c>
      <c r="C1301" s="79">
        <v>597381008</v>
      </c>
      <c r="D1301" s="79">
        <v>0</v>
      </c>
      <c r="E1301" s="79" t="s">
        <v>1124</v>
      </c>
      <c r="F1301" s="79" t="s">
        <v>2539</v>
      </c>
      <c r="G1301" s="79" t="s">
        <v>2546</v>
      </c>
      <c r="H1301" s="79" t="s">
        <v>2547</v>
      </c>
      <c r="I1301" s="79"/>
    </row>
    <row r="1302" spans="1:9" ht="14.25">
      <c r="A1302" s="79" t="s">
        <v>3264</v>
      </c>
      <c r="B1302" s="79" t="s">
        <v>3265</v>
      </c>
      <c r="C1302" s="79">
        <v>597381008</v>
      </c>
      <c r="D1302" s="79">
        <v>0</v>
      </c>
      <c r="E1302" s="79" t="s">
        <v>1124</v>
      </c>
      <c r="F1302" s="79" t="s">
        <v>2539</v>
      </c>
      <c r="G1302" s="79" t="s">
        <v>2581</v>
      </c>
      <c r="H1302" s="79"/>
      <c r="I1302" s="79"/>
    </row>
    <row r="1303" spans="1:9" ht="14.25">
      <c r="A1303" s="79" t="s">
        <v>3266</v>
      </c>
      <c r="B1303" s="79" t="s">
        <v>3267</v>
      </c>
      <c r="C1303" s="79">
        <v>597423608</v>
      </c>
      <c r="D1303" s="79">
        <v>0</v>
      </c>
      <c r="E1303" s="79" t="s">
        <v>1124</v>
      </c>
      <c r="F1303" s="79" t="s">
        <v>2539</v>
      </c>
      <c r="G1303" s="79" t="s">
        <v>1130</v>
      </c>
      <c r="H1303" s="79"/>
      <c r="I1303" s="79"/>
    </row>
    <row r="1304" spans="1:9" ht="14.25">
      <c r="A1304" s="79" t="s">
        <v>3266</v>
      </c>
      <c r="B1304" s="79" t="s">
        <v>3267</v>
      </c>
      <c r="C1304" s="79">
        <v>597423608</v>
      </c>
      <c r="D1304" s="79">
        <v>0</v>
      </c>
      <c r="E1304" s="79" t="s">
        <v>1124</v>
      </c>
      <c r="F1304" s="79" t="s">
        <v>2539</v>
      </c>
      <c r="G1304" s="79" t="s">
        <v>1131</v>
      </c>
      <c r="H1304" s="79" t="s">
        <v>1132</v>
      </c>
      <c r="I1304" s="79"/>
    </row>
    <row r="1305" spans="1:9" ht="14.25">
      <c r="A1305" s="79" t="s">
        <v>3266</v>
      </c>
      <c r="B1305" s="79" t="s">
        <v>3267</v>
      </c>
      <c r="C1305" s="79">
        <v>597423608</v>
      </c>
      <c r="D1305" s="79">
        <v>0</v>
      </c>
      <c r="E1305" s="79" t="s">
        <v>1124</v>
      </c>
      <c r="F1305" s="79" t="s">
        <v>2539</v>
      </c>
      <c r="G1305" s="79" t="s">
        <v>2578</v>
      </c>
      <c r="H1305" s="79"/>
      <c r="I1305" s="79"/>
    </row>
    <row r="1306" spans="1:9" ht="14.25">
      <c r="A1306" s="79" t="s">
        <v>3268</v>
      </c>
      <c r="B1306" s="79" t="s">
        <v>3269</v>
      </c>
      <c r="C1306" s="79">
        <v>597424208</v>
      </c>
      <c r="D1306" s="79">
        <v>0</v>
      </c>
      <c r="E1306" s="79" t="s">
        <v>1124</v>
      </c>
      <c r="F1306" s="79" t="s">
        <v>2539</v>
      </c>
      <c r="G1306" s="79" t="s">
        <v>2546</v>
      </c>
      <c r="H1306" s="79" t="s">
        <v>2547</v>
      </c>
      <c r="I1306" s="79"/>
    </row>
    <row r="1307" spans="1:9" ht="14.25">
      <c r="A1307" s="79" t="s">
        <v>3268</v>
      </c>
      <c r="B1307" s="79" t="s">
        <v>3269</v>
      </c>
      <c r="C1307" s="79">
        <v>597424208</v>
      </c>
      <c r="D1307" s="79">
        <v>0</v>
      </c>
      <c r="E1307" s="79" t="s">
        <v>1124</v>
      </c>
      <c r="F1307" s="79" t="s">
        <v>2539</v>
      </c>
      <c r="G1307" s="79" t="s">
        <v>2581</v>
      </c>
      <c r="H1307" s="79"/>
      <c r="I1307" s="79"/>
    </row>
    <row r="1308" spans="1:9" ht="14.25">
      <c r="A1308" s="79" t="s">
        <v>3270</v>
      </c>
      <c r="B1308" s="79" t="s">
        <v>3271</v>
      </c>
      <c r="C1308" s="79">
        <v>597466808</v>
      </c>
      <c r="D1308" s="79">
        <v>0</v>
      </c>
      <c r="E1308" s="79" t="s">
        <v>1124</v>
      </c>
      <c r="F1308" s="79" t="s">
        <v>2539</v>
      </c>
      <c r="G1308" s="79" t="s">
        <v>1130</v>
      </c>
      <c r="H1308" s="79"/>
      <c r="I1308" s="79"/>
    </row>
    <row r="1309" spans="1:9" ht="14.25">
      <c r="A1309" s="79" t="s">
        <v>3270</v>
      </c>
      <c r="B1309" s="79" t="s">
        <v>3271</v>
      </c>
      <c r="C1309" s="79">
        <v>597466808</v>
      </c>
      <c r="D1309" s="79">
        <v>0</v>
      </c>
      <c r="E1309" s="79" t="s">
        <v>1124</v>
      </c>
      <c r="F1309" s="79" t="s">
        <v>2539</v>
      </c>
      <c r="G1309" s="79" t="s">
        <v>1131</v>
      </c>
      <c r="H1309" s="79" t="s">
        <v>1132</v>
      </c>
      <c r="I1309" s="79"/>
    </row>
    <row r="1310" spans="1:9" ht="14.25">
      <c r="A1310" s="79" t="s">
        <v>3270</v>
      </c>
      <c r="B1310" s="79" t="s">
        <v>3271</v>
      </c>
      <c r="C1310" s="79">
        <v>597466808</v>
      </c>
      <c r="D1310" s="79">
        <v>0</v>
      </c>
      <c r="E1310" s="79" t="s">
        <v>1124</v>
      </c>
      <c r="F1310" s="79" t="s">
        <v>2539</v>
      </c>
      <c r="G1310" s="79" t="s">
        <v>2578</v>
      </c>
      <c r="H1310" s="79"/>
      <c r="I1310" s="79"/>
    </row>
    <row r="1311" spans="1:9" ht="14.25">
      <c r="A1311" s="79" t="s">
        <v>3272</v>
      </c>
      <c r="B1311" s="79" t="s">
        <v>3273</v>
      </c>
      <c r="C1311" s="79">
        <v>597467408</v>
      </c>
      <c r="D1311" s="79">
        <v>0</v>
      </c>
      <c r="E1311" s="79" t="s">
        <v>1124</v>
      </c>
      <c r="F1311" s="79" t="s">
        <v>2539</v>
      </c>
      <c r="G1311" s="79" t="s">
        <v>2546</v>
      </c>
      <c r="H1311" s="79" t="s">
        <v>2547</v>
      </c>
      <c r="I1311" s="79"/>
    </row>
    <row r="1312" spans="1:9" ht="14.25">
      <c r="A1312" s="79" t="s">
        <v>3272</v>
      </c>
      <c r="B1312" s="79" t="s">
        <v>3273</v>
      </c>
      <c r="C1312" s="79">
        <v>597467408</v>
      </c>
      <c r="D1312" s="79">
        <v>0</v>
      </c>
      <c r="E1312" s="79" t="s">
        <v>1124</v>
      </c>
      <c r="F1312" s="79" t="s">
        <v>2539</v>
      </c>
      <c r="G1312" s="79" t="s">
        <v>2581</v>
      </c>
      <c r="H1312" s="79"/>
      <c r="I1312" s="79"/>
    </row>
    <row r="1313" spans="1:9" ht="14.25">
      <c r="A1313" s="79" t="s">
        <v>3274</v>
      </c>
      <c r="B1313" s="79" t="s">
        <v>3275</v>
      </c>
      <c r="C1313" s="79">
        <v>597510008</v>
      </c>
      <c r="D1313" s="79">
        <v>0</v>
      </c>
      <c r="E1313" s="79" t="s">
        <v>1124</v>
      </c>
      <c r="F1313" s="79" t="s">
        <v>2539</v>
      </c>
      <c r="G1313" s="79" t="s">
        <v>1130</v>
      </c>
      <c r="H1313" s="79"/>
      <c r="I1313" s="79"/>
    </row>
    <row r="1314" spans="1:9" ht="14.25">
      <c r="A1314" s="79" t="s">
        <v>3274</v>
      </c>
      <c r="B1314" s="79" t="s">
        <v>3275</v>
      </c>
      <c r="C1314" s="79">
        <v>597510008</v>
      </c>
      <c r="D1314" s="79">
        <v>0</v>
      </c>
      <c r="E1314" s="79" t="s">
        <v>1124</v>
      </c>
      <c r="F1314" s="79" t="s">
        <v>2539</v>
      </c>
      <c r="G1314" s="79" t="s">
        <v>1131</v>
      </c>
      <c r="H1314" s="79" t="s">
        <v>1132</v>
      </c>
      <c r="I1314" s="79"/>
    </row>
    <row r="1315" spans="1:9" ht="14.25">
      <c r="A1315" s="79" t="s">
        <v>3274</v>
      </c>
      <c r="B1315" s="79" t="s">
        <v>3275</v>
      </c>
      <c r="C1315" s="79">
        <v>597510008</v>
      </c>
      <c r="D1315" s="79">
        <v>0</v>
      </c>
      <c r="E1315" s="79" t="s">
        <v>1124</v>
      </c>
      <c r="F1315" s="79" t="s">
        <v>2539</v>
      </c>
      <c r="G1315" s="79" t="s">
        <v>2578</v>
      </c>
      <c r="H1315" s="79"/>
      <c r="I1315" s="79"/>
    </row>
    <row r="1316" spans="1:9" ht="14.25">
      <c r="A1316" s="79" t="s">
        <v>3276</v>
      </c>
      <c r="B1316" s="79" t="s">
        <v>3277</v>
      </c>
      <c r="C1316" s="79">
        <v>597510608</v>
      </c>
      <c r="D1316" s="79">
        <v>0</v>
      </c>
      <c r="E1316" s="79" t="s">
        <v>1124</v>
      </c>
      <c r="F1316" s="79" t="s">
        <v>2539</v>
      </c>
      <c r="G1316" s="79" t="s">
        <v>2546</v>
      </c>
      <c r="H1316" s="79" t="s">
        <v>2547</v>
      </c>
      <c r="I1316" s="79"/>
    </row>
    <row r="1317" spans="1:9" ht="14.25">
      <c r="A1317" s="79" t="s">
        <v>3276</v>
      </c>
      <c r="B1317" s="79" t="s">
        <v>3277</v>
      </c>
      <c r="C1317" s="79">
        <v>597510608</v>
      </c>
      <c r="D1317" s="79">
        <v>0</v>
      </c>
      <c r="E1317" s="79" t="s">
        <v>1124</v>
      </c>
      <c r="F1317" s="79" t="s">
        <v>2539</v>
      </c>
      <c r="G1317" s="79" t="s">
        <v>2581</v>
      </c>
      <c r="H1317" s="79"/>
      <c r="I1317" s="79"/>
    </row>
    <row r="1318" spans="1:9" ht="14.25">
      <c r="A1318" s="79" t="s">
        <v>3278</v>
      </c>
      <c r="B1318" s="79" t="s">
        <v>3279</v>
      </c>
      <c r="C1318" s="79">
        <v>597553208</v>
      </c>
      <c r="D1318" s="79">
        <v>0</v>
      </c>
      <c r="E1318" s="79" t="s">
        <v>1124</v>
      </c>
      <c r="F1318" s="79" t="s">
        <v>2539</v>
      </c>
      <c r="G1318" s="79" t="s">
        <v>1130</v>
      </c>
      <c r="H1318" s="79"/>
      <c r="I1318" s="79"/>
    </row>
    <row r="1319" spans="1:9" ht="14.25">
      <c r="A1319" s="79" t="s">
        <v>3278</v>
      </c>
      <c r="B1319" s="79" t="s">
        <v>3279</v>
      </c>
      <c r="C1319" s="79">
        <v>597553208</v>
      </c>
      <c r="D1319" s="79">
        <v>0</v>
      </c>
      <c r="E1319" s="79" t="s">
        <v>1124</v>
      </c>
      <c r="F1319" s="79" t="s">
        <v>2539</v>
      </c>
      <c r="G1319" s="79" t="s">
        <v>1131</v>
      </c>
      <c r="H1319" s="79" t="s">
        <v>1132</v>
      </c>
      <c r="I1319" s="79"/>
    </row>
    <row r="1320" spans="1:9" ht="14.25">
      <c r="A1320" s="79" t="s">
        <v>3278</v>
      </c>
      <c r="B1320" s="79" t="s">
        <v>3279</v>
      </c>
      <c r="C1320" s="79">
        <v>597553208</v>
      </c>
      <c r="D1320" s="79">
        <v>0</v>
      </c>
      <c r="E1320" s="79" t="s">
        <v>1124</v>
      </c>
      <c r="F1320" s="79" t="s">
        <v>2539</v>
      </c>
      <c r="G1320" s="79" t="s">
        <v>2578</v>
      </c>
      <c r="H1320" s="79"/>
      <c r="I1320" s="79"/>
    </row>
    <row r="1321" spans="1:9" ht="14.25">
      <c r="A1321" s="79" t="s">
        <v>3280</v>
      </c>
      <c r="B1321" s="79" t="s">
        <v>3281</v>
      </c>
      <c r="C1321" s="79">
        <v>597553808</v>
      </c>
      <c r="D1321" s="79">
        <v>0</v>
      </c>
      <c r="E1321" s="79" t="s">
        <v>1124</v>
      </c>
      <c r="F1321" s="79" t="s">
        <v>2539</v>
      </c>
      <c r="G1321" s="79" t="s">
        <v>2546</v>
      </c>
      <c r="H1321" s="79" t="s">
        <v>2547</v>
      </c>
      <c r="I1321" s="79"/>
    </row>
    <row r="1322" spans="1:9" ht="14.25">
      <c r="A1322" s="79" t="s">
        <v>3280</v>
      </c>
      <c r="B1322" s="79" t="s">
        <v>3281</v>
      </c>
      <c r="C1322" s="79">
        <v>597553808</v>
      </c>
      <c r="D1322" s="79">
        <v>0</v>
      </c>
      <c r="E1322" s="79" t="s">
        <v>1124</v>
      </c>
      <c r="F1322" s="79" t="s">
        <v>2539</v>
      </c>
      <c r="G1322" s="79" t="s">
        <v>2581</v>
      </c>
      <c r="H1322" s="79"/>
      <c r="I1322" s="79"/>
    </row>
    <row r="1323" spans="1:9" ht="14.25">
      <c r="A1323" s="79" t="s">
        <v>3282</v>
      </c>
      <c r="B1323" s="79" t="s">
        <v>3283</v>
      </c>
      <c r="C1323" s="79">
        <v>597596408</v>
      </c>
      <c r="D1323" s="79">
        <v>0</v>
      </c>
      <c r="E1323" s="79" t="s">
        <v>1124</v>
      </c>
      <c r="F1323" s="79" t="s">
        <v>2539</v>
      </c>
      <c r="G1323" s="79" t="s">
        <v>1130</v>
      </c>
      <c r="H1323" s="79"/>
      <c r="I1323" s="79"/>
    </row>
    <row r="1324" spans="1:9" ht="14.25">
      <c r="A1324" s="79" t="s">
        <v>3282</v>
      </c>
      <c r="B1324" s="79" t="s">
        <v>3283</v>
      </c>
      <c r="C1324" s="79">
        <v>597596408</v>
      </c>
      <c r="D1324" s="79">
        <v>0</v>
      </c>
      <c r="E1324" s="79" t="s">
        <v>1124</v>
      </c>
      <c r="F1324" s="79" t="s">
        <v>2539</v>
      </c>
      <c r="G1324" s="79" t="s">
        <v>1131</v>
      </c>
      <c r="H1324" s="79" t="s">
        <v>1132</v>
      </c>
      <c r="I1324" s="79"/>
    </row>
    <row r="1325" spans="1:9" ht="14.25">
      <c r="A1325" s="79" t="s">
        <v>3282</v>
      </c>
      <c r="B1325" s="79" t="s">
        <v>3283</v>
      </c>
      <c r="C1325" s="79">
        <v>597596408</v>
      </c>
      <c r="D1325" s="79">
        <v>0</v>
      </c>
      <c r="E1325" s="79" t="s">
        <v>1124</v>
      </c>
      <c r="F1325" s="79" t="s">
        <v>2539</v>
      </c>
      <c r="G1325" s="79" t="s">
        <v>2578</v>
      </c>
      <c r="H1325" s="79"/>
      <c r="I1325" s="79"/>
    </row>
    <row r="1326" spans="1:9" ht="14.25">
      <c r="A1326" s="79" t="s">
        <v>3284</v>
      </c>
      <c r="B1326" s="79" t="s">
        <v>3285</v>
      </c>
      <c r="C1326" s="79">
        <v>597597008</v>
      </c>
      <c r="D1326" s="79">
        <v>0</v>
      </c>
      <c r="E1326" s="79" t="s">
        <v>1124</v>
      </c>
      <c r="F1326" s="79" t="s">
        <v>2539</v>
      </c>
      <c r="G1326" s="79" t="s">
        <v>2546</v>
      </c>
      <c r="H1326" s="79" t="s">
        <v>2547</v>
      </c>
      <c r="I1326" s="79"/>
    </row>
    <row r="1327" spans="1:9" ht="14.25">
      <c r="A1327" s="79" t="s">
        <v>3284</v>
      </c>
      <c r="B1327" s="79" t="s">
        <v>3285</v>
      </c>
      <c r="C1327" s="79">
        <v>597597008</v>
      </c>
      <c r="D1327" s="79">
        <v>0</v>
      </c>
      <c r="E1327" s="79" t="s">
        <v>1124</v>
      </c>
      <c r="F1327" s="79" t="s">
        <v>2539</v>
      </c>
      <c r="G1327" s="79" t="s">
        <v>2581</v>
      </c>
      <c r="H1327" s="79"/>
      <c r="I1327" s="79"/>
    </row>
    <row r="1328" spans="1:9" ht="14.25">
      <c r="A1328" s="79" t="s">
        <v>3286</v>
      </c>
      <c r="B1328" s="79" t="s">
        <v>3287</v>
      </c>
      <c r="C1328" s="79">
        <v>597639608</v>
      </c>
      <c r="D1328" s="79">
        <v>0</v>
      </c>
      <c r="E1328" s="79" t="s">
        <v>1124</v>
      </c>
      <c r="F1328" s="79" t="s">
        <v>2539</v>
      </c>
      <c r="G1328" s="79" t="s">
        <v>1130</v>
      </c>
      <c r="H1328" s="79"/>
      <c r="I1328" s="79"/>
    </row>
    <row r="1329" spans="1:9" ht="14.25">
      <c r="A1329" s="79" t="s">
        <v>3286</v>
      </c>
      <c r="B1329" s="79" t="s">
        <v>3287</v>
      </c>
      <c r="C1329" s="79">
        <v>597639608</v>
      </c>
      <c r="D1329" s="79">
        <v>0</v>
      </c>
      <c r="E1329" s="79" t="s">
        <v>1124</v>
      </c>
      <c r="F1329" s="79" t="s">
        <v>2539</v>
      </c>
      <c r="G1329" s="79" t="s">
        <v>1131</v>
      </c>
      <c r="H1329" s="79" t="s">
        <v>1132</v>
      </c>
      <c r="I1329" s="79"/>
    </row>
    <row r="1330" spans="1:9" ht="14.25">
      <c r="A1330" s="79" t="s">
        <v>3286</v>
      </c>
      <c r="B1330" s="79" t="s">
        <v>3287</v>
      </c>
      <c r="C1330" s="79">
        <v>597639608</v>
      </c>
      <c r="D1330" s="79">
        <v>0</v>
      </c>
      <c r="E1330" s="79" t="s">
        <v>1124</v>
      </c>
      <c r="F1330" s="79" t="s">
        <v>2539</v>
      </c>
      <c r="G1330" s="79" t="s">
        <v>2578</v>
      </c>
      <c r="H1330" s="79"/>
      <c r="I1330" s="79"/>
    </row>
    <row r="1331" spans="1:9" ht="14.25">
      <c r="A1331" s="79" t="s">
        <v>3288</v>
      </c>
      <c r="B1331" s="79" t="s">
        <v>3289</v>
      </c>
      <c r="C1331" s="79">
        <v>597640208</v>
      </c>
      <c r="D1331" s="79">
        <v>0</v>
      </c>
      <c r="E1331" s="79" t="s">
        <v>1124</v>
      </c>
      <c r="F1331" s="79" t="s">
        <v>2539</v>
      </c>
      <c r="G1331" s="79" t="s">
        <v>2546</v>
      </c>
      <c r="H1331" s="79" t="s">
        <v>2547</v>
      </c>
      <c r="I1331" s="79"/>
    </row>
    <row r="1332" spans="1:9" ht="14.25">
      <c r="A1332" s="79" t="s">
        <v>3288</v>
      </c>
      <c r="B1332" s="79" t="s">
        <v>3289</v>
      </c>
      <c r="C1332" s="79">
        <v>597640208</v>
      </c>
      <c r="D1332" s="79">
        <v>0</v>
      </c>
      <c r="E1332" s="79" t="s">
        <v>1124</v>
      </c>
      <c r="F1332" s="79" t="s">
        <v>2539</v>
      </c>
      <c r="G1332" s="79" t="s">
        <v>2581</v>
      </c>
      <c r="H1332" s="79"/>
      <c r="I1332" s="79"/>
    </row>
    <row r="1333" spans="1:9" ht="14.25">
      <c r="A1333" s="79" t="s">
        <v>3290</v>
      </c>
      <c r="B1333" s="79" t="s">
        <v>3291</v>
      </c>
      <c r="C1333" s="79">
        <v>597682808</v>
      </c>
      <c r="D1333" s="79">
        <v>0</v>
      </c>
      <c r="E1333" s="79" t="s">
        <v>1124</v>
      </c>
      <c r="F1333" s="79" t="s">
        <v>2539</v>
      </c>
      <c r="G1333" s="79" t="s">
        <v>1130</v>
      </c>
      <c r="H1333" s="79"/>
      <c r="I1333" s="79"/>
    </row>
    <row r="1334" spans="1:9" ht="14.25">
      <c r="A1334" s="79" t="s">
        <v>3290</v>
      </c>
      <c r="B1334" s="79" t="s">
        <v>3291</v>
      </c>
      <c r="C1334" s="79">
        <v>597682808</v>
      </c>
      <c r="D1334" s="79">
        <v>0</v>
      </c>
      <c r="E1334" s="79" t="s">
        <v>1124</v>
      </c>
      <c r="F1334" s="79" t="s">
        <v>2539</v>
      </c>
      <c r="G1334" s="79" t="s">
        <v>1131</v>
      </c>
      <c r="H1334" s="79" t="s">
        <v>1132</v>
      </c>
      <c r="I1334" s="79"/>
    </row>
    <row r="1335" spans="1:9" ht="14.25">
      <c r="A1335" s="79" t="s">
        <v>3290</v>
      </c>
      <c r="B1335" s="79" t="s">
        <v>3291</v>
      </c>
      <c r="C1335" s="79">
        <v>597682808</v>
      </c>
      <c r="D1335" s="79">
        <v>0</v>
      </c>
      <c r="E1335" s="79" t="s">
        <v>1124</v>
      </c>
      <c r="F1335" s="79" t="s">
        <v>2539</v>
      </c>
      <c r="G1335" s="79" t="s">
        <v>2578</v>
      </c>
      <c r="H1335" s="79"/>
      <c r="I1335" s="79"/>
    </row>
    <row r="1336" spans="1:9" ht="14.25">
      <c r="A1336" s="79" t="s">
        <v>3292</v>
      </c>
      <c r="B1336" s="79" t="s">
        <v>3293</v>
      </c>
      <c r="C1336" s="79">
        <v>597683408</v>
      </c>
      <c r="D1336" s="79">
        <v>0</v>
      </c>
      <c r="E1336" s="79" t="s">
        <v>1124</v>
      </c>
      <c r="F1336" s="79" t="s">
        <v>2539</v>
      </c>
      <c r="G1336" s="79" t="s">
        <v>2546</v>
      </c>
      <c r="H1336" s="79" t="s">
        <v>2547</v>
      </c>
      <c r="I1336" s="79"/>
    </row>
    <row r="1337" spans="1:9" ht="14.25">
      <c r="A1337" s="79" t="s">
        <v>3292</v>
      </c>
      <c r="B1337" s="79" t="s">
        <v>3293</v>
      </c>
      <c r="C1337" s="79">
        <v>597683408</v>
      </c>
      <c r="D1337" s="79">
        <v>0</v>
      </c>
      <c r="E1337" s="79" t="s">
        <v>1124</v>
      </c>
      <c r="F1337" s="79" t="s">
        <v>2539</v>
      </c>
      <c r="G1337" s="79" t="s">
        <v>2581</v>
      </c>
      <c r="H1337" s="79"/>
      <c r="I1337" s="79"/>
    </row>
    <row r="1338" spans="1:9" ht="14.25">
      <c r="A1338" s="79" t="s">
        <v>3294</v>
      </c>
      <c r="B1338" s="79" t="s">
        <v>3295</v>
      </c>
      <c r="C1338" s="79">
        <v>597726008</v>
      </c>
      <c r="D1338" s="79">
        <v>0</v>
      </c>
      <c r="E1338" s="79" t="s">
        <v>1124</v>
      </c>
      <c r="F1338" s="79" t="s">
        <v>2539</v>
      </c>
      <c r="G1338" s="79" t="s">
        <v>1130</v>
      </c>
      <c r="H1338" s="79"/>
      <c r="I1338" s="79"/>
    </row>
    <row r="1339" spans="1:9" ht="14.25">
      <c r="A1339" s="79" t="s">
        <v>3294</v>
      </c>
      <c r="B1339" s="79" t="s">
        <v>3295</v>
      </c>
      <c r="C1339" s="79">
        <v>597726008</v>
      </c>
      <c r="D1339" s="79">
        <v>0</v>
      </c>
      <c r="E1339" s="79" t="s">
        <v>1124</v>
      </c>
      <c r="F1339" s="79" t="s">
        <v>2539</v>
      </c>
      <c r="G1339" s="79" t="s">
        <v>1131</v>
      </c>
      <c r="H1339" s="79" t="s">
        <v>1132</v>
      </c>
      <c r="I1339" s="79"/>
    </row>
    <row r="1340" spans="1:9" ht="14.25">
      <c r="A1340" s="79" t="s">
        <v>3294</v>
      </c>
      <c r="B1340" s="79" t="s">
        <v>3295</v>
      </c>
      <c r="C1340" s="79">
        <v>597726008</v>
      </c>
      <c r="D1340" s="79">
        <v>0</v>
      </c>
      <c r="E1340" s="79" t="s">
        <v>1124</v>
      </c>
      <c r="F1340" s="79" t="s">
        <v>2539</v>
      </c>
      <c r="G1340" s="79" t="s">
        <v>2578</v>
      </c>
      <c r="H1340" s="79"/>
      <c r="I1340" s="79"/>
    </row>
    <row r="1341" spans="1:9" ht="14.25">
      <c r="A1341" s="79" t="s">
        <v>3296</v>
      </c>
      <c r="B1341" s="79" t="s">
        <v>3297</v>
      </c>
      <c r="C1341" s="79">
        <v>597726608</v>
      </c>
      <c r="D1341" s="79">
        <v>0</v>
      </c>
      <c r="E1341" s="79" t="s">
        <v>1124</v>
      </c>
      <c r="F1341" s="79" t="s">
        <v>2539</v>
      </c>
      <c r="G1341" s="79" t="s">
        <v>2546</v>
      </c>
      <c r="H1341" s="79" t="s">
        <v>2547</v>
      </c>
      <c r="I1341" s="79"/>
    </row>
    <row r="1342" spans="1:9" ht="14.25">
      <c r="A1342" s="79" t="s">
        <v>3296</v>
      </c>
      <c r="B1342" s="79" t="s">
        <v>3297</v>
      </c>
      <c r="C1342" s="79">
        <v>597726608</v>
      </c>
      <c r="D1342" s="79">
        <v>0</v>
      </c>
      <c r="E1342" s="79" t="s">
        <v>1124</v>
      </c>
      <c r="F1342" s="79" t="s">
        <v>2539</v>
      </c>
      <c r="G1342" s="79" t="s">
        <v>2581</v>
      </c>
      <c r="H1342" s="79"/>
      <c r="I1342" s="79"/>
    </row>
    <row r="1343" spans="1:9" ht="14.25">
      <c r="A1343" s="79" t="s">
        <v>3298</v>
      </c>
      <c r="B1343" s="79" t="s">
        <v>3299</v>
      </c>
      <c r="C1343" s="79">
        <v>597769208</v>
      </c>
      <c r="D1343" s="79">
        <v>0</v>
      </c>
      <c r="E1343" s="79" t="s">
        <v>1124</v>
      </c>
      <c r="F1343" s="79" t="s">
        <v>2539</v>
      </c>
      <c r="G1343" s="79" t="s">
        <v>1130</v>
      </c>
      <c r="H1343" s="79"/>
      <c r="I1343" s="79"/>
    </row>
    <row r="1344" spans="1:9" ht="14.25">
      <c r="A1344" s="79" t="s">
        <v>3298</v>
      </c>
      <c r="B1344" s="79" t="s">
        <v>3299</v>
      </c>
      <c r="C1344" s="79">
        <v>597769208</v>
      </c>
      <c r="D1344" s="79">
        <v>0</v>
      </c>
      <c r="E1344" s="79" t="s">
        <v>1124</v>
      </c>
      <c r="F1344" s="79" t="s">
        <v>2539</v>
      </c>
      <c r="G1344" s="79" t="s">
        <v>1131</v>
      </c>
      <c r="H1344" s="79" t="s">
        <v>1132</v>
      </c>
      <c r="I1344" s="79"/>
    </row>
    <row r="1345" spans="1:9" ht="14.25">
      <c r="A1345" s="79" t="s">
        <v>3298</v>
      </c>
      <c r="B1345" s="79" t="s">
        <v>3299</v>
      </c>
      <c r="C1345" s="79">
        <v>597769208</v>
      </c>
      <c r="D1345" s="79">
        <v>0</v>
      </c>
      <c r="E1345" s="79" t="s">
        <v>1124</v>
      </c>
      <c r="F1345" s="79" t="s">
        <v>2539</v>
      </c>
      <c r="G1345" s="79" t="s">
        <v>2578</v>
      </c>
      <c r="H1345" s="79"/>
      <c r="I1345" s="79"/>
    </row>
    <row r="1346" spans="1:9" ht="14.25">
      <c r="A1346" s="79" t="s">
        <v>3300</v>
      </c>
      <c r="B1346" s="79" t="s">
        <v>3301</v>
      </c>
      <c r="C1346" s="79">
        <v>597769808</v>
      </c>
      <c r="D1346" s="79">
        <v>0</v>
      </c>
      <c r="E1346" s="79" t="s">
        <v>1124</v>
      </c>
      <c r="F1346" s="79" t="s">
        <v>2539</v>
      </c>
      <c r="G1346" s="79" t="s">
        <v>2546</v>
      </c>
      <c r="H1346" s="79" t="s">
        <v>2547</v>
      </c>
      <c r="I1346" s="79"/>
    </row>
    <row r="1347" spans="1:9" ht="14.25">
      <c r="A1347" s="79" t="s">
        <v>3300</v>
      </c>
      <c r="B1347" s="79" t="s">
        <v>3301</v>
      </c>
      <c r="C1347" s="79">
        <v>597769808</v>
      </c>
      <c r="D1347" s="79">
        <v>0</v>
      </c>
      <c r="E1347" s="79" t="s">
        <v>1124</v>
      </c>
      <c r="F1347" s="79" t="s">
        <v>2539</v>
      </c>
      <c r="G1347" s="79" t="s">
        <v>2581</v>
      </c>
      <c r="H1347" s="79"/>
      <c r="I1347" s="79"/>
    </row>
    <row r="1348" spans="1:9" ht="14.25">
      <c r="A1348" s="79" t="s">
        <v>3302</v>
      </c>
      <c r="B1348" s="79" t="s">
        <v>3303</v>
      </c>
      <c r="C1348" s="79">
        <v>597812408</v>
      </c>
      <c r="D1348" s="79">
        <v>0</v>
      </c>
      <c r="E1348" s="79" t="s">
        <v>1124</v>
      </c>
      <c r="F1348" s="79" t="s">
        <v>2539</v>
      </c>
      <c r="G1348" s="79" t="s">
        <v>1130</v>
      </c>
      <c r="H1348" s="79"/>
      <c r="I1348" s="79"/>
    </row>
    <row r="1349" spans="1:9" ht="14.25">
      <c r="A1349" s="79" t="s">
        <v>3302</v>
      </c>
      <c r="B1349" s="79" t="s">
        <v>3303</v>
      </c>
      <c r="C1349" s="79">
        <v>597812408</v>
      </c>
      <c r="D1349" s="79">
        <v>0</v>
      </c>
      <c r="E1349" s="79" t="s">
        <v>1124</v>
      </c>
      <c r="F1349" s="79" t="s">
        <v>2539</v>
      </c>
      <c r="G1349" s="79" t="s">
        <v>1131</v>
      </c>
      <c r="H1349" s="79" t="s">
        <v>1132</v>
      </c>
      <c r="I1349" s="79"/>
    </row>
    <row r="1350" spans="1:9" ht="14.25">
      <c r="A1350" s="79" t="s">
        <v>3302</v>
      </c>
      <c r="B1350" s="79" t="s">
        <v>3303</v>
      </c>
      <c r="C1350" s="79">
        <v>597812408</v>
      </c>
      <c r="D1350" s="79">
        <v>0</v>
      </c>
      <c r="E1350" s="79" t="s">
        <v>1124</v>
      </c>
      <c r="F1350" s="79" t="s">
        <v>2539</v>
      </c>
      <c r="G1350" s="79" t="s">
        <v>2578</v>
      </c>
      <c r="H1350" s="79"/>
      <c r="I1350" s="79"/>
    </row>
    <row r="1351" spans="1:9" ht="14.25">
      <c r="A1351" s="79" t="s">
        <v>3304</v>
      </c>
      <c r="B1351" s="79" t="s">
        <v>3305</v>
      </c>
      <c r="C1351" s="79">
        <v>597813008</v>
      </c>
      <c r="D1351" s="79">
        <v>0</v>
      </c>
      <c r="E1351" s="79" t="s">
        <v>1124</v>
      </c>
      <c r="F1351" s="79" t="s">
        <v>2539</v>
      </c>
      <c r="G1351" s="79" t="s">
        <v>2546</v>
      </c>
      <c r="H1351" s="79" t="s">
        <v>2547</v>
      </c>
      <c r="I1351" s="79"/>
    </row>
    <row r="1352" spans="1:9" ht="14.25">
      <c r="A1352" s="79" t="s">
        <v>3304</v>
      </c>
      <c r="B1352" s="79" t="s">
        <v>3305</v>
      </c>
      <c r="C1352" s="79">
        <v>597813008</v>
      </c>
      <c r="D1352" s="79">
        <v>0</v>
      </c>
      <c r="E1352" s="79" t="s">
        <v>1124</v>
      </c>
      <c r="F1352" s="79" t="s">
        <v>2539</v>
      </c>
      <c r="G1352" s="79" t="s">
        <v>2581</v>
      </c>
      <c r="H1352" s="79"/>
      <c r="I1352" s="79"/>
    </row>
    <row r="1353" spans="1:9" ht="14.25">
      <c r="A1353" s="79" t="s">
        <v>3306</v>
      </c>
      <c r="B1353" s="79" t="s">
        <v>3307</v>
      </c>
      <c r="C1353" s="79">
        <v>597855608</v>
      </c>
      <c r="D1353" s="79">
        <v>0</v>
      </c>
      <c r="E1353" s="79" t="s">
        <v>1124</v>
      </c>
      <c r="F1353" s="79" t="s">
        <v>2539</v>
      </c>
      <c r="G1353" s="79" t="s">
        <v>1130</v>
      </c>
      <c r="H1353" s="79"/>
      <c r="I1353" s="79"/>
    </row>
    <row r="1354" spans="1:9" ht="14.25">
      <c r="A1354" s="79" t="s">
        <v>3306</v>
      </c>
      <c r="B1354" s="79" t="s">
        <v>3307</v>
      </c>
      <c r="C1354" s="79">
        <v>597855608</v>
      </c>
      <c r="D1354" s="79">
        <v>0</v>
      </c>
      <c r="E1354" s="79" t="s">
        <v>1124</v>
      </c>
      <c r="F1354" s="79" t="s">
        <v>2539</v>
      </c>
      <c r="G1354" s="79" t="s">
        <v>1131</v>
      </c>
      <c r="H1354" s="79" t="s">
        <v>1132</v>
      </c>
      <c r="I1354" s="79"/>
    </row>
    <row r="1355" spans="1:9" ht="14.25">
      <c r="A1355" s="79" t="s">
        <v>3306</v>
      </c>
      <c r="B1355" s="79" t="s">
        <v>3307</v>
      </c>
      <c r="C1355" s="79">
        <v>597855608</v>
      </c>
      <c r="D1355" s="79">
        <v>0</v>
      </c>
      <c r="E1355" s="79" t="s">
        <v>1124</v>
      </c>
      <c r="F1355" s="79" t="s">
        <v>2539</v>
      </c>
      <c r="G1355" s="79" t="s">
        <v>2578</v>
      </c>
      <c r="H1355" s="79"/>
      <c r="I1355" s="79"/>
    </row>
    <row r="1356" spans="1:9" ht="14.25">
      <c r="A1356" s="79" t="s">
        <v>3308</v>
      </c>
      <c r="B1356" s="79" t="s">
        <v>3309</v>
      </c>
      <c r="C1356" s="79">
        <v>597856208</v>
      </c>
      <c r="D1356" s="79">
        <v>0</v>
      </c>
      <c r="E1356" s="79" t="s">
        <v>1124</v>
      </c>
      <c r="F1356" s="79" t="s">
        <v>2539</v>
      </c>
      <c r="G1356" s="79" t="s">
        <v>2546</v>
      </c>
      <c r="H1356" s="79" t="s">
        <v>2547</v>
      </c>
      <c r="I1356" s="79"/>
    </row>
    <row r="1357" spans="1:9" ht="14.25">
      <c r="A1357" s="79" t="s">
        <v>3308</v>
      </c>
      <c r="B1357" s="79" t="s">
        <v>3309</v>
      </c>
      <c r="C1357" s="79">
        <v>597856208</v>
      </c>
      <c r="D1357" s="79">
        <v>0</v>
      </c>
      <c r="E1357" s="79" t="s">
        <v>1124</v>
      </c>
      <c r="F1357" s="79" t="s">
        <v>2539</v>
      </c>
      <c r="G1357" s="79" t="s">
        <v>2581</v>
      </c>
      <c r="H1357" s="79"/>
      <c r="I1357" s="79"/>
    </row>
    <row r="1358" spans="1:9" ht="14.25">
      <c r="A1358" s="79" t="s">
        <v>3310</v>
      </c>
      <c r="B1358" s="79" t="s">
        <v>3311</v>
      </c>
      <c r="C1358" s="79">
        <v>597898808</v>
      </c>
      <c r="D1358" s="79">
        <v>0</v>
      </c>
      <c r="E1358" s="79" t="s">
        <v>1124</v>
      </c>
      <c r="F1358" s="79" t="s">
        <v>2539</v>
      </c>
      <c r="G1358" s="79" t="s">
        <v>1130</v>
      </c>
      <c r="H1358" s="79"/>
      <c r="I1358" s="79"/>
    </row>
    <row r="1359" spans="1:9" ht="14.25">
      <c r="A1359" s="79" t="s">
        <v>3310</v>
      </c>
      <c r="B1359" s="79" t="s">
        <v>3311</v>
      </c>
      <c r="C1359" s="79">
        <v>597898808</v>
      </c>
      <c r="D1359" s="79">
        <v>0</v>
      </c>
      <c r="E1359" s="79" t="s">
        <v>1124</v>
      </c>
      <c r="F1359" s="79" t="s">
        <v>2539</v>
      </c>
      <c r="G1359" s="79" t="s">
        <v>1131</v>
      </c>
      <c r="H1359" s="79" t="s">
        <v>1132</v>
      </c>
      <c r="I1359" s="79"/>
    </row>
    <row r="1360" spans="1:9" ht="14.25">
      <c r="A1360" s="79" t="s">
        <v>3310</v>
      </c>
      <c r="B1360" s="79" t="s">
        <v>3311</v>
      </c>
      <c r="C1360" s="79">
        <v>597898808</v>
      </c>
      <c r="D1360" s="79">
        <v>0</v>
      </c>
      <c r="E1360" s="79" t="s">
        <v>1124</v>
      </c>
      <c r="F1360" s="79" t="s">
        <v>2539</v>
      </c>
      <c r="G1360" s="79" t="s">
        <v>2578</v>
      </c>
      <c r="H1360" s="79"/>
      <c r="I1360" s="79"/>
    </row>
    <row r="1361" spans="1:9" ht="14.25">
      <c r="A1361" s="79" t="s">
        <v>3312</v>
      </c>
      <c r="B1361" s="79" t="s">
        <v>3313</v>
      </c>
      <c r="C1361" s="79">
        <v>597899408</v>
      </c>
      <c r="D1361" s="79">
        <v>0</v>
      </c>
      <c r="E1361" s="79" t="s">
        <v>1124</v>
      </c>
      <c r="F1361" s="79" t="s">
        <v>2539</v>
      </c>
      <c r="G1361" s="79" t="s">
        <v>2546</v>
      </c>
      <c r="H1361" s="79" t="s">
        <v>2547</v>
      </c>
      <c r="I1361" s="79"/>
    </row>
    <row r="1362" spans="1:9" ht="14.25">
      <c r="A1362" s="79" t="s">
        <v>3312</v>
      </c>
      <c r="B1362" s="79" t="s">
        <v>3313</v>
      </c>
      <c r="C1362" s="79">
        <v>597899408</v>
      </c>
      <c r="D1362" s="79">
        <v>0</v>
      </c>
      <c r="E1362" s="79" t="s">
        <v>1124</v>
      </c>
      <c r="F1362" s="79" t="s">
        <v>2539</v>
      </c>
      <c r="G1362" s="79" t="s">
        <v>2581</v>
      </c>
      <c r="H1362" s="79"/>
      <c r="I1362" s="79"/>
    </row>
    <row r="1363" spans="1:9" ht="14.25">
      <c r="A1363" s="79" t="s">
        <v>3314</v>
      </c>
      <c r="B1363" s="79" t="s">
        <v>3315</v>
      </c>
      <c r="C1363" s="79">
        <v>597942008</v>
      </c>
      <c r="D1363" s="79">
        <v>0</v>
      </c>
      <c r="E1363" s="79" t="s">
        <v>1124</v>
      </c>
      <c r="F1363" s="79" t="s">
        <v>2539</v>
      </c>
      <c r="G1363" s="79" t="s">
        <v>1130</v>
      </c>
      <c r="H1363" s="79"/>
      <c r="I1363" s="79"/>
    </row>
    <row r="1364" spans="1:9" ht="14.25">
      <c r="A1364" s="79" t="s">
        <v>3314</v>
      </c>
      <c r="B1364" s="79" t="s">
        <v>3315</v>
      </c>
      <c r="C1364" s="79">
        <v>597942008</v>
      </c>
      <c r="D1364" s="79">
        <v>0</v>
      </c>
      <c r="E1364" s="79" t="s">
        <v>1124</v>
      </c>
      <c r="F1364" s="79" t="s">
        <v>2539</v>
      </c>
      <c r="G1364" s="79" t="s">
        <v>1131</v>
      </c>
      <c r="H1364" s="79" t="s">
        <v>1132</v>
      </c>
      <c r="I1364" s="79"/>
    </row>
    <row r="1365" spans="1:9" ht="14.25">
      <c r="A1365" s="79" t="s">
        <v>3314</v>
      </c>
      <c r="B1365" s="79" t="s">
        <v>3315</v>
      </c>
      <c r="C1365" s="79">
        <v>597942008</v>
      </c>
      <c r="D1365" s="79">
        <v>0</v>
      </c>
      <c r="E1365" s="79" t="s">
        <v>1124</v>
      </c>
      <c r="F1365" s="79" t="s">
        <v>2539</v>
      </c>
      <c r="G1365" s="79" t="s">
        <v>2578</v>
      </c>
      <c r="H1365" s="79"/>
      <c r="I1365" s="79"/>
    </row>
    <row r="1366" spans="1:9" ht="14.25">
      <c r="A1366" s="79" t="s">
        <v>3316</v>
      </c>
      <c r="B1366" s="79" t="s">
        <v>3317</v>
      </c>
      <c r="C1366" s="79">
        <v>597942608</v>
      </c>
      <c r="D1366" s="79">
        <v>0</v>
      </c>
      <c r="E1366" s="79" t="s">
        <v>1124</v>
      </c>
      <c r="F1366" s="79" t="s">
        <v>2539</v>
      </c>
      <c r="G1366" s="79" t="s">
        <v>2546</v>
      </c>
      <c r="H1366" s="79" t="s">
        <v>2547</v>
      </c>
      <c r="I1366" s="79"/>
    </row>
    <row r="1367" spans="1:9" ht="14.25">
      <c r="A1367" s="79" t="s">
        <v>3316</v>
      </c>
      <c r="B1367" s="79" t="s">
        <v>3317</v>
      </c>
      <c r="C1367" s="79">
        <v>597942608</v>
      </c>
      <c r="D1367" s="79">
        <v>0</v>
      </c>
      <c r="E1367" s="79" t="s">
        <v>1124</v>
      </c>
      <c r="F1367" s="79" t="s">
        <v>2539</v>
      </c>
      <c r="G1367" s="79" t="s">
        <v>2581</v>
      </c>
      <c r="H1367" s="79"/>
      <c r="I1367" s="79"/>
    </row>
    <row r="1368" spans="1:9" ht="14.25">
      <c r="A1368" s="79" t="s">
        <v>3318</v>
      </c>
      <c r="B1368" s="79" t="s">
        <v>3319</v>
      </c>
      <c r="C1368" s="79">
        <v>597985208</v>
      </c>
      <c r="D1368" s="79">
        <v>0</v>
      </c>
      <c r="E1368" s="79" t="s">
        <v>1124</v>
      </c>
      <c r="F1368" s="79" t="s">
        <v>2539</v>
      </c>
      <c r="G1368" s="79" t="s">
        <v>1130</v>
      </c>
      <c r="H1368" s="79"/>
      <c r="I1368" s="79"/>
    </row>
    <row r="1369" spans="1:9" ht="14.25">
      <c r="A1369" s="79" t="s">
        <v>3318</v>
      </c>
      <c r="B1369" s="79" t="s">
        <v>3319</v>
      </c>
      <c r="C1369" s="79">
        <v>597985208</v>
      </c>
      <c r="D1369" s="79">
        <v>0</v>
      </c>
      <c r="E1369" s="79" t="s">
        <v>1124</v>
      </c>
      <c r="F1369" s="79" t="s">
        <v>2539</v>
      </c>
      <c r="G1369" s="79" t="s">
        <v>1131</v>
      </c>
      <c r="H1369" s="79" t="s">
        <v>1132</v>
      </c>
      <c r="I1369" s="79"/>
    </row>
    <row r="1370" spans="1:9" ht="14.25">
      <c r="A1370" s="79" t="s">
        <v>3318</v>
      </c>
      <c r="B1370" s="79" t="s">
        <v>3319</v>
      </c>
      <c r="C1370" s="79">
        <v>597985208</v>
      </c>
      <c r="D1370" s="79">
        <v>0</v>
      </c>
      <c r="E1370" s="79" t="s">
        <v>1124</v>
      </c>
      <c r="F1370" s="79" t="s">
        <v>2539</v>
      </c>
      <c r="G1370" s="79" t="s">
        <v>2578</v>
      </c>
      <c r="H1370" s="79"/>
      <c r="I1370" s="79"/>
    </row>
    <row r="1371" spans="1:9" ht="14.25">
      <c r="A1371" s="79" t="s">
        <v>3320</v>
      </c>
      <c r="B1371" s="79" t="s">
        <v>3321</v>
      </c>
      <c r="C1371" s="79">
        <v>597985808</v>
      </c>
      <c r="D1371" s="79">
        <v>0</v>
      </c>
      <c r="E1371" s="79" t="s">
        <v>1124</v>
      </c>
      <c r="F1371" s="79" t="s">
        <v>2539</v>
      </c>
      <c r="G1371" s="79" t="s">
        <v>2546</v>
      </c>
      <c r="H1371" s="79" t="s">
        <v>2547</v>
      </c>
      <c r="I1371" s="79"/>
    </row>
    <row r="1372" spans="1:9" ht="14.25">
      <c r="A1372" s="79" t="s">
        <v>3320</v>
      </c>
      <c r="B1372" s="79" t="s">
        <v>3321</v>
      </c>
      <c r="C1372" s="79">
        <v>597985808</v>
      </c>
      <c r="D1372" s="79">
        <v>0</v>
      </c>
      <c r="E1372" s="79" t="s">
        <v>1124</v>
      </c>
      <c r="F1372" s="79" t="s">
        <v>2539</v>
      </c>
      <c r="G1372" s="79" t="s">
        <v>2581</v>
      </c>
      <c r="H1372" s="79"/>
      <c r="I1372" s="79"/>
    </row>
    <row r="1373" spans="1:9" ht="14.25">
      <c r="A1373" s="79" t="s">
        <v>3322</v>
      </c>
      <c r="B1373" s="79" t="s">
        <v>3323</v>
      </c>
      <c r="C1373" s="79">
        <v>598028408</v>
      </c>
      <c r="D1373" s="79">
        <v>0</v>
      </c>
      <c r="E1373" s="79" t="s">
        <v>1124</v>
      </c>
      <c r="F1373" s="79" t="s">
        <v>2539</v>
      </c>
      <c r="G1373" s="79" t="s">
        <v>1130</v>
      </c>
      <c r="H1373" s="79"/>
      <c r="I1373" s="79"/>
    </row>
    <row r="1374" spans="1:9" ht="14.25">
      <c r="A1374" s="79" t="s">
        <v>3322</v>
      </c>
      <c r="B1374" s="79" t="s">
        <v>3323</v>
      </c>
      <c r="C1374" s="79">
        <v>598028408</v>
      </c>
      <c r="D1374" s="79">
        <v>0</v>
      </c>
      <c r="E1374" s="79" t="s">
        <v>1124</v>
      </c>
      <c r="F1374" s="79" t="s">
        <v>2539</v>
      </c>
      <c r="G1374" s="79" t="s">
        <v>1131</v>
      </c>
      <c r="H1374" s="79" t="s">
        <v>1132</v>
      </c>
      <c r="I1374" s="79"/>
    </row>
    <row r="1375" spans="1:9" ht="14.25">
      <c r="A1375" s="79" t="s">
        <v>3322</v>
      </c>
      <c r="B1375" s="79" t="s">
        <v>3323</v>
      </c>
      <c r="C1375" s="79">
        <v>598028408</v>
      </c>
      <c r="D1375" s="79">
        <v>0</v>
      </c>
      <c r="E1375" s="79" t="s">
        <v>1124</v>
      </c>
      <c r="F1375" s="79" t="s">
        <v>2539</v>
      </c>
      <c r="G1375" s="79" t="s">
        <v>2578</v>
      </c>
      <c r="H1375" s="79"/>
      <c r="I1375" s="79"/>
    </row>
    <row r="1376" spans="1:9" ht="14.25">
      <c r="A1376" s="79" t="s">
        <v>3324</v>
      </c>
      <c r="B1376" s="79" t="s">
        <v>3325</v>
      </c>
      <c r="C1376" s="79">
        <v>598029008</v>
      </c>
      <c r="D1376" s="79">
        <v>0</v>
      </c>
      <c r="E1376" s="79" t="s">
        <v>1124</v>
      </c>
      <c r="F1376" s="79" t="s">
        <v>2539</v>
      </c>
      <c r="G1376" s="79" t="s">
        <v>2546</v>
      </c>
      <c r="H1376" s="79" t="s">
        <v>2547</v>
      </c>
      <c r="I1376" s="79"/>
    </row>
    <row r="1377" spans="1:9" ht="14.25">
      <c r="A1377" s="79" t="s">
        <v>3324</v>
      </c>
      <c r="B1377" s="79" t="s">
        <v>3325</v>
      </c>
      <c r="C1377" s="79">
        <v>598029008</v>
      </c>
      <c r="D1377" s="79">
        <v>0</v>
      </c>
      <c r="E1377" s="79" t="s">
        <v>1124</v>
      </c>
      <c r="F1377" s="79" t="s">
        <v>2539</v>
      </c>
      <c r="G1377" s="79" t="s">
        <v>2581</v>
      </c>
      <c r="H1377" s="79"/>
      <c r="I1377" s="79"/>
    </row>
    <row r="1378" spans="1:9" ht="14.25">
      <c r="A1378" s="79" t="s">
        <v>3326</v>
      </c>
      <c r="B1378" s="79" t="s">
        <v>3327</v>
      </c>
      <c r="C1378" s="79">
        <v>598071608</v>
      </c>
      <c r="D1378" s="79">
        <v>0</v>
      </c>
      <c r="E1378" s="79" t="s">
        <v>1124</v>
      </c>
      <c r="F1378" s="79" t="s">
        <v>2539</v>
      </c>
      <c r="G1378" s="79" t="s">
        <v>1130</v>
      </c>
      <c r="H1378" s="79"/>
      <c r="I1378" s="79"/>
    </row>
    <row r="1379" spans="1:9" ht="14.25">
      <c r="A1379" s="79" t="s">
        <v>3326</v>
      </c>
      <c r="B1379" s="79" t="s">
        <v>3327</v>
      </c>
      <c r="C1379" s="79">
        <v>598071608</v>
      </c>
      <c r="D1379" s="79">
        <v>0</v>
      </c>
      <c r="E1379" s="79" t="s">
        <v>1124</v>
      </c>
      <c r="F1379" s="79" t="s">
        <v>2539</v>
      </c>
      <c r="G1379" s="79" t="s">
        <v>1131</v>
      </c>
      <c r="H1379" s="79" t="s">
        <v>1132</v>
      </c>
      <c r="I1379" s="79"/>
    </row>
    <row r="1380" spans="1:9" ht="14.25">
      <c r="A1380" s="79" t="s">
        <v>3326</v>
      </c>
      <c r="B1380" s="79" t="s">
        <v>3327</v>
      </c>
      <c r="C1380" s="79">
        <v>598071608</v>
      </c>
      <c r="D1380" s="79">
        <v>0</v>
      </c>
      <c r="E1380" s="79" t="s">
        <v>1124</v>
      </c>
      <c r="F1380" s="79" t="s">
        <v>2539</v>
      </c>
      <c r="G1380" s="79" t="s">
        <v>2578</v>
      </c>
      <c r="H1380" s="79"/>
      <c r="I1380" s="79"/>
    </row>
    <row r="1381" spans="1:9" ht="14.25">
      <c r="A1381" s="79" t="s">
        <v>3328</v>
      </c>
      <c r="B1381" s="79" t="s">
        <v>3329</v>
      </c>
      <c r="C1381" s="79">
        <v>598072208</v>
      </c>
      <c r="D1381" s="79">
        <v>0</v>
      </c>
      <c r="E1381" s="79" t="s">
        <v>1124</v>
      </c>
      <c r="F1381" s="79" t="s">
        <v>2539</v>
      </c>
      <c r="G1381" s="79" t="s">
        <v>2546</v>
      </c>
      <c r="H1381" s="79" t="s">
        <v>2547</v>
      </c>
      <c r="I1381" s="79"/>
    </row>
    <row r="1382" spans="1:9" ht="14.25">
      <c r="A1382" s="79" t="s">
        <v>3328</v>
      </c>
      <c r="B1382" s="79" t="s">
        <v>3329</v>
      </c>
      <c r="C1382" s="79">
        <v>598072208</v>
      </c>
      <c r="D1382" s="79">
        <v>0</v>
      </c>
      <c r="E1382" s="79" t="s">
        <v>1124</v>
      </c>
      <c r="F1382" s="79" t="s">
        <v>2539</v>
      </c>
      <c r="G1382" s="79" t="s">
        <v>2581</v>
      </c>
      <c r="H1382" s="79"/>
      <c r="I1382" s="79"/>
    </row>
    <row r="1383" spans="1:9" ht="14.25">
      <c r="A1383" s="79" t="s">
        <v>3330</v>
      </c>
      <c r="B1383" s="79" t="s">
        <v>3331</v>
      </c>
      <c r="C1383" s="79">
        <v>598114808</v>
      </c>
      <c r="D1383" s="79">
        <v>0</v>
      </c>
      <c r="E1383" s="79" t="s">
        <v>1124</v>
      </c>
      <c r="F1383" s="79" t="s">
        <v>2539</v>
      </c>
      <c r="G1383" s="79" t="s">
        <v>1130</v>
      </c>
      <c r="H1383" s="79"/>
      <c r="I1383" s="79"/>
    </row>
    <row r="1384" spans="1:9" ht="14.25">
      <c r="A1384" s="79" t="s">
        <v>3330</v>
      </c>
      <c r="B1384" s="79" t="s">
        <v>3331</v>
      </c>
      <c r="C1384" s="79">
        <v>598114808</v>
      </c>
      <c r="D1384" s="79">
        <v>0</v>
      </c>
      <c r="E1384" s="79" t="s">
        <v>1124</v>
      </c>
      <c r="F1384" s="79" t="s">
        <v>2539</v>
      </c>
      <c r="G1384" s="79" t="s">
        <v>1131</v>
      </c>
      <c r="H1384" s="79" t="s">
        <v>1132</v>
      </c>
      <c r="I1384" s="79"/>
    </row>
    <row r="1385" spans="1:9" ht="14.25">
      <c r="A1385" s="79" t="s">
        <v>3330</v>
      </c>
      <c r="B1385" s="79" t="s">
        <v>3331</v>
      </c>
      <c r="C1385" s="79">
        <v>598114808</v>
      </c>
      <c r="D1385" s="79">
        <v>0</v>
      </c>
      <c r="E1385" s="79" t="s">
        <v>1124</v>
      </c>
      <c r="F1385" s="79" t="s">
        <v>2539</v>
      </c>
      <c r="G1385" s="79" t="s">
        <v>2578</v>
      </c>
      <c r="H1385" s="79"/>
      <c r="I1385" s="79"/>
    </row>
    <row r="1386" spans="1:9" ht="14.25">
      <c r="A1386" s="79" t="s">
        <v>3332</v>
      </c>
      <c r="B1386" s="79" t="s">
        <v>3333</v>
      </c>
      <c r="C1386" s="79">
        <v>598115408</v>
      </c>
      <c r="D1386" s="79">
        <v>0</v>
      </c>
      <c r="E1386" s="79" t="s">
        <v>1124</v>
      </c>
      <c r="F1386" s="79" t="s">
        <v>2539</v>
      </c>
      <c r="G1386" s="79" t="s">
        <v>2546</v>
      </c>
      <c r="H1386" s="79" t="s">
        <v>2547</v>
      </c>
      <c r="I1386" s="79"/>
    </row>
    <row r="1387" spans="1:9" ht="14.25">
      <c r="A1387" s="79" t="s">
        <v>3332</v>
      </c>
      <c r="B1387" s="79" t="s">
        <v>3333</v>
      </c>
      <c r="C1387" s="79">
        <v>598115408</v>
      </c>
      <c r="D1387" s="79">
        <v>0</v>
      </c>
      <c r="E1387" s="79" t="s">
        <v>1124</v>
      </c>
      <c r="F1387" s="79" t="s">
        <v>2539</v>
      </c>
      <c r="G1387" s="79" t="s">
        <v>2581</v>
      </c>
      <c r="H1387" s="79"/>
      <c r="I1387" s="79"/>
    </row>
    <row r="1388" spans="1:9" ht="14.25">
      <c r="A1388" s="79" t="s">
        <v>3334</v>
      </c>
      <c r="B1388" s="79" t="s">
        <v>3335</v>
      </c>
      <c r="C1388" s="79">
        <v>598158008</v>
      </c>
      <c r="D1388" s="79">
        <v>0</v>
      </c>
      <c r="E1388" s="79" t="s">
        <v>1124</v>
      </c>
      <c r="F1388" s="79" t="s">
        <v>2539</v>
      </c>
      <c r="G1388" s="79" t="s">
        <v>1130</v>
      </c>
      <c r="H1388" s="79"/>
      <c r="I1388" s="79"/>
    </row>
    <row r="1389" spans="1:9" ht="14.25">
      <c r="A1389" s="79" t="s">
        <v>3334</v>
      </c>
      <c r="B1389" s="79" t="s">
        <v>3335</v>
      </c>
      <c r="C1389" s="79">
        <v>598158008</v>
      </c>
      <c r="D1389" s="79">
        <v>0</v>
      </c>
      <c r="E1389" s="79" t="s">
        <v>1124</v>
      </c>
      <c r="F1389" s="79" t="s">
        <v>2539</v>
      </c>
      <c r="G1389" s="79" t="s">
        <v>1131</v>
      </c>
      <c r="H1389" s="79" t="s">
        <v>1132</v>
      </c>
      <c r="I1389" s="79"/>
    </row>
    <row r="1390" spans="1:9" ht="14.25">
      <c r="A1390" s="79" t="s">
        <v>3334</v>
      </c>
      <c r="B1390" s="79" t="s">
        <v>3335</v>
      </c>
      <c r="C1390" s="79">
        <v>598158008</v>
      </c>
      <c r="D1390" s="79">
        <v>0</v>
      </c>
      <c r="E1390" s="79" t="s">
        <v>1124</v>
      </c>
      <c r="F1390" s="79" t="s">
        <v>2539</v>
      </c>
      <c r="G1390" s="79" t="s">
        <v>2578</v>
      </c>
      <c r="H1390" s="79"/>
      <c r="I1390" s="79"/>
    </row>
    <row r="1391" spans="1:9" ht="14.25">
      <c r="A1391" s="79" t="s">
        <v>3336</v>
      </c>
      <c r="B1391" s="79" t="s">
        <v>3337</v>
      </c>
      <c r="C1391" s="79">
        <v>598158608</v>
      </c>
      <c r="D1391" s="79">
        <v>0</v>
      </c>
      <c r="E1391" s="79" t="s">
        <v>1124</v>
      </c>
      <c r="F1391" s="79" t="s">
        <v>2539</v>
      </c>
      <c r="G1391" s="79" t="s">
        <v>2546</v>
      </c>
      <c r="H1391" s="79" t="s">
        <v>2547</v>
      </c>
      <c r="I1391" s="79"/>
    </row>
    <row r="1392" spans="1:9" ht="14.25">
      <c r="A1392" s="79" t="s">
        <v>3336</v>
      </c>
      <c r="B1392" s="79" t="s">
        <v>3337</v>
      </c>
      <c r="C1392" s="79">
        <v>598158608</v>
      </c>
      <c r="D1392" s="79">
        <v>0</v>
      </c>
      <c r="E1392" s="79" t="s">
        <v>1124</v>
      </c>
      <c r="F1392" s="79" t="s">
        <v>2539</v>
      </c>
      <c r="G1392" s="79" t="s">
        <v>2581</v>
      </c>
      <c r="H1392" s="79"/>
      <c r="I1392" s="79"/>
    </row>
    <row r="1393" spans="1:9" ht="14.25">
      <c r="A1393" s="79" t="s">
        <v>3338</v>
      </c>
      <c r="B1393" s="79" t="s">
        <v>3339</v>
      </c>
      <c r="C1393" s="79">
        <v>598201208</v>
      </c>
      <c r="D1393" s="79">
        <v>0</v>
      </c>
      <c r="E1393" s="79" t="s">
        <v>1124</v>
      </c>
      <c r="F1393" s="79" t="s">
        <v>2539</v>
      </c>
      <c r="G1393" s="79" t="s">
        <v>1130</v>
      </c>
      <c r="H1393" s="79"/>
      <c r="I1393" s="79"/>
    </row>
    <row r="1394" spans="1:9" ht="14.25">
      <c r="A1394" s="79" t="s">
        <v>3338</v>
      </c>
      <c r="B1394" s="79" t="s">
        <v>3339</v>
      </c>
      <c r="C1394" s="79">
        <v>598201208</v>
      </c>
      <c r="D1394" s="79">
        <v>0</v>
      </c>
      <c r="E1394" s="79" t="s">
        <v>1124</v>
      </c>
      <c r="F1394" s="79" t="s">
        <v>2539</v>
      </c>
      <c r="G1394" s="79" t="s">
        <v>1131</v>
      </c>
      <c r="H1394" s="79" t="s">
        <v>1132</v>
      </c>
      <c r="I1394" s="79"/>
    </row>
    <row r="1395" spans="1:9" ht="14.25">
      <c r="A1395" s="79" t="s">
        <v>3338</v>
      </c>
      <c r="B1395" s="79" t="s">
        <v>3339</v>
      </c>
      <c r="C1395" s="79">
        <v>598201208</v>
      </c>
      <c r="D1395" s="79">
        <v>0</v>
      </c>
      <c r="E1395" s="79" t="s">
        <v>1124</v>
      </c>
      <c r="F1395" s="79" t="s">
        <v>2539</v>
      </c>
      <c r="G1395" s="79" t="s">
        <v>2578</v>
      </c>
      <c r="H1395" s="79"/>
      <c r="I1395" s="79"/>
    </row>
    <row r="1396" spans="1:9" ht="14.25">
      <c r="A1396" s="79" t="s">
        <v>3340</v>
      </c>
      <c r="B1396" s="79" t="s">
        <v>3341</v>
      </c>
      <c r="C1396" s="79">
        <v>598201808</v>
      </c>
      <c r="D1396" s="79">
        <v>0</v>
      </c>
      <c r="E1396" s="79" t="s">
        <v>1124</v>
      </c>
      <c r="F1396" s="79" t="s">
        <v>2539</v>
      </c>
      <c r="G1396" s="79" t="s">
        <v>2546</v>
      </c>
      <c r="H1396" s="79" t="s">
        <v>2547</v>
      </c>
      <c r="I1396" s="79"/>
    </row>
    <row r="1397" spans="1:9" ht="14.25">
      <c r="A1397" s="79" t="s">
        <v>3340</v>
      </c>
      <c r="B1397" s="79" t="s">
        <v>3341</v>
      </c>
      <c r="C1397" s="79">
        <v>598201808</v>
      </c>
      <c r="D1397" s="79">
        <v>0</v>
      </c>
      <c r="E1397" s="79" t="s">
        <v>1124</v>
      </c>
      <c r="F1397" s="79" t="s">
        <v>2539</v>
      </c>
      <c r="G1397" s="79" t="s">
        <v>2581</v>
      </c>
      <c r="H1397" s="79"/>
      <c r="I1397" s="79"/>
    </row>
    <row r="1398" spans="1:9" ht="14.25">
      <c r="A1398" s="79" t="s">
        <v>3342</v>
      </c>
      <c r="B1398" s="79" t="s">
        <v>3343</v>
      </c>
      <c r="C1398" s="79">
        <v>598244408</v>
      </c>
      <c r="D1398" s="79">
        <v>0</v>
      </c>
      <c r="E1398" s="79" t="s">
        <v>1124</v>
      </c>
      <c r="F1398" s="79" t="s">
        <v>2539</v>
      </c>
      <c r="G1398" s="79" t="s">
        <v>1130</v>
      </c>
      <c r="H1398" s="79"/>
      <c r="I1398" s="79"/>
    </row>
    <row r="1399" spans="1:9" ht="14.25">
      <c r="A1399" s="79" t="s">
        <v>3342</v>
      </c>
      <c r="B1399" s="79" t="s">
        <v>3343</v>
      </c>
      <c r="C1399" s="79">
        <v>598244408</v>
      </c>
      <c r="D1399" s="79">
        <v>0</v>
      </c>
      <c r="E1399" s="79" t="s">
        <v>1124</v>
      </c>
      <c r="F1399" s="79" t="s">
        <v>2539</v>
      </c>
      <c r="G1399" s="79" t="s">
        <v>1131</v>
      </c>
      <c r="H1399" s="79" t="s">
        <v>1132</v>
      </c>
      <c r="I1399" s="79"/>
    </row>
    <row r="1400" spans="1:9" ht="14.25">
      <c r="A1400" s="79" t="s">
        <v>3342</v>
      </c>
      <c r="B1400" s="79" t="s">
        <v>3343</v>
      </c>
      <c r="C1400" s="79">
        <v>598244408</v>
      </c>
      <c r="D1400" s="79">
        <v>0</v>
      </c>
      <c r="E1400" s="79" t="s">
        <v>1124</v>
      </c>
      <c r="F1400" s="79" t="s">
        <v>2539</v>
      </c>
      <c r="G1400" s="79" t="s">
        <v>2578</v>
      </c>
      <c r="H1400" s="79"/>
      <c r="I1400" s="79"/>
    </row>
    <row r="1401" spans="1:9" ht="14.25">
      <c r="A1401" s="79" t="s">
        <v>3344</v>
      </c>
      <c r="B1401" s="79" t="s">
        <v>3345</v>
      </c>
      <c r="C1401" s="79">
        <v>598245008</v>
      </c>
      <c r="D1401" s="79">
        <v>0</v>
      </c>
      <c r="E1401" s="79" t="s">
        <v>1124</v>
      </c>
      <c r="F1401" s="79" t="s">
        <v>2539</v>
      </c>
      <c r="G1401" s="79" t="s">
        <v>2546</v>
      </c>
      <c r="H1401" s="79" t="s">
        <v>2547</v>
      </c>
      <c r="I1401" s="79"/>
    </row>
    <row r="1402" spans="1:9" ht="14.25">
      <c r="A1402" s="79" t="s">
        <v>3344</v>
      </c>
      <c r="B1402" s="79" t="s">
        <v>3345</v>
      </c>
      <c r="C1402" s="79">
        <v>598245008</v>
      </c>
      <c r="D1402" s="79">
        <v>0</v>
      </c>
      <c r="E1402" s="79" t="s">
        <v>1124</v>
      </c>
      <c r="F1402" s="79" t="s">
        <v>2539</v>
      </c>
      <c r="G1402" s="79" t="s">
        <v>2581</v>
      </c>
      <c r="H1402" s="79"/>
      <c r="I1402" s="79"/>
    </row>
    <row r="1403" spans="1:9" ht="14.25">
      <c r="A1403" s="79" t="s">
        <v>3346</v>
      </c>
      <c r="B1403" s="79" t="s">
        <v>3347</v>
      </c>
      <c r="C1403" s="79">
        <v>598287608</v>
      </c>
      <c r="D1403" s="79">
        <v>0</v>
      </c>
      <c r="E1403" s="79" t="s">
        <v>1124</v>
      </c>
      <c r="F1403" s="79" t="s">
        <v>2539</v>
      </c>
      <c r="G1403" s="79" t="s">
        <v>1130</v>
      </c>
      <c r="H1403" s="79"/>
      <c r="I1403" s="79"/>
    </row>
    <row r="1404" spans="1:9" ht="14.25">
      <c r="A1404" s="79" t="s">
        <v>3346</v>
      </c>
      <c r="B1404" s="79" t="s">
        <v>3347</v>
      </c>
      <c r="C1404" s="79">
        <v>598287608</v>
      </c>
      <c r="D1404" s="79">
        <v>0</v>
      </c>
      <c r="E1404" s="79" t="s">
        <v>1124</v>
      </c>
      <c r="F1404" s="79" t="s">
        <v>2539</v>
      </c>
      <c r="G1404" s="79" t="s">
        <v>1131</v>
      </c>
      <c r="H1404" s="79" t="s">
        <v>1132</v>
      </c>
      <c r="I1404" s="79"/>
    </row>
    <row r="1405" spans="1:9" ht="14.25">
      <c r="A1405" s="79" t="s">
        <v>3346</v>
      </c>
      <c r="B1405" s="79" t="s">
        <v>3347</v>
      </c>
      <c r="C1405" s="79">
        <v>598287608</v>
      </c>
      <c r="D1405" s="79">
        <v>0</v>
      </c>
      <c r="E1405" s="79" t="s">
        <v>1124</v>
      </c>
      <c r="F1405" s="79" t="s">
        <v>2539</v>
      </c>
      <c r="G1405" s="79" t="s">
        <v>2578</v>
      </c>
      <c r="H1405" s="79"/>
      <c r="I1405" s="79"/>
    </row>
    <row r="1406" spans="1:9" ht="14.25">
      <c r="A1406" s="79" t="s">
        <v>3348</v>
      </c>
      <c r="B1406" s="79" t="s">
        <v>3349</v>
      </c>
      <c r="C1406" s="79">
        <v>598288208</v>
      </c>
      <c r="D1406" s="79">
        <v>0</v>
      </c>
      <c r="E1406" s="79" t="s">
        <v>1124</v>
      </c>
      <c r="F1406" s="79" t="s">
        <v>2539</v>
      </c>
      <c r="G1406" s="79" t="s">
        <v>2546</v>
      </c>
      <c r="H1406" s="79" t="s">
        <v>2547</v>
      </c>
      <c r="I1406" s="79"/>
    </row>
    <row r="1407" spans="1:9" ht="14.25">
      <c r="A1407" s="79" t="s">
        <v>3348</v>
      </c>
      <c r="B1407" s="79" t="s">
        <v>3349</v>
      </c>
      <c r="C1407" s="79">
        <v>598288208</v>
      </c>
      <c r="D1407" s="79">
        <v>0</v>
      </c>
      <c r="E1407" s="79" t="s">
        <v>1124</v>
      </c>
      <c r="F1407" s="79" t="s">
        <v>2539</v>
      </c>
      <c r="G1407" s="79" t="s">
        <v>2581</v>
      </c>
      <c r="H1407" s="79"/>
      <c r="I1407" s="79"/>
    </row>
    <row r="1408" spans="1:9" ht="14.25">
      <c r="A1408" s="79" t="s">
        <v>3350</v>
      </c>
      <c r="B1408" s="79" t="s">
        <v>3351</v>
      </c>
      <c r="C1408" s="79">
        <v>598330808</v>
      </c>
      <c r="D1408" s="79">
        <v>0</v>
      </c>
      <c r="E1408" s="79" t="s">
        <v>1124</v>
      </c>
      <c r="F1408" s="79" t="s">
        <v>2539</v>
      </c>
      <c r="G1408" s="79" t="s">
        <v>1130</v>
      </c>
      <c r="H1408" s="79"/>
      <c r="I1408" s="79"/>
    </row>
    <row r="1409" spans="1:9" ht="14.25">
      <c r="A1409" s="79" t="s">
        <v>3350</v>
      </c>
      <c r="B1409" s="79" t="s">
        <v>3351</v>
      </c>
      <c r="C1409" s="79">
        <v>598330808</v>
      </c>
      <c r="D1409" s="79">
        <v>0</v>
      </c>
      <c r="E1409" s="79" t="s">
        <v>1124</v>
      </c>
      <c r="F1409" s="79" t="s">
        <v>2539</v>
      </c>
      <c r="G1409" s="79" t="s">
        <v>1131</v>
      </c>
      <c r="H1409" s="79" t="s">
        <v>1132</v>
      </c>
      <c r="I1409" s="79"/>
    </row>
    <row r="1410" spans="1:9" ht="14.25">
      <c r="A1410" s="79" t="s">
        <v>3350</v>
      </c>
      <c r="B1410" s="79" t="s">
        <v>3351</v>
      </c>
      <c r="C1410" s="79">
        <v>598330808</v>
      </c>
      <c r="D1410" s="79">
        <v>0</v>
      </c>
      <c r="E1410" s="79" t="s">
        <v>1124</v>
      </c>
      <c r="F1410" s="79" t="s">
        <v>2539</v>
      </c>
      <c r="G1410" s="79" t="s">
        <v>2578</v>
      </c>
      <c r="H1410" s="79"/>
      <c r="I1410" s="79"/>
    </row>
    <row r="1411" spans="1:9" ht="14.25">
      <c r="A1411" s="79" t="s">
        <v>3352</v>
      </c>
      <c r="B1411" s="79" t="s">
        <v>3353</v>
      </c>
      <c r="C1411" s="79">
        <v>598331408</v>
      </c>
      <c r="D1411" s="79">
        <v>0</v>
      </c>
      <c r="E1411" s="79" t="s">
        <v>1124</v>
      </c>
      <c r="F1411" s="79" t="s">
        <v>2539</v>
      </c>
      <c r="G1411" s="79" t="s">
        <v>2546</v>
      </c>
      <c r="H1411" s="79" t="s">
        <v>2547</v>
      </c>
      <c r="I1411" s="79"/>
    </row>
    <row r="1412" spans="1:9" ht="14.25">
      <c r="A1412" s="79" t="s">
        <v>3352</v>
      </c>
      <c r="B1412" s="79" t="s">
        <v>3353</v>
      </c>
      <c r="C1412" s="79">
        <v>598331408</v>
      </c>
      <c r="D1412" s="79">
        <v>0</v>
      </c>
      <c r="E1412" s="79" t="s">
        <v>1124</v>
      </c>
      <c r="F1412" s="79" t="s">
        <v>2539</v>
      </c>
      <c r="G1412" s="79" t="s">
        <v>2581</v>
      </c>
      <c r="H1412" s="79"/>
      <c r="I1412" s="79"/>
    </row>
    <row r="1413" spans="1:9" ht="14.25">
      <c r="A1413" s="79" t="s">
        <v>3354</v>
      </c>
      <c r="B1413" s="79" t="s">
        <v>3355</v>
      </c>
      <c r="C1413" s="79">
        <v>598374008</v>
      </c>
      <c r="D1413" s="79">
        <v>0</v>
      </c>
      <c r="E1413" s="79" t="s">
        <v>1124</v>
      </c>
      <c r="F1413" s="79" t="s">
        <v>2539</v>
      </c>
      <c r="G1413" s="79" t="s">
        <v>1130</v>
      </c>
      <c r="H1413" s="79"/>
      <c r="I1413" s="79"/>
    </row>
    <row r="1414" spans="1:9" ht="14.25">
      <c r="A1414" s="79" t="s">
        <v>3354</v>
      </c>
      <c r="B1414" s="79" t="s">
        <v>3355</v>
      </c>
      <c r="C1414" s="79">
        <v>598374008</v>
      </c>
      <c r="D1414" s="79">
        <v>0</v>
      </c>
      <c r="E1414" s="79" t="s">
        <v>1124</v>
      </c>
      <c r="F1414" s="79" t="s">
        <v>2539</v>
      </c>
      <c r="G1414" s="79" t="s">
        <v>1131</v>
      </c>
      <c r="H1414" s="79" t="s">
        <v>1132</v>
      </c>
      <c r="I1414" s="79"/>
    </row>
    <row r="1415" spans="1:9" ht="14.25">
      <c r="A1415" s="79" t="s">
        <v>3354</v>
      </c>
      <c r="B1415" s="79" t="s">
        <v>3355</v>
      </c>
      <c r="C1415" s="79">
        <v>598374008</v>
      </c>
      <c r="D1415" s="79">
        <v>0</v>
      </c>
      <c r="E1415" s="79" t="s">
        <v>1124</v>
      </c>
      <c r="F1415" s="79" t="s">
        <v>2539</v>
      </c>
      <c r="G1415" s="79" t="s">
        <v>2578</v>
      </c>
      <c r="H1415" s="79"/>
      <c r="I1415" s="79"/>
    </row>
    <row r="1416" spans="1:9" ht="14.25">
      <c r="A1416" s="79" t="s">
        <v>3356</v>
      </c>
      <c r="B1416" s="79" t="s">
        <v>3357</v>
      </c>
      <c r="C1416" s="79">
        <v>598374608</v>
      </c>
      <c r="D1416" s="79">
        <v>0</v>
      </c>
      <c r="E1416" s="79" t="s">
        <v>1124</v>
      </c>
      <c r="F1416" s="79" t="s">
        <v>2539</v>
      </c>
      <c r="G1416" s="79" t="s">
        <v>2546</v>
      </c>
      <c r="H1416" s="79" t="s">
        <v>2547</v>
      </c>
      <c r="I1416" s="79"/>
    </row>
    <row r="1417" spans="1:9" ht="14.25">
      <c r="A1417" s="79" t="s">
        <v>3356</v>
      </c>
      <c r="B1417" s="79" t="s">
        <v>3357</v>
      </c>
      <c r="C1417" s="79">
        <v>598374608</v>
      </c>
      <c r="D1417" s="79">
        <v>0</v>
      </c>
      <c r="E1417" s="79" t="s">
        <v>1124</v>
      </c>
      <c r="F1417" s="79" t="s">
        <v>2539</v>
      </c>
      <c r="G1417" s="79" t="s">
        <v>2581</v>
      </c>
      <c r="H1417" s="79"/>
      <c r="I1417" s="79"/>
    </row>
    <row r="1418" spans="1:9" ht="14.25">
      <c r="A1418" s="79" t="s">
        <v>3358</v>
      </c>
      <c r="B1418" s="79" t="s">
        <v>3359</v>
      </c>
      <c r="C1418" s="79">
        <v>598417208</v>
      </c>
      <c r="D1418" s="79">
        <v>0</v>
      </c>
      <c r="E1418" s="79" t="s">
        <v>1124</v>
      </c>
      <c r="F1418" s="79" t="s">
        <v>2539</v>
      </c>
      <c r="G1418" s="79" t="s">
        <v>1130</v>
      </c>
      <c r="H1418" s="79"/>
      <c r="I1418" s="79"/>
    </row>
    <row r="1419" spans="1:9" ht="14.25">
      <c r="A1419" s="79" t="s">
        <v>3358</v>
      </c>
      <c r="B1419" s="79" t="s">
        <v>3359</v>
      </c>
      <c r="C1419" s="79">
        <v>598417208</v>
      </c>
      <c r="D1419" s="79">
        <v>0</v>
      </c>
      <c r="E1419" s="79" t="s">
        <v>1124</v>
      </c>
      <c r="F1419" s="79" t="s">
        <v>2539</v>
      </c>
      <c r="G1419" s="79" t="s">
        <v>1131</v>
      </c>
      <c r="H1419" s="79" t="s">
        <v>1132</v>
      </c>
      <c r="I1419" s="79"/>
    </row>
    <row r="1420" spans="1:9" ht="14.25">
      <c r="A1420" s="79" t="s">
        <v>3358</v>
      </c>
      <c r="B1420" s="79" t="s">
        <v>3359</v>
      </c>
      <c r="C1420" s="79">
        <v>598417208</v>
      </c>
      <c r="D1420" s="79">
        <v>0</v>
      </c>
      <c r="E1420" s="79" t="s">
        <v>1124</v>
      </c>
      <c r="F1420" s="79" t="s">
        <v>2539</v>
      </c>
      <c r="G1420" s="79" t="s">
        <v>2578</v>
      </c>
      <c r="H1420" s="79"/>
      <c r="I1420" s="79"/>
    </row>
    <row r="1421" spans="1:9" ht="14.25">
      <c r="A1421" s="79" t="s">
        <v>3360</v>
      </c>
      <c r="B1421" s="79" t="s">
        <v>3361</v>
      </c>
      <c r="C1421" s="79">
        <v>598417808</v>
      </c>
      <c r="D1421" s="79">
        <v>0</v>
      </c>
      <c r="E1421" s="79" t="s">
        <v>1124</v>
      </c>
      <c r="F1421" s="79" t="s">
        <v>2539</v>
      </c>
      <c r="G1421" s="79" t="s">
        <v>2546</v>
      </c>
      <c r="H1421" s="79" t="s">
        <v>2547</v>
      </c>
      <c r="I1421" s="79"/>
    </row>
    <row r="1422" spans="1:9" ht="14.25">
      <c r="A1422" s="79" t="s">
        <v>3360</v>
      </c>
      <c r="B1422" s="79" t="s">
        <v>3361</v>
      </c>
      <c r="C1422" s="79">
        <v>598417808</v>
      </c>
      <c r="D1422" s="79">
        <v>0</v>
      </c>
      <c r="E1422" s="79" t="s">
        <v>1124</v>
      </c>
      <c r="F1422" s="79" t="s">
        <v>2539</v>
      </c>
      <c r="G1422" s="79" t="s">
        <v>2581</v>
      </c>
      <c r="H1422" s="79"/>
      <c r="I1422" s="79"/>
    </row>
    <row r="1423" spans="1:9" ht="14.25">
      <c r="A1423" s="79" t="s">
        <v>3362</v>
      </c>
      <c r="B1423" s="79" t="s">
        <v>3363</v>
      </c>
      <c r="C1423" s="79">
        <v>598460408</v>
      </c>
      <c r="D1423" s="79">
        <v>0</v>
      </c>
      <c r="E1423" s="79" t="s">
        <v>1124</v>
      </c>
      <c r="F1423" s="79" t="s">
        <v>2539</v>
      </c>
      <c r="G1423" s="79" t="s">
        <v>1130</v>
      </c>
      <c r="H1423" s="79"/>
      <c r="I1423" s="79"/>
    </row>
    <row r="1424" spans="1:9" ht="14.25">
      <c r="A1424" s="79" t="s">
        <v>3362</v>
      </c>
      <c r="B1424" s="79" t="s">
        <v>3363</v>
      </c>
      <c r="C1424" s="79">
        <v>598460408</v>
      </c>
      <c r="D1424" s="79">
        <v>0</v>
      </c>
      <c r="E1424" s="79" t="s">
        <v>1124</v>
      </c>
      <c r="F1424" s="79" t="s">
        <v>2539</v>
      </c>
      <c r="G1424" s="79" t="s">
        <v>1131</v>
      </c>
      <c r="H1424" s="79" t="s">
        <v>1132</v>
      </c>
      <c r="I1424" s="79"/>
    </row>
    <row r="1425" spans="1:9" ht="14.25">
      <c r="A1425" s="79" t="s">
        <v>3362</v>
      </c>
      <c r="B1425" s="79" t="s">
        <v>3363</v>
      </c>
      <c r="C1425" s="79">
        <v>598460408</v>
      </c>
      <c r="D1425" s="79">
        <v>0</v>
      </c>
      <c r="E1425" s="79" t="s">
        <v>1124</v>
      </c>
      <c r="F1425" s="79" t="s">
        <v>2539</v>
      </c>
      <c r="G1425" s="79" t="s">
        <v>2578</v>
      </c>
      <c r="H1425" s="79"/>
      <c r="I1425" s="79"/>
    </row>
    <row r="1426" spans="1:9" ht="14.25">
      <c r="A1426" s="79" t="s">
        <v>3364</v>
      </c>
      <c r="B1426" s="79" t="s">
        <v>3365</v>
      </c>
      <c r="C1426" s="79">
        <v>598461008</v>
      </c>
      <c r="D1426" s="79">
        <v>0</v>
      </c>
      <c r="E1426" s="79" t="s">
        <v>1124</v>
      </c>
      <c r="F1426" s="79" t="s">
        <v>2539</v>
      </c>
      <c r="G1426" s="79" t="s">
        <v>2546</v>
      </c>
      <c r="H1426" s="79" t="s">
        <v>2547</v>
      </c>
      <c r="I1426" s="79"/>
    </row>
    <row r="1427" spans="1:9" ht="14.25">
      <c r="A1427" s="79" t="s">
        <v>3364</v>
      </c>
      <c r="B1427" s="79" t="s">
        <v>3365</v>
      </c>
      <c r="C1427" s="79">
        <v>598461008</v>
      </c>
      <c r="D1427" s="79">
        <v>0</v>
      </c>
      <c r="E1427" s="79" t="s">
        <v>1124</v>
      </c>
      <c r="F1427" s="79" t="s">
        <v>2539</v>
      </c>
      <c r="G1427" s="79" t="s">
        <v>2581</v>
      </c>
      <c r="H1427" s="79"/>
      <c r="I1427" s="79"/>
    </row>
    <row r="1428" spans="1:9" ht="14.25">
      <c r="A1428" s="79" t="s">
        <v>3366</v>
      </c>
      <c r="B1428" s="79" t="s">
        <v>3367</v>
      </c>
      <c r="C1428" s="79">
        <v>598503608</v>
      </c>
      <c r="D1428" s="79">
        <v>0</v>
      </c>
      <c r="E1428" s="79" t="s">
        <v>1124</v>
      </c>
      <c r="F1428" s="79" t="s">
        <v>2539</v>
      </c>
      <c r="G1428" s="79" t="s">
        <v>1130</v>
      </c>
      <c r="H1428" s="79"/>
      <c r="I1428" s="79"/>
    </row>
    <row r="1429" spans="1:9" ht="14.25">
      <c r="A1429" s="79" t="s">
        <v>3366</v>
      </c>
      <c r="B1429" s="79" t="s">
        <v>3367</v>
      </c>
      <c r="C1429" s="79">
        <v>598503608</v>
      </c>
      <c r="D1429" s="79">
        <v>0</v>
      </c>
      <c r="E1429" s="79" t="s">
        <v>1124</v>
      </c>
      <c r="F1429" s="79" t="s">
        <v>2539</v>
      </c>
      <c r="G1429" s="79" t="s">
        <v>1131</v>
      </c>
      <c r="H1429" s="79" t="s">
        <v>1132</v>
      </c>
      <c r="I1429" s="79"/>
    </row>
    <row r="1430" spans="1:9" ht="14.25">
      <c r="A1430" s="79" t="s">
        <v>3366</v>
      </c>
      <c r="B1430" s="79" t="s">
        <v>3367</v>
      </c>
      <c r="C1430" s="79">
        <v>598503608</v>
      </c>
      <c r="D1430" s="79">
        <v>0</v>
      </c>
      <c r="E1430" s="79" t="s">
        <v>1124</v>
      </c>
      <c r="F1430" s="79" t="s">
        <v>2539</v>
      </c>
      <c r="G1430" s="79" t="s">
        <v>2578</v>
      </c>
      <c r="H1430" s="79"/>
      <c r="I1430" s="79"/>
    </row>
    <row r="1431" spans="1:9" ht="14.25">
      <c r="A1431" s="79" t="s">
        <v>3368</v>
      </c>
      <c r="B1431" s="79" t="s">
        <v>3369</v>
      </c>
      <c r="C1431" s="79">
        <v>598504208</v>
      </c>
      <c r="D1431" s="79">
        <v>0</v>
      </c>
      <c r="E1431" s="79" t="s">
        <v>1124</v>
      </c>
      <c r="F1431" s="79" t="s">
        <v>2539</v>
      </c>
      <c r="G1431" s="79" t="s">
        <v>2546</v>
      </c>
      <c r="H1431" s="79" t="s">
        <v>2547</v>
      </c>
      <c r="I1431" s="79"/>
    </row>
    <row r="1432" spans="1:9" ht="14.25">
      <c r="A1432" s="79" t="s">
        <v>3368</v>
      </c>
      <c r="B1432" s="79" t="s">
        <v>3369</v>
      </c>
      <c r="C1432" s="79">
        <v>598504208</v>
      </c>
      <c r="D1432" s="79">
        <v>0</v>
      </c>
      <c r="E1432" s="79" t="s">
        <v>1124</v>
      </c>
      <c r="F1432" s="79" t="s">
        <v>2539</v>
      </c>
      <c r="G1432" s="79" t="s">
        <v>2581</v>
      </c>
      <c r="H1432" s="79"/>
      <c r="I1432" s="79"/>
    </row>
    <row r="1433" spans="1:9" ht="14.25">
      <c r="A1433" s="79" t="s">
        <v>3370</v>
      </c>
      <c r="B1433" s="79" t="s">
        <v>3371</v>
      </c>
      <c r="C1433" s="79">
        <v>598546808</v>
      </c>
      <c r="D1433" s="79">
        <v>0</v>
      </c>
      <c r="E1433" s="79" t="s">
        <v>1124</v>
      </c>
      <c r="F1433" s="79" t="s">
        <v>2539</v>
      </c>
      <c r="G1433" s="79" t="s">
        <v>1130</v>
      </c>
      <c r="H1433" s="79"/>
      <c r="I1433" s="79"/>
    </row>
    <row r="1434" spans="1:9" ht="14.25">
      <c r="A1434" s="79" t="s">
        <v>3370</v>
      </c>
      <c r="B1434" s="79" t="s">
        <v>3371</v>
      </c>
      <c r="C1434" s="79">
        <v>598546808</v>
      </c>
      <c r="D1434" s="79">
        <v>0</v>
      </c>
      <c r="E1434" s="79" t="s">
        <v>1124</v>
      </c>
      <c r="F1434" s="79" t="s">
        <v>2539</v>
      </c>
      <c r="G1434" s="79" t="s">
        <v>1131</v>
      </c>
      <c r="H1434" s="79" t="s">
        <v>1132</v>
      </c>
      <c r="I1434" s="79"/>
    </row>
    <row r="1435" spans="1:9" ht="14.25">
      <c r="A1435" s="79" t="s">
        <v>3370</v>
      </c>
      <c r="B1435" s="79" t="s">
        <v>3371</v>
      </c>
      <c r="C1435" s="79">
        <v>598546808</v>
      </c>
      <c r="D1435" s="79">
        <v>0</v>
      </c>
      <c r="E1435" s="79" t="s">
        <v>1124</v>
      </c>
      <c r="F1435" s="79" t="s">
        <v>2539</v>
      </c>
      <c r="G1435" s="79" t="s">
        <v>2578</v>
      </c>
      <c r="H1435" s="79"/>
      <c r="I1435" s="79"/>
    </row>
    <row r="1436" spans="1:9" ht="14.25">
      <c r="A1436" s="79" t="s">
        <v>3372</v>
      </c>
      <c r="B1436" s="79" t="s">
        <v>3373</v>
      </c>
      <c r="C1436" s="79">
        <v>598547408</v>
      </c>
      <c r="D1436" s="79">
        <v>0</v>
      </c>
      <c r="E1436" s="79" t="s">
        <v>1124</v>
      </c>
      <c r="F1436" s="79" t="s">
        <v>2539</v>
      </c>
      <c r="G1436" s="79" t="s">
        <v>2546</v>
      </c>
      <c r="H1436" s="79" t="s">
        <v>2547</v>
      </c>
      <c r="I1436" s="79"/>
    </row>
    <row r="1437" spans="1:9" ht="14.25">
      <c r="A1437" s="79" t="s">
        <v>3372</v>
      </c>
      <c r="B1437" s="79" t="s">
        <v>3373</v>
      </c>
      <c r="C1437" s="79">
        <v>598547408</v>
      </c>
      <c r="D1437" s="79">
        <v>0</v>
      </c>
      <c r="E1437" s="79" t="s">
        <v>1124</v>
      </c>
      <c r="F1437" s="79" t="s">
        <v>2539</v>
      </c>
      <c r="G1437" s="79" t="s">
        <v>2581</v>
      </c>
      <c r="H1437" s="79"/>
      <c r="I1437" s="79"/>
    </row>
    <row r="1438" spans="1:9" ht="14.25">
      <c r="A1438" s="79" t="s">
        <v>3374</v>
      </c>
      <c r="B1438" s="79" t="s">
        <v>3375</v>
      </c>
      <c r="C1438" s="79">
        <v>598590008</v>
      </c>
      <c r="D1438" s="79">
        <v>0</v>
      </c>
      <c r="E1438" s="79" t="s">
        <v>1124</v>
      </c>
      <c r="F1438" s="79" t="s">
        <v>2539</v>
      </c>
      <c r="G1438" s="79" t="s">
        <v>1130</v>
      </c>
      <c r="H1438" s="79"/>
      <c r="I1438" s="79"/>
    </row>
    <row r="1439" spans="1:9" ht="14.25">
      <c r="A1439" s="79" t="s">
        <v>3374</v>
      </c>
      <c r="B1439" s="79" t="s">
        <v>3375</v>
      </c>
      <c r="C1439" s="79">
        <v>598590008</v>
      </c>
      <c r="D1439" s="79">
        <v>0</v>
      </c>
      <c r="E1439" s="79" t="s">
        <v>1124</v>
      </c>
      <c r="F1439" s="79" t="s">
        <v>2539</v>
      </c>
      <c r="G1439" s="79" t="s">
        <v>1131</v>
      </c>
      <c r="H1439" s="79" t="s">
        <v>1132</v>
      </c>
      <c r="I1439" s="79"/>
    </row>
    <row r="1440" spans="1:9" ht="14.25">
      <c r="A1440" s="79" t="s">
        <v>3374</v>
      </c>
      <c r="B1440" s="79" t="s">
        <v>3375</v>
      </c>
      <c r="C1440" s="79">
        <v>598590008</v>
      </c>
      <c r="D1440" s="79">
        <v>0</v>
      </c>
      <c r="E1440" s="79" t="s">
        <v>1124</v>
      </c>
      <c r="F1440" s="79" t="s">
        <v>2539</v>
      </c>
      <c r="G1440" s="79" t="s">
        <v>2578</v>
      </c>
      <c r="H1440" s="79"/>
      <c r="I1440" s="79"/>
    </row>
    <row r="1441" spans="1:9" ht="14.25">
      <c r="A1441" s="79" t="s">
        <v>3376</v>
      </c>
      <c r="B1441" s="79" t="s">
        <v>3377</v>
      </c>
      <c r="C1441" s="79">
        <v>598590608</v>
      </c>
      <c r="D1441" s="79">
        <v>0</v>
      </c>
      <c r="E1441" s="79" t="s">
        <v>1124</v>
      </c>
      <c r="F1441" s="79" t="s">
        <v>2539</v>
      </c>
      <c r="G1441" s="79" t="s">
        <v>2546</v>
      </c>
      <c r="H1441" s="79" t="s">
        <v>2547</v>
      </c>
      <c r="I1441" s="79"/>
    </row>
    <row r="1442" spans="1:9" ht="14.25">
      <c r="A1442" s="79" t="s">
        <v>3376</v>
      </c>
      <c r="B1442" s="79" t="s">
        <v>3377</v>
      </c>
      <c r="C1442" s="79">
        <v>598590608</v>
      </c>
      <c r="D1442" s="79">
        <v>0</v>
      </c>
      <c r="E1442" s="79" t="s">
        <v>1124</v>
      </c>
      <c r="F1442" s="79" t="s">
        <v>2539</v>
      </c>
      <c r="G1442" s="79" t="s">
        <v>2581</v>
      </c>
      <c r="H1442" s="79"/>
      <c r="I1442" s="79"/>
    </row>
    <row r="1443" spans="1:9" ht="14.25">
      <c r="A1443" s="79" t="s">
        <v>3378</v>
      </c>
      <c r="B1443" s="79" t="s">
        <v>3379</v>
      </c>
      <c r="C1443" s="79">
        <v>598633208</v>
      </c>
      <c r="D1443" s="79">
        <v>0</v>
      </c>
      <c r="E1443" s="79" t="s">
        <v>1124</v>
      </c>
      <c r="F1443" s="79" t="s">
        <v>2539</v>
      </c>
      <c r="G1443" s="79" t="s">
        <v>1130</v>
      </c>
      <c r="H1443" s="79"/>
      <c r="I1443" s="79"/>
    </row>
    <row r="1444" spans="1:9" ht="14.25">
      <c r="A1444" s="79" t="s">
        <v>3378</v>
      </c>
      <c r="B1444" s="79" t="s">
        <v>3379</v>
      </c>
      <c r="C1444" s="79">
        <v>598633208</v>
      </c>
      <c r="D1444" s="79">
        <v>0</v>
      </c>
      <c r="E1444" s="79" t="s">
        <v>1124</v>
      </c>
      <c r="F1444" s="79" t="s">
        <v>2539</v>
      </c>
      <c r="G1444" s="79" t="s">
        <v>1131</v>
      </c>
      <c r="H1444" s="79" t="s">
        <v>1132</v>
      </c>
      <c r="I1444" s="79"/>
    </row>
    <row r="1445" spans="1:9" ht="14.25">
      <c r="A1445" s="79" t="s">
        <v>3378</v>
      </c>
      <c r="B1445" s="79" t="s">
        <v>3379</v>
      </c>
      <c r="C1445" s="79">
        <v>598633208</v>
      </c>
      <c r="D1445" s="79">
        <v>0</v>
      </c>
      <c r="E1445" s="79" t="s">
        <v>1124</v>
      </c>
      <c r="F1445" s="79" t="s">
        <v>2539</v>
      </c>
      <c r="G1445" s="79" t="s">
        <v>2578</v>
      </c>
      <c r="H1445" s="79"/>
      <c r="I1445" s="79"/>
    </row>
    <row r="1446" spans="1:9" ht="14.25">
      <c r="A1446" s="79" t="s">
        <v>3380</v>
      </c>
      <c r="B1446" s="79" t="s">
        <v>3381</v>
      </c>
      <c r="C1446" s="79">
        <v>598633808</v>
      </c>
      <c r="D1446" s="79">
        <v>0</v>
      </c>
      <c r="E1446" s="79" t="s">
        <v>1124</v>
      </c>
      <c r="F1446" s="79" t="s">
        <v>2539</v>
      </c>
      <c r="G1446" s="79" t="s">
        <v>2546</v>
      </c>
      <c r="H1446" s="79" t="s">
        <v>2547</v>
      </c>
      <c r="I1446" s="79"/>
    </row>
    <row r="1447" spans="1:9" ht="14.25">
      <c r="A1447" s="79" t="s">
        <v>3380</v>
      </c>
      <c r="B1447" s="79" t="s">
        <v>3381</v>
      </c>
      <c r="C1447" s="79">
        <v>598633808</v>
      </c>
      <c r="D1447" s="79">
        <v>0</v>
      </c>
      <c r="E1447" s="79" t="s">
        <v>1124</v>
      </c>
      <c r="F1447" s="79" t="s">
        <v>2539</v>
      </c>
      <c r="G1447" s="79" t="s">
        <v>2581</v>
      </c>
      <c r="H1447" s="79"/>
      <c r="I1447" s="79"/>
    </row>
    <row r="1448" spans="1:9" ht="14.25">
      <c r="A1448" s="79" t="s">
        <v>3382</v>
      </c>
      <c r="B1448" s="79" t="s">
        <v>3383</v>
      </c>
      <c r="C1448" s="79">
        <v>598676408</v>
      </c>
      <c r="D1448" s="79">
        <v>0</v>
      </c>
      <c r="E1448" s="79" t="s">
        <v>1124</v>
      </c>
      <c r="F1448" s="79" t="s">
        <v>2539</v>
      </c>
      <c r="G1448" s="79" t="s">
        <v>1130</v>
      </c>
      <c r="H1448" s="79"/>
      <c r="I1448" s="79"/>
    </row>
    <row r="1449" spans="1:9" ht="14.25">
      <c r="A1449" s="79" t="s">
        <v>3382</v>
      </c>
      <c r="B1449" s="79" t="s">
        <v>3383</v>
      </c>
      <c r="C1449" s="79">
        <v>598676408</v>
      </c>
      <c r="D1449" s="79">
        <v>0</v>
      </c>
      <c r="E1449" s="79" t="s">
        <v>1124</v>
      </c>
      <c r="F1449" s="79" t="s">
        <v>2539</v>
      </c>
      <c r="G1449" s="79" t="s">
        <v>1131</v>
      </c>
      <c r="H1449" s="79" t="s">
        <v>1132</v>
      </c>
      <c r="I1449" s="79"/>
    </row>
    <row r="1450" spans="1:9" ht="14.25">
      <c r="A1450" s="79" t="s">
        <v>3382</v>
      </c>
      <c r="B1450" s="79" t="s">
        <v>3383</v>
      </c>
      <c r="C1450" s="79">
        <v>598676408</v>
      </c>
      <c r="D1450" s="79">
        <v>0</v>
      </c>
      <c r="E1450" s="79" t="s">
        <v>1124</v>
      </c>
      <c r="F1450" s="79" t="s">
        <v>2539</v>
      </c>
      <c r="G1450" s="79" t="s">
        <v>2578</v>
      </c>
      <c r="H1450" s="79"/>
      <c r="I1450" s="79"/>
    </row>
    <row r="1451" spans="1:9" ht="14.25">
      <c r="A1451" s="79" t="s">
        <v>3384</v>
      </c>
      <c r="B1451" s="79" t="s">
        <v>3385</v>
      </c>
      <c r="C1451" s="79">
        <v>598677008</v>
      </c>
      <c r="D1451" s="79">
        <v>0</v>
      </c>
      <c r="E1451" s="79" t="s">
        <v>1124</v>
      </c>
      <c r="F1451" s="79" t="s">
        <v>2539</v>
      </c>
      <c r="G1451" s="79" t="s">
        <v>2546</v>
      </c>
      <c r="H1451" s="79" t="s">
        <v>2547</v>
      </c>
      <c r="I1451" s="79"/>
    </row>
    <row r="1452" spans="1:9" ht="14.25">
      <c r="A1452" s="79" t="s">
        <v>3384</v>
      </c>
      <c r="B1452" s="79" t="s">
        <v>3385</v>
      </c>
      <c r="C1452" s="79">
        <v>598677008</v>
      </c>
      <c r="D1452" s="79">
        <v>0</v>
      </c>
      <c r="E1452" s="79" t="s">
        <v>1124</v>
      </c>
      <c r="F1452" s="79" t="s">
        <v>2539</v>
      </c>
      <c r="G1452" s="79" t="s">
        <v>2581</v>
      </c>
      <c r="H1452" s="79"/>
      <c r="I1452" s="79"/>
    </row>
    <row r="1453" spans="1:9" ht="14.25">
      <c r="A1453" s="79" t="s">
        <v>3386</v>
      </c>
      <c r="B1453" s="79" t="s">
        <v>3387</v>
      </c>
      <c r="C1453" s="79">
        <v>598719608</v>
      </c>
      <c r="D1453" s="79">
        <v>0</v>
      </c>
      <c r="E1453" s="79" t="s">
        <v>1124</v>
      </c>
      <c r="F1453" s="79" t="s">
        <v>2539</v>
      </c>
      <c r="G1453" s="79" t="s">
        <v>1130</v>
      </c>
      <c r="H1453" s="79"/>
      <c r="I1453" s="79"/>
    </row>
    <row r="1454" spans="1:9" ht="14.25">
      <c r="A1454" s="79" t="s">
        <v>3386</v>
      </c>
      <c r="B1454" s="79" t="s">
        <v>3387</v>
      </c>
      <c r="C1454" s="79">
        <v>598719608</v>
      </c>
      <c r="D1454" s="79">
        <v>0</v>
      </c>
      <c r="E1454" s="79" t="s">
        <v>1124</v>
      </c>
      <c r="F1454" s="79" t="s">
        <v>2539</v>
      </c>
      <c r="G1454" s="79" t="s">
        <v>1131</v>
      </c>
      <c r="H1454" s="79" t="s">
        <v>1132</v>
      </c>
      <c r="I1454" s="79"/>
    </row>
    <row r="1455" spans="1:9" ht="14.25">
      <c r="A1455" s="79" t="s">
        <v>3386</v>
      </c>
      <c r="B1455" s="79" t="s">
        <v>3387</v>
      </c>
      <c r="C1455" s="79">
        <v>598719608</v>
      </c>
      <c r="D1455" s="79">
        <v>0</v>
      </c>
      <c r="E1455" s="79" t="s">
        <v>1124</v>
      </c>
      <c r="F1455" s="79" t="s">
        <v>2539</v>
      </c>
      <c r="G1455" s="79" t="s">
        <v>2578</v>
      </c>
      <c r="H1455" s="79"/>
      <c r="I1455" s="79"/>
    </row>
    <row r="1456" spans="1:9" ht="14.25">
      <c r="A1456" s="79" t="s">
        <v>3388</v>
      </c>
      <c r="B1456" s="79" t="s">
        <v>3389</v>
      </c>
      <c r="C1456" s="79">
        <v>598720208</v>
      </c>
      <c r="D1456" s="79">
        <v>0</v>
      </c>
      <c r="E1456" s="79" t="s">
        <v>1124</v>
      </c>
      <c r="F1456" s="79" t="s">
        <v>2539</v>
      </c>
      <c r="G1456" s="79" t="s">
        <v>2546</v>
      </c>
      <c r="H1456" s="79" t="s">
        <v>2547</v>
      </c>
      <c r="I1456" s="79"/>
    </row>
    <row r="1457" spans="1:9" ht="14.25">
      <c r="A1457" s="79" t="s">
        <v>3388</v>
      </c>
      <c r="B1457" s="79" t="s">
        <v>3389</v>
      </c>
      <c r="C1457" s="79">
        <v>598720208</v>
      </c>
      <c r="D1457" s="79">
        <v>0</v>
      </c>
      <c r="E1457" s="79" t="s">
        <v>1124</v>
      </c>
      <c r="F1457" s="79" t="s">
        <v>2539</v>
      </c>
      <c r="G1457" s="79" t="s">
        <v>2581</v>
      </c>
      <c r="H1457" s="79"/>
      <c r="I1457" s="79"/>
    </row>
    <row r="1458" spans="1:9" ht="14.25">
      <c r="A1458" s="79" t="s">
        <v>3390</v>
      </c>
      <c r="B1458" s="79" t="s">
        <v>3391</v>
      </c>
      <c r="C1458" s="79">
        <v>598762808</v>
      </c>
      <c r="D1458" s="79">
        <v>0</v>
      </c>
      <c r="E1458" s="79" t="s">
        <v>1124</v>
      </c>
      <c r="F1458" s="79" t="s">
        <v>2539</v>
      </c>
      <c r="G1458" s="79" t="s">
        <v>1130</v>
      </c>
      <c r="H1458" s="79"/>
      <c r="I1458" s="79"/>
    </row>
    <row r="1459" spans="1:9" ht="14.25">
      <c r="A1459" s="79" t="s">
        <v>3390</v>
      </c>
      <c r="B1459" s="79" t="s">
        <v>3391</v>
      </c>
      <c r="C1459" s="79">
        <v>598762808</v>
      </c>
      <c r="D1459" s="79">
        <v>0</v>
      </c>
      <c r="E1459" s="79" t="s">
        <v>1124</v>
      </c>
      <c r="F1459" s="79" t="s">
        <v>2539</v>
      </c>
      <c r="G1459" s="79" t="s">
        <v>1131</v>
      </c>
      <c r="H1459" s="79" t="s">
        <v>1132</v>
      </c>
      <c r="I1459" s="79"/>
    </row>
    <row r="1460" spans="1:9" ht="14.25">
      <c r="A1460" s="79" t="s">
        <v>3390</v>
      </c>
      <c r="B1460" s="79" t="s">
        <v>3391</v>
      </c>
      <c r="C1460" s="79">
        <v>598762808</v>
      </c>
      <c r="D1460" s="79">
        <v>0</v>
      </c>
      <c r="E1460" s="79" t="s">
        <v>1124</v>
      </c>
      <c r="F1460" s="79" t="s">
        <v>2539</v>
      </c>
      <c r="G1460" s="79" t="s">
        <v>2578</v>
      </c>
      <c r="H1460" s="79"/>
      <c r="I1460" s="79"/>
    </row>
    <row r="1461" spans="1:9" ht="14.25">
      <c r="A1461" s="79" t="s">
        <v>3392</v>
      </c>
      <c r="B1461" s="79" t="s">
        <v>3393</v>
      </c>
      <c r="C1461" s="79">
        <v>598763408</v>
      </c>
      <c r="D1461" s="79">
        <v>0</v>
      </c>
      <c r="E1461" s="79" t="s">
        <v>1124</v>
      </c>
      <c r="F1461" s="79" t="s">
        <v>2539</v>
      </c>
      <c r="G1461" s="79" t="s">
        <v>2546</v>
      </c>
      <c r="H1461" s="79" t="s">
        <v>2547</v>
      </c>
      <c r="I1461" s="79"/>
    </row>
    <row r="1462" spans="1:9" ht="14.25">
      <c r="A1462" s="79" t="s">
        <v>3392</v>
      </c>
      <c r="B1462" s="79" t="s">
        <v>3393</v>
      </c>
      <c r="C1462" s="79">
        <v>598763408</v>
      </c>
      <c r="D1462" s="79">
        <v>0</v>
      </c>
      <c r="E1462" s="79" t="s">
        <v>1124</v>
      </c>
      <c r="F1462" s="79" t="s">
        <v>2539</v>
      </c>
      <c r="G1462" s="79" t="s">
        <v>2581</v>
      </c>
      <c r="H1462" s="79"/>
      <c r="I1462" s="79"/>
    </row>
    <row r="1463" spans="1:9" ht="14.25">
      <c r="A1463" s="79" t="s">
        <v>3394</v>
      </c>
      <c r="B1463" s="79" t="s">
        <v>3395</v>
      </c>
      <c r="C1463" s="79">
        <v>598806008</v>
      </c>
      <c r="D1463" s="79">
        <v>0</v>
      </c>
      <c r="E1463" s="79" t="s">
        <v>1124</v>
      </c>
      <c r="F1463" s="79" t="s">
        <v>2539</v>
      </c>
      <c r="G1463" s="79" t="s">
        <v>1130</v>
      </c>
      <c r="H1463" s="79"/>
      <c r="I1463" s="79"/>
    </row>
    <row r="1464" spans="1:9" ht="14.25">
      <c r="A1464" s="79" t="s">
        <v>3394</v>
      </c>
      <c r="B1464" s="79" t="s">
        <v>3395</v>
      </c>
      <c r="C1464" s="79">
        <v>598806008</v>
      </c>
      <c r="D1464" s="79">
        <v>0</v>
      </c>
      <c r="E1464" s="79" t="s">
        <v>1124</v>
      </c>
      <c r="F1464" s="79" t="s">
        <v>2539</v>
      </c>
      <c r="G1464" s="79" t="s">
        <v>1131</v>
      </c>
      <c r="H1464" s="79" t="s">
        <v>1132</v>
      </c>
      <c r="I1464" s="79"/>
    </row>
    <row r="1465" spans="1:9" ht="14.25">
      <c r="A1465" s="79" t="s">
        <v>3394</v>
      </c>
      <c r="B1465" s="79" t="s">
        <v>3395</v>
      </c>
      <c r="C1465" s="79">
        <v>598806008</v>
      </c>
      <c r="D1465" s="79">
        <v>0</v>
      </c>
      <c r="E1465" s="79" t="s">
        <v>1124</v>
      </c>
      <c r="F1465" s="79" t="s">
        <v>2539</v>
      </c>
      <c r="G1465" s="79" t="s">
        <v>2578</v>
      </c>
      <c r="H1465" s="79"/>
      <c r="I1465" s="79"/>
    </row>
    <row r="1466" spans="1:9" ht="14.25">
      <c r="A1466" s="79" t="s">
        <v>3396</v>
      </c>
      <c r="B1466" s="79" t="s">
        <v>3397</v>
      </c>
      <c r="C1466" s="79">
        <v>598806608</v>
      </c>
      <c r="D1466" s="79">
        <v>0</v>
      </c>
      <c r="E1466" s="79" t="s">
        <v>1124</v>
      </c>
      <c r="F1466" s="79" t="s">
        <v>2539</v>
      </c>
      <c r="G1466" s="79" t="s">
        <v>2546</v>
      </c>
      <c r="H1466" s="79" t="s">
        <v>2547</v>
      </c>
      <c r="I1466" s="79"/>
    </row>
    <row r="1467" spans="1:9" ht="14.25">
      <c r="A1467" s="79" t="s">
        <v>3396</v>
      </c>
      <c r="B1467" s="79" t="s">
        <v>3397</v>
      </c>
      <c r="C1467" s="79">
        <v>598806608</v>
      </c>
      <c r="D1467" s="79">
        <v>0</v>
      </c>
      <c r="E1467" s="79" t="s">
        <v>1124</v>
      </c>
      <c r="F1467" s="79" t="s">
        <v>2539</v>
      </c>
      <c r="G1467" s="79" t="s">
        <v>2581</v>
      </c>
      <c r="H1467" s="79"/>
      <c r="I1467" s="79"/>
    </row>
    <row r="1468" spans="1:9" ht="14.25">
      <c r="A1468" s="79" t="s">
        <v>3398</v>
      </c>
      <c r="B1468" s="79" t="s">
        <v>3399</v>
      </c>
      <c r="C1468" s="79">
        <v>598849208</v>
      </c>
      <c r="D1468" s="79">
        <v>0</v>
      </c>
      <c r="E1468" s="79" t="s">
        <v>1124</v>
      </c>
      <c r="F1468" s="79" t="s">
        <v>2539</v>
      </c>
      <c r="G1468" s="79" t="s">
        <v>1130</v>
      </c>
      <c r="H1468" s="79"/>
      <c r="I1468" s="79"/>
    </row>
    <row r="1469" spans="1:9" ht="14.25">
      <c r="A1469" s="79" t="s">
        <v>3398</v>
      </c>
      <c r="B1469" s="79" t="s">
        <v>3399</v>
      </c>
      <c r="C1469" s="79">
        <v>598849208</v>
      </c>
      <c r="D1469" s="79">
        <v>0</v>
      </c>
      <c r="E1469" s="79" t="s">
        <v>1124</v>
      </c>
      <c r="F1469" s="79" t="s">
        <v>2539</v>
      </c>
      <c r="G1469" s="79" t="s">
        <v>1131</v>
      </c>
      <c r="H1469" s="79" t="s">
        <v>1132</v>
      </c>
      <c r="I1469" s="79"/>
    </row>
    <row r="1470" spans="1:9" ht="14.25">
      <c r="A1470" s="79" t="s">
        <v>3398</v>
      </c>
      <c r="B1470" s="79" t="s">
        <v>3399</v>
      </c>
      <c r="C1470" s="79">
        <v>598849208</v>
      </c>
      <c r="D1470" s="79">
        <v>0</v>
      </c>
      <c r="E1470" s="79" t="s">
        <v>1124</v>
      </c>
      <c r="F1470" s="79" t="s">
        <v>2539</v>
      </c>
      <c r="G1470" s="79" t="s">
        <v>2578</v>
      </c>
      <c r="H1470" s="79"/>
      <c r="I1470" s="79"/>
    </row>
    <row r="1471" spans="1:9" ht="14.25">
      <c r="A1471" s="79" t="s">
        <v>3400</v>
      </c>
      <c r="B1471" s="79" t="s">
        <v>3401</v>
      </c>
      <c r="C1471" s="79">
        <v>598849808</v>
      </c>
      <c r="D1471" s="79">
        <v>0</v>
      </c>
      <c r="E1471" s="79" t="s">
        <v>1124</v>
      </c>
      <c r="F1471" s="79" t="s">
        <v>2539</v>
      </c>
      <c r="G1471" s="79" t="s">
        <v>2546</v>
      </c>
      <c r="H1471" s="79" t="s">
        <v>2547</v>
      </c>
      <c r="I1471" s="79"/>
    </row>
    <row r="1472" spans="1:9" ht="14.25">
      <c r="A1472" s="79" t="s">
        <v>3400</v>
      </c>
      <c r="B1472" s="79" t="s">
        <v>3401</v>
      </c>
      <c r="C1472" s="79">
        <v>598849808</v>
      </c>
      <c r="D1472" s="79">
        <v>0</v>
      </c>
      <c r="E1472" s="79" t="s">
        <v>1124</v>
      </c>
      <c r="F1472" s="79" t="s">
        <v>2539</v>
      </c>
      <c r="G1472" s="79" t="s">
        <v>2581</v>
      </c>
      <c r="H1472" s="79"/>
      <c r="I1472" s="79"/>
    </row>
    <row r="1473" spans="1:9" ht="14.25">
      <c r="A1473" s="79" t="s">
        <v>3402</v>
      </c>
      <c r="B1473" s="79" t="s">
        <v>3403</v>
      </c>
      <c r="C1473" s="79">
        <v>598892408</v>
      </c>
      <c r="D1473" s="79">
        <v>0</v>
      </c>
      <c r="E1473" s="79" t="s">
        <v>1124</v>
      </c>
      <c r="F1473" s="79" t="s">
        <v>2539</v>
      </c>
      <c r="G1473" s="79" t="s">
        <v>1130</v>
      </c>
      <c r="H1473" s="79"/>
      <c r="I1473" s="79"/>
    </row>
    <row r="1474" spans="1:9" ht="14.25">
      <c r="A1474" s="79" t="s">
        <v>3402</v>
      </c>
      <c r="B1474" s="79" t="s">
        <v>3403</v>
      </c>
      <c r="C1474" s="79">
        <v>598892408</v>
      </c>
      <c r="D1474" s="79">
        <v>0</v>
      </c>
      <c r="E1474" s="79" t="s">
        <v>1124</v>
      </c>
      <c r="F1474" s="79" t="s">
        <v>2539</v>
      </c>
      <c r="G1474" s="79" t="s">
        <v>2109</v>
      </c>
      <c r="H1474" s="79"/>
      <c r="I1474" s="79"/>
    </row>
    <row r="1475" spans="1:9" ht="14.25">
      <c r="A1475" s="79" t="s">
        <v>3404</v>
      </c>
      <c r="B1475" s="79" t="s">
        <v>3405</v>
      </c>
      <c r="C1475" s="79">
        <v>598892411</v>
      </c>
      <c r="D1475" s="79">
        <v>0</v>
      </c>
      <c r="E1475" s="79" t="s">
        <v>1124</v>
      </c>
      <c r="F1475" s="79" t="s">
        <v>2539</v>
      </c>
      <c r="G1475" s="79" t="s">
        <v>1130</v>
      </c>
      <c r="H1475" s="79"/>
      <c r="I1475" s="79"/>
    </row>
    <row r="1476" spans="1:9" ht="14.25">
      <c r="A1476" s="79" t="s">
        <v>3404</v>
      </c>
      <c r="B1476" s="79" t="s">
        <v>3405</v>
      </c>
      <c r="C1476" s="79">
        <v>598892411</v>
      </c>
      <c r="D1476" s="79">
        <v>0</v>
      </c>
      <c r="E1476" s="79" t="s">
        <v>1124</v>
      </c>
      <c r="F1476" s="79" t="s">
        <v>2539</v>
      </c>
      <c r="G1476" s="79" t="s">
        <v>2572</v>
      </c>
      <c r="H1476" s="79" t="s">
        <v>2573</v>
      </c>
      <c r="I1476" s="79"/>
    </row>
    <row r="1477" spans="1:9" ht="14.25">
      <c r="A1477" s="79" t="s">
        <v>3404</v>
      </c>
      <c r="B1477" s="79" t="s">
        <v>3405</v>
      </c>
      <c r="C1477" s="79">
        <v>598892411</v>
      </c>
      <c r="D1477" s="79">
        <v>0</v>
      </c>
      <c r="E1477" s="79" t="s">
        <v>1124</v>
      </c>
      <c r="F1477" s="79" t="s">
        <v>2539</v>
      </c>
      <c r="G1477" s="79" t="s">
        <v>2568</v>
      </c>
      <c r="H1477" s="79"/>
      <c r="I1477" s="79"/>
    </row>
    <row r="1478" spans="1:9" ht="14.25">
      <c r="A1478" s="79" t="s">
        <v>3406</v>
      </c>
      <c r="B1478" s="79" t="s">
        <v>3407</v>
      </c>
      <c r="C1478" s="79">
        <v>598892771</v>
      </c>
      <c r="D1478" s="79">
        <v>0</v>
      </c>
      <c r="E1478" s="79" t="s">
        <v>1124</v>
      </c>
      <c r="F1478" s="79" t="s">
        <v>2539</v>
      </c>
      <c r="G1478" s="79" t="s">
        <v>2576</v>
      </c>
      <c r="H1478" s="79"/>
      <c r="I1478" s="79"/>
    </row>
    <row r="1479" spans="1:9" ht="14.25">
      <c r="A1479" s="79" t="s">
        <v>3406</v>
      </c>
      <c r="B1479" s="79" t="s">
        <v>3407</v>
      </c>
      <c r="C1479" s="79">
        <v>598892771</v>
      </c>
      <c r="D1479" s="79">
        <v>0</v>
      </c>
      <c r="E1479" s="79" t="s">
        <v>1124</v>
      </c>
      <c r="F1479" s="79" t="s">
        <v>2539</v>
      </c>
      <c r="G1479" s="79" t="s">
        <v>2577</v>
      </c>
      <c r="H1479" s="79"/>
      <c r="I1479" s="79"/>
    </row>
    <row r="1480" spans="1:9" ht="14.25">
      <c r="A1480" s="79" t="s">
        <v>3406</v>
      </c>
      <c r="B1480" s="79" t="s">
        <v>3407</v>
      </c>
      <c r="C1480" s="79">
        <v>598892771</v>
      </c>
      <c r="D1480" s="79">
        <v>0</v>
      </c>
      <c r="E1480" s="79" t="s">
        <v>1124</v>
      </c>
      <c r="F1480" s="79" t="s">
        <v>2539</v>
      </c>
      <c r="G1480" s="79" t="s">
        <v>1131</v>
      </c>
      <c r="H1480" s="79" t="s">
        <v>1132</v>
      </c>
      <c r="I1480" s="79"/>
    </row>
    <row r="1481" spans="1:9" ht="14.25">
      <c r="A1481" s="79" t="s">
        <v>3406</v>
      </c>
      <c r="B1481" s="79" t="s">
        <v>3407</v>
      </c>
      <c r="C1481" s="79">
        <v>598892771</v>
      </c>
      <c r="D1481" s="79">
        <v>0</v>
      </c>
      <c r="E1481" s="79" t="s">
        <v>1124</v>
      </c>
      <c r="F1481" s="79" t="s">
        <v>2539</v>
      </c>
      <c r="G1481" s="79" t="s">
        <v>2578</v>
      </c>
      <c r="H1481" s="79"/>
      <c r="I1481" s="79"/>
    </row>
    <row r="1482" spans="1:9" ht="14.25">
      <c r="A1482" s="79" t="s">
        <v>3408</v>
      </c>
      <c r="B1482" s="79" t="s">
        <v>3409</v>
      </c>
      <c r="C1482" s="79">
        <v>598893371</v>
      </c>
      <c r="D1482" s="79">
        <v>0</v>
      </c>
      <c r="E1482" s="79" t="s">
        <v>1124</v>
      </c>
      <c r="F1482" s="79" t="s">
        <v>2539</v>
      </c>
      <c r="G1482" s="79" t="s">
        <v>2546</v>
      </c>
      <c r="H1482" s="79" t="s">
        <v>2547</v>
      </c>
      <c r="I1482" s="79"/>
    </row>
    <row r="1483" spans="1:9" ht="14.25">
      <c r="A1483" s="79" t="s">
        <v>3408</v>
      </c>
      <c r="B1483" s="79" t="s">
        <v>3409</v>
      </c>
      <c r="C1483" s="79">
        <v>598893371</v>
      </c>
      <c r="D1483" s="79">
        <v>0</v>
      </c>
      <c r="E1483" s="79" t="s">
        <v>1124</v>
      </c>
      <c r="F1483" s="79" t="s">
        <v>2539</v>
      </c>
      <c r="G1483" s="79" t="s">
        <v>2581</v>
      </c>
      <c r="H1483" s="79"/>
      <c r="I1483" s="79"/>
    </row>
    <row r="1484" spans="1:9" ht="14.25">
      <c r="A1484" s="79" t="s">
        <v>3410</v>
      </c>
      <c r="B1484" s="79" t="s">
        <v>3411</v>
      </c>
      <c r="C1484" s="79">
        <v>598935971</v>
      </c>
      <c r="D1484" s="79">
        <v>0</v>
      </c>
      <c r="E1484" s="79" t="s">
        <v>1124</v>
      </c>
      <c r="F1484" s="79" t="s">
        <v>2539</v>
      </c>
      <c r="G1484" s="79" t="s">
        <v>1130</v>
      </c>
      <c r="H1484" s="79"/>
      <c r="I1484" s="79"/>
    </row>
    <row r="1485" spans="1:9" ht="14.25">
      <c r="A1485" s="79" t="s">
        <v>3410</v>
      </c>
      <c r="B1485" s="79" t="s">
        <v>3411</v>
      </c>
      <c r="C1485" s="79">
        <v>598935971</v>
      </c>
      <c r="D1485" s="79">
        <v>0</v>
      </c>
      <c r="E1485" s="79" t="s">
        <v>1124</v>
      </c>
      <c r="F1485" s="79" t="s">
        <v>2539</v>
      </c>
      <c r="G1485" s="79" t="s">
        <v>1131</v>
      </c>
      <c r="H1485" s="79" t="s">
        <v>1132</v>
      </c>
      <c r="I1485" s="79"/>
    </row>
    <row r="1486" spans="1:9" ht="14.25">
      <c r="A1486" s="79" t="s">
        <v>3410</v>
      </c>
      <c r="B1486" s="79" t="s">
        <v>3411</v>
      </c>
      <c r="C1486" s="79">
        <v>598935971</v>
      </c>
      <c r="D1486" s="79">
        <v>0</v>
      </c>
      <c r="E1486" s="79" t="s">
        <v>1124</v>
      </c>
      <c r="F1486" s="79" t="s">
        <v>2539</v>
      </c>
      <c r="G1486" s="79" t="s">
        <v>2578</v>
      </c>
      <c r="H1486" s="79"/>
      <c r="I1486" s="79"/>
    </row>
    <row r="1487" spans="1:9" ht="14.25">
      <c r="A1487" s="79" t="s">
        <v>3412</v>
      </c>
      <c r="B1487" s="79" t="s">
        <v>3413</v>
      </c>
      <c r="C1487" s="79">
        <v>598936571</v>
      </c>
      <c r="D1487" s="79">
        <v>0</v>
      </c>
      <c r="E1487" s="79" t="s">
        <v>1124</v>
      </c>
      <c r="F1487" s="79" t="s">
        <v>2539</v>
      </c>
      <c r="G1487" s="79" t="s">
        <v>2546</v>
      </c>
      <c r="H1487" s="79" t="s">
        <v>2547</v>
      </c>
      <c r="I1487" s="79"/>
    </row>
    <row r="1488" spans="1:9" ht="14.25">
      <c r="A1488" s="79" t="s">
        <v>3412</v>
      </c>
      <c r="B1488" s="79" t="s">
        <v>3413</v>
      </c>
      <c r="C1488" s="79">
        <v>598936571</v>
      </c>
      <c r="D1488" s="79">
        <v>0</v>
      </c>
      <c r="E1488" s="79" t="s">
        <v>1124</v>
      </c>
      <c r="F1488" s="79" t="s">
        <v>2539</v>
      </c>
      <c r="G1488" s="79" t="s">
        <v>2581</v>
      </c>
      <c r="H1488" s="79"/>
      <c r="I1488" s="79"/>
    </row>
    <row r="1489" spans="1:9" ht="14.25">
      <c r="A1489" s="79" t="s">
        <v>3414</v>
      </c>
      <c r="B1489" s="79" t="s">
        <v>3415</v>
      </c>
      <c r="C1489" s="79">
        <v>598979171</v>
      </c>
      <c r="D1489" s="79">
        <v>0</v>
      </c>
      <c r="E1489" s="79" t="s">
        <v>1124</v>
      </c>
      <c r="F1489" s="79" t="s">
        <v>2539</v>
      </c>
      <c r="G1489" s="79" t="s">
        <v>1130</v>
      </c>
      <c r="H1489" s="79"/>
      <c r="I1489" s="79"/>
    </row>
    <row r="1490" spans="1:9" ht="14.25">
      <c r="A1490" s="79" t="s">
        <v>3414</v>
      </c>
      <c r="B1490" s="79" t="s">
        <v>3415</v>
      </c>
      <c r="C1490" s="79">
        <v>598979171</v>
      </c>
      <c r="D1490" s="79">
        <v>0</v>
      </c>
      <c r="E1490" s="79" t="s">
        <v>1124</v>
      </c>
      <c r="F1490" s="79" t="s">
        <v>2539</v>
      </c>
      <c r="G1490" s="79" t="s">
        <v>1131</v>
      </c>
      <c r="H1490" s="79" t="s">
        <v>1132</v>
      </c>
      <c r="I1490" s="79"/>
    </row>
    <row r="1491" spans="1:9" ht="14.25">
      <c r="A1491" s="79" t="s">
        <v>3414</v>
      </c>
      <c r="B1491" s="79" t="s">
        <v>3415</v>
      </c>
      <c r="C1491" s="79">
        <v>598979171</v>
      </c>
      <c r="D1491" s="79">
        <v>0</v>
      </c>
      <c r="E1491" s="79" t="s">
        <v>1124</v>
      </c>
      <c r="F1491" s="79" t="s">
        <v>2539</v>
      </c>
      <c r="G1491" s="79" t="s">
        <v>2578</v>
      </c>
      <c r="H1491" s="79"/>
      <c r="I1491" s="79"/>
    </row>
    <row r="1492" spans="1:9" ht="14.25">
      <c r="A1492" s="79" t="s">
        <v>3416</v>
      </c>
      <c r="B1492" s="79" t="s">
        <v>3417</v>
      </c>
      <c r="C1492" s="79">
        <v>598979771</v>
      </c>
      <c r="D1492" s="79">
        <v>0</v>
      </c>
      <c r="E1492" s="79" t="s">
        <v>1124</v>
      </c>
      <c r="F1492" s="79" t="s">
        <v>2539</v>
      </c>
      <c r="G1492" s="79" t="s">
        <v>2546</v>
      </c>
      <c r="H1492" s="79" t="s">
        <v>2547</v>
      </c>
      <c r="I1492" s="79"/>
    </row>
    <row r="1493" spans="1:9" ht="14.25">
      <c r="A1493" s="79" t="s">
        <v>3416</v>
      </c>
      <c r="B1493" s="79" t="s">
        <v>3417</v>
      </c>
      <c r="C1493" s="79">
        <v>598979771</v>
      </c>
      <c r="D1493" s="79">
        <v>0</v>
      </c>
      <c r="E1493" s="79" t="s">
        <v>1124</v>
      </c>
      <c r="F1493" s="79" t="s">
        <v>2539</v>
      </c>
      <c r="G1493" s="79" t="s">
        <v>2581</v>
      </c>
      <c r="H1493" s="79"/>
      <c r="I1493" s="79"/>
    </row>
    <row r="1494" spans="1:9" ht="14.25">
      <c r="A1494" s="79" t="s">
        <v>3418</v>
      </c>
      <c r="B1494" s="79" t="s">
        <v>3419</v>
      </c>
      <c r="C1494" s="79">
        <v>599022371</v>
      </c>
      <c r="D1494" s="79">
        <v>0</v>
      </c>
      <c r="E1494" s="79" t="s">
        <v>1124</v>
      </c>
      <c r="F1494" s="79" t="s">
        <v>2539</v>
      </c>
      <c r="G1494" s="79" t="s">
        <v>1130</v>
      </c>
      <c r="H1494" s="79"/>
      <c r="I1494" s="79"/>
    </row>
    <row r="1495" spans="1:9" ht="14.25">
      <c r="A1495" s="79" t="s">
        <v>3418</v>
      </c>
      <c r="B1495" s="79" t="s">
        <v>3419</v>
      </c>
      <c r="C1495" s="79">
        <v>599022371</v>
      </c>
      <c r="D1495" s="79">
        <v>0</v>
      </c>
      <c r="E1495" s="79" t="s">
        <v>1124</v>
      </c>
      <c r="F1495" s="79" t="s">
        <v>2539</v>
      </c>
      <c r="G1495" s="79" t="s">
        <v>1131</v>
      </c>
      <c r="H1495" s="79" t="s">
        <v>1132</v>
      </c>
      <c r="I1495" s="79"/>
    </row>
    <row r="1496" spans="1:9" ht="14.25">
      <c r="A1496" s="79" t="s">
        <v>3418</v>
      </c>
      <c r="B1496" s="79" t="s">
        <v>3419</v>
      </c>
      <c r="C1496" s="79">
        <v>599022371</v>
      </c>
      <c r="D1496" s="79">
        <v>0</v>
      </c>
      <c r="E1496" s="79" t="s">
        <v>1124</v>
      </c>
      <c r="F1496" s="79" t="s">
        <v>2539</v>
      </c>
      <c r="G1496" s="79" t="s">
        <v>2578</v>
      </c>
      <c r="H1496" s="79"/>
      <c r="I1496" s="79"/>
    </row>
    <row r="1497" spans="1:9" ht="14.25">
      <c r="A1497" s="79" t="s">
        <v>3420</v>
      </c>
      <c r="B1497" s="79" t="s">
        <v>3421</v>
      </c>
      <c r="C1497" s="79">
        <v>599022971</v>
      </c>
      <c r="D1497" s="79">
        <v>0</v>
      </c>
      <c r="E1497" s="79" t="s">
        <v>1124</v>
      </c>
      <c r="F1497" s="79" t="s">
        <v>2539</v>
      </c>
      <c r="G1497" s="79" t="s">
        <v>2546</v>
      </c>
      <c r="H1497" s="79" t="s">
        <v>2547</v>
      </c>
      <c r="I1497" s="79"/>
    </row>
    <row r="1498" spans="1:9" ht="14.25">
      <c r="A1498" s="79" t="s">
        <v>3420</v>
      </c>
      <c r="B1498" s="79" t="s">
        <v>3421</v>
      </c>
      <c r="C1498" s="79">
        <v>599022971</v>
      </c>
      <c r="D1498" s="79">
        <v>0</v>
      </c>
      <c r="E1498" s="79" t="s">
        <v>1124</v>
      </c>
      <c r="F1498" s="79" t="s">
        <v>2539</v>
      </c>
      <c r="G1498" s="79" t="s">
        <v>2581</v>
      </c>
      <c r="H1498" s="79"/>
      <c r="I1498" s="79"/>
    </row>
    <row r="1499" spans="1:9" ht="14.25">
      <c r="A1499" s="79" t="s">
        <v>3422</v>
      </c>
      <c r="B1499" s="79" t="s">
        <v>3423</v>
      </c>
      <c r="C1499" s="79">
        <v>599065571</v>
      </c>
      <c r="D1499" s="79">
        <v>0</v>
      </c>
      <c r="E1499" s="79" t="s">
        <v>1124</v>
      </c>
      <c r="F1499" s="79" t="s">
        <v>2539</v>
      </c>
      <c r="G1499" s="79" t="s">
        <v>1130</v>
      </c>
      <c r="H1499" s="79"/>
      <c r="I1499" s="79"/>
    </row>
    <row r="1500" spans="1:9" ht="14.25">
      <c r="A1500" s="79" t="s">
        <v>3422</v>
      </c>
      <c r="B1500" s="79" t="s">
        <v>3423</v>
      </c>
      <c r="C1500" s="79">
        <v>599065571</v>
      </c>
      <c r="D1500" s="79">
        <v>0</v>
      </c>
      <c r="E1500" s="79" t="s">
        <v>1124</v>
      </c>
      <c r="F1500" s="79" t="s">
        <v>2539</v>
      </c>
      <c r="G1500" s="79" t="s">
        <v>1131</v>
      </c>
      <c r="H1500" s="79" t="s">
        <v>1132</v>
      </c>
      <c r="I1500" s="79"/>
    </row>
    <row r="1501" spans="1:9" ht="14.25">
      <c r="A1501" s="79" t="s">
        <v>3422</v>
      </c>
      <c r="B1501" s="79" t="s">
        <v>3423</v>
      </c>
      <c r="C1501" s="79">
        <v>599065571</v>
      </c>
      <c r="D1501" s="79">
        <v>0</v>
      </c>
      <c r="E1501" s="79" t="s">
        <v>1124</v>
      </c>
      <c r="F1501" s="79" t="s">
        <v>2539</v>
      </c>
      <c r="G1501" s="79" t="s">
        <v>2578</v>
      </c>
      <c r="H1501" s="79"/>
      <c r="I1501" s="79"/>
    </row>
    <row r="1502" spans="1:9" ht="14.25">
      <c r="A1502" s="79" t="s">
        <v>3424</v>
      </c>
      <c r="B1502" s="79" t="s">
        <v>3425</v>
      </c>
      <c r="C1502" s="79">
        <v>599066171</v>
      </c>
      <c r="D1502" s="79">
        <v>0</v>
      </c>
      <c r="E1502" s="79" t="s">
        <v>1124</v>
      </c>
      <c r="F1502" s="79" t="s">
        <v>2539</v>
      </c>
      <c r="G1502" s="79" t="s">
        <v>2546</v>
      </c>
      <c r="H1502" s="79" t="s">
        <v>2547</v>
      </c>
      <c r="I1502" s="79"/>
    </row>
    <row r="1503" spans="1:9" ht="14.25">
      <c r="A1503" s="79" t="s">
        <v>3424</v>
      </c>
      <c r="B1503" s="79" t="s">
        <v>3425</v>
      </c>
      <c r="C1503" s="79">
        <v>599066171</v>
      </c>
      <c r="D1503" s="79">
        <v>0</v>
      </c>
      <c r="E1503" s="79" t="s">
        <v>1124</v>
      </c>
      <c r="F1503" s="79" t="s">
        <v>2539</v>
      </c>
      <c r="G1503" s="79" t="s">
        <v>2581</v>
      </c>
      <c r="H1503" s="79"/>
      <c r="I1503" s="79"/>
    </row>
    <row r="1504" spans="1:9" ht="14.25">
      <c r="A1504" s="79" t="s">
        <v>3426</v>
      </c>
      <c r="B1504" s="79" t="s">
        <v>3427</v>
      </c>
      <c r="C1504" s="79">
        <v>599108771</v>
      </c>
      <c r="D1504" s="79">
        <v>0</v>
      </c>
      <c r="E1504" s="79" t="s">
        <v>1124</v>
      </c>
      <c r="F1504" s="79" t="s">
        <v>2539</v>
      </c>
      <c r="G1504" s="79" t="s">
        <v>1130</v>
      </c>
      <c r="H1504" s="79"/>
      <c r="I1504" s="79"/>
    </row>
    <row r="1505" spans="1:9" ht="14.25">
      <c r="A1505" s="79" t="s">
        <v>3426</v>
      </c>
      <c r="B1505" s="79" t="s">
        <v>3427</v>
      </c>
      <c r="C1505" s="79">
        <v>599108771</v>
      </c>
      <c r="D1505" s="79">
        <v>0</v>
      </c>
      <c r="E1505" s="79" t="s">
        <v>1124</v>
      </c>
      <c r="F1505" s="79" t="s">
        <v>2539</v>
      </c>
      <c r="G1505" s="79" t="s">
        <v>1131</v>
      </c>
      <c r="H1505" s="79" t="s">
        <v>1132</v>
      </c>
      <c r="I1505" s="79"/>
    </row>
    <row r="1506" spans="1:9" ht="14.25">
      <c r="A1506" s="79" t="s">
        <v>3426</v>
      </c>
      <c r="B1506" s="79" t="s">
        <v>3427</v>
      </c>
      <c r="C1506" s="79">
        <v>599108771</v>
      </c>
      <c r="D1506" s="79">
        <v>0</v>
      </c>
      <c r="E1506" s="79" t="s">
        <v>1124</v>
      </c>
      <c r="F1506" s="79" t="s">
        <v>2539</v>
      </c>
      <c r="G1506" s="79" t="s">
        <v>2578</v>
      </c>
      <c r="H1506" s="79"/>
      <c r="I1506" s="79"/>
    </row>
    <row r="1507" spans="1:9" ht="14.25">
      <c r="A1507" s="79" t="s">
        <v>3428</v>
      </c>
      <c r="B1507" s="79" t="s">
        <v>3429</v>
      </c>
      <c r="C1507" s="79">
        <v>599109371</v>
      </c>
      <c r="D1507" s="79">
        <v>0</v>
      </c>
      <c r="E1507" s="79" t="s">
        <v>1124</v>
      </c>
      <c r="F1507" s="79" t="s">
        <v>2539</v>
      </c>
      <c r="G1507" s="79" t="s">
        <v>2546</v>
      </c>
      <c r="H1507" s="79" t="s">
        <v>2547</v>
      </c>
      <c r="I1507" s="79"/>
    </row>
    <row r="1508" spans="1:9" ht="14.25">
      <c r="A1508" s="79" t="s">
        <v>3428</v>
      </c>
      <c r="B1508" s="79" t="s">
        <v>3429</v>
      </c>
      <c r="C1508" s="79">
        <v>599109371</v>
      </c>
      <c r="D1508" s="79">
        <v>0</v>
      </c>
      <c r="E1508" s="79" t="s">
        <v>1124</v>
      </c>
      <c r="F1508" s="79" t="s">
        <v>2539</v>
      </c>
      <c r="G1508" s="79" t="s">
        <v>2581</v>
      </c>
      <c r="H1508" s="79"/>
      <c r="I1508" s="79"/>
    </row>
    <row r="1509" spans="1:9" ht="14.25">
      <c r="A1509" s="79" t="s">
        <v>3430</v>
      </c>
      <c r="B1509" s="79" t="s">
        <v>3431</v>
      </c>
      <c r="C1509" s="79">
        <v>599151971</v>
      </c>
      <c r="D1509" s="79">
        <v>0</v>
      </c>
      <c r="E1509" s="79" t="s">
        <v>1124</v>
      </c>
      <c r="F1509" s="79" t="s">
        <v>2539</v>
      </c>
      <c r="G1509" s="79" t="s">
        <v>1130</v>
      </c>
      <c r="H1509" s="79"/>
      <c r="I1509" s="79"/>
    </row>
    <row r="1510" spans="1:9" ht="14.25">
      <c r="A1510" s="79" t="s">
        <v>3430</v>
      </c>
      <c r="B1510" s="79" t="s">
        <v>3431</v>
      </c>
      <c r="C1510" s="79">
        <v>599151971</v>
      </c>
      <c r="D1510" s="79">
        <v>0</v>
      </c>
      <c r="E1510" s="79" t="s">
        <v>1124</v>
      </c>
      <c r="F1510" s="79" t="s">
        <v>2539</v>
      </c>
      <c r="G1510" s="79" t="s">
        <v>1131</v>
      </c>
      <c r="H1510" s="79" t="s">
        <v>1132</v>
      </c>
      <c r="I1510" s="79"/>
    </row>
    <row r="1511" spans="1:9" ht="14.25">
      <c r="A1511" s="79" t="s">
        <v>3430</v>
      </c>
      <c r="B1511" s="79" t="s">
        <v>3431</v>
      </c>
      <c r="C1511" s="79">
        <v>599151971</v>
      </c>
      <c r="D1511" s="79">
        <v>0</v>
      </c>
      <c r="E1511" s="79" t="s">
        <v>1124</v>
      </c>
      <c r="F1511" s="79" t="s">
        <v>2539</v>
      </c>
      <c r="G1511" s="79" t="s">
        <v>2578</v>
      </c>
      <c r="H1511" s="79"/>
      <c r="I1511" s="79"/>
    </row>
    <row r="1512" spans="1:9" ht="14.25">
      <c r="A1512" s="79" t="s">
        <v>3432</v>
      </c>
      <c r="B1512" s="79" t="s">
        <v>3433</v>
      </c>
      <c r="C1512" s="79">
        <v>599152571</v>
      </c>
      <c r="D1512" s="79">
        <v>0</v>
      </c>
      <c r="E1512" s="79" t="s">
        <v>1124</v>
      </c>
      <c r="F1512" s="79" t="s">
        <v>2539</v>
      </c>
      <c r="G1512" s="79" t="s">
        <v>2546</v>
      </c>
      <c r="H1512" s="79" t="s">
        <v>2547</v>
      </c>
      <c r="I1512" s="79"/>
    </row>
    <row r="1513" spans="1:9" ht="14.25">
      <c r="A1513" s="79" t="s">
        <v>3432</v>
      </c>
      <c r="B1513" s="79" t="s">
        <v>3433</v>
      </c>
      <c r="C1513" s="79">
        <v>599152571</v>
      </c>
      <c r="D1513" s="79">
        <v>0</v>
      </c>
      <c r="E1513" s="79" t="s">
        <v>1124</v>
      </c>
      <c r="F1513" s="79" t="s">
        <v>2539</v>
      </c>
      <c r="G1513" s="79" t="s">
        <v>2581</v>
      </c>
      <c r="H1513" s="79"/>
      <c r="I1513" s="79"/>
    </row>
    <row r="1514" spans="1:9" ht="14.25">
      <c r="A1514" s="79" t="s">
        <v>3434</v>
      </c>
      <c r="B1514" s="79" t="s">
        <v>3435</v>
      </c>
      <c r="C1514" s="79">
        <v>599195171</v>
      </c>
      <c r="D1514" s="79">
        <v>0</v>
      </c>
      <c r="E1514" s="79" t="s">
        <v>1124</v>
      </c>
      <c r="F1514" s="79" t="s">
        <v>2539</v>
      </c>
      <c r="G1514" s="79" t="s">
        <v>1130</v>
      </c>
      <c r="H1514" s="79"/>
      <c r="I1514" s="79"/>
    </row>
    <row r="1515" spans="1:9" ht="14.25">
      <c r="A1515" s="79" t="s">
        <v>3434</v>
      </c>
      <c r="B1515" s="79" t="s">
        <v>3435</v>
      </c>
      <c r="C1515" s="79">
        <v>599195171</v>
      </c>
      <c r="D1515" s="79">
        <v>0</v>
      </c>
      <c r="E1515" s="79" t="s">
        <v>1124</v>
      </c>
      <c r="F1515" s="79" t="s">
        <v>2539</v>
      </c>
      <c r="G1515" s="79" t="s">
        <v>1131</v>
      </c>
      <c r="H1515" s="79" t="s">
        <v>1132</v>
      </c>
      <c r="I1515" s="79"/>
    </row>
    <row r="1516" spans="1:9" ht="14.25">
      <c r="A1516" s="79" t="s">
        <v>3434</v>
      </c>
      <c r="B1516" s="79" t="s">
        <v>3435</v>
      </c>
      <c r="C1516" s="79">
        <v>599195171</v>
      </c>
      <c r="D1516" s="79">
        <v>0</v>
      </c>
      <c r="E1516" s="79" t="s">
        <v>1124</v>
      </c>
      <c r="F1516" s="79" t="s">
        <v>2539</v>
      </c>
      <c r="G1516" s="79" t="s">
        <v>2578</v>
      </c>
      <c r="H1516" s="79"/>
      <c r="I1516" s="79"/>
    </row>
    <row r="1517" spans="1:9" ht="14.25">
      <c r="A1517" s="79" t="s">
        <v>3436</v>
      </c>
      <c r="B1517" s="79" t="s">
        <v>3437</v>
      </c>
      <c r="C1517" s="79">
        <v>599195771</v>
      </c>
      <c r="D1517" s="79">
        <v>0</v>
      </c>
      <c r="E1517" s="79" t="s">
        <v>1124</v>
      </c>
      <c r="F1517" s="79" t="s">
        <v>2539</v>
      </c>
      <c r="G1517" s="79" t="s">
        <v>2546</v>
      </c>
      <c r="H1517" s="79" t="s">
        <v>2547</v>
      </c>
      <c r="I1517" s="79"/>
    </row>
    <row r="1518" spans="1:9" ht="14.25">
      <c r="A1518" s="79" t="s">
        <v>3436</v>
      </c>
      <c r="B1518" s="79" t="s">
        <v>3437</v>
      </c>
      <c r="C1518" s="79">
        <v>599195771</v>
      </c>
      <c r="D1518" s="79">
        <v>0</v>
      </c>
      <c r="E1518" s="79" t="s">
        <v>1124</v>
      </c>
      <c r="F1518" s="79" t="s">
        <v>2539</v>
      </c>
      <c r="G1518" s="79" t="s">
        <v>2581</v>
      </c>
      <c r="H1518" s="79"/>
      <c r="I1518" s="79"/>
    </row>
    <row r="1519" spans="1:9" ht="14.25">
      <c r="A1519" s="79" t="s">
        <v>3438</v>
      </c>
      <c r="B1519" s="79" t="s">
        <v>3439</v>
      </c>
      <c r="C1519" s="79">
        <v>599238371</v>
      </c>
      <c r="D1519" s="79">
        <v>0</v>
      </c>
      <c r="E1519" s="79" t="s">
        <v>1124</v>
      </c>
      <c r="F1519" s="79" t="s">
        <v>2539</v>
      </c>
      <c r="G1519" s="79" t="s">
        <v>1130</v>
      </c>
      <c r="H1519" s="79"/>
      <c r="I1519" s="79"/>
    </row>
    <row r="1520" spans="1:9" ht="14.25">
      <c r="A1520" s="79" t="s">
        <v>3438</v>
      </c>
      <c r="B1520" s="79" t="s">
        <v>3439</v>
      </c>
      <c r="C1520" s="79">
        <v>599238371</v>
      </c>
      <c r="D1520" s="79">
        <v>0</v>
      </c>
      <c r="E1520" s="79" t="s">
        <v>1124</v>
      </c>
      <c r="F1520" s="79" t="s">
        <v>2539</v>
      </c>
      <c r="G1520" s="79" t="s">
        <v>1131</v>
      </c>
      <c r="H1520" s="79" t="s">
        <v>1132</v>
      </c>
      <c r="I1520" s="79"/>
    </row>
    <row r="1521" spans="1:9" ht="14.25">
      <c r="A1521" s="79" t="s">
        <v>3438</v>
      </c>
      <c r="B1521" s="79" t="s">
        <v>3439</v>
      </c>
      <c r="C1521" s="79">
        <v>599238371</v>
      </c>
      <c r="D1521" s="79">
        <v>0</v>
      </c>
      <c r="E1521" s="79" t="s">
        <v>1124</v>
      </c>
      <c r="F1521" s="79" t="s">
        <v>2539</v>
      </c>
      <c r="G1521" s="79" t="s">
        <v>2578</v>
      </c>
      <c r="H1521" s="79"/>
      <c r="I1521" s="79"/>
    </row>
    <row r="1522" spans="1:9" ht="14.25">
      <c r="A1522" s="79" t="s">
        <v>3440</v>
      </c>
      <c r="B1522" s="79" t="s">
        <v>3441</v>
      </c>
      <c r="C1522" s="79">
        <v>599238971</v>
      </c>
      <c r="D1522" s="79">
        <v>0</v>
      </c>
      <c r="E1522" s="79" t="s">
        <v>1124</v>
      </c>
      <c r="F1522" s="79" t="s">
        <v>2539</v>
      </c>
      <c r="G1522" s="79" t="s">
        <v>2546</v>
      </c>
      <c r="H1522" s="79" t="s">
        <v>2547</v>
      </c>
      <c r="I1522" s="79"/>
    </row>
    <row r="1523" spans="1:9" ht="14.25">
      <c r="A1523" s="79" t="s">
        <v>3440</v>
      </c>
      <c r="B1523" s="79" t="s">
        <v>3441</v>
      </c>
      <c r="C1523" s="79">
        <v>599238971</v>
      </c>
      <c r="D1523" s="79">
        <v>0</v>
      </c>
      <c r="E1523" s="79" t="s">
        <v>1124</v>
      </c>
      <c r="F1523" s="79" t="s">
        <v>2539</v>
      </c>
      <c r="G1523" s="79" t="s">
        <v>2581</v>
      </c>
      <c r="H1523" s="79"/>
      <c r="I1523" s="79"/>
    </row>
    <row r="1524" spans="1:9" ht="14.25">
      <c r="A1524" s="79" t="s">
        <v>3442</v>
      </c>
      <c r="B1524" s="79" t="s">
        <v>3443</v>
      </c>
      <c r="C1524" s="79">
        <v>599281571</v>
      </c>
      <c r="D1524" s="79">
        <v>0</v>
      </c>
      <c r="E1524" s="79" t="s">
        <v>1124</v>
      </c>
      <c r="F1524" s="79" t="s">
        <v>2539</v>
      </c>
      <c r="G1524" s="79" t="s">
        <v>1130</v>
      </c>
      <c r="H1524" s="79"/>
      <c r="I1524" s="79"/>
    </row>
    <row r="1525" spans="1:9" ht="14.25">
      <c r="A1525" s="79" t="s">
        <v>3442</v>
      </c>
      <c r="B1525" s="79" t="s">
        <v>3443</v>
      </c>
      <c r="C1525" s="79">
        <v>599281571</v>
      </c>
      <c r="D1525" s="79">
        <v>0</v>
      </c>
      <c r="E1525" s="79" t="s">
        <v>1124</v>
      </c>
      <c r="F1525" s="79" t="s">
        <v>2539</v>
      </c>
      <c r="G1525" s="79" t="s">
        <v>1131</v>
      </c>
      <c r="H1525" s="79" t="s">
        <v>1132</v>
      </c>
      <c r="I1525" s="79"/>
    </row>
    <row r="1526" spans="1:9" ht="14.25">
      <c r="A1526" s="79" t="s">
        <v>3442</v>
      </c>
      <c r="B1526" s="79" t="s">
        <v>3443</v>
      </c>
      <c r="C1526" s="79">
        <v>599281571</v>
      </c>
      <c r="D1526" s="79">
        <v>0</v>
      </c>
      <c r="E1526" s="79" t="s">
        <v>1124</v>
      </c>
      <c r="F1526" s="79" t="s">
        <v>2539</v>
      </c>
      <c r="G1526" s="79" t="s">
        <v>2578</v>
      </c>
      <c r="H1526" s="79"/>
      <c r="I1526" s="79"/>
    </row>
    <row r="1527" spans="1:9" ht="14.25">
      <c r="A1527" s="79" t="s">
        <v>3444</v>
      </c>
      <c r="B1527" s="79" t="s">
        <v>3445</v>
      </c>
      <c r="C1527" s="79">
        <v>599282171</v>
      </c>
      <c r="D1527" s="79">
        <v>0</v>
      </c>
      <c r="E1527" s="79" t="s">
        <v>1124</v>
      </c>
      <c r="F1527" s="79" t="s">
        <v>2539</v>
      </c>
      <c r="G1527" s="79" t="s">
        <v>2546</v>
      </c>
      <c r="H1527" s="79" t="s">
        <v>2547</v>
      </c>
      <c r="I1527" s="79"/>
    </row>
    <row r="1528" spans="1:9" ht="14.25">
      <c r="A1528" s="79" t="s">
        <v>3444</v>
      </c>
      <c r="B1528" s="79" t="s">
        <v>3445</v>
      </c>
      <c r="C1528" s="79">
        <v>599282171</v>
      </c>
      <c r="D1528" s="79">
        <v>0</v>
      </c>
      <c r="E1528" s="79" t="s">
        <v>1124</v>
      </c>
      <c r="F1528" s="79" t="s">
        <v>2539</v>
      </c>
      <c r="G1528" s="79" t="s">
        <v>2581</v>
      </c>
      <c r="H1528" s="79"/>
      <c r="I1528" s="79"/>
    </row>
    <row r="1529" spans="1:9" ht="14.25">
      <c r="A1529" s="79" t="s">
        <v>3446</v>
      </c>
      <c r="B1529" s="79" t="s">
        <v>3447</v>
      </c>
      <c r="C1529" s="79">
        <v>599324771</v>
      </c>
      <c r="D1529" s="79">
        <v>0</v>
      </c>
      <c r="E1529" s="79" t="s">
        <v>1124</v>
      </c>
      <c r="F1529" s="79" t="s">
        <v>2539</v>
      </c>
      <c r="G1529" s="79" t="s">
        <v>1130</v>
      </c>
      <c r="H1529" s="79"/>
      <c r="I1529" s="79"/>
    </row>
    <row r="1530" spans="1:9" ht="14.25">
      <c r="A1530" s="79" t="s">
        <v>3446</v>
      </c>
      <c r="B1530" s="79" t="s">
        <v>3447</v>
      </c>
      <c r="C1530" s="79">
        <v>599324771</v>
      </c>
      <c r="D1530" s="79">
        <v>0</v>
      </c>
      <c r="E1530" s="79" t="s">
        <v>1124</v>
      </c>
      <c r="F1530" s="79" t="s">
        <v>2539</v>
      </c>
      <c r="G1530" s="79" t="s">
        <v>1131</v>
      </c>
      <c r="H1530" s="79" t="s">
        <v>1132</v>
      </c>
      <c r="I1530" s="79"/>
    </row>
    <row r="1531" spans="1:9" ht="14.25">
      <c r="A1531" s="79" t="s">
        <v>3446</v>
      </c>
      <c r="B1531" s="79" t="s">
        <v>3447</v>
      </c>
      <c r="C1531" s="79">
        <v>599324771</v>
      </c>
      <c r="D1531" s="79">
        <v>0</v>
      </c>
      <c r="E1531" s="79" t="s">
        <v>1124</v>
      </c>
      <c r="F1531" s="79" t="s">
        <v>2539</v>
      </c>
      <c r="G1531" s="79" t="s">
        <v>2578</v>
      </c>
      <c r="H1531" s="79"/>
      <c r="I1531" s="79"/>
    </row>
    <row r="1532" spans="1:9" ht="14.25">
      <c r="A1532" s="79" t="s">
        <v>3448</v>
      </c>
      <c r="B1532" s="79" t="s">
        <v>3449</v>
      </c>
      <c r="C1532" s="79">
        <v>599325371</v>
      </c>
      <c r="D1532" s="79">
        <v>0</v>
      </c>
      <c r="E1532" s="79" t="s">
        <v>1124</v>
      </c>
      <c r="F1532" s="79" t="s">
        <v>2539</v>
      </c>
      <c r="G1532" s="79" t="s">
        <v>2546</v>
      </c>
      <c r="H1532" s="79" t="s">
        <v>2547</v>
      </c>
      <c r="I1532" s="79"/>
    </row>
    <row r="1533" spans="1:9" ht="14.25">
      <c r="A1533" s="79" t="s">
        <v>3448</v>
      </c>
      <c r="B1533" s="79" t="s">
        <v>3449</v>
      </c>
      <c r="C1533" s="79">
        <v>599325371</v>
      </c>
      <c r="D1533" s="79">
        <v>0</v>
      </c>
      <c r="E1533" s="79" t="s">
        <v>1124</v>
      </c>
      <c r="F1533" s="79" t="s">
        <v>2539</v>
      </c>
      <c r="G1533" s="79" t="s">
        <v>2581</v>
      </c>
      <c r="H1533" s="79"/>
      <c r="I1533" s="79"/>
    </row>
    <row r="1534" spans="1:9" ht="14.25">
      <c r="A1534" s="79" t="s">
        <v>3450</v>
      </c>
      <c r="B1534" s="79" t="s">
        <v>3451</v>
      </c>
      <c r="C1534" s="79">
        <v>599367971</v>
      </c>
      <c r="D1534" s="79">
        <v>0</v>
      </c>
      <c r="E1534" s="79" t="s">
        <v>1124</v>
      </c>
      <c r="F1534" s="79" t="s">
        <v>2539</v>
      </c>
      <c r="G1534" s="79" t="s">
        <v>1130</v>
      </c>
      <c r="H1534" s="79"/>
      <c r="I1534" s="79"/>
    </row>
    <row r="1535" spans="1:9" ht="14.25">
      <c r="A1535" s="79" t="s">
        <v>3450</v>
      </c>
      <c r="B1535" s="79" t="s">
        <v>3451</v>
      </c>
      <c r="C1535" s="79">
        <v>599367971</v>
      </c>
      <c r="D1535" s="79">
        <v>0</v>
      </c>
      <c r="E1535" s="79" t="s">
        <v>1124</v>
      </c>
      <c r="F1535" s="79" t="s">
        <v>2539</v>
      </c>
      <c r="G1535" s="79" t="s">
        <v>1131</v>
      </c>
      <c r="H1535" s="79" t="s">
        <v>1132</v>
      </c>
      <c r="I1535" s="79"/>
    </row>
    <row r="1536" spans="1:9" ht="14.25">
      <c r="A1536" s="79" t="s">
        <v>3450</v>
      </c>
      <c r="B1536" s="79" t="s">
        <v>3451</v>
      </c>
      <c r="C1536" s="79">
        <v>599367971</v>
      </c>
      <c r="D1536" s="79">
        <v>0</v>
      </c>
      <c r="E1536" s="79" t="s">
        <v>1124</v>
      </c>
      <c r="F1536" s="79" t="s">
        <v>2539</v>
      </c>
      <c r="G1536" s="79" t="s">
        <v>2578</v>
      </c>
      <c r="H1536" s="79"/>
      <c r="I1536" s="79"/>
    </row>
    <row r="1537" spans="1:9" ht="14.25">
      <c r="A1537" s="79" t="s">
        <v>3452</v>
      </c>
      <c r="B1537" s="79" t="s">
        <v>3453</v>
      </c>
      <c r="C1537" s="79">
        <v>599368571</v>
      </c>
      <c r="D1537" s="79">
        <v>0</v>
      </c>
      <c r="E1537" s="79" t="s">
        <v>1124</v>
      </c>
      <c r="F1537" s="79" t="s">
        <v>2539</v>
      </c>
      <c r="G1537" s="79" t="s">
        <v>2546</v>
      </c>
      <c r="H1537" s="79" t="s">
        <v>2547</v>
      </c>
      <c r="I1537" s="79"/>
    </row>
    <row r="1538" spans="1:9" ht="14.25">
      <c r="A1538" s="79" t="s">
        <v>3452</v>
      </c>
      <c r="B1538" s="79" t="s">
        <v>3453</v>
      </c>
      <c r="C1538" s="79">
        <v>599368571</v>
      </c>
      <c r="D1538" s="79">
        <v>0</v>
      </c>
      <c r="E1538" s="79" t="s">
        <v>1124</v>
      </c>
      <c r="F1538" s="79" t="s">
        <v>2539</v>
      </c>
      <c r="G1538" s="79" t="s">
        <v>2581</v>
      </c>
      <c r="H1538" s="79"/>
      <c r="I1538" s="79"/>
    </row>
    <row r="1539" spans="1:9" ht="14.25">
      <c r="A1539" s="79" t="s">
        <v>3454</v>
      </c>
      <c r="B1539" s="79" t="s">
        <v>3455</v>
      </c>
      <c r="C1539" s="79">
        <v>599411171</v>
      </c>
      <c r="D1539" s="79">
        <v>0</v>
      </c>
      <c r="E1539" s="79" t="s">
        <v>1124</v>
      </c>
      <c r="F1539" s="79" t="s">
        <v>2539</v>
      </c>
      <c r="G1539" s="79" t="s">
        <v>1130</v>
      </c>
      <c r="H1539" s="79"/>
      <c r="I1539" s="79"/>
    </row>
    <row r="1540" spans="1:9" ht="14.25">
      <c r="A1540" s="79" t="s">
        <v>3454</v>
      </c>
      <c r="B1540" s="79" t="s">
        <v>3455</v>
      </c>
      <c r="C1540" s="79">
        <v>599411171</v>
      </c>
      <c r="D1540" s="79">
        <v>0</v>
      </c>
      <c r="E1540" s="79" t="s">
        <v>1124</v>
      </c>
      <c r="F1540" s="79" t="s">
        <v>2539</v>
      </c>
      <c r="G1540" s="79" t="s">
        <v>1131</v>
      </c>
      <c r="H1540" s="79" t="s">
        <v>1132</v>
      </c>
      <c r="I1540" s="79"/>
    </row>
    <row r="1541" spans="1:9" ht="14.25">
      <c r="A1541" s="79" t="s">
        <v>3454</v>
      </c>
      <c r="B1541" s="79" t="s">
        <v>3455</v>
      </c>
      <c r="C1541" s="79">
        <v>599411171</v>
      </c>
      <c r="D1541" s="79">
        <v>0</v>
      </c>
      <c r="E1541" s="79" t="s">
        <v>1124</v>
      </c>
      <c r="F1541" s="79" t="s">
        <v>2539</v>
      </c>
      <c r="G1541" s="79" t="s">
        <v>2578</v>
      </c>
      <c r="H1541" s="79"/>
      <c r="I1541" s="79"/>
    </row>
    <row r="1542" spans="1:9" ht="14.25">
      <c r="A1542" s="79" t="s">
        <v>3456</v>
      </c>
      <c r="B1542" s="79" t="s">
        <v>3457</v>
      </c>
      <c r="C1542" s="79">
        <v>599411771</v>
      </c>
      <c r="D1542" s="79">
        <v>0</v>
      </c>
      <c r="E1542" s="79" t="s">
        <v>1124</v>
      </c>
      <c r="F1542" s="79" t="s">
        <v>2539</v>
      </c>
      <c r="G1542" s="79" t="s">
        <v>2546</v>
      </c>
      <c r="H1542" s="79" t="s">
        <v>2547</v>
      </c>
      <c r="I1542" s="79"/>
    </row>
    <row r="1543" spans="1:9" ht="14.25">
      <c r="A1543" s="79" t="s">
        <v>3456</v>
      </c>
      <c r="B1543" s="79" t="s">
        <v>3457</v>
      </c>
      <c r="C1543" s="79">
        <v>599411771</v>
      </c>
      <c r="D1543" s="79">
        <v>0</v>
      </c>
      <c r="E1543" s="79" t="s">
        <v>1124</v>
      </c>
      <c r="F1543" s="79" t="s">
        <v>2539</v>
      </c>
      <c r="G1543" s="79" t="s">
        <v>2581</v>
      </c>
      <c r="H1543" s="79"/>
      <c r="I1543" s="79"/>
    </row>
    <row r="1544" spans="1:9" ht="14.25">
      <c r="A1544" s="79" t="s">
        <v>3458</v>
      </c>
      <c r="B1544" s="79" t="s">
        <v>3459</v>
      </c>
      <c r="C1544" s="79">
        <v>599454371</v>
      </c>
      <c r="D1544" s="79">
        <v>0</v>
      </c>
      <c r="E1544" s="79" t="s">
        <v>1124</v>
      </c>
      <c r="F1544" s="79" t="s">
        <v>2539</v>
      </c>
      <c r="G1544" s="79" t="s">
        <v>1130</v>
      </c>
      <c r="H1544" s="79"/>
      <c r="I1544" s="79"/>
    </row>
    <row r="1545" spans="1:9" ht="14.25">
      <c r="A1545" s="79" t="s">
        <v>3458</v>
      </c>
      <c r="B1545" s="79" t="s">
        <v>3459</v>
      </c>
      <c r="C1545" s="79">
        <v>599454371</v>
      </c>
      <c r="D1545" s="79">
        <v>0</v>
      </c>
      <c r="E1545" s="79" t="s">
        <v>1124</v>
      </c>
      <c r="F1545" s="79" t="s">
        <v>2539</v>
      </c>
      <c r="G1545" s="79" t="s">
        <v>1131</v>
      </c>
      <c r="H1545" s="79" t="s">
        <v>1132</v>
      </c>
      <c r="I1545" s="79"/>
    </row>
    <row r="1546" spans="1:9" ht="14.25">
      <c r="A1546" s="79" t="s">
        <v>3458</v>
      </c>
      <c r="B1546" s="79" t="s">
        <v>3459</v>
      </c>
      <c r="C1546" s="79">
        <v>599454371</v>
      </c>
      <c r="D1546" s="79">
        <v>0</v>
      </c>
      <c r="E1546" s="79" t="s">
        <v>1124</v>
      </c>
      <c r="F1546" s="79" t="s">
        <v>2539</v>
      </c>
      <c r="G1546" s="79" t="s">
        <v>2578</v>
      </c>
      <c r="H1546" s="79"/>
      <c r="I1546" s="79"/>
    </row>
    <row r="1547" spans="1:9" ht="14.25">
      <c r="A1547" s="79" t="s">
        <v>3460</v>
      </c>
      <c r="B1547" s="79" t="s">
        <v>3461</v>
      </c>
      <c r="C1547" s="79">
        <v>599454971</v>
      </c>
      <c r="D1547" s="79">
        <v>0</v>
      </c>
      <c r="E1547" s="79" t="s">
        <v>1124</v>
      </c>
      <c r="F1547" s="79" t="s">
        <v>2539</v>
      </c>
      <c r="G1547" s="79" t="s">
        <v>2546</v>
      </c>
      <c r="H1547" s="79" t="s">
        <v>2547</v>
      </c>
      <c r="I1547" s="79"/>
    </row>
    <row r="1548" spans="1:9" ht="14.25">
      <c r="A1548" s="79" t="s">
        <v>3460</v>
      </c>
      <c r="B1548" s="79" t="s">
        <v>3461</v>
      </c>
      <c r="C1548" s="79">
        <v>599454971</v>
      </c>
      <c r="D1548" s="79">
        <v>0</v>
      </c>
      <c r="E1548" s="79" t="s">
        <v>1124</v>
      </c>
      <c r="F1548" s="79" t="s">
        <v>2539</v>
      </c>
      <c r="G1548" s="79" t="s">
        <v>2581</v>
      </c>
      <c r="H1548" s="79"/>
      <c r="I1548" s="79"/>
    </row>
    <row r="1549" spans="1:9" ht="14.25">
      <c r="A1549" s="79" t="s">
        <v>3462</v>
      </c>
      <c r="B1549" s="79" t="s">
        <v>3463</v>
      </c>
      <c r="C1549" s="79">
        <v>599497571</v>
      </c>
      <c r="D1549" s="79">
        <v>0</v>
      </c>
      <c r="E1549" s="79" t="s">
        <v>1124</v>
      </c>
      <c r="F1549" s="79" t="s">
        <v>2539</v>
      </c>
      <c r="G1549" s="79" t="s">
        <v>1130</v>
      </c>
      <c r="H1549" s="79"/>
      <c r="I1549" s="79"/>
    </row>
    <row r="1550" spans="1:9" ht="14.25">
      <c r="A1550" s="79" t="s">
        <v>3462</v>
      </c>
      <c r="B1550" s="79" t="s">
        <v>3463</v>
      </c>
      <c r="C1550" s="79">
        <v>599497571</v>
      </c>
      <c r="D1550" s="79">
        <v>0</v>
      </c>
      <c r="E1550" s="79" t="s">
        <v>1124</v>
      </c>
      <c r="F1550" s="79" t="s">
        <v>2539</v>
      </c>
      <c r="G1550" s="79" t="s">
        <v>1131</v>
      </c>
      <c r="H1550" s="79" t="s">
        <v>1132</v>
      </c>
      <c r="I1550" s="79"/>
    </row>
    <row r="1551" spans="1:9" ht="14.25">
      <c r="A1551" s="79" t="s">
        <v>3462</v>
      </c>
      <c r="B1551" s="79" t="s">
        <v>3463</v>
      </c>
      <c r="C1551" s="79">
        <v>599497571</v>
      </c>
      <c r="D1551" s="79">
        <v>0</v>
      </c>
      <c r="E1551" s="79" t="s">
        <v>1124</v>
      </c>
      <c r="F1551" s="79" t="s">
        <v>2539</v>
      </c>
      <c r="G1551" s="79" t="s">
        <v>2578</v>
      </c>
      <c r="H1551" s="79"/>
      <c r="I1551" s="79"/>
    </row>
    <row r="1552" spans="1:9" ht="14.25">
      <c r="A1552" s="79" t="s">
        <v>3464</v>
      </c>
      <c r="B1552" s="79" t="s">
        <v>3465</v>
      </c>
      <c r="C1552" s="79">
        <v>599498171</v>
      </c>
      <c r="D1552" s="79">
        <v>0</v>
      </c>
      <c r="E1552" s="79" t="s">
        <v>1124</v>
      </c>
      <c r="F1552" s="79" t="s">
        <v>2539</v>
      </c>
      <c r="G1552" s="79" t="s">
        <v>2546</v>
      </c>
      <c r="H1552" s="79" t="s">
        <v>2547</v>
      </c>
      <c r="I1552" s="79"/>
    </row>
    <row r="1553" spans="1:9" ht="14.25">
      <c r="A1553" s="79" t="s">
        <v>3464</v>
      </c>
      <c r="B1553" s="79" t="s">
        <v>3465</v>
      </c>
      <c r="C1553" s="79">
        <v>599498171</v>
      </c>
      <c r="D1553" s="79">
        <v>0</v>
      </c>
      <c r="E1553" s="79" t="s">
        <v>1124</v>
      </c>
      <c r="F1553" s="79" t="s">
        <v>2539</v>
      </c>
      <c r="G1553" s="79" t="s">
        <v>2581</v>
      </c>
      <c r="H1553" s="79"/>
      <c r="I1553" s="79"/>
    </row>
    <row r="1554" spans="1:9" ht="14.25">
      <c r="A1554" s="79" t="s">
        <v>3466</v>
      </c>
      <c r="B1554" s="79" t="s">
        <v>3467</v>
      </c>
      <c r="C1554" s="79">
        <v>599540771</v>
      </c>
      <c r="D1554" s="79">
        <v>0</v>
      </c>
      <c r="E1554" s="79" t="s">
        <v>1124</v>
      </c>
      <c r="F1554" s="79" t="s">
        <v>2539</v>
      </c>
      <c r="G1554" s="79" t="s">
        <v>1130</v>
      </c>
      <c r="H1554" s="79"/>
      <c r="I1554" s="79"/>
    </row>
    <row r="1555" spans="1:9" ht="14.25">
      <c r="A1555" s="79" t="s">
        <v>3466</v>
      </c>
      <c r="B1555" s="79" t="s">
        <v>3467</v>
      </c>
      <c r="C1555" s="79">
        <v>599540771</v>
      </c>
      <c r="D1555" s="79">
        <v>0</v>
      </c>
      <c r="E1555" s="79" t="s">
        <v>1124</v>
      </c>
      <c r="F1555" s="79" t="s">
        <v>2539</v>
      </c>
      <c r="G1555" s="79" t="s">
        <v>1131</v>
      </c>
      <c r="H1555" s="79" t="s">
        <v>1132</v>
      </c>
      <c r="I1555" s="79"/>
    </row>
    <row r="1556" spans="1:9" ht="14.25">
      <c r="A1556" s="79" t="s">
        <v>3466</v>
      </c>
      <c r="B1556" s="79" t="s">
        <v>3467</v>
      </c>
      <c r="C1556" s="79">
        <v>599540771</v>
      </c>
      <c r="D1556" s="79">
        <v>0</v>
      </c>
      <c r="E1556" s="79" t="s">
        <v>1124</v>
      </c>
      <c r="F1556" s="79" t="s">
        <v>2539</v>
      </c>
      <c r="G1556" s="79" t="s">
        <v>2578</v>
      </c>
      <c r="H1556" s="79"/>
      <c r="I1556" s="79"/>
    </row>
    <row r="1557" spans="1:9" ht="14.25">
      <c r="A1557" s="79" t="s">
        <v>3468</v>
      </c>
      <c r="B1557" s="79" t="s">
        <v>3469</v>
      </c>
      <c r="C1557" s="79">
        <v>599541371</v>
      </c>
      <c r="D1557" s="79">
        <v>0</v>
      </c>
      <c r="E1557" s="79" t="s">
        <v>1124</v>
      </c>
      <c r="F1557" s="79" t="s">
        <v>2539</v>
      </c>
      <c r="G1557" s="79" t="s">
        <v>2546</v>
      </c>
      <c r="H1557" s="79" t="s">
        <v>2547</v>
      </c>
      <c r="I1557" s="79"/>
    </row>
    <row r="1558" spans="1:9" ht="14.25">
      <c r="A1558" s="79" t="s">
        <v>3468</v>
      </c>
      <c r="B1558" s="79" t="s">
        <v>3469</v>
      </c>
      <c r="C1558" s="79">
        <v>599541371</v>
      </c>
      <c r="D1558" s="79">
        <v>0</v>
      </c>
      <c r="E1558" s="79" t="s">
        <v>1124</v>
      </c>
      <c r="F1558" s="79" t="s">
        <v>2539</v>
      </c>
      <c r="G1558" s="79" t="s">
        <v>2581</v>
      </c>
      <c r="H1558" s="79"/>
      <c r="I1558" s="79"/>
    </row>
    <row r="1559" spans="1:9" ht="14.25">
      <c r="A1559" s="79" t="s">
        <v>3470</v>
      </c>
      <c r="B1559" s="79" t="s">
        <v>3471</v>
      </c>
      <c r="C1559" s="79">
        <v>599583971</v>
      </c>
      <c r="D1559" s="79">
        <v>0</v>
      </c>
      <c r="E1559" s="79" t="s">
        <v>1124</v>
      </c>
      <c r="F1559" s="79" t="s">
        <v>2539</v>
      </c>
      <c r="G1559" s="79" t="s">
        <v>1130</v>
      </c>
      <c r="H1559" s="79"/>
      <c r="I1559" s="79"/>
    </row>
    <row r="1560" spans="1:9" ht="14.25">
      <c r="A1560" s="79" t="s">
        <v>3470</v>
      </c>
      <c r="B1560" s="79" t="s">
        <v>3471</v>
      </c>
      <c r="C1560" s="79">
        <v>599583971</v>
      </c>
      <c r="D1560" s="79">
        <v>0</v>
      </c>
      <c r="E1560" s="79" t="s">
        <v>1124</v>
      </c>
      <c r="F1560" s="79" t="s">
        <v>2539</v>
      </c>
      <c r="G1560" s="79" t="s">
        <v>1131</v>
      </c>
      <c r="H1560" s="79" t="s">
        <v>1132</v>
      </c>
      <c r="I1560" s="79"/>
    </row>
    <row r="1561" spans="1:9" ht="14.25">
      <c r="A1561" s="79" t="s">
        <v>3470</v>
      </c>
      <c r="B1561" s="79" t="s">
        <v>3471</v>
      </c>
      <c r="C1561" s="79">
        <v>599583971</v>
      </c>
      <c r="D1561" s="79">
        <v>0</v>
      </c>
      <c r="E1561" s="79" t="s">
        <v>1124</v>
      </c>
      <c r="F1561" s="79" t="s">
        <v>2539</v>
      </c>
      <c r="G1561" s="79" t="s">
        <v>2578</v>
      </c>
      <c r="H1561" s="79"/>
      <c r="I1561" s="79"/>
    </row>
    <row r="1562" spans="1:9" ht="14.25">
      <c r="A1562" s="79" t="s">
        <v>3472</v>
      </c>
      <c r="B1562" s="79" t="s">
        <v>3473</v>
      </c>
      <c r="C1562" s="79">
        <v>599584571</v>
      </c>
      <c r="D1562" s="79">
        <v>0</v>
      </c>
      <c r="E1562" s="79" t="s">
        <v>1124</v>
      </c>
      <c r="F1562" s="79" t="s">
        <v>2539</v>
      </c>
      <c r="G1562" s="79" t="s">
        <v>2546</v>
      </c>
      <c r="H1562" s="79" t="s">
        <v>2547</v>
      </c>
      <c r="I1562" s="79"/>
    </row>
    <row r="1563" spans="1:9" ht="14.25">
      <c r="A1563" s="79" t="s">
        <v>3472</v>
      </c>
      <c r="B1563" s="79" t="s">
        <v>3473</v>
      </c>
      <c r="C1563" s="79">
        <v>599584571</v>
      </c>
      <c r="D1563" s="79">
        <v>0</v>
      </c>
      <c r="E1563" s="79" t="s">
        <v>1124</v>
      </c>
      <c r="F1563" s="79" t="s">
        <v>2539</v>
      </c>
      <c r="G1563" s="79" t="s">
        <v>2581</v>
      </c>
      <c r="H1563" s="79"/>
      <c r="I1563" s="79"/>
    </row>
    <row r="1564" spans="1:9" ht="14.25">
      <c r="A1564" s="79" t="s">
        <v>3474</v>
      </c>
      <c r="B1564" s="79" t="s">
        <v>3475</v>
      </c>
      <c r="C1564" s="79">
        <v>599627171</v>
      </c>
      <c r="D1564" s="79">
        <v>0</v>
      </c>
      <c r="E1564" s="79" t="s">
        <v>1124</v>
      </c>
      <c r="F1564" s="79" t="s">
        <v>2539</v>
      </c>
      <c r="G1564" s="79" t="s">
        <v>1130</v>
      </c>
      <c r="H1564" s="79"/>
      <c r="I1564" s="79"/>
    </row>
    <row r="1565" spans="1:9" ht="14.25">
      <c r="A1565" s="79" t="s">
        <v>3474</v>
      </c>
      <c r="B1565" s="79" t="s">
        <v>3475</v>
      </c>
      <c r="C1565" s="79">
        <v>599627171</v>
      </c>
      <c r="D1565" s="79">
        <v>0</v>
      </c>
      <c r="E1565" s="79" t="s">
        <v>1124</v>
      </c>
      <c r="F1565" s="79" t="s">
        <v>2539</v>
      </c>
      <c r="G1565" s="79" t="s">
        <v>1131</v>
      </c>
      <c r="H1565" s="79" t="s">
        <v>1132</v>
      </c>
      <c r="I1565" s="79"/>
    </row>
    <row r="1566" spans="1:9" ht="14.25">
      <c r="A1566" s="79" t="s">
        <v>3474</v>
      </c>
      <c r="B1566" s="79" t="s">
        <v>3475</v>
      </c>
      <c r="C1566" s="79">
        <v>599627171</v>
      </c>
      <c r="D1566" s="79">
        <v>0</v>
      </c>
      <c r="E1566" s="79" t="s">
        <v>1124</v>
      </c>
      <c r="F1566" s="79" t="s">
        <v>2539</v>
      </c>
      <c r="G1566" s="79" t="s">
        <v>2578</v>
      </c>
      <c r="H1566" s="79"/>
      <c r="I1566" s="79"/>
    </row>
    <row r="1567" spans="1:9" ht="14.25">
      <c r="A1567" s="79" t="s">
        <v>3476</v>
      </c>
      <c r="B1567" s="79" t="s">
        <v>3477</v>
      </c>
      <c r="C1567" s="79">
        <v>599627771</v>
      </c>
      <c r="D1567" s="79">
        <v>0</v>
      </c>
      <c r="E1567" s="79" t="s">
        <v>1124</v>
      </c>
      <c r="F1567" s="79" t="s">
        <v>2539</v>
      </c>
      <c r="G1567" s="79" t="s">
        <v>2546</v>
      </c>
      <c r="H1567" s="79" t="s">
        <v>2547</v>
      </c>
      <c r="I1567" s="79"/>
    </row>
    <row r="1568" spans="1:9" ht="14.25">
      <c r="A1568" s="79" t="s">
        <v>3476</v>
      </c>
      <c r="B1568" s="79" t="s">
        <v>3477</v>
      </c>
      <c r="C1568" s="79">
        <v>599627771</v>
      </c>
      <c r="D1568" s="79">
        <v>0</v>
      </c>
      <c r="E1568" s="79" t="s">
        <v>1124</v>
      </c>
      <c r="F1568" s="79" t="s">
        <v>2539</v>
      </c>
      <c r="G1568" s="79" t="s">
        <v>2581</v>
      </c>
      <c r="H1568" s="79"/>
      <c r="I1568" s="79"/>
    </row>
    <row r="1569" spans="1:9" ht="14.25">
      <c r="A1569" s="79" t="s">
        <v>3478</v>
      </c>
      <c r="B1569" s="79" t="s">
        <v>3479</v>
      </c>
      <c r="C1569" s="79">
        <v>599670371</v>
      </c>
      <c r="D1569" s="79">
        <v>0</v>
      </c>
      <c r="E1569" s="79" t="s">
        <v>1124</v>
      </c>
      <c r="F1569" s="79" t="s">
        <v>2539</v>
      </c>
      <c r="G1569" s="79" t="s">
        <v>1130</v>
      </c>
      <c r="H1569" s="79"/>
      <c r="I1569" s="79"/>
    </row>
    <row r="1570" spans="1:9" ht="14.25">
      <c r="A1570" s="79" t="s">
        <v>3478</v>
      </c>
      <c r="B1570" s="79" t="s">
        <v>3479</v>
      </c>
      <c r="C1570" s="79">
        <v>599670371</v>
      </c>
      <c r="D1570" s="79">
        <v>0</v>
      </c>
      <c r="E1570" s="79" t="s">
        <v>1124</v>
      </c>
      <c r="F1570" s="79" t="s">
        <v>2539</v>
      </c>
      <c r="G1570" s="79" t="s">
        <v>1131</v>
      </c>
      <c r="H1570" s="79" t="s">
        <v>1132</v>
      </c>
      <c r="I1570" s="79"/>
    </row>
    <row r="1571" spans="1:9" ht="14.25">
      <c r="A1571" s="79" t="s">
        <v>3478</v>
      </c>
      <c r="B1571" s="79" t="s">
        <v>3479</v>
      </c>
      <c r="C1571" s="79">
        <v>599670371</v>
      </c>
      <c r="D1571" s="79">
        <v>0</v>
      </c>
      <c r="E1571" s="79" t="s">
        <v>1124</v>
      </c>
      <c r="F1571" s="79" t="s">
        <v>2539</v>
      </c>
      <c r="G1571" s="79" t="s">
        <v>2578</v>
      </c>
      <c r="H1571" s="79"/>
      <c r="I1571" s="79"/>
    </row>
    <row r="1572" spans="1:9" ht="14.25">
      <c r="A1572" s="79" t="s">
        <v>3480</v>
      </c>
      <c r="B1572" s="79" t="s">
        <v>3481</v>
      </c>
      <c r="C1572" s="79">
        <v>599670971</v>
      </c>
      <c r="D1572" s="79">
        <v>0</v>
      </c>
      <c r="E1572" s="79" t="s">
        <v>1124</v>
      </c>
      <c r="F1572" s="79" t="s">
        <v>2539</v>
      </c>
      <c r="G1572" s="79" t="s">
        <v>2546</v>
      </c>
      <c r="H1572" s="79" t="s">
        <v>2547</v>
      </c>
      <c r="I1572" s="79"/>
    </row>
    <row r="1573" spans="1:9" ht="14.25">
      <c r="A1573" s="79" t="s">
        <v>3480</v>
      </c>
      <c r="B1573" s="79" t="s">
        <v>3481</v>
      </c>
      <c r="C1573" s="79">
        <v>599670971</v>
      </c>
      <c r="D1573" s="79">
        <v>0</v>
      </c>
      <c r="E1573" s="79" t="s">
        <v>1124</v>
      </c>
      <c r="F1573" s="79" t="s">
        <v>2539</v>
      </c>
      <c r="G1573" s="79" t="s">
        <v>2581</v>
      </c>
      <c r="H1573" s="79"/>
      <c r="I1573" s="79"/>
    </row>
    <row r="1574" spans="1:9" ht="14.25">
      <c r="A1574" s="79" t="s">
        <v>3482</v>
      </c>
      <c r="B1574" s="79" t="s">
        <v>3483</v>
      </c>
      <c r="C1574" s="79">
        <v>599713571</v>
      </c>
      <c r="D1574" s="79">
        <v>0</v>
      </c>
      <c r="E1574" s="79" t="s">
        <v>1124</v>
      </c>
      <c r="F1574" s="79" t="s">
        <v>2539</v>
      </c>
      <c r="G1574" s="79" t="s">
        <v>1130</v>
      </c>
      <c r="H1574" s="79"/>
      <c r="I1574" s="79"/>
    </row>
    <row r="1575" spans="1:9" ht="14.25">
      <c r="A1575" s="79" t="s">
        <v>3482</v>
      </c>
      <c r="B1575" s="79" t="s">
        <v>3483</v>
      </c>
      <c r="C1575" s="79">
        <v>599713571</v>
      </c>
      <c r="D1575" s="79">
        <v>0</v>
      </c>
      <c r="E1575" s="79" t="s">
        <v>1124</v>
      </c>
      <c r="F1575" s="79" t="s">
        <v>2539</v>
      </c>
      <c r="G1575" s="79" t="s">
        <v>1131</v>
      </c>
      <c r="H1575" s="79" t="s">
        <v>1132</v>
      </c>
      <c r="I1575" s="79"/>
    </row>
    <row r="1576" spans="1:9" ht="14.25">
      <c r="A1576" s="79" t="s">
        <v>3482</v>
      </c>
      <c r="B1576" s="79" t="s">
        <v>3483</v>
      </c>
      <c r="C1576" s="79">
        <v>599713571</v>
      </c>
      <c r="D1576" s="79">
        <v>0</v>
      </c>
      <c r="E1576" s="79" t="s">
        <v>1124</v>
      </c>
      <c r="F1576" s="79" t="s">
        <v>2539</v>
      </c>
      <c r="G1576" s="79" t="s">
        <v>2578</v>
      </c>
      <c r="H1576" s="79"/>
      <c r="I1576" s="79"/>
    </row>
    <row r="1577" spans="1:9" ht="14.25">
      <c r="A1577" s="79" t="s">
        <v>3484</v>
      </c>
      <c r="B1577" s="79" t="s">
        <v>3485</v>
      </c>
      <c r="C1577" s="79">
        <v>599714171</v>
      </c>
      <c r="D1577" s="79">
        <v>0</v>
      </c>
      <c r="E1577" s="79" t="s">
        <v>1124</v>
      </c>
      <c r="F1577" s="79" t="s">
        <v>2539</v>
      </c>
      <c r="G1577" s="79" t="s">
        <v>2546</v>
      </c>
      <c r="H1577" s="79" t="s">
        <v>2547</v>
      </c>
      <c r="I1577" s="79"/>
    </row>
    <row r="1578" spans="1:9" ht="14.25">
      <c r="A1578" s="79" t="s">
        <v>3484</v>
      </c>
      <c r="B1578" s="79" t="s">
        <v>3485</v>
      </c>
      <c r="C1578" s="79">
        <v>599714171</v>
      </c>
      <c r="D1578" s="79">
        <v>0</v>
      </c>
      <c r="E1578" s="79" t="s">
        <v>1124</v>
      </c>
      <c r="F1578" s="79" t="s">
        <v>2539</v>
      </c>
      <c r="G1578" s="79" t="s">
        <v>2581</v>
      </c>
      <c r="H1578" s="79"/>
      <c r="I1578" s="79"/>
    </row>
    <row r="1579" spans="1:9" ht="14.25">
      <c r="A1579" s="79" t="s">
        <v>3486</v>
      </c>
      <c r="B1579" s="79" t="s">
        <v>3487</v>
      </c>
      <c r="C1579" s="79">
        <v>599756771</v>
      </c>
      <c r="D1579" s="79">
        <v>0</v>
      </c>
      <c r="E1579" s="79" t="s">
        <v>1124</v>
      </c>
      <c r="F1579" s="79" t="s">
        <v>2539</v>
      </c>
      <c r="G1579" s="79" t="s">
        <v>1130</v>
      </c>
      <c r="H1579" s="79"/>
      <c r="I1579" s="79"/>
    </row>
    <row r="1580" spans="1:9" ht="14.25">
      <c r="A1580" s="79" t="s">
        <v>3486</v>
      </c>
      <c r="B1580" s="79" t="s">
        <v>3487</v>
      </c>
      <c r="C1580" s="79">
        <v>599756771</v>
      </c>
      <c r="D1580" s="79">
        <v>0</v>
      </c>
      <c r="E1580" s="79" t="s">
        <v>1124</v>
      </c>
      <c r="F1580" s="79" t="s">
        <v>2539</v>
      </c>
      <c r="G1580" s="79" t="s">
        <v>1131</v>
      </c>
      <c r="H1580" s="79" t="s">
        <v>1132</v>
      </c>
      <c r="I1580" s="79"/>
    </row>
    <row r="1581" spans="1:9" ht="14.25">
      <c r="A1581" s="79" t="s">
        <v>3486</v>
      </c>
      <c r="B1581" s="79" t="s">
        <v>3487</v>
      </c>
      <c r="C1581" s="79">
        <v>599756771</v>
      </c>
      <c r="D1581" s="79">
        <v>0</v>
      </c>
      <c r="E1581" s="79" t="s">
        <v>1124</v>
      </c>
      <c r="F1581" s="79" t="s">
        <v>2539</v>
      </c>
      <c r="G1581" s="79" t="s">
        <v>2578</v>
      </c>
      <c r="H1581" s="79"/>
      <c r="I1581" s="79"/>
    </row>
    <row r="1582" spans="1:9" ht="14.25">
      <c r="A1582" s="79" t="s">
        <v>3488</v>
      </c>
      <c r="B1582" s="79" t="s">
        <v>3489</v>
      </c>
      <c r="C1582" s="79">
        <v>599757371</v>
      </c>
      <c r="D1582" s="79">
        <v>0</v>
      </c>
      <c r="E1582" s="79" t="s">
        <v>1124</v>
      </c>
      <c r="F1582" s="79" t="s">
        <v>2539</v>
      </c>
      <c r="G1582" s="79" t="s">
        <v>2546</v>
      </c>
      <c r="H1582" s="79" t="s">
        <v>2547</v>
      </c>
      <c r="I1582" s="79"/>
    </row>
    <row r="1583" spans="1:9" ht="14.25">
      <c r="A1583" s="79" t="s">
        <v>3488</v>
      </c>
      <c r="B1583" s="79" t="s">
        <v>3489</v>
      </c>
      <c r="C1583" s="79">
        <v>599757371</v>
      </c>
      <c r="D1583" s="79">
        <v>0</v>
      </c>
      <c r="E1583" s="79" t="s">
        <v>1124</v>
      </c>
      <c r="F1583" s="79" t="s">
        <v>2539</v>
      </c>
      <c r="G1583" s="79" t="s">
        <v>2581</v>
      </c>
      <c r="H1583" s="79"/>
      <c r="I1583" s="79"/>
    </row>
    <row r="1584" spans="1:9" ht="14.25">
      <c r="A1584" s="79" t="s">
        <v>3490</v>
      </c>
      <c r="B1584" s="79" t="s">
        <v>3491</v>
      </c>
      <c r="C1584" s="79">
        <v>599799971</v>
      </c>
      <c r="D1584" s="79">
        <v>0</v>
      </c>
      <c r="E1584" s="79" t="s">
        <v>1124</v>
      </c>
      <c r="F1584" s="79" t="s">
        <v>2539</v>
      </c>
      <c r="G1584" s="79" t="s">
        <v>1130</v>
      </c>
      <c r="H1584" s="79"/>
      <c r="I1584" s="79"/>
    </row>
    <row r="1585" spans="1:9" ht="14.25">
      <c r="A1585" s="79" t="s">
        <v>3490</v>
      </c>
      <c r="B1585" s="79" t="s">
        <v>3491</v>
      </c>
      <c r="C1585" s="79">
        <v>599799971</v>
      </c>
      <c r="D1585" s="79">
        <v>0</v>
      </c>
      <c r="E1585" s="79" t="s">
        <v>1124</v>
      </c>
      <c r="F1585" s="79" t="s">
        <v>2539</v>
      </c>
      <c r="G1585" s="79" t="s">
        <v>1131</v>
      </c>
      <c r="H1585" s="79" t="s">
        <v>1132</v>
      </c>
      <c r="I1585" s="79"/>
    </row>
    <row r="1586" spans="1:9" ht="14.25">
      <c r="A1586" s="79" t="s">
        <v>3490</v>
      </c>
      <c r="B1586" s="79" t="s">
        <v>3491</v>
      </c>
      <c r="C1586" s="79">
        <v>599799971</v>
      </c>
      <c r="D1586" s="79">
        <v>0</v>
      </c>
      <c r="E1586" s="79" t="s">
        <v>1124</v>
      </c>
      <c r="F1586" s="79" t="s">
        <v>2539</v>
      </c>
      <c r="G1586" s="79" t="s">
        <v>2578</v>
      </c>
      <c r="H1586" s="79"/>
      <c r="I1586" s="79"/>
    </row>
    <row r="1587" spans="1:9" ht="14.25">
      <c r="A1587" s="79" t="s">
        <v>3492</v>
      </c>
      <c r="B1587" s="79" t="s">
        <v>3493</v>
      </c>
      <c r="C1587" s="79">
        <v>599800571</v>
      </c>
      <c r="D1587" s="79">
        <v>0</v>
      </c>
      <c r="E1587" s="79" t="s">
        <v>1124</v>
      </c>
      <c r="F1587" s="79" t="s">
        <v>2539</v>
      </c>
      <c r="G1587" s="79" t="s">
        <v>2546</v>
      </c>
      <c r="H1587" s="79" t="s">
        <v>2547</v>
      </c>
      <c r="I1587" s="79"/>
    </row>
    <row r="1588" spans="1:9" ht="14.25">
      <c r="A1588" s="79" t="s">
        <v>3492</v>
      </c>
      <c r="B1588" s="79" t="s">
        <v>3493</v>
      </c>
      <c r="C1588" s="79">
        <v>599800571</v>
      </c>
      <c r="D1588" s="79">
        <v>0</v>
      </c>
      <c r="E1588" s="79" t="s">
        <v>1124</v>
      </c>
      <c r="F1588" s="79" t="s">
        <v>2539</v>
      </c>
      <c r="G1588" s="79" t="s">
        <v>2581</v>
      </c>
      <c r="H1588" s="79"/>
      <c r="I1588" s="79"/>
    </row>
    <row r="1589" spans="1:9" ht="14.25">
      <c r="A1589" s="79" t="s">
        <v>3494</v>
      </c>
      <c r="B1589" s="79" t="s">
        <v>3495</v>
      </c>
      <c r="C1589" s="79">
        <v>599843171</v>
      </c>
      <c r="D1589" s="79">
        <v>0</v>
      </c>
      <c r="E1589" s="79" t="s">
        <v>1124</v>
      </c>
      <c r="F1589" s="79" t="s">
        <v>2539</v>
      </c>
      <c r="G1589" s="79" t="s">
        <v>1130</v>
      </c>
      <c r="H1589" s="79"/>
      <c r="I1589" s="79"/>
    </row>
    <row r="1590" spans="1:9" ht="14.25">
      <c r="A1590" s="79" t="s">
        <v>3494</v>
      </c>
      <c r="B1590" s="79" t="s">
        <v>3495</v>
      </c>
      <c r="C1590" s="79">
        <v>599843171</v>
      </c>
      <c r="D1590" s="79">
        <v>0</v>
      </c>
      <c r="E1590" s="79" t="s">
        <v>1124</v>
      </c>
      <c r="F1590" s="79" t="s">
        <v>2539</v>
      </c>
      <c r="G1590" s="79" t="s">
        <v>1131</v>
      </c>
      <c r="H1590" s="79" t="s">
        <v>1132</v>
      </c>
      <c r="I1590" s="79"/>
    </row>
    <row r="1591" spans="1:9" ht="14.25">
      <c r="A1591" s="79" t="s">
        <v>3494</v>
      </c>
      <c r="B1591" s="79" t="s">
        <v>3495</v>
      </c>
      <c r="C1591" s="79">
        <v>599843171</v>
      </c>
      <c r="D1591" s="79">
        <v>0</v>
      </c>
      <c r="E1591" s="79" t="s">
        <v>1124</v>
      </c>
      <c r="F1591" s="79" t="s">
        <v>2539</v>
      </c>
      <c r="G1591" s="79" t="s">
        <v>2578</v>
      </c>
      <c r="H1591" s="79"/>
      <c r="I1591" s="79"/>
    </row>
    <row r="1592" spans="1:9" ht="14.25">
      <c r="A1592" s="79" t="s">
        <v>3496</v>
      </c>
      <c r="B1592" s="79" t="s">
        <v>3497</v>
      </c>
      <c r="C1592" s="79">
        <v>599843771</v>
      </c>
      <c r="D1592" s="79">
        <v>0</v>
      </c>
      <c r="E1592" s="79" t="s">
        <v>1124</v>
      </c>
      <c r="F1592" s="79" t="s">
        <v>2539</v>
      </c>
      <c r="G1592" s="79" t="s">
        <v>2546</v>
      </c>
      <c r="H1592" s="79" t="s">
        <v>2547</v>
      </c>
      <c r="I1592" s="79"/>
    </row>
    <row r="1593" spans="1:9" ht="14.25">
      <c r="A1593" s="79" t="s">
        <v>3496</v>
      </c>
      <c r="B1593" s="79" t="s">
        <v>3497</v>
      </c>
      <c r="C1593" s="79">
        <v>599843771</v>
      </c>
      <c r="D1593" s="79">
        <v>0</v>
      </c>
      <c r="E1593" s="79" t="s">
        <v>1124</v>
      </c>
      <c r="F1593" s="79" t="s">
        <v>2539</v>
      </c>
      <c r="G1593" s="79" t="s">
        <v>2581</v>
      </c>
      <c r="H1593" s="79"/>
      <c r="I1593" s="79"/>
    </row>
    <row r="1594" spans="1:9" ht="14.25">
      <c r="A1594" s="79" t="s">
        <v>3498</v>
      </c>
      <c r="B1594" s="79" t="s">
        <v>3499</v>
      </c>
      <c r="C1594" s="79">
        <v>599886371</v>
      </c>
      <c r="D1594" s="79">
        <v>0</v>
      </c>
      <c r="E1594" s="79" t="s">
        <v>1124</v>
      </c>
      <c r="F1594" s="79" t="s">
        <v>2539</v>
      </c>
      <c r="G1594" s="79" t="s">
        <v>1130</v>
      </c>
      <c r="H1594" s="79"/>
      <c r="I1594" s="79"/>
    </row>
    <row r="1595" spans="1:9" ht="14.25">
      <c r="A1595" s="79" t="s">
        <v>3498</v>
      </c>
      <c r="B1595" s="79" t="s">
        <v>3499</v>
      </c>
      <c r="C1595" s="79">
        <v>599886371</v>
      </c>
      <c r="D1595" s="79">
        <v>0</v>
      </c>
      <c r="E1595" s="79" t="s">
        <v>1124</v>
      </c>
      <c r="F1595" s="79" t="s">
        <v>2539</v>
      </c>
      <c r="G1595" s="79" t="s">
        <v>1131</v>
      </c>
      <c r="H1595" s="79" t="s">
        <v>1132</v>
      </c>
      <c r="I1595" s="79"/>
    </row>
    <row r="1596" spans="1:9" ht="14.25">
      <c r="A1596" s="79" t="s">
        <v>3498</v>
      </c>
      <c r="B1596" s="79" t="s">
        <v>3499</v>
      </c>
      <c r="C1596" s="79">
        <v>599886371</v>
      </c>
      <c r="D1596" s="79">
        <v>0</v>
      </c>
      <c r="E1596" s="79" t="s">
        <v>1124</v>
      </c>
      <c r="F1596" s="79" t="s">
        <v>2539</v>
      </c>
      <c r="G1596" s="79" t="s">
        <v>2578</v>
      </c>
      <c r="H1596" s="79"/>
      <c r="I1596" s="79"/>
    </row>
    <row r="1597" spans="1:9" ht="14.25">
      <c r="A1597" s="79" t="s">
        <v>3500</v>
      </c>
      <c r="B1597" s="79" t="s">
        <v>3501</v>
      </c>
      <c r="C1597" s="79">
        <v>599886971</v>
      </c>
      <c r="D1597" s="79">
        <v>0</v>
      </c>
      <c r="E1597" s="79" t="s">
        <v>1124</v>
      </c>
      <c r="F1597" s="79" t="s">
        <v>2539</v>
      </c>
      <c r="G1597" s="79" t="s">
        <v>2546</v>
      </c>
      <c r="H1597" s="79" t="s">
        <v>2547</v>
      </c>
      <c r="I1597" s="79"/>
    </row>
    <row r="1598" spans="1:9" ht="14.25">
      <c r="A1598" s="79" t="s">
        <v>3500</v>
      </c>
      <c r="B1598" s="79" t="s">
        <v>3501</v>
      </c>
      <c r="C1598" s="79">
        <v>599886971</v>
      </c>
      <c r="D1598" s="79">
        <v>0</v>
      </c>
      <c r="E1598" s="79" t="s">
        <v>1124</v>
      </c>
      <c r="F1598" s="79" t="s">
        <v>2539</v>
      </c>
      <c r="G1598" s="79" t="s">
        <v>2581</v>
      </c>
      <c r="H1598" s="79"/>
      <c r="I1598" s="79"/>
    </row>
    <row r="1599" spans="1:9" ht="14.25">
      <c r="A1599" s="79" t="s">
        <v>3502</v>
      </c>
      <c r="B1599" s="79" t="s">
        <v>3503</v>
      </c>
      <c r="C1599" s="79">
        <v>599929571</v>
      </c>
      <c r="D1599" s="79">
        <v>0</v>
      </c>
      <c r="E1599" s="79" t="s">
        <v>1124</v>
      </c>
      <c r="F1599" s="79" t="s">
        <v>2539</v>
      </c>
      <c r="G1599" s="79" t="s">
        <v>1130</v>
      </c>
      <c r="H1599" s="79"/>
      <c r="I1599" s="79"/>
    </row>
    <row r="1600" spans="1:9" ht="14.25">
      <c r="A1600" s="79" t="s">
        <v>3502</v>
      </c>
      <c r="B1600" s="79" t="s">
        <v>3503</v>
      </c>
      <c r="C1600" s="79">
        <v>599929571</v>
      </c>
      <c r="D1600" s="79">
        <v>0</v>
      </c>
      <c r="E1600" s="79" t="s">
        <v>1124</v>
      </c>
      <c r="F1600" s="79" t="s">
        <v>2539</v>
      </c>
      <c r="G1600" s="79" t="s">
        <v>1131</v>
      </c>
      <c r="H1600" s="79" t="s">
        <v>1132</v>
      </c>
      <c r="I1600" s="79"/>
    </row>
    <row r="1601" spans="1:9" ht="14.25">
      <c r="A1601" s="79" t="s">
        <v>3502</v>
      </c>
      <c r="B1601" s="79" t="s">
        <v>3503</v>
      </c>
      <c r="C1601" s="79">
        <v>599929571</v>
      </c>
      <c r="D1601" s="79">
        <v>0</v>
      </c>
      <c r="E1601" s="79" t="s">
        <v>1124</v>
      </c>
      <c r="F1601" s="79" t="s">
        <v>2539</v>
      </c>
      <c r="G1601" s="79" t="s">
        <v>2578</v>
      </c>
      <c r="H1601" s="79"/>
      <c r="I1601" s="79"/>
    </row>
    <row r="1602" spans="1:9" ht="14.25">
      <c r="A1602" s="79" t="s">
        <v>3504</v>
      </c>
      <c r="B1602" s="79" t="s">
        <v>3505</v>
      </c>
      <c r="C1602" s="79">
        <v>599930171</v>
      </c>
      <c r="D1602" s="79">
        <v>0</v>
      </c>
      <c r="E1602" s="79" t="s">
        <v>1124</v>
      </c>
      <c r="F1602" s="79" t="s">
        <v>2539</v>
      </c>
      <c r="G1602" s="79" t="s">
        <v>2546</v>
      </c>
      <c r="H1602" s="79" t="s">
        <v>2547</v>
      </c>
      <c r="I1602" s="79"/>
    </row>
    <row r="1603" spans="1:9" ht="14.25">
      <c r="A1603" s="79" t="s">
        <v>3504</v>
      </c>
      <c r="B1603" s="79" t="s">
        <v>3505</v>
      </c>
      <c r="C1603" s="79">
        <v>599930171</v>
      </c>
      <c r="D1603" s="79">
        <v>0</v>
      </c>
      <c r="E1603" s="79" t="s">
        <v>1124</v>
      </c>
      <c r="F1603" s="79" t="s">
        <v>2539</v>
      </c>
      <c r="G1603" s="79" t="s">
        <v>2581</v>
      </c>
      <c r="H1603" s="79"/>
      <c r="I1603" s="79"/>
    </row>
    <row r="1604" spans="1:9" ht="14.25">
      <c r="A1604" s="79" t="s">
        <v>3506</v>
      </c>
      <c r="B1604" s="79" t="s">
        <v>3507</v>
      </c>
      <c r="C1604" s="79">
        <v>599972771</v>
      </c>
      <c r="D1604" s="79">
        <v>0</v>
      </c>
      <c r="E1604" s="79" t="s">
        <v>1124</v>
      </c>
      <c r="F1604" s="79" t="s">
        <v>2539</v>
      </c>
      <c r="G1604" s="79" t="s">
        <v>1130</v>
      </c>
      <c r="H1604" s="79"/>
      <c r="I1604" s="79"/>
    </row>
    <row r="1605" spans="1:9" ht="14.25">
      <c r="A1605" s="79" t="s">
        <v>3506</v>
      </c>
      <c r="B1605" s="79" t="s">
        <v>3507</v>
      </c>
      <c r="C1605" s="79">
        <v>599972771</v>
      </c>
      <c r="D1605" s="79">
        <v>0</v>
      </c>
      <c r="E1605" s="79" t="s">
        <v>1124</v>
      </c>
      <c r="F1605" s="79" t="s">
        <v>2539</v>
      </c>
      <c r="G1605" s="79" t="s">
        <v>1131</v>
      </c>
      <c r="H1605" s="79" t="s">
        <v>1132</v>
      </c>
      <c r="I1605" s="79"/>
    </row>
    <row r="1606" spans="1:9" ht="14.25">
      <c r="A1606" s="79" t="s">
        <v>3506</v>
      </c>
      <c r="B1606" s="79" t="s">
        <v>3507</v>
      </c>
      <c r="C1606" s="79">
        <v>599972771</v>
      </c>
      <c r="D1606" s="79">
        <v>0</v>
      </c>
      <c r="E1606" s="79" t="s">
        <v>1124</v>
      </c>
      <c r="F1606" s="79" t="s">
        <v>2539</v>
      </c>
      <c r="G1606" s="79" t="s">
        <v>2578</v>
      </c>
      <c r="H1606" s="79"/>
      <c r="I1606" s="79"/>
    </row>
    <row r="1607" spans="1:9" ht="14.25">
      <c r="A1607" s="79" t="s">
        <v>3508</v>
      </c>
      <c r="B1607" s="79" t="s">
        <v>3509</v>
      </c>
      <c r="C1607" s="79">
        <v>599973371</v>
      </c>
      <c r="D1607" s="79">
        <v>0</v>
      </c>
      <c r="E1607" s="79" t="s">
        <v>1124</v>
      </c>
      <c r="F1607" s="79" t="s">
        <v>2539</v>
      </c>
      <c r="G1607" s="79" t="s">
        <v>2546</v>
      </c>
      <c r="H1607" s="79" t="s">
        <v>2547</v>
      </c>
      <c r="I1607" s="79"/>
    </row>
    <row r="1608" spans="1:9" ht="14.25">
      <c r="A1608" s="79" t="s">
        <v>3508</v>
      </c>
      <c r="B1608" s="79" t="s">
        <v>3509</v>
      </c>
      <c r="C1608" s="79">
        <v>599973371</v>
      </c>
      <c r="D1608" s="79">
        <v>0</v>
      </c>
      <c r="E1608" s="79" t="s">
        <v>1124</v>
      </c>
      <c r="F1608" s="79" t="s">
        <v>2539</v>
      </c>
      <c r="G1608" s="79" t="s">
        <v>2581</v>
      </c>
      <c r="H1608" s="79"/>
      <c r="I1608" s="79"/>
    </row>
    <row r="1609" spans="1:9" ht="14.25">
      <c r="A1609" s="79" t="s">
        <v>3510</v>
      </c>
      <c r="B1609" s="79" t="s">
        <v>3511</v>
      </c>
      <c r="C1609" s="79">
        <v>600015971</v>
      </c>
      <c r="D1609" s="79">
        <v>0</v>
      </c>
      <c r="E1609" s="79" t="s">
        <v>1124</v>
      </c>
      <c r="F1609" s="79" t="s">
        <v>2539</v>
      </c>
      <c r="G1609" s="79" t="s">
        <v>1130</v>
      </c>
      <c r="H1609" s="79"/>
      <c r="I1609" s="79"/>
    </row>
    <row r="1610" spans="1:9" ht="14.25">
      <c r="A1610" s="79" t="s">
        <v>3510</v>
      </c>
      <c r="B1610" s="79" t="s">
        <v>3511</v>
      </c>
      <c r="C1610" s="79">
        <v>600015971</v>
      </c>
      <c r="D1610" s="79">
        <v>0</v>
      </c>
      <c r="E1610" s="79" t="s">
        <v>1124</v>
      </c>
      <c r="F1610" s="79" t="s">
        <v>2539</v>
      </c>
      <c r="G1610" s="79" t="s">
        <v>1131</v>
      </c>
      <c r="H1610" s="79" t="s">
        <v>1132</v>
      </c>
      <c r="I1610" s="79"/>
    </row>
    <row r="1611" spans="1:9" ht="14.25">
      <c r="A1611" s="79" t="s">
        <v>3510</v>
      </c>
      <c r="B1611" s="79" t="s">
        <v>3511</v>
      </c>
      <c r="C1611" s="79">
        <v>600015971</v>
      </c>
      <c r="D1611" s="79">
        <v>0</v>
      </c>
      <c r="E1611" s="79" t="s">
        <v>1124</v>
      </c>
      <c r="F1611" s="79" t="s">
        <v>2539</v>
      </c>
      <c r="G1611" s="79" t="s">
        <v>2578</v>
      </c>
      <c r="H1611" s="79"/>
      <c r="I1611" s="79"/>
    </row>
    <row r="1612" spans="1:9" ht="14.25">
      <c r="A1612" s="79" t="s">
        <v>3512</v>
      </c>
      <c r="B1612" s="79" t="s">
        <v>3513</v>
      </c>
      <c r="C1612" s="79">
        <v>600016571</v>
      </c>
      <c r="D1612" s="79">
        <v>0</v>
      </c>
      <c r="E1612" s="79" t="s">
        <v>1124</v>
      </c>
      <c r="F1612" s="79" t="s">
        <v>2539</v>
      </c>
      <c r="G1612" s="79" t="s">
        <v>2546</v>
      </c>
      <c r="H1612" s="79" t="s">
        <v>2547</v>
      </c>
      <c r="I1612" s="79"/>
    </row>
    <row r="1613" spans="1:9" ht="14.25">
      <c r="A1613" s="79" t="s">
        <v>3512</v>
      </c>
      <c r="B1613" s="79" t="s">
        <v>3513</v>
      </c>
      <c r="C1613" s="79">
        <v>600016571</v>
      </c>
      <c r="D1613" s="79">
        <v>0</v>
      </c>
      <c r="E1613" s="79" t="s">
        <v>1124</v>
      </c>
      <c r="F1613" s="79" t="s">
        <v>2539</v>
      </c>
      <c r="G1613" s="79" t="s">
        <v>2581</v>
      </c>
      <c r="H1613" s="79"/>
      <c r="I1613" s="79"/>
    </row>
    <row r="1614" spans="1:9" ht="14.25">
      <c r="A1614" s="79" t="s">
        <v>3514</v>
      </c>
      <c r="B1614" s="79" t="s">
        <v>3515</v>
      </c>
      <c r="C1614" s="79">
        <v>600059171</v>
      </c>
      <c r="D1614" s="79">
        <v>0</v>
      </c>
      <c r="E1614" s="79" t="s">
        <v>1124</v>
      </c>
      <c r="F1614" s="79" t="s">
        <v>2539</v>
      </c>
      <c r="G1614" s="79" t="s">
        <v>1130</v>
      </c>
      <c r="H1614" s="79"/>
      <c r="I1614" s="79"/>
    </row>
    <row r="1615" spans="1:9" ht="14.25">
      <c r="A1615" s="79" t="s">
        <v>3514</v>
      </c>
      <c r="B1615" s="79" t="s">
        <v>3515</v>
      </c>
      <c r="C1615" s="79">
        <v>600059171</v>
      </c>
      <c r="D1615" s="79">
        <v>0</v>
      </c>
      <c r="E1615" s="79" t="s">
        <v>1124</v>
      </c>
      <c r="F1615" s="79" t="s">
        <v>2539</v>
      </c>
      <c r="G1615" s="79" t="s">
        <v>1131</v>
      </c>
      <c r="H1615" s="79" t="s">
        <v>1132</v>
      </c>
      <c r="I1615" s="79"/>
    </row>
    <row r="1616" spans="1:9" ht="14.25">
      <c r="A1616" s="79" t="s">
        <v>3514</v>
      </c>
      <c r="B1616" s="79" t="s">
        <v>3515</v>
      </c>
      <c r="C1616" s="79">
        <v>600059171</v>
      </c>
      <c r="D1616" s="79">
        <v>0</v>
      </c>
      <c r="E1616" s="79" t="s">
        <v>1124</v>
      </c>
      <c r="F1616" s="79" t="s">
        <v>2539</v>
      </c>
      <c r="G1616" s="79" t="s">
        <v>2578</v>
      </c>
      <c r="H1616" s="79"/>
      <c r="I1616" s="79"/>
    </row>
    <row r="1617" spans="1:9" ht="14.25">
      <c r="A1617" s="79" t="s">
        <v>3516</v>
      </c>
      <c r="B1617" s="79" t="s">
        <v>3517</v>
      </c>
      <c r="C1617" s="79">
        <v>600059771</v>
      </c>
      <c r="D1617" s="79">
        <v>0</v>
      </c>
      <c r="E1617" s="79" t="s">
        <v>1124</v>
      </c>
      <c r="F1617" s="79" t="s">
        <v>2539</v>
      </c>
      <c r="G1617" s="79" t="s">
        <v>2546</v>
      </c>
      <c r="H1617" s="79" t="s">
        <v>2547</v>
      </c>
      <c r="I1617" s="79"/>
    </row>
    <row r="1618" spans="1:9" ht="14.25">
      <c r="A1618" s="79" t="s">
        <v>3516</v>
      </c>
      <c r="B1618" s="79" t="s">
        <v>3517</v>
      </c>
      <c r="C1618" s="79">
        <v>600059771</v>
      </c>
      <c r="D1618" s="79">
        <v>0</v>
      </c>
      <c r="E1618" s="79" t="s">
        <v>1124</v>
      </c>
      <c r="F1618" s="79" t="s">
        <v>2539</v>
      </c>
      <c r="G1618" s="79" t="s">
        <v>2581</v>
      </c>
      <c r="H1618" s="79"/>
      <c r="I1618" s="79"/>
    </row>
    <row r="1619" spans="1:9" ht="14.25">
      <c r="A1619" s="79" t="s">
        <v>3518</v>
      </c>
      <c r="B1619" s="79" t="s">
        <v>3519</v>
      </c>
      <c r="C1619" s="79">
        <v>600102371</v>
      </c>
      <c r="D1619" s="79">
        <v>0</v>
      </c>
      <c r="E1619" s="79" t="s">
        <v>1124</v>
      </c>
      <c r="F1619" s="79" t="s">
        <v>2539</v>
      </c>
      <c r="G1619" s="79" t="s">
        <v>1130</v>
      </c>
      <c r="H1619" s="79"/>
      <c r="I1619" s="79"/>
    </row>
    <row r="1620" spans="1:9" ht="14.25">
      <c r="A1620" s="79" t="s">
        <v>3518</v>
      </c>
      <c r="B1620" s="79" t="s">
        <v>3519</v>
      </c>
      <c r="C1620" s="79">
        <v>600102371</v>
      </c>
      <c r="D1620" s="79">
        <v>0</v>
      </c>
      <c r="E1620" s="79" t="s">
        <v>1124</v>
      </c>
      <c r="F1620" s="79" t="s">
        <v>2539</v>
      </c>
      <c r="G1620" s="79" t="s">
        <v>1131</v>
      </c>
      <c r="H1620" s="79" t="s">
        <v>1132</v>
      </c>
      <c r="I1620" s="79"/>
    </row>
    <row r="1621" spans="1:9" ht="14.25">
      <c r="A1621" s="79" t="s">
        <v>3518</v>
      </c>
      <c r="B1621" s="79" t="s">
        <v>3519</v>
      </c>
      <c r="C1621" s="79">
        <v>600102371</v>
      </c>
      <c r="D1621" s="79">
        <v>0</v>
      </c>
      <c r="E1621" s="79" t="s">
        <v>1124</v>
      </c>
      <c r="F1621" s="79" t="s">
        <v>2539</v>
      </c>
      <c r="G1621" s="79" t="s">
        <v>2578</v>
      </c>
      <c r="H1621" s="79"/>
      <c r="I1621" s="79"/>
    </row>
    <row r="1622" spans="1:9" ht="14.25">
      <c r="A1622" s="79" t="s">
        <v>3520</v>
      </c>
      <c r="B1622" s="79" t="s">
        <v>3521</v>
      </c>
      <c r="C1622" s="79">
        <v>600102971</v>
      </c>
      <c r="D1622" s="79">
        <v>0</v>
      </c>
      <c r="E1622" s="79" t="s">
        <v>1124</v>
      </c>
      <c r="F1622" s="79" t="s">
        <v>2539</v>
      </c>
      <c r="G1622" s="79" t="s">
        <v>2546</v>
      </c>
      <c r="H1622" s="79" t="s">
        <v>2547</v>
      </c>
      <c r="I1622" s="79"/>
    </row>
    <row r="1623" spans="1:9" ht="14.25">
      <c r="A1623" s="79" t="s">
        <v>3520</v>
      </c>
      <c r="B1623" s="79" t="s">
        <v>3521</v>
      </c>
      <c r="C1623" s="79">
        <v>600102971</v>
      </c>
      <c r="D1623" s="79">
        <v>0</v>
      </c>
      <c r="E1623" s="79" t="s">
        <v>1124</v>
      </c>
      <c r="F1623" s="79" t="s">
        <v>2539</v>
      </c>
      <c r="G1623" s="79" t="s">
        <v>2581</v>
      </c>
      <c r="H1623" s="79"/>
      <c r="I1623" s="79"/>
    </row>
    <row r="1624" spans="1:9" ht="14.25">
      <c r="A1624" s="79" t="s">
        <v>3522</v>
      </c>
      <c r="B1624" s="79" t="s">
        <v>3523</v>
      </c>
      <c r="C1624" s="79">
        <v>600145571</v>
      </c>
      <c r="D1624" s="79">
        <v>0</v>
      </c>
      <c r="E1624" s="79" t="s">
        <v>1124</v>
      </c>
      <c r="F1624" s="79" t="s">
        <v>2539</v>
      </c>
      <c r="G1624" s="79" t="s">
        <v>1130</v>
      </c>
      <c r="H1624" s="79"/>
      <c r="I1624" s="79"/>
    </row>
    <row r="1625" spans="1:9" ht="14.25">
      <c r="A1625" s="79" t="s">
        <v>3522</v>
      </c>
      <c r="B1625" s="79" t="s">
        <v>3523</v>
      </c>
      <c r="C1625" s="79">
        <v>600145571</v>
      </c>
      <c r="D1625" s="79">
        <v>0</v>
      </c>
      <c r="E1625" s="79" t="s">
        <v>1124</v>
      </c>
      <c r="F1625" s="79" t="s">
        <v>2539</v>
      </c>
      <c r="G1625" s="79" t="s">
        <v>1131</v>
      </c>
      <c r="H1625" s="79" t="s">
        <v>1132</v>
      </c>
      <c r="I1625" s="79"/>
    </row>
    <row r="1626" spans="1:9" ht="14.25">
      <c r="A1626" s="79" t="s">
        <v>3522</v>
      </c>
      <c r="B1626" s="79" t="s">
        <v>3523</v>
      </c>
      <c r="C1626" s="79">
        <v>600145571</v>
      </c>
      <c r="D1626" s="79">
        <v>0</v>
      </c>
      <c r="E1626" s="79" t="s">
        <v>1124</v>
      </c>
      <c r="F1626" s="79" t="s">
        <v>2539</v>
      </c>
      <c r="G1626" s="79" t="s">
        <v>2578</v>
      </c>
      <c r="H1626" s="79"/>
      <c r="I1626" s="79"/>
    </row>
    <row r="1627" spans="1:9" ht="14.25">
      <c r="A1627" s="79" t="s">
        <v>3524</v>
      </c>
      <c r="B1627" s="79" t="s">
        <v>3525</v>
      </c>
      <c r="C1627" s="79">
        <v>600146171</v>
      </c>
      <c r="D1627" s="79">
        <v>0</v>
      </c>
      <c r="E1627" s="79" t="s">
        <v>1124</v>
      </c>
      <c r="F1627" s="79" t="s">
        <v>2539</v>
      </c>
      <c r="G1627" s="79" t="s">
        <v>2546</v>
      </c>
      <c r="H1627" s="79" t="s">
        <v>2547</v>
      </c>
      <c r="I1627" s="79"/>
    </row>
    <row r="1628" spans="1:9" ht="14.25">
      <c r="A1628" s="79" t="s">
        <v>3524</v>
      </c>
      <c r="B1628" s="79" t="s">
        <v>3525</v>
      </c>
      <c r="C1628" s="79">
        <v>600146171</v>
      </c>
      <c r="D1628" s="79">
        <v>0</v>
      </c>
      <c r="E1628" s="79" t="s">
        <v>1124</v>
      </c>
      <c r="F1628" s="79" t="s">
        <v>2539</v>
      </c>
      <c r="G1628" s="79" t="s">
        <v>2581</v>
      </c>
      <c r="H1628" s="79"/>
      <c r="I1628" s="79"/>
    </row>
    <row r="1629" spans="1:9" ht="14.25">
      <c r="A1629" s="79" t="s">
        <v>3526</v>
      </c>
      <c r="B1629" s="79" t="s">
        <v>3527</v>
      </c>
      <c r="C1629" s="79">
        <v>600188771</v>
      </c>
      <c r="D1629" s="79">
        <v>0</v>
      </c>
      <c r="E1629" s="79" t="s">
        <v>1124</v>
      </c>
      <c r="F1629" s="79" t="s">
        <v>2539</v>
      </c>
      <c r="G1629" s="79" t="s">
        <v>1130</v>
      </c>
      <c r="H1629" s="79"/>
      <c r="I1629" s="79"/>
    </row>
    <row r="1630" spans="1:9" ht="14.25">
      <c r="A1630" s="79" t="s">
        <v>3526</v>
      </c>
      <c r="B1630" s="79" t="s">
        <v>3527</v>
      </c>
      <c r="C1630" s="79">
        <v>600188771</v>
      </c>
      <c r="D1630" s="79">
        <v>0</v>
      </c>
      <c r="E1630" s="79" t="s">
        <v>1124</v>
      </c>
      <c r="F1630" s="79" t="s">
        <v>2539</v>
      </c>
      <c r="G1630" s="79" t="s">
        <v>1131</v>
      </c>
      <c r="H1630" s="79" t="s">
        <v>1132</v>
      </c>
      <c r="I1630" s="79"/>
    </row>
    <row r="1631" spans="1:9" ht="14.25">
      <c r="A1631" s="79" t="s">
        <v>3526</v>
      </c>
      <c r="B1631" s="79" t="s">
        <v>3527</v>
      </c>
      <c r="C1631" s="79">
        <v>600188771</v>
      </c>
      <c r="D1631" s="79">
        <v>0</v>
      </c>
      <c r="E1631" s="79" t="s">
        <v>1124</v>
      </c>
      <c r="F1631" s="79" t="s">
        <v>2539</v>
      </c>
      <c r="G1631" s="79" t="s">
        <v>2578</v>
      </c>
      <c r="H1631" s="79"/>
      <c r="I1631" s="79"/>
    </row>
    <row r="1632" spans="1:9" ht="14.25">
      <c r="A1632" s="79" t="s">
        <v>3528</v>
      </c>
      <c r="B1632" s="79" t="s">
        <v>3529</v>
      </c>
      <c r="C1632" s="79">
        <v>600189371</v>
      </c>
      <c r="D1632" s="79">
        <v>0</v>
      </c>
      <c r="E1632" s="79" t="s">
        <v>1124</v>
      </c>
      <c r="F1632" s="79" t="s">
        <v>2539</v>
      </c>
      <c r="G1632" s="79" t="s">
        <v>2546</v>
      </c>
      <c r="H1632" s="79" t="s">
        <v>2547</v>
      </c>
      <c r="I1632" s="79"/>
    </row>
    <row r="1633" spans="1:9" ht="14.25">
      <c r="A1633" s="79" t="s">
        <v>3528</v>
      </c>
      <c r="B1633" s="79" t="s">
        <v>3529</v>
      </c>
      <c r="C1633" s="79">
        <v>600189371</v>
      </c>
      <c r="D1633" s="79">
        <v>0</v>
      </c>
      <c r="E1633" s="79" t="s">
        <v>1124</v>
      </c>
      <c r="F1633" s="79" t="s">
        <v>2539</v>
      </c>
      <c r="G1633" s="79" t="s">
        <v>2581</v>
      </c>
      <c r="H1633" s="79"/>
      <c r="I1633" s="79"/>
    </row>
    <row r="1634" spans="1:9" ht="14.25">
      <c r="A1634" s="79" t="s">
        <v>3530</v>
      </c>
      <c r="B1634" s="79" t="s">
        <v>3531</v>
      </c>
      <c r="C1634" s="79">
        <v>600231971</v>
      </c>
      <c r="D1634" s="79">
        <v>0</v>
      </c>
      <c r="E1634" s="79" t="s">
        <v>1124</v>
      </c>
      <c r="F1634" s="79" t="s">
        <v>2539</v>
      </c>
      <c r="G1634" s="79" t="s">
        <v>1130</v>
      </c>
      <c r="H1634" s="79"/>
      <c r="I1634" s="79"/>
    </row>
    <row r="1635" spans="1:9" ht="14.25">
      <c r="A1635" s="79" t="s">
        <v>3530</v>
      </c>
      <c r="B1635" s="79" t="s">
        <v>3531</v>
      </c>
      <c r="C1635" s="79">
        <v>600231971</v>
      </c>
      <c r="D1635" s="79">
        <v>0</v>
      </c>
      <c r="E1635" s="79" t="s">
        <v>1124</v>
      </c>
      <c r="F1635" s="79" t="s">
        <v>2539</v>
      </c>
      <c r="G1635" s="79" t="s">
        <v>1131</v>
      </c>
      <c r="H1635" s="79" t="s">
        <v>1132</v>
      </c>
      <c r="I1635" s="79"/>
    </row>
    <row r="1636" spans="1:9" ht="14.25">
      <c r="A1636" s="79" t="s">
        <v>3530</v>
      </c>
      <c r="B1636" s="79" t="s">
        <v>3531</v>
      </c>
      <c r="C1636" s="79">
        <v>600231971</v>
      </c>
      <c r="D1636" s="79">
        <v>0</v>
      </c>
      <c r="E1636" s="79" t="s">
        <v>1124</v>
      </c>
      <c r="F1636" s="79" t="s">
        <v>2539</v>
      </c>
      <c r="G1636" s="79" t="s">
        <v>2578</v>
      </c>
      <c r="H1636" s="79"/>
      <c r="I1636" s="79"/>
    </row>
    <row r="1637" spans="1:9" ht="14.25">
      <c r="A1637" s="79" t="s">
        <v>3532</v>
      </c>
      <c r="B1637" s="79" t="s">
        <v>3533</v>
      </c>
      <c r="C1637" s="79">
        <v>600232571</v>
      </c>
      <c r="D1637" s="79">
        <v>0</v>
      </c>
      <c r="E1637" s="79" t="s">
        <v>1124</v>
      </c>
      <c r="F1637" s="79" t="s">
        <v>2539</v>
      </c>
      <c r="G1637" s="79" t="s">
        <v>2546</v>
      </c>
      <c r="H1637" s="79" t="s">
        <v>2547</v>
      </c>
      <c r="I1637" s="79"/>
    </row>
    <row r="1638" spans="1:9" ht="14.25">
      <c r="A1638" s="79" t="s">
        <v>3532</v>
      </c>
      <c r="B1638" s="79" t="s">
        <v>3533</v>
      </c>
      <c r="C1638" s="79">
        <v>600232571</v>
      </c>
      <c r="D1638" s="79">
        <v>0</v>
      </c>
      <c r="E1638" s="79" t="s">
        <v>1124</v>
      </c>
      <c r="F1638" s="79" t="s">
        <v>2539</v>
      </c>
      <c r="G1638" s="79" t="s">
        <v>2581</v>
      </c>
      <c r="H1638" s="79"/>
      <c r="I1638" s="79"/>
    </row>
    <row r="1639" spans="1:9" ht="14.25">
      <c r="A1639" s="79" t="s">
        <v>3534</v>
      </c>
      <c r="B1639" s="79" t="s">
        <v>3535</v>
      </c>
      <c r="C1639" s="79">
        <v>600275171</v>
      </c>
      <c r="D1639" s="79">
        <v>0</v>
      </c>
      <c r="E1639" s="79" t="s">
        <v>1124</v>
      </c>
      <c r="F1639" s="79" t="s">
        <v>2539</v>
      </c>
      <c r="G1639" s="79" t="s">
        <v>1130</v>
      </c>
      <c r="H1639" s="79"/>
      <c r="I1639" s="79"/>
    </row>
    <row r="1640" spans="1:9" ht="14.25">
      <c r="A1640" s="79" t="s">
        <v>3534</v>
      </c>
      <c r="B1640" s="79" t="s">
        <v>3535</v>
      </c>
      <c r="C1640" s="79">
        <v>600275171</v>
      </c>
      <c r="D1640" s="79">
        <v>0</v>
      </c>
      <c r="E1640" s="79" t="s">
        <v>1124</v>
      </c>
      <c r="F1640" s="79" t="s">
        <v>2539</v>
      </c>
      <c r="G1640" s="79" t="s">
        <v>1131</v>
      </c>
      <c r="H1640" s="79" t="s">
        <v>1132</v>
      </c>
      <c r="I1640" s="79"/>
    </row>
    <row r="1641" spans="1:9" ht="14.25">
      <c r="A1641" s="79" t="s">
        <v>3534</v>
      </c>
      <c r="B1641" s="79" t="s">
        <v>3535</v>
      </c>
      <c r="C1641" s="79">
        <v>600275171</v>
      </c>
      <c r="D1641" s="79">
        <v>0</v>
      </c>
      <c r="E1641" s="79" t="s">
        <v>1124</v>
      </c>
      <c r="F1641" s="79" t="s">
        <v>2539</v>
      </c>
      <c r="G1641" s="79" t="s">
        <v>2578</v>
      </c>
      <c r="H1641" s="79"/>
      <c r="I1641" s="79"/>
    </row>
    <row r="1642" spans="1:9" ht="14.25">
      <c r="A1642" s="79" t="s">
        <v>3536</v>
      </c>
      <c r="B1642" s="79" t="s">
        <v>3537</v>
      </c>
      <c r="C1642" s="79">
        <v>600275771</v>
      </c>
      <c r="D1642" s="79">
        <v>0</v>
      </c>
      <c r="E1642" s="79" t="s">
        <v>1124</v>
      </c>
      <c r="F1642" s="79" t="s">
        <v>2539</v>
      </c>
      <c r="G1642" s="79" t="s">
        <v>2546</v>
      </c>
      <c r="H1642" s="79" t="s">
        <v>2547</v>
      </c>
      <c r="I1642" s="79"/>
    </row>
    <row r="1643" spans="1:9" ht="14.25">
      <c r="A1643" s="79" t="s">
        <v>3536</v>
      </c>
      <c r="B1643" s="79" t="s">
        <v>3537</v>
      </c>
      <c r="C1643" s="79">
        <v>600275771</v>
      </c>
      <c r="D1643" s="79">
        <v>0</v>
      </c>
      <c r="E1643" s="79" t="s">
        <v>1124</v>
      </c>
      <c r="F1643" s="79" t="s">
        <v>2539</v>
      </c>
      <c r="G1643" s="79" t="s">
        <v>2581</v>
      </c>
      <c r="H1643" s="79"/>
      <c r="I1643" s="79"/>
    </row>
    <row r="1644" spans="1:9" ht="14.25">
      <c r="A1644" s="79" t="s">
        <v>3538</v>
      </c>
      <c r="B1644" s="79" t="s">
        <v>3539</v>
      </c>
      <c r="C1644" s="79">
        <v>600318371</v>
      </c>
      <c r="D1644" s="79">
        <v>0</v>
      </c>
      <c r="E1644" s="79" t="s">
        <v>1124</v>
      </c>
      <c r="F1644" s="79" t="s">
        <v>2539</v>
      </c>
      <c r="G1644" s="79" t="s">
        <v>1130</v>
      </c>
      <c r="H1644" s="79"/>
      <c r="I1644" s="79"/>
    </row>
    <row r="1645" spans="1:9" ht="14.25">
      <c r="A1645" s="79" t="s">
        <v>3538</v>
      </c>
      <c r="B1645" s="79" t="s">
        <v>3539</v>
      </c>
      <c r="C1645" s="79">
        <v>600318371</v>
      </c>
      <c r="D1645" s="79">
        <v>0</v>
      </c>
      <c r="E1645" s="79" t="s">
        <v>1124</v>
      </c>
      <c r="F1645" s="79" t="s">
        <v>2539</v>
      </c>
      <c r="G1645" s="79" t="s">
        <v>1131</v>
      </c>
      <c r="H1645" s="79" t="s">
        <v>1132</v>
      </c>
      <c r="I1645" s="79"/>
    </row>
    <row r="1646" spans="1:9" ht="14.25">
      <c r="A1646" s="79" t="s">
        <v>3538</v>
      </c>
      <c r="B1646" s="79" t="s">
        <v>3539</v>
      </c>
      <c r="C1646" s="79">
        <v>600318371</v>
      </c>
      <c r="D1646" s="79">
        <v>0</v>
      </c>
      <c r="E1646" s="79" t="s">
        <v>1124</v>
      </c>
      <c r="F1646" s="79" t="s">
        <v>2539</v>
      </c>
      <c r="G1646" s="79" t="s">
        <v>2578</v>
      </c>
      <c r="H1646" s="79"/>
      <c r="I1646" s="79"/>
    </row>
    <row r="1647" spans="1:9" ht="14.25">
      <c r="A1647" s="79" t="s">
        <v>3540</v>
      </c>
      <c r="B1647" s="79" t="s">
        <v>3541</v>
      </c>
      <c r="C1647" s="79">
        <v>600318971</v>
      </c>
      <c r="D1647" s="79">
        <v>0</v>
      </c>
      <c r="E1647" s="79" t="s">
        <v>1124</v>
      </c>
      <c r="F1647" s="79" t="s">
        <v>2539</v>
      </c>
      <c r="G1647" s="79" t="s">
        <v>2546</v>
      </c>
      <c r="H1647" s="79" t="s">
        <v>2547</v>
      </c>
      <c r="I1647" s="79"/>
    </row>
    <row r="1648" spans="1:9" ht="14.25">
      <c r="A1648" s="79" t="s">
        <v>3540</v>
      </c>
      <c r="B1648" s="79" t="s">
        <v>3541</v>
      </c>
      <c r="C1648" s="79">
        <v>600318971</v>
      </c>
      <c r="D1648" s="79">
        <v>0</v>
      </c>
      <c r="E1648" s="79" t="s">
        <v>1124</v>
      </c>
      <c r="F1648" s="79" t="s">
        <v>2539</v>
      </c>
      <c r="G1648" s="79" t="s">
        <v>2581</v>
      </c>
      <c r="H1648" s="79"/>
      <c r="I1648" s="79"/>
    </row>
    <row r="1649" spans="1:9" ht="14.25">
      <c r="A1649" s="79" t="s">
        <v>3542</v>
      </c>
      <c r="B1649" s="79" t="s">
        <v>3543</v>
      </c>
      <c r="C1649" s="79">
        <v>600361571</v>
      </c>
      <c r="D1649" s="79">
        <v>0</v>
      </c>
      <c r="E1649" s="79" t="s">
        <v>1124</v>
      </c>
      <c r="F1649" s="79" t="s">
        <v>2539</v>
      </c>
      <c r="G1649" s="79" t="s">
        <v>1130</v>
      </c>
      <c r="H1649" s="79"/>
      <c r="I1649" s="79"/>
    </row>
    <row r="1650" spans="1:9" ht="14.25">
      <c r="A1650" s="79" t="s">
        <v>3542</v>
      </c>
      <c r="B1650" s="79" t="s">
        <v>3543</v>
      </c>
      <c r="C1650" s="79">
        <v>600361571</v>
      </c>
      <c r="D1650" s="79">
        <v>0</v>
      </c>
      <c r="E1650" s="79" t="s">
        <v>1124</v>
      </c>
      <c r="F1650" s="79" t="s">
        <v>2539</v>
      </c>
      <c r="G1650" s="79" t="s">
        <v>1131</v>
      </c>
      <c r="H1650" s="79" t="s">
        <v>1132</v>
      </c>
      <c r="I1650" s="79"/>
    </row>
    <row r="1651" spans="1:9" ht="14.25">
      <c r="A1651" s="79" t="s">
        <v>3542</v>
      </c>
      <c r="B1651" s="79" t="s">
        <v>3543</v>
      </c>
      <c r="C1651" s="79">
        <v>600361571</v>
      </c>
      <c r="D1651" s="79">
        <v>0</v>
      </c>
      <c r="E1651" s="79" t="s">
        <v>1124</v>
      </c>
      <c r="F1651" s="79" t="s">
        <v>2539</v>
      </c>
      <c r="G1651" s="79" t="s">
        <v>2578</v>
      </c>
      <c r="H1651" s="79"/>
      <c r="I1651" s="79"/>
    </row>
    <row r="1652" spans="1:9" ht="14.25">
      <c r="A1652" s="79" t="s">
        <v>3544</v>
      </c>
      <c r="B1652" s="79" t="s">
        <v>3545</v>
      </c>
      <c r="C1652" s="79">
        <v>600362171</v>
      </c>
      <c r="D1652" s="79">
        <v>0</v>
      </c>
      <c r="E1652" s="79" t="s">
        <v>1124</v>
      </c>
      <c r="F1652" s="79" t="s">
        <v>2539</v>
      </c>
      <c r="G1652" s="79" t="s">
        <v>2546</v>
      </c>
      <c r="H1652" s="79" t="s">
        <v>2547</v>
      </c>
      <c r="I1652" s="79"/>
    </row>
    <row r="1653" spans="1:9" ht="14.25">
      <c r="A1653" s="79" t="s">
        <v>3544</v>
      </c>
      <c r="B1653" s="79" t="s">
        <v>3545</v>
      </c>
      <c r="C1653" s="79">
        <v>600362171</v>
      </c>
      <c r="D1653" s="79">
        <v>0</v>
      </c>
      <c r="E1653" s="79" t="s">
        <v>1124</v>
      </c>
      <c r="F1653" s="79" t="s">
        <v>2539</v>
      </c>
      <c r="G1653" s="79" t="s">
        <v>2581</v>
      </c>
      <c r="H1653" s="79"/>
      <c r="I1653" s="79"/>
    </row>
    <row r="1654" spans="1:9" ht="14.25">
      <c r="A1654" s="79" t="s">
        <v>3546</v>
      </c>
      <c r="B1654" s="79" t="s">
        <v>3547</v>
      </c>
      <c r="C1654" s="79">
        <v>600404771</v>
      </c>
      <c r="D1654" s="79">
        <v>0</v>
      </c>
      <c r="E1654" s="79" t="s">
        <v>1124</v>
      </c>
      <c r="F1654" s="79" t="s">
        <v>2539</v>
      </c>
      <c r="G1654" s="79" t="s">
        <v>1130</v>
      </c>
      <c r="H1654" s="79"/>
      <c r="I1654" s="79"/>
    </row>
    <row r="1655" spans="1:9" ht="14.25">
      <c r="A1655" s="79" t="s">
        <v>3546</v>
      </c>
      <c r="B1655" s="79" t="s">
        <v>3547</v>
      </c>
      <c r="C1655" s="79">
        <v>600404771</v>
      </c>
      <c r="D1655" s="79">
        <v>0</v>
      </c>
      <c r="E1655" s="79" t="s">
        <v>1124</v>
      </c>
      <c r="F1655" s="79" t="s">
        <v>2539</v>
      </c>
      <c r="G1655" s="79" t="s">
        <v>1131</v>
      </c>
      <c r="H1655" s="79" t="s">
        <v>1132</v>
      </c>
      <c r="I1655" s="79"/>
    </row>
    <row r="1656" spans="1:9" ht="14.25">
      <c r="A1656" s="79" t="s">
        <v>3546</v>
      </c>
      <c r="B1656" s="79" t="s">
        <v>3547</v>
      </c>
      <c r="C1656" s="79">
        <v>600404771</v>
      </c>
      <c r="D1656" s="79">
        <v>0</v>
      </c>
      <c r="E1656" s="79" t="s">
        <v>1124</v>
      </c>
      <c r="F1656" s="79" t="s">
        <v>2539</v>
      </c>
      <c r="G1656" s="79" t="s">
        <v>2578</v>
      </c>
      <c r="H1656" s="79"/>
      <c r="I1656" s="79"/>
    </row>
    <row r="1657" spans="1:9" ht="14.25">
      <c r="A1657" s="79" t="s">
        <v>3548</v>
      </c>
      <c r="B1657" s="79" t="s">
        <v>3549</v>
      </c>
      <c r="C1657" s="79">
        <v>600405371</v>
      </c>
      <c r="D1657" s="79">
        <v>0</v>
      </c>
      <c r="E1657" s="79" t="s">
        <v>1124</v>
      </c>
      <c r="F1657" s="79" t="s">
        <v>2539</v>
      </c>
      <c r="G1657" s="79" t="s">
        <v>2546</v>
      </c>
      <c r="H1657" s="79" t="s">
        <v>2547</v>
      </c>
      <c r="I1657" s="79"/>
    </row>
    <row r="1658" spans="1:9" ht="14.25">
      <c r="A1658" s="79" t="s">
        <v>3548</v>
      </c>
      <c r="B1658" s="79" t="s">
        <v>3549</v>
      </c>
      <c r="C1658" s="79">
        <v>600405371</v>
      </c>
      <c r="D1658" s="79">
        <v>0</v>
      </c>
      <c r="E1658" s="79" t="s">
        <v>1124</v>
      </c>
      <c r="F1658" s="79" t="s">
        <v>2539</v>
      </c>
      <c r="G1658" s="79" t="s">
        <v>2581</v>
      </c>
      <c r="H1658" s="79"/>
      <c r="I1658" s="79"/>
    </row>
    <row r="1659" spans="1:9" ht="14.25">
      <c r="A1659" s="79" t="s">
        <v>3550</v>
      </c>
      <c r="B1659" s="79" t="s">
        <v>3551</v>
      </c>
      <c r="C1659" s="79">
        <v>600447971</v>
      </c>
      <c r="D1659" s="79">
        <v>0</v>
      </c>
      <c r="E1659" s="79" t="s">
        <v>1124</v>
      </c>
      <c r="F1659" s="79" t="s">
        <v>2539</v>
      </c>
      <c r="G1659" s="79" t="s">
        <v>1130</v>
      </c>
      <c r="H1659" s="79"/>
      <c r="I1659" s="79"/>
    </row>
    <row r="1660" spans="1:9" ht="14.25">
      <c r="A1660" s="79" t="s">
        <v>3550</v>
      </c>
      <c r="B1660" s="79" t="s">
        <v>3551</v>
      </c>
      <c r="C1660" s="79">
        <v>600447971</v>
      </c>
      <c r="D1660" s="79">
        <v>0</v>
      </c>
      <c r="E1660" s="79" t="s">
        <v>1124</v>
      </c>
      <c r="F1660" s="79" t="s">
        <v>2539</v>
      </c>
      <c r="G1660" s="79" t="s">
        <v>1131</v>
      </c>
      <c r="H1660" s="79" t="s">
        <v>1132</v>
      </c>
      <c r="I1660" s="79"/>
    </row>
    <row r="1661" spans="1:9" ht="14.25">
      <c r="A1661" s="79" t="s">
        <v>3550</v>
      </c>
      <c r="B1661" s="79" t="s">
        <v>3551</v>
      </c>
      <c r="C1661" s="79">
        <v>600447971</v>
      </c>
      <c r="D1661" s="79">
        <v>0</v>
      </c>
      <c r="E1661" s="79" t="s">
        <v>1124</v>
      </c>
      <c r="F1661" s="79" t="s">
        <v>2539</v>
      </c>
      <c r="G1661" s="79" t="s">
        <v>2578</v>
      </c>
      <c r="H1661" s="79"/>
      <c r="I1661" s="79"/>
    </row>
    <row r="1662" spans="1:9" ht="14.25">
      <c r="A1662" s="79" t="s">
        <v>3552</v>
      </c>
      <c r="B1662" s="79" t="s">
        <v>3553</v>
      </c>
      <c r="C1662" s="79">
        <v>600448571</v>
      </c>
      <c r="D1662" s="79">
        <v>0</v>
      </c>
      <c r="E1662" s="79" t="s">
        <v>1124</v>
      </c>
      <c r="F1662" s="79" t="s">
        <v>2539</v>
      </c>
      <c r="G1662" s="79" t="s">
        <v>2546</v>
      </c>
      <c r="H1662" s="79" t="s">
        <v>2547</v>
      </c>
      <c r="I1662" s="79"/>
    </row>
    <row r="1663" spans="1:9" ht="14.25">
      <c r="A1663" s="79" t="s">
        <v>3552</v>
      </c>
      <c r="B1663" s="79" t="s">
        <v>3553</v>
      </c>
      <c r="C1663" s="79">
        <v>600448571</v>
      </c>
      <c r="D1663" s="79">
        <v>0</v>
      </c>
      <c r="E1663" s="79" t="s">
        <v>1124</v>
      </c>
      <c r="F1663" s="79" t="s">
        <v>2539</v>
      </c>
      <c r="G1663" s="79" t="s">
        <v>2581</v>
      </c>
      <c r="H1663" s="79"/>
      <c r="I1663" s="79"/>
    </row>
    <row r="1664" spans="1:9" ht="14.25">
      <c r="A1664" s="79" t="s">
        <v>3554</v>
      </c>
      <c r="B1664" s="79" t="s">
        <v>3555</v>
      </c>
      <c r="C1664" s="79">
        <v>600491171</v>
      </c>
      <c r="D1664" s="79">
        <v>0</v>
      </c>
      <c r="E1664" s="79" t="s">
        <v>1124</v>
      </c>
      <c r="F1664" s="79" t="s">
        <v>2539</v>
      </c>
      <c r="G1664" s="79" t="s">
        <v>1130</v>
      </c>
      <c r="H1664" s="79"/>
      <c r="I1664" s="79"/>
    </row>
    <row r="1665" spans="1:9" ht="14.25">
      <c r="A1665" s="79" t="s">
        <v>3554</v>
      </c>
      <c r="B1665" s="79" t="s">
        <v>3555</v>
      </c>
      <c r="C1665" s="79">
        <v>600491171</v>
      </c>
      <c r="D1665" s="79">
        <v>0</v>
      </c>
      <c r="E1665" s="79" t="s">
        <v>1124</v>
      </c>
      <c r="F1665" s="79" t="s">
        <v>2539</v>
      </c>
      <c r="G1665" s="79" t="s">
        <v>1131</v>
      </c>
      <c r="H1665" s="79" t="s">
        <v>1132</v>
      </c>
      <c r="I1665" s="79"/>
    </row>
    <row r="1666" spans="1:9" ht="14.25">
      <c r="A1666" s="79" t="s">
        <v>3554</v>
      </c>
      <c r="B1666" s="79" t="s">
        <v>3555</v>
      </c>
      <c r="C1666" s="79">
        <v>600491171</v>
      </c>
      <c r="D1666" s="79">
        <v>0</v>
      </c>
      <c r="E1666" s="79" t="s">
        <v>1124</v>
      </c>
      <c r="F1666" s="79" t="s">
        <v>2539</v>
      </c>
      <c r="G1666" s="79" t="s">
        <v>2578</v>
      </c>
      <c r="H1666" s="79"/>
      <c r="I1666" s="79"/>
    </row>
    <row r="1667" spans="1:9" ht="14.25">
      <c r="A1667" s="79" t="s">
        <v>3556</v>
      </c>
      <c r="B1667" s="79" t="s">
        <v>3557</v>
      </c>
      <c r="C1667" s="79">
        <v>600491771</v>
      </c>
      <c r="D1667" s="79">
        <v>0</v>
      </c>
      <c r="E1667" s="79" t="s">
        <v>1124</v>
      </c>
      <c r="F1667" s="79" t="s">
        <v>2539</v>
      </c>
      <c r="G1667" s="79" t="s">
        <v>2546</v>
      </c>
      <c r="H1667" s="79" t="s">
        <v>2547</v>
      </c>
      <c r="I1667" s="79"/>
    </row>
    <row r="1668" spans="1:9" ht="14.25">
      <c r="A1668" s="79" t="s">
        <v>3556</v>
      </c>
      <c r="B1668" s="79" t="s">
        <v>3557</v>
      </c>
      <c r="C1668" s="79">
        <v>600491771</v>
      </c>
      <c r="D1668" s="79">
        <v>0</v>
      </c>
      <c r="E1668" s="79" t="s">
        <v>1124</v>
      </c>
      <c r="F1668" s="79" t="s">
        <v>2539</v>
      </c>
      <c r="G1668" s="79" t="s">
        <v>2581</v>
      </c>
      <c r="H1668" s="79"/>
      <c r="I1668" s="79"/>
    </row>
    <row r="1669" spans="1:9" ht="14.25">
      <c r="A1669" s="79" t="s">
        <v>3558</v>
      </c>
      <c r="B1669" s="79" t="s">
        <v>3559</v>
      </c>
      <c r="C1669" s="79">
        <v>600534371</v>
      </c>
      <c r="D1669" s="79">
        <v>0</v>
      </c>
      <c r="E1669" s="79" t="s">
        <v>1124</v>
      </c>
      <c r="F1669" s="79" t="s">
        <v>2539</v>
      </c>
      <c r="G1669" s="79" t="s">
        <v>1130</v>
      </c>
      <c r="H1669" s="79"/>
      <c r="I1669" s="79"/>
    </row>
    <row r="1670" spans="1:9" ht="14.25">
      <c r="A1670" s="79" t="s">
        <v>3558</v>
      </c>
      <c r="B1670" s="79" t="s">
        <v>3559</v>
      </c>
      <c r="C1670" s="79">
        <v>600534371</v>
      </c>
      <c r="D1670" s="79">
        <v>0</v>
      </c>
      <c r="E1670" s="79" t="s">
        <v>1124</v>
      </c>
      <c r="F1670" s="79" t="s">
        <v>2539</v>
      </c>
      <c r="G1670" s="79" t="s">
        <v>1131</v>
      </c>
      <c r="H1670" s="79" t="s">
        <v>1132</v>
      </c>
      <c r="I1670" s="79"/>
    </row>
    <row r="1671" spans="1:9" ht="14.25">
      <c r="A1671" s="79" t="s">
        <v>3558</v>
      </c>
      <c r="B1671" s="79" t="s">
        <v>3559</v>
      </c>
      <c r="C1671" s="79">
        <v>600534371</v>
      </c>
      <c r="D1671" s="79">
        <v>0</v>
      </c>
      <c r="E1671" s="79" t="s">
        <v>1124</v>
      </c>
      <c r="F1671" s="79" t="s">
        <v>2539</v>
      </c>
      <c r="G1671" s="79" t="s">
        <v>2578</v>
      </c>
      <c r="H1671" s="79"/>
      <c r="I1671" s="79"/>
    </row>
    <row r="1672" spans="1:9" ht="14.25">
      <c r="A1672" s="79" t="s">
        <v>3560</v>
      </c>
      <c r="B1672" s="79" t="s">
        <v>3561</v>
      </c>
      <c r="C1672" s="79">
        <v>600534971</v>
      </c>
      <c r="D1672" s="79">
        <v>0</v>
      </c>
      <c r="E1672" s="79" t="s">
        <v>1124</v>
      </c>
      <c r="F1672" s="79" t="s">
        <v>2539</v>
      </c>
      <c r="G1672" s="79" t="s">
        <v>2546</v>
      </c>
      <c r="H1672" s="79" t="s">
        <v>2547</v>
      </c>
      <c r="I1672" s="79"/>
    </row>
    <row r="1673" spans="1:9" ht="14.25">
      <c r="A1673" s="79" t="s">
        <v>3560</v>
      </c>
      <c r="B1673" s="79" t="s">
        <v>3561</v>
      </c>
      <c r="C1673" s="79">
        <v>600534971</v>
      </c>
      <c r="D1673" s="79">
        <v>0</v>
      </c>
      <c r="E1673" s="79" t="s">
        <v>1124</v>
      </c>
      <c r="F1673" s="79" t="s">
        <v>2539</v>
      </c>
      <c r="G1673" s="79" t="s">
        <v>2581</v>
      </c>
      <c r="H1673" s="79"/>
      <c r="I1673" s="79"/>
    </row>
    <row r="1674" spans="1:9" ht="14.25">
      <c r="A1674" s="79" t="s">
        <v>3562</v>
      </c>
      <c r="B1674" s="79" t="s">
        <v>3563</v>
      </c>
      <c r="C1674" s="79">
        <v>600577571</v>
      </c>
      <c r="D1674" s="79">
        <v>0</v>
      </c>
      <c r="E1674" s="79" t="s">
        <v>1124</v>
      </c>
      <c r="F1674" s="79" t="s">
        <v>2539</v>
      </c>
      <c r="G1674" s="79" t="s">
        <v>1130</v>
      </c>
      <c r="H1674" s="79"/>
      <c r="I1674" s="79"/>
    </row>
    <row r="1675" spans="1:9" ht="14.25">
      <c r="A1675" s="79" t="s">
        <v>3562</v>
      </c>
      <c r="B1675" s="79" t="s">
        <v>3563</v>
      </c>
      <c r="C1675" s="79">
        <v>600577571</v>
      </c>
      <c r="D1675" s="79">
        <v>0</v>
      </c>
      <c r="E1675" s="79" t="s">
        <v>1124</v>
      </c>
      <c r="F1675" s="79" t="s">
        <v>2539</v>
      </c>
      <c r="G1675" s="79" t="s">
        <v>1131</v>
      </c>
      <c r="H1675" s="79" t="s">
        <v>1132</v>
      </c>
      <c r="I1675" s="79"/>
    </row>
    <row r="1676" spans="1:9" ht="14.25">
      <c r="A1676" s="79" t="s">
        <v>3562</v>
      </c>
      <c r="B1676" s="79" t="s">
        <v>3563</v>
      </c>
      <c r="C1676" s="79">
        <v>600577571</v>
      </c>
      <c r="D1676" s="79">
        <v>0</v>
      </c>
      <c r="E1676" s="79" t="s">
        <v>1124</v>
      </c>
      <c r="F1676" s="79" t="s">
        <v>2539</v>
      </c>
      <c r="G1676" s="79" t="s">
        <v>2578</v>
      </c>
      <c r="H1676" s="79"/>
      <c r="I1676" s="79"/>
    </row>
    <row r="1677" spans="1:9" ht="14.25">
      <c r="A1677" s="79" t="s">
        <v>3564</v>
      </c>
      <c r="B1677" s="79" t="s">
        <v>3565</v>
      </c>
      <c r="C1677" s="79">
        <v>600578171</v>
      </c>
      <c r="D1677" s="79">
        <v>0</v>
      </c>
      <c r="E1677" s="79" t="s">
        <v>1124</v>
      </c>
      <c r="F1677" s="79" t="s">
        <v>2539</v>
      </c>
      <c r="G1677" s="79" t="s">
        <v>2546</v>
      </c>
      <c r="H1677" s="79" t="s">
        <v>2547</v>
      </c>
      <c r="I1677" s="79"/>
    </row>
    <row r="1678" spans="1:9" ht="14.25">
      <c r="A1678" s="79" t="s">
        <v>3564</v>
      </c>
      <c r="B1678" s="79" t="s">
        <v>3565</v>
      </c>
      <c r="C1678" s="79">
        <v>600578171</v>
      </c>
      <c r="D1678" s="79">
        <v>0</v>
      </c>
      <c r="E1678" s="79" t="s">
        <v>1124</v>
      </c>
      <c r="F1678" s="79" t="s">
        <v>2539</v>
      </c>
      <c r="G1678" s="79" t="s">
        <v>2581</v>
      </c>
      <c r="H1678" s="79"/>
      <c r="I1678" s="79"/>
    </row>
    <row r="1679" spans="1:9" ht="14.25">
      <c r="A1679" s="79" t="s">
        <v>3566</v>
      </c>
      <c r="B1679" s="79" t="s">
        <v>3567</v>
      </c>
      <c r="C1679" s="79">
        <v>600620771</v>
      </c>
      <c r="D1679" s="79">
        <v>0</v>
      </c>
      <c r="E1679" s="79" t="s">
        <v>1124</v>
      </c>
      <c r="F1679" s="79" t="s">
        <v>2539</v>
      </c>
      <c r="G1679" s="79" t="s">
        <v>1130</v>
      </c>
      <c r="H1679" s="79"/>
      <c r="I1679" s="79"/>
    </row>
    <row r="1680" spans="1:9" ht="14.25">
      <c r="A1680" s="79" t="s">
        <v>3566</v>
      </c>
      <c r="B1680" s="79" t="s">
        <v>3567</v>
      </c>
      <c r="C1680" s="79">
        <v>600620771</v>
      </c>
      <c r="D1680" s="79">
        <v>0</v>
      </c>
      <c r="E1680" s="79" t="s">
        <v>1124</v>
      </c>
      <c r="F1680" s="79" t="s">
        <v>2539</v>
      </c>
      <c r="G1680" s="79" t="s">
        <v>2109</v>
      </c>
      <c r="H1680" s="79"/>
      <c r="I1680" s="79"/>
    </row>
    <row r="1681" spans="1:9" ht="14.25">
      <c r="A1681" s="79" t="s">
        <v>3568</v>
      </c>
      <c r="B1681" s="79" t="s">
        <v>3569</v>
      </c>
      <c r="C1681" s="79">
        <v>600620774</v>
      </c>
      <c r="D1681" s="79">
        <v>0</v>
      </c>
      <c r="E1681" s="79" t="s">
        <v>1124</v>
      </c>
      <c r="F1681" s="79" t="s">
        <v>2539</v>
      </c>
      <c r="G1681" s="79" t="s">
        <v>1130</v>
      </c>
      <c r="H1681" s="79"/>
      <c r="I1681" s="79"/>
    </row>
    <row r="1682" spans="1:9" ht="14.25">
      <c r="A1682" s="79" t="s">
        <v>3568</v>
      </c>
      <c r="B1682" s="79" t="s">
        <v>3569</v>
      </c>
      <c r="C1682" s="79">
        <v>600620774</v>
      </c>
      <c r="D1682" s="79">
        <v>0</v>
      </c>
      <c r="E1682" s="79" t="s">
        <v>1124</v>
      </c>
      <c r="F1682" s="79" t="s">
        <v>2539</v>
      </c>
      <c r="G1682" s="79" t="s">
        <v>2572</v>
      </c>
      <c r="H1682" s="79" t="s">
        <v>2573</v>
      </c>
      <c r="I1682" s="79"/>
    </row>
    <row r="1683" spans="1:9" ht="14.25">
      <c r="A1683" s="79" t="s">
        <v>3568</v>
      </c>
      <c r="B1683" s="79" t="s">
        <v>3569</v>
      </c>
      <c r="C1683" s="79">
        <v>600620774</v>
      </c>
      <c r="D1683" s="79">
        <v>0</v>
      </c>
      <c r="E1683" s="79" t="s">
        <v>1124</v>
      </c>
      <c r="F1683" s="79" t="s">
        <v>2539</v>
      </c>
      <c r="G1683" s="79" t="s">
        <v>2568</v>
      </c>
      <c r="H1683" s="79"/>
      <c r="I1683" s="79"/>
    </row>
    <row r="1684" spans="1:9" ht="14.25">
      <c r="A1684" s="79" t="s">
        <v>3570</v>
      </c>
      <c r="B1684" s="79" t="s">
        <v>3571</v>
      </c>
      <c r="C1684" s="79">
        <v>600621134</v>
      </c>
      <c r="D1684" s="79">
        <v>0</v>
      </c>
      <c r="E1684" s="79" t="s">
        <v>1124</v>
      </c>
      <c r="F1684" s="79" t="s">
        <v>2539</v>
      </c>
      <c r="G1684" s="79" t="s">
        <v>2576</v>
      </c>
      <c r="H1684" s="79"/>
      <c r="I1684" s="79"/>
    </row>
    <row r="1685" spans="1:9" ht="14.25">
      <c r="A1685" s="79" t="s">
        <v>3570</v>
      </c>
      <c r="B1685" s="79" t="s">
        <v>3571</v>
      </c>
      <c r="C1685" s="79">
        <v>600621134</v>
      </c>
      <c r="D1685" s="79">
        <v>0</v>
      </c>
      <c r="E1685" s="79" t="s">
        <v>1124</v>
      </c>
      <c r="F1685" s="79" t="s">
        <v>2539</v>
      </c>
      <c r="G1685" s="79" t="s">
        <v>2577</v>
      </c>
      <c r="H1685" s="79"/>
      <c r="I1685" s="79"/>
    </row>
    <row r="1686" spans="1:9" ht="14.25">
      <c r="A1686" s="79" t="s">
        <v>3570</v>
      </c>
      <c r="B1686" s="79" t="s">
        <v>3571</v>
      </c>
      <c r="C1686" s="79">
        <v>600621134</v>
      </c>
      <c r="D1686" s="79">
        <v>0</v>
      </c>
      <c r="E1686" s="79" t="s">
        <v>1124</v>
      </c>
      <c r="F1686" s="79" t="s">
        <v>2539</v>
      </c>
      <c r="G1686" s="79" t="s">
        <v>1131</v>
      </c>
      <c r="H1686" s="79" t="s">
        <v>1132</v>
      </c>
      <c r="I1686" s="79"/>
    </row>
    <row r="1687" spans="1:9" ht="14.25">
      <c r="A1687" s="79" t="s">
        <v>3570</v>
      </c>
      <c r="B1687" s="79" t="s">
        <v>3571</v>
      </c>
      <c r="C1687" s="79">
        <v>600621134</v>
      </c>
      <c r="D1687" s="79">
        <v>0</v>
      </c>
      <c r="E1687" s="79" t="s">
        <v>1124</v>
      </c>
      <c r="F1687" s="79" t="s">
        <v>2539</v>
      </c>
      <c r="G1687" s="79" t="s">
        <v>2578</v>
      </c>
      <c r="H1687" s="79"/>
      <c r="I1687" s="79"/>
    </row>
    <row r="1688" spans="1:9" ht="14.25">
      <c r="A1688" s="79" t="s">
        <v>3572</v>
      </c>
      <c r="B1688" s="79" t="s">
        <v>3573</v>
      </c>
      <c r="C1688" s="79">
        <v>600621734</v>
      </c>
      <c r="D1688" s="79">
        <v>0</v>
      </c>
      <c r="E1688" s="79" t="s">
        <v>1124</v>
      </c>
      <c r="F1688" s="79" t="s">
        <v>2539</v>
      </c>
      <c r="G1688" s="79" t="s">
        <v>2546</v>
      </c>
      <c r="H1688" s="79" t="s">
        <v>2547</v>
      </c>
      <c r="I1688" s="79"/>
    </row>
    <row r="1689" spans="1:9" ht="14.25">
      <c r="A1689" s="79" t="s">
        <v>3572</v>
      </c>
      <c r="B1689" s="79" t="s">
        <v>3573</v>
      </c>
      <c r="C1689" s="79">
        <v>600621734</v>
      </c>
      <c r="D1689" s="79">
        <v>0</v>
      </c>
      <c r="E1689" s="79" t="s">
        <v>1124</v>
      </c>
      <c r="F1689" s="79" t="s">
        <v>2539</v>
      </c>
      <c r="G1689" s="79" t="s">
        <v>2581</v>
      </c>
      <c r="H1689" s="79"/>
      <c r="I1689" s="79"/>
    </row>
    <row r="1690" spans="1:9" ht="14.25">
      <c r="A1690" s="79" t="s">
        <v>3574</v>
      </c>
      <c r="B1690" s="79" t="s">
        <v>3575</v>
      </c>
      <c r="C1690" s="79">
        <v>600664334</v>
      </c>
      <c r="D1690" s="79">
        <v>0</v>
      </c>
      <c r="E1690" s="79" t="s">
        <v>1124</v>
      </c>
      <c r="F1690" s="79" t="s">
        <v>2539</v>
      </c>
      <c r="G1690" s="79" t="s">
        <v>1130</v>
      </c>
      <c r="H1690" s="79"/>
      <c r="I1690" s="79"/>
    </row>
    <row r="1691" spans="1:9" ht="14.25">
      <c r="A1691" s="79" t="s">
        <v>3574</v>
      </c>
      <c r="B1691" s="79" t="s">
        <v>3575</v>
      </c>
      <c r="C1691" s="79">
        <v>600664334</v>
      </c>
      <c r="D1691" s="79">
        <v>0</v>
      </c>
      <c r="E1691" s="79" t="s">
        <v>1124</v>
      </c>
      <c r="F1691" s="79" t="s">
        <v>2539</v>
      </c>
      <c r="G1691" s="79" t="s">
        <v>1131</v>
      </c>
      <c r="H1691" s="79" t="s">
        <v>1132</v>
      </c>
      <c r="I1691" s="79"/>
    </row>
    <row r="1692" spans="1:9" ht="14.25">
      <c r="A1692" s="79" t="s">
        <v>3574</v>
      </c>
      <c r="B1692" s="79" t="s">
        <v>3575</v>
      </c>
      <c r="C1692" s="79">
        <v>600664334</v>
      </c>
      <c r="D1692" s="79">
        <v>0</v>
      </c>
      <c r="E1692" s="79" t="s">
        <v>1124</v>
      </c>
      <c r="F1692" s="79" t="s">
        <v>2539</v>
      </c>
      <c r="G1692" s="79" t="s">
        <v>2578</v>
      </c>
      <c r="H1692" s="79"/>
      <c r="I1692" s="79"/>
    </row>
    <row r="1693" spans="1:9" ht="14.25">
      <c r="A1693" s="79" t="s">
        <v>3576</v>
      </c>
      <c r="B1693" s="79" t="s">
        <v>3577</v>
      </c>
      <c r="C1693" s="79">
        <v>600664934</v>
      </c>
      <c r="D1693" s="79">
        <v>0</v>
      </c>
      <c r="E1693" s="79" t="s">
        <v>1124</v>
      </c>
      <c r="F1693" s="79" t="s">
        <v>2539</v>
      </c>
      <c r="G1693" s="79" t="s">
        <v>2546</v>
      </c>
      <c r="H1693" s="79" t="s">
        <v>2547</v>
      </c>
      <c r="I1693" s="79"/>
    </row>
    <row r="1694" spans="1:9" ht="14.25">
      <c r="A1694" s="79" t="s">
        <v>3576</v>
      </c>
      <c r="B1694" s="79" t="s">
        <v>3577</v>
      </c>
      <c r="C1694" s="79">
        <v>600664934</v>
      </c>
      <c r="D1694" s="79">
        <v>0</v>
      </c>
      <c r="E1694" s="79" t="s">
        <v>1124</v>
      </c>
      <c r="F1694" s="79" t="s">
        <v>2539</v>
      </c>
      <c r="G1694" s="79" t="s">
        <v>2581</v>
      </c>
      <c r="H1694" s="79"/>
      <c r="I1694" s="79"/>
    </row>
    <row r="1695" spans="1:9" ht="14.25">
      <c r="A1695" s="79" t="s">
        <v>3578</v>
      </c>
      <c r="B1695" s="79" t="s">
        <v>3579</v>
      </c>
      <c r="C1695" s="79">
        <v>600707534</v>
      </c>
      <c r="D1695" s="79">
        <v>0</v>
      </c>
      <c r="E1695" s="79" t="s">
        <v>1124</v>
      </c>
      <c r="F1695" s="79" t="s">
        <v>2539</v>
      </c>
      <c r="G1695" s="79" t="s">
        <v>1130</v>
      </c>
      <c r="H1695" s="79"/>
      <c r="I1695" s="79"/>
    </row>
    <row r="1696" spans="1:9" ht="14.25">
      <c r="A1696" s="79" t="s">
        <v>3578</v>
      </c>
      <c r="B1696" s="79" t="s">
        <v>3579</v>
      </c>
      <c r="C1696" s="79">
        <v>600707534</v>
      </c>
      <c r="D1696" s="79">
        <v>0</v>
      </c>
      <c r="E1696" s="79" t="s">
        <v>1124</v>
      </c>
      <c r="F1696" s="79" t="s">
        <v>2539</v>
      </c>
      <c r="G1696" s="79" t="s">
        <v>1131</v>
      </c>
      <c r="H1696" s="79" t="s">
        <v>1132</v>
      </c>
      <c r="I1696" s="79"/>
    </row>
    <row r="1697" spans="1:9" ht="14.25">
      <c r="A1697" s="79" t="s">
        <v>3578</v>
      </c>
      <c r="B1697" s="79" t="s">
        <v>3579</v>
      </c>
      <c r="C1697" s="79">
        <v>600707534</v>
      </c>
      <c r="D1697" s="79">
        <v>0</v>
      </c>
      <c r="E1697" s="79" t="s">
        <v>1124</v>
      </c>
      <c r="F1697" s="79" t="s">
        <v>2539</v>
      </c>
      <c r="G1697" s="79" t="s">
        <v>2578</v>
      </c>
      <c r="H1697" s="79"/>
      <c r="I1697" s="79"/>
    </row>
    <row r="1698" spans="1:9" ht="14.25">
      <c r="A1698" s="79" t="s">
        <v>3580</v>
      </c>
      <c r="B1698" s="79" t="s">
        <v>3581</v>
      </c>
      <c r="C1698" s="79">
        <v>600708134</v>
      </c>
      <c r="D1698" s="79">
        <v>0</v>
      </c>
      <c r="E1698" s="79" t="s">
        <v>1124</v>
      </c>
      <c r="F1698" s="79" t="s">
        <v>2539</v>
      </c>
      <c r="G1698" s="79" t="s">
        <v>2546</v>
      </c>
      <c r="H1698" s="79" t="s">
        <v>2547</v>
      </c>
      <c r="I1698" s="79"/>
    </row>
    <row r="1699" spans="1:9" ht="14.25">
      <c r="A1699" s="79" t="s">
        <v>3580</v>
      </c>
      <c r="B1699" s="79" t="s">
        <v>3581</v>
      </c>
      <c r="C1699" s="79">
        <v>600708134</v>
      </c>
      <c r="D1699" s="79">
        <v>0</v>
      </c>
      <c r="E1699" s="79" t="s">
        <v>1124</v>
      </c>
      <c r="F1699" s="79" t="s">
        <v>2539</v>
      </c>
      <c r="G1699" s="79" t="s">
        <v>2581</v>
      </c>
      <c r="H1699" s="79"/>
      <c r="I1699" s="79"/>
    </row>
    <row r="1700" spans="1:9" ht="14.25">
      <c r="A1700" s="79" t="s">
        <v>3582</v>
      </c>
      <c r="B1700" s="79" t="s">
        <v>3583</v>
      </c>
      <c r="C1700" s="79">
        <v>600750734</v>
      </c>
      <c r="D1700" s="79">
        <v>0</v>
      </c>
      <c r="E1700" s="79" t="s">
        <v>1124</v>
      </c>
      <c r="F1700" s="79" t="s">
        <v>2539</v>
      </c>
      <c r="G1700" s="79" t="s">
        <v>1130</v>
      </c>
      <c r="H1700" s="79"/>
      <c r="I1700" s="79"/>
    </row>
    <row r="1701" spans="1:9" ht="14.25">
      <c r="A1701" s="79" t="s">
        <v>3582</v>
      </c>
      <c r="B1701" s="79" t="s">
        <v>3583</v>
      </c>
      <c r="C1701" s="79">
        <v>600750734</v>
      </c>
      <c r="D1701" s="79">
        <v>0</v>
      </c>
      <c r="E1701" s="79" t="s">
        <v>1124</v>
      </c>
      <c r="F1701" s="79" t="s">
        <v>2539</v>
      </c>
      <c r="G1701" s="79" t="s">
        <v>1131</v>
      </c>
      <c r="H1701" s="79" t="s">
        <v>1132</v>
      </c>
      <c r="I1701" s="79"/>
    </row>
    <row r="1702" spans="1:9" ht="14.25">
      <c r="A1702" s="79" t="s">
        <v>3582</v>
      </c>
      <c r="B1702" s="79" t="s">
        <v>3583</v>
      </c>
      <c r="C1702" s="79">
        <v>600750734</v>
      </c>
      <c r="D1702" s="79">
        <v>0</v>
      </c>
      <c r="E1702" s="79" t="s">
        <v>1124</v>
      </c>
      <c r="F1702" s="79" t="s">
        <v>2539</v>
      </c>
      <c r="G1702" s="79" t="s">
        <v>2578</v>
      </c>
      <c r="H1702" s="79"/>
      <c r="I1702" s="79"/>
    </row>
    <row r="1703" spans="1:9" ht="14.25">
      <c r="A1703" s="79" t="s">
        <v>3584</v>
      </c>
      <c r="B1703" s="79" t="s">
        <v>3585</v>
      </c>
      <c r="C1703" s="79">
        <v>600751334</v>
      </c>
      <c r="D1703" s="79">
        <v>0</v>
      </c>
      <c r="E1703" s="79" t="s">
        <v>1124</v>
      </c>
      <c r="F1703" s="79" t="s">
        <v>2539</v>
      </c>
      <c r="G1703" s="79" t="s">
        <v>2546</v>
      </c>
      <c r="H1703" s="79" t="s">
        <v>2547</v>
      </c>
      <c r="I1703" s="79"/>
    </row>
    <row r="1704" spans="1:9" ht="14.25">
      <c r="A1704" s="79" t="s">
        <v>3584</v>
      </c>
      <c r="B1704" s="79" t="s">
        <v>3585</v>
      </c>
      <c r="C1704" s="79">
        <v>600751334</v>
      </c>
      <c r="D1704" s="79">
        <v>0</v>
      </c>
      <c r="E1704" s="79" t="s">
        <v>1124</v>
      </c>
      <c r="F1704" s="79" t="s">
        <v>2539</v>
      </c>
      <c r="G1704" s="79" t="s">
        <v>2581</v>
      </c>
      <c r="H1704" s="79"/>
      <c r="I1704" s="79"/>
    </row>
    <row r="1705" spans="1:9" ht="14.25">
      <c r="A1705" s="79" t="s">
        <v>3586</v>
      </c>
      <c r="B1705" s="79" t="s">
        <v>3587</v>
      </c>
      <c r="C1705" s="79">
        <v>600793934</v>
      </c>
      <c r="D1705" s="79">
        <v>0</v>
      </c>
      <c r="E1705" s="79" t="s">
        <v>1124</v>
      </c>
      <c r="F1705" s="79" t="s">
        <v>2539</v>
      </c>
      <c r="G1705" s="79" t="s">
        <v>1130</v>
      </c>
      <c r="H1705" s="79"/>
      <c r="I1705" s="79"/>
    </row>
    <row r="1706" spans="1:9" ht="14.25">
      <c r="A1706" s="79" t="s">
        <v>3586</v>
      </c>
      <c r="B1706" s="79" t="s">
        <v>3587</v>
      </c>
      <c r="C1706" s="79">
        <v>600793934</v>
      </c>
      <c r="D1706" s="79">
        <v>0</v>
      </c>
      <c r="E1706" s="79" t="s">
        <v>1124</v>
      </c>
      <c r="F1706" s="79" t="s">
        <v>2539</v>
      </c>
      <c r="G1706" s="79" t="s">
        <v>1131</v>
      </c>
      <c r="H1706" s="79" t="s">
        <v>1132</v>
      </c>
      <c r="I1706" s="79"/>
    </row>
    <row r="1707" spans="1:9" ht="14.25">
      <c r="A1707" s="79" t="s">
        <v>3586</v>
      </c>
      <c r="B1707" s="79" t="s">
        <v>3587</v>
      </c>
      <c r="C1707" s="79">
        <v>600793934</v>
      </c>
      <c r="D1707" s="79">
        <v>0</v>
      </c>
      <c r="E1707" s="79" t="s">
        <v>1124</v>
      </c>
      <c r="F1707" s="79" t="s">
        <v>2539</v>
      </c>
      <c r="G1707" s="79" t="s">
        <v>2578</v>
      </c>
      <c r="H1707" s="79"/>
      <c r="I1707" s="79"/>
    </row>
    <row r="1708" spans="1:9" ht="14.25">
      <c r="A1708" s="79" t="s">
        <v>3588</v>
      </c>
      <c r="B1708" s="79" t="s">
        <v>3589</v>
      </c>
      <c r="C1708" s="79">
        <v>600794534</v>
      </c>
      <c r="D1708" s="79">
        <v>0</v>
      </c>
      <c r="E1708" s="79" t="s">
        <v>1124</v>
      </c>
      <c r="F1708" s="79" t="s">
        <v>2539</v>
      </c>
      <c r="G1708" s="79" t="s">
        <v>2546</v>
      </c>
      <c r="H1708" s="79" t="s">
        <v>2547</v>
      </c>
      <c r="I1708" s="79"/>
    </row>
    <row r="1709" spans="1:9" ht="14.25">
      <c r="A1709" s="79" t="s">
        <v>3588</v>
      </c>
      <c r="B1709" s="79" t="s">
        <v>3589</v>
      </c>
      <c r="C1709" s="79">
        <v>600794534</v>
      </c>
      <c r="D1709" s="79">
        <v>0</v>
      </c>
      <c r="E1709" s="79" t="s">
        <v>1124</v>
      </c>
      <c r="F1709" s="79" t="s">
        <v>2539</v>
      </c>
      <c r="G1709" s="79" t="s">
        <v>2581</v>
      </c>
      <c r="H1709" s="79"/>
      <c r="I1709" s="79"/>
    </row>
    <row r="1710" spans="1:9" ht="14.25">
      <c r="A1710" s="79" t="s">
        <v>3590</v>
      </c>
      <c r="B1710" s="79" t="s">
        <v>3591</v>
      </c>
      <c r="C1710" s="79">
        <v>600837134</v>
      </c>
      <c r="D1710" s="79">
        <v>0</v>
      </c>
      <c r="E1710" s="79" t="s">
        <v>1124</v>
      </c>
      <c r="F1710" s="79" t="s">
        <v>2539</v>
      </c>
      <c r="G1710" s="79" t="s">
        <v>1130</v>
      </c>
      <c r="H1710" s="79"/>
      <c r="I1710" s="79"/>
    </row>
    <row r="1711" spans="1:9" ht="14.25">
      <c r="A1711" s="79" t="s">
        <v>3590</v>
      </c>
      <c r="B1711" s="79" t="s">
        <v>3591</v>
      </c>
      <c r="C1711" s="79">
        <v>600837134</v>
      </c>
      <c r="D1711" s="79">
        <v>0</v>
      </c>
      <c r="E1711" s="79" t="s">
        <v>1124</v>
      </c>
      <c r="F1711" s="79" t="s">
        <v>2539</v>
      </c>
      <c r="G1711" s="79" t="s">
        <v>1131</v>
      </c>
      <c r="H1711" s="79" t="s">
        <v>1132</v>
      </c>
      <c r="I1711" s="79"/>
    </row>
    <row r="1712" spans="1:9" ht="14.25">
      <c r="A1712" s="79" t="s">
        <v>3590</v>
      </c>
      <c r="B1712" s="79" t="s">
        <v>3591</v>
      </c>
      <c r="C1712" s="79">
        <v>600837134</v>
      </c>
      <c r="D1712" s="79">
        <v>0</v>
      </c>
      <c r="E1712" s="79" t="s">
        <v>1124</v>
      </c>
      <c r="F1712" s="79" t="s">
        <v>2539</v>
      </c>
      <c r="G1712" s="79" t="s">
        <v>2578</v>
      </c>
      <c r="H1712" s="79"/>
      <c r="I1712" s="79"/>
    </row>
    <row r="1713" spans="1:9" ht="14.25">
      <c r="A1713" s="79" t="s">
        <v>3592</v>
      </c>
      <c r="B1713" s="79" t="s">
        <v>3593</v>
      </c>
      <c r="C1713" s="79">
        <v>600837734</v>
      </c>
      <c r="D1713" s="79">
        <v>0</v>
      </c>
      <c r="E1713" s="79" t="s">
        <v>1124</v>
      </c>
      <c r="F1713" s="79" t="s">
        <v>2539</v>
      </c>
      <c r="G1713" s="79" t="s">
        <v>2546</v>
      </c>
      <c r="H1713" s="79" t="s">
        <v>2547</v>
      </c>
      <c r="I1713" s="79"/>
    </row>
    <row r="1714" spans="1:9" ht="14.25">
      <c r="A1714" s="79" t="s">
        <v>3592</v>
      </c>
      <c r="B1714" s="79" t="s">
        <v>3593</v>
      </c>
      <c r="C1714" s="79">
        <v>600837734</v>
      </c>
      <c r="D1714" s="79">
        <v>0</v>
      </c>
      <c r="E1714" s="79" t="s">
        <v>1124</v>
      </c>
      <c r="F1714" s="79" t="s">
        <v>2539</v>
      </c>
      <c r="G1714" s="79" t="s">
        <v>2581</v>
      </c>
      <c r="H1714" s="79"/>
      <c r="I1714" s="79"/>
    </row>
    <row r="1715" spans="1:9" ht="14.25">
      <c r="A1715" s="79" t="s">
        <v>3594</v>
      </c>
      <c r="B1715" s="79" t="s">
        <v>3595</v>
      </c>
      <c r="C1715" s="79">
        <v>600880334</v>
      </c>
      <c r="D1715" s="79">
        <v>0</v>
      </c>
      <c r="E1715" s="79" t="s">
        <v>1124</v>
      </c>
      <c r="F1715" s="79" t="s">
        <v>2539</v>
      </c>
      <c r="G1715" s="79" t="s">
        <v>1130</v>
      </c>
      <c r="H1715" s="79"/>
      <c r="I1715" s="79"/>
    </row>
    <row r="1716" spans="1:9" ht="14.25">
      <c r="A1716" s="79" t="s">
        <v>3594</v>
      </c>
      <c r="B1716" s="79" t="s">
        <v>3595</v>
      </c>
      <c r="C1716" s="79">
        <v>600880334</v>
      </c>
      <c r="D1716" s="79">
        <v>0</v>
      </c>
      <c r="E1716" s="79" t="s">
        <v>1124</v>
      </c>
      <c r="F1716" s="79" t="s">
        <v>2539</v>
      </c>
      <c r="G1716" s="79" t="s">
        <v>1131</v>
      </c>
      <c r="H1716" s="79" t="s">
        <v>1132</v>
      </c>
      <c r="I1716" s="79"/>
    </row>
    <row r="1717" spans="1:9" ht="14.25">
      <c r="A1717" s="79" t="s">
        <v>3594</v>
      </c>
      <c r="B1717" s="79" t="s">
        <v>3595</v>
      </c>
      <c r="C1717" s="79">
        <v>600880334</v>
      </c>
      <c r="D1717" s="79">
        <v>0</v>
      </c>
      <c r="E1717" s="79" t="s">
        <v>1124</v>
      </c>
      <c r="F1717" s="79" t="s">
        <v>2539</v>
      </c>
      <c r="G1717" s="79" t="s">
        <v>2578</v>
      </c>
      <c r="H1717" s="79"/>
      <c r="I1717" s="79"/>
    </row>
    <row r="1718" spans="1:9" ht="14.25">
      <c r="A1718" s="79" t="s">
        <v>3596</v>
      </c>
      <c r="B1718" s="79" t="s">
        <v>3597</v>
      </c>
      <c r="C1718" s="79">
        <v>600880934</v>
      </c>
      <c r="D1718" s="79">
        <v>0</v>
      </c>
      <c r="E1718" s="79" t="s">
        <v>1124</v>
      </c>
      <c r="F1718" s="79" t="s">
        <v>2539</v>
      </c>
      <c r="G1718" s="79" t="s">
        <v>2546</v>
      </c>
      <c r="H1718" s="79" t="s">
        <v>2547</v>
      </c>
      <c r="I1718" s="79"/>
    </row>
    <row r="1719" spans="1:9" ht="14.25">
      <c r="A1719" s="79" t="s">
        <v>3596</v>
      </c>
      <c r="B1719" s="79" t="s">
        <v>3597</v>
      </c>
      <c r="C1719" s="79">
        <v>600880934</v>
      </c>
      <c r="D1719" s="79">
        <v>0</v>
      </c>
      <c r="E1719" s="79" t="s">
        <v>1124</v>
      </c>
      <c r="F1719" s="79" t="s">
        <v>2539</v>
      </c>
      <c r="G1719" s="79" t="s">
        <v>2581</v>
      </c>
      <c r="H1719" s="79"/>
      <c r="I1719" s="79"/>
    </row>
    <row r="1720" spans="1:9" ht="14.25">
      <c r="A1720" s="79" t="s">
        <v>3598</v>
      </c>
      <c r="B1720" s="79" t="s">
        <v>3599</v>
      </c>
      <c r="C1720" s="79">
        <v>600923534</v>
      </c>
      <c r="D1720" s="79">
        <v>0</v>
      </c>
      <c r="E1720" s="79" t="s">
        <v>1124</v>
      </c>
      <c r="F1720" s="79" t="s">
        <v>2539</v>
      </c>
      <c r="G1720" s="79" t="s">
        <v>1130</v>
      </c>
      <c r="H1720" s="79"/>
      <c r="I1720" s="79"/>
    </row>
    <row r="1721" spans="1:9" ht="14.25">
      <c r="A1721" s="79" t="s">
        <v>3598</v>
      </c>
      <c r="B1721" s="79" t="s">
        <v>3599</v>
      </c>
      <c r="C1721" s="79">
        <v>600923534</v>
      </c>
      <c r="D1721" s="79">
        <v>0</v>
      </c>
      <c r="E1721" s="79" t="s">
        <v>1124</v>
      </c>
      <c r="F1721" s="79" t="s">
        <v>2539</v>
      </c>
      <c r="G1721" s="79" t="s">
        <v>1131</v>
      </c>
      <c r="H1721" s="79" t="s">
        <v>1132</v>
      </c>
      <c r="I1721" s="79"/>
    </row>
    <row r="1722" spans="1:9" ht="14.25">
      <c r="A1722" s="79" t="s">
        <v>3598</v>
      </c>
      <c r="B1722" s="79" t="s">
        <v>3599</v>
      </c>
      <c r="C1722" s="79">
        <v>600923534</v>
      </c>
      <c r="D1722" s="79">
        <v>0</v>
      </c>
      <c r="E1722" s="79" t="s">
        <v>1124</v>
      </c>
      <c r="F1722" s="79" t="s">
        <v>2539</v>
      </c>
      <c r="G1722" s="79" t="s">
        <v>2578</v>
      </c>
      <c r="H1722" s="79"/>
      <c r="I1722" s="79"/>
    </row>
    <row r="1723" spans="1:9" ht="14.25">
      <c r="A1723" s="79" t="s">
        <v>3600</v>
      </c>
      <c r="B1723" s="79" t="s">
        <v>3601</v>
      </c>
      <c r="C1723" s="79">
        <v>600924134</v>
      </c>
      <c r="D1723" s="79">
        <v>0</v>
      </c>
      <c r="E1723" s="79" t="s">
        <v>1124</v>
      </c>
      <c r="F1723" s="79" t="s">
        <v>2539</v>
      </c>
      <c r="G1723" s="79" t="s">
        <v>2546</v>
      </c>
      <c r="H1723" s="79" t="s">
        <v>2547</v>
      </c>
      <c r="I1723" s="79"/>
    </row>
    <row r="1724" spans="1:9" ht="14.25">
      <c r="A1724" s="79" t="s">
        <v>3600</v>
      </c>
      <c r="B1724" s="79" t="s">
        <v>3601</v>
      </c>
      <c r="C1724" s="79">
        <v>600924134</v>
      </c>
      <c r="D1724" s="79">
        <v>0</v>
      </c>
      <c r="E1724" s="79" t="s">
        <v>1124</v>
      </c>
      <c r="F1724" s="79" t="s">
        <v>2539</v>
      </c>
      <c r="G1724" s="79" t="s">
        <v>2581</v>
      </c>
      <c r="H1724" s="79"/>
      <c r="I1724" s="79"/>
    </row>
    <row r="1725" spans="1:9" ht="14.25">
      <c r="A1725" s="79" t="s">
        <v>3602</v>
      </c>
      <c r="B1725" s="79" t="s">
        <v>3603</v>
      </c>
      <c r="C1725" s="79">
        <v>600966734</v>
      </c>
      <c r="D1725" s="79">
        <v>0</v>
      </c>
      <c r="E1725" s="79" t="s">
        <v>1124</v>
      </c>
      <c r="F1725" s="79" t="s">
        <v>2539</v>
      </c>
      <c r="G1725" s="79" t="s">
        <v>1130</v>
      </c>
      <c r="H1725" s="79"/>
      <c r="I1725" s="79"/>
    </row>
    <row r="1726" spans="1:9" ht="14.25">
      <c r="A1726" s="79" t="s">
        <v>3602</v>
      </c>
      <c r="B1726" s="79" t="s">
        <v>3603</v>
      </c>
      <c r="C1726" s="79">
        <v>600966734</v>
      </c>
      <c r="D1726" s="79">
        <v>0</v>
      </c>
      <c r="E1726" s="79" t="s">
        <v>1124</v>
      </c>
      <c r="F1726" s="79" t="s">
        <v>2539</v>
      </c>
      <c r="G1726" s="79" t="s">
        <v>1131</v>
      </c>
      <c r="H1726" s="79" t="s">
        <v>1132</v>
      </c>
      <c r="I1726" s="79"/>
    </row>
    <row r="1727" spans="1:9" ht="14.25">
      <c r="A1727" s="79" t="s">
        <v>3602</v>
      </c>
      <c r="B1727" s="79" t="s">
        <v>3603</v>
      </c>
      <c r="C1727" s="79">
        <v>600966734</v>
      </c>
      <c r="D1727" s="79">
        <v>0</v>
      </c>
      <c r="E1727" s="79" t="s">
        <v>1124</v>
      </c>
      <c r="F1727" s="79" t="s">
        <v>2539</v>
      </c>
      <c r="G1727" s="79" t="s">
        <v>2578</v>
      </c>
      <c r="H1727" s="79"/>
      <c r="I1727" s="79"/>
    </row>
    <row r="1728" spans="1:9" ht="14.25">
      <c r="A1728" s="79" t="s">
        <v>3604</v>
      </c>
      <c r="B1728" s="79" t="s">
        <v>3605</v>
      </c>
      <c r="C1728" s="79">
        <v>600967334</v>
      </c>
      <c r="D1728" s="79">
        <v>0</v>
      </c>
      <c r="E1728" s="79" t="s">
        <v>1124</v>
      </c>
      <c r="F1728" s="79" t="s">
        <v>2539</v>
      </c>
      <c r="G1728" s="79" t="s">
        <v>2546</v>
      </c>
      <c r="H1728" s="79" t="s">
        <v>2547</v>
      </c>
      <c r="I1728" s="79"/>
    </row>
    <row r="1729" spans="1:9" ht="14.25">
      <c r="A1729" s="79" t="s">
        <v>3604</v>
      </c>
      <c r="B1729" s="79" t="s">
        <v>3605</v>
      </c>
      <c r="C1729" s="79">
        <v>600967334</v>
      </c>
      <c r="D1729" s="79">
        <v>0</v>
      </c>
      <c r="E1729" s="79" t="s">
        <v>1124</v>
      </c>
      <c r="F1729" s="79" t="s">
        <v>2539</v>
      </c>
      <c r="G1729" s="79" t="s">
        <v>2581</v>
      </c>
      <c r="H1729" s="79"/>
      <c r="I1729" s="79"/>
    </row>
    <row r="1730" spans="1:9" ht="14.25">
      <c r="A1730" s="79" t="s">
        <v>3606</v>
      </c>
      <c r="B1730" s="79" t="s">
        <v>3607</v>
      </c>
      <c r="C1730" s="79">
        <v>601009934</v>
      </c>
      <c r="D1730" s="79">
        <v>0</v>
      </c>
      <c r="E1730" s="79" t="s">
        <v>1124</v>
      </c>
      <c r="F1730" s="79" t="s">
        <v>2539</v>
      </c>
      <c r="G1730" s="79" t="s">
        <v>1130</v>
      </c>
      <c r="H1730" s="79"/>
      <c r="I1730" s="79"/>
    </row>
    <row r="1731" spans="1:9" ht="14.25">
      <c r="A1731" s="79" t="s">
        <v>3606</v>
      </c>
      <c r="B1731" s="79" t="s">
        <v>3607</v>
      </c>
      <c r="C1731" s="79">
        <v>601009934</v>
      </c>
      <c r="D1731" s="79">
        <v>0</v>
      </c>
      <c r="E1731" s="79" t="s">
        <v>1124</v>
      </c>
      <c r="F1731" s="79" t="s">
        <v>2539</v>
      </c>
      <c r="G1731" s="79" t="s">
        <v>1131</v>
      </c>
      <c r="H1731" s="79" t="s">
        <v>1132</v>
      </c>
      <c r="I1731" s="79"/>
    </row>
    <row r="1732" spans="1:9" ht="14.25">
      <c r="A1732" s="79" t="s">
        <v>3606</v>
      </c>
      <c r="B1732" s="79" t="s">
        <v>3607</v>
      </c>
      <c r="C1732" s="79">
        <v>601009934</v>
      </c>
      <c r="D1732" s="79">
        <v>0</v>
      </c>
      <c r="E1732" s="79" t="s">
        <v>1124</v>
      </c>
      <c r="F1732" s="79" t="s">
        <v>2539</v>
      </c>
      <c r="G1732" s="79" t="s">
        <v>2578</v>
      </c>
      <c r="H1732" s="79"/>
      <c r="I1732" s="79"/>
    </row>
    <row r="1733" spans="1:9" ht="14.25">
      <c r="A1733" s="79" t="s">
        <v>3608</v>
      </c>
      <c r="B1733" s="79" t="s">
        <v>3609</v>
      </c>
      <c r="C1733" s="79">
        <v>601010534</v>
      </c>
      <c r="D1733" s="79">
        <v>0</v>
      </c>
      <c r="E1733" s="79" t="s">
        <v>1124</v>
      </c>
      <c r="F1733" s="79" t="s">
        <v>2539</v>
      </c>
      <c r="G1733" s="79" t="s">
        <v>2546</v>
      </c>
      <c r="H1733" s="79" t="s">
        <v>2547</v>
      </c>
      <c r="I1733" s="79"/>
    </row>
    <row r="1734" spans="1:9" ht="14.25">
      <c r="A1734" s="79" t="s">
        <v>3608</v>
      </c>
      <c r="B1734" s="79" t="s">
        <v>3609</v>
      </c>
      <c r="C1734" s="79">
        <v>601010534</v>
      </c>
      <c r="D1734" s="79">
        <v>0</v>
      </c>
      <c r="E1734" s="79" t="s">
        <v>1124</v>
      </c>
      <c r="F1734" s="79" t="s">
        <v>2539</v>
      </c>
      <c r="G1734" s="79" t="s">
        <v>2581</v>
      </c>
      <c r="H1734" s="79"/>
      <c r="I1734" s="79"/>
    </row>
    <row r="1735" spans="1:9" ht="14.25">
      <c r="A1735" s="79" t="s">
        <v>3610</v>
      </c>
      <c r="B1735" s="79" t="s">
        <v>3611</v>
      </c>
      <c r="C1735" s="79">
        <v>601053134</v>
      </c>
      <c r="D1735" s="79">
        <v>0</v>
      </c>
      <c r="E1735" s="79" t="s">
        <v>1124</v>
      </c>
      <c r="F1735" s="79" t="s">
        <v>2539</v>
      </c>
      <c r="G1735" s="79" t="s">
        <v>1130</v>
      </c>
      <c r="H1735" s="79"/>
      <c r="I1735" s="79"/>
    </row>
    <row r="1736" spans="1:9" ht="14.25">
      <c r="A1736" s="79" t="s">
        <v>3610</v>
      </c>
      <c r="B1736" s="79" t="s">
        <v>3611</v>
      </c>
      <c r="C1736" s="79">
        <v>601053134</v>
      </c>
      <c r="D1736" s="79">
        <v>0</v>
      </c>
      <c r="E1736" s="79" t="s">
        <v>1124</v>
      </c>
      <c r="F1736" s="79" t="s">
        <v>2539</v>
      </c>
      <c r="G1736" s="79" t="s">
        <v>1131</v>
      </c>
      <c r="H1736" s="79" t="s">
        <v>1132</v>
      </c>
      <c r="I1736" s="79"/>
    </row>
    <row r="1737" spans="1:9" ht="14.25">
      <c r="A1737" s="79" t="s">
        <v>3610</v>
      </c>
      <c r="B1737" s="79" t="s">
        <v>3611</v>
      </c>
      <c r="C1737" s="79">
        <v>601053134</v>
      </c>
      <c r="D1737" s="79">
        <v>0</v>
      </c>
      <c r="E1737" s="79" t="s">
        <v>1124</v>
      </c>
      <c r="F1737" s="79" t="s">
        <v>2539</v>
      </c>
      <c r="G1737" s="79" t="s">
        <v>2578</v>
      </c>
      <c r="H1737" s="79"/>
      <c r="I1737" s="79"/>
    </row>
    <row r="1738" spans="1:9" ht="14.25">
      <c r="A1738" s="79" t="s">
        <v>3612</v>
      </c>
      <c r="B1738" s="79" t="s">
        <v>3613</v>
      </c>
      <c r="C1738" s="79">
        <v>601053734</v>
      </c>
      <c r="D1738" s="79">
        <v>0</v>
      </c>
      <c r="E1738" s="79" t="s">
        <v>1124</v>
      </c>
      <c r="F1738" s="79" t="s">
        <v>2539</v>
      </c>
      <c r="G1738" s="79" t="s">
        <v>2546</v>
      </c>
      <c r="H1738" s="79" t="s">
        <v>2547</v>
      </c>
      <c r="I1738" s="79"/>
    </row>
    <row r="1739" spans="1:9" ht="14.25">
      <c r="A1739" s="79" t="s">
        <v>3612</v>
      </c>
      <c r="B1739" s="79" t="s">
        <v>3613</v>
      </c>
      <c r="C1739" s="79">
        <v>601053734</v>
      </c>
      <c r="D1739" s="79">
        <v>0</v>
      </c>
      <c r="E1739" s="79" t="s">
        <v>1124</v>
      </c>
      <c r="F1739" s="79" t="s">
        <v>2539</v>
      </c>
      <c r="G1739" s="79" t="s">
        <v>2581</v>
      </c>
      <c r="H1739" s="79"/>
      <c r="I1739" s="79"/>
    </row>
    <row r="1740" spans="1:9" ht="14.25">
      <c r="A1740" s="79" t="s">
        <v>3614</v>
      </c>
      <c r="B1740" s="79" t="s">
        <v>3615</v>
      </c>
      <c r="C1740" s="79">
        <v>601096334</v>
      </c>
      <c r="D1740" s="79">
        <v>0</v>
      </c>
      <c r="E1740" s="79" t="s">
        <v>1124</v>
      </c>
      <c r="F1740" s="79" t="s">
        <v>2539</v>
      </c>
      <c r="G1740" s="79" t="s">
        <v>1130</v>
      </c>
      <c r="H1740" s="79"/>
      <c r="I1740" s="79"/>
    </row>
    <row r="1741" spans="1:9" ht="14.25">
      <c r="A1741" s="79" t="s">
        <v>3614</v>
      </c>
      <c r="B1741" s="79" t="s">
        <v>3615</v>
      </c>
      <c r="C1741" s="79">
        <v>601096334</v>
      </c>
      <c r="D1741" s="79">
        <v>0</v>
      </c>
      <c r="E1741" s="79" t="s">
        <v>1124</v>
      </c>
      <c r="F1741" s="79" t="s">
        <v>2539</v>
      </c>
      <c r="G1741" s="79" t="s">
        <v>1131</v>
      </c>
      <c r="H1741" s="79" t="s">
        <v>1132</v>
      </c>
      <c r="I1741" s="79"/>
    </row>
    <row r="1742" spans="1:9" ht="14.25">
      <c r="A1742" s="79" t="s">
        <v>3614</v>
      </c>
      <c r="B1742" s="79" t="s">
        <v>3615</v>
      </c>
      <c r="C1742" s="79">
        <v>601096334</v>
      </c>
      <c r="D1742" s="79">
        <v>0</v>
      </c>
      <c r="E1742" s="79" t="s">
        <v>1124</v>
      </c>
      <c r="F1742" s="79" t="s">
        <v>2539</v>
      </c>
      <c r="G1742" s="79" t="s">
        <v>2578</v>
      </c>
      <c r="H1742" s="79"/>
      <c r="I1742" s="79"/>
    </row>
    <row r="1743" spans="1:9" ht="14.25">
      <c r="A1743" s="79" t="s">
        <v>3616</v>
      </c>
      <c r="B1743" s="79" t="s">
        <v>3617</v>
      </c>
      <c r="C1743" s="79">
        <v>601096934</v>
      </c>
      <c r="D1743" s="79">
        <v>0</v>
      </c>
      <c r="E1743" s="79" t="s">
        <v>1124</v>
      </c>
      <c r="F1743" s="79" t="s">
        <v>2539</v>
      </c>
      <c r="G1743" s="79" t="s">
        <v>2546</v>
      </c>
      <c r="H1743" s="79" t="s">
        <v>2547</v>
      </c>
      <c r="I1743" s="79"/>
    </row>
    <row r="1744" spans="1:9" ht="14.25">
      <c r="A1744" s="79" t="s">
        <v>3616</v>
      </c>
      <c r="B1744" s="79" t="s">
        <v>3617</v>
      </c>
      <c r="C1744" s="79">
        <v>601096934</v>
      </c>
      <c r="D1744" s="79">
        <v>0</v>
      </c>
      <c r="E1744" s="79" t="s">
        <v>1124</v>
      </c>
      <c r="F1744" s="79" t="s">
        <v>2539</v>
      </c>
      <c r="G1744" s="79" t="s">
        <v>2581</v>
      </c>
      <c r="H1744" s="79"/>
      <c r="I1744" s="79"/>
    </row>
    <row r="1745" spans="1:9" ht="14.25">
      <c r="A1745" s="79" t="s">
        <v>3618</v>
      </c>
      <c r="B1745" s="79" t="s">
        <v>3619</v>
      </c>
      <c r="C1745" s="79">
        <v>601139534</v>
      </c>
      <c r="D1745" s="79">
        <v>0</v>
      </c>
      <c r="E1745" s="79" t="s">
        <v>1124</v>
      </c>
      <c r="F1745" s="79" t="s">
        <v>2539</v>
      </c>
      <c r="G1745" s="79" t="s">
        <v>1130</v>
      </c>
      <c r="H1745" s="79"/>
      <c r="I1745" s="79"/>
    </row>
    <row r="1746" spans="1:9" ht="14.25">
      <c r="A1746" s="79" t="s">
        <v>3618</v>
      </c>
      <c r="B1746" s="79" t="s">
        <v>3619</v>
      </c>
      <c r="C1746" s="79">
        <v>601139534</v>
      </c>
      <c r="D1746" s="79">
        <v>0</v>
      </c>
      <c r="E1746" s="79" t="s">
        <v>1124</v>
      </c>
      <c r="F1746" s="79" t="s">
        <v>2539</v>
      </c>
      <c r="G1746" s="79" t="s">
        <v>1131</v>
      </c>
      <c r="H1746" s="79" t="s">
        <v>1132</v>
      </c>
      <c r="I1746" s="79"/>
    </row>
    <row r="1747" spans="1:9" ht="14.25">
      <c r="A1747" s="79" t="s">
        <v>3618</v>
      </c>
      <c r="B1747" s="79" t="s">
        <v>3619</v>
      </c>
      <c r="C1747" s="79">
        <v>601139534</v>
      </c>
      <c r="D1747" s="79">
        <v>0</v>
      </c>
      <c r="E1747" s="79" t="s">
        <v>1124</v>
      </c>
      <c r="F1747" s="79" t="s">
        <v>2539</v>
      </c>
      <c r="G1747" s="79" t="s">
        <v>2578</v>
      </c>
      <c r="H1747" s="79"/>
      <c r="I1747" s="79"/>
    </row>
    <row r="1748" spans="1:9" ht="14.25">
      <c r="A1748" s="79" t="s">
        <v>3620</v>
      </c>
      <c r="B1748" s="79" t="s">
        <v>3621</v>
      </c>
      <c r="C1748" s="79">
        <v>601140134</v>
      </c>
      <c r="D1748" s="79">
        <v>0</v>
      </c>
      <c r="E1748" s="79" t="s">
        <v>1124</v>
      </c>
      <c r="F1748" s="79" t="s">
        <v>2539</v>
      </c>
      <c r="G1748" s="79" t="s">
        <v>2546</v>
      </c>
      <c r="H1748" s="79" t="s">
        <v>2547</v>
      </c>
      <c r="I1748" s="79"/>
    </row>
    <row r="1749" spans="1:9" ht="14.25">
      <c r="A1749" s="79" t="s">
        <v>3620</v>
      </c>
      <c r="B1749" s="79" t="s">
        <v>3621</v>
      </c>
      <c r="C1749" s="79">
        <v>601140134</v>
      </c>
      <c r="D1749" s="79">
        <v>0</v>
      </c>
      <c r="E1749" s="79" t="s">
        <v>1124</v>
      </c>
      <c r="F1749" s="79" t="s">
        <v>2539</v>
      </c>
      <c r="G1749" s="79" t="s">
        <v>2581</v>
      </c>
      <c r="H1749" s="79"/>
      <c r="I1749" s="79"/>
    </row>
    <row r="1750" spans="1:9" ht="14.25">
      <c r="A1750" s="79" t="s">
        <v>3622</v>
      </c>
      <c r="B1750" s="79" t="s">
        <v>3623</v>
      </c>
      <c r="C1750" s="79">
        <v>601182734</v>
      </c>
      <c r="D1750" s="79">
        <v>0</v>
      </c>
      <c r="E1750" s="79" t="s">
        <v>1124</v>
      </c>
      <c r="F1750" s="79" t="s">
        <v>2539</v>
      </c>
      <c r="G1750" s="79" t="s">
        <v>1130</v>
      </c>
      <c r="H1750" s="79"/>
      <c r="I1750" s="79"/>
    </row>
    <row r="1751" spans="1:9" ht="14.25">
      <c r="A1751" s="79" t="s">
        <v>3622</v>
      </c>
      <c r="B1751" s="79" t="s">
        <v>3623</v>
      </c>
      <c r="C1751" s="79">
        <v>601182734</v>
      </c>
      <c r="D1751" s="79">
        <v>0</v>
      </c>
      <c r="E1751" s="79" t="s">
        <v>1124</v>
      </c>
      <c r="F1751" s="79" t="s">
        <v>2539</v>
      </c>
      <c r="G1751" s="79" t="s">
        <v>1131</v>
      </c>
      <c r="H1751" s="79" t="s">
        <v>1132</v>
      </c>
      <c r="I1751" s="79"/>
    </row>
    <row r="1752" spans="1:9" ht="14.25">
      <c r="A1752" s="79" t="s">
        <v>3622</v>
      </c>
      <c r="B1752" s="79" t="s">
        <v>3623</v>
      </c>
      <c r="C1752" s="79">
        <v>601182734</v>
      </c>
      <c r="D1752" s="79">
        <v>0</v>
      </c>
      <c r="E1752" s="79" t="s">
        <v>1124</v>
      </c>
      <c r="F1752" s="79" t="s">
        <v>2539</v>
      </c>
      <c r="G1752" s="79" t="s">
        <v>2578</v>
      </c>
      <c r="H1752" s="79"/>
      <c r="I1752" s="79"/>
    </row>
    <row r="1753" spans="1:9" ht="14.25">
      <c r="A1753" s="79" t="s">
        <v>3624</v>
      </c>
      <c r="B1753" s="79" t="s">
        <v>3625</v>
      </c>
      <c r="C1753" s="79">
        <v>601183334</v>
      </c>
      <c r="D1753" s="79">
        <v>0</v>
      </c>
      <c r="E1753" s="79" t="s">
        <v>1124</v>
      </c>
      <c r="F1753" s="79" t="s">
        <v>2539</v>
      </c>
      <c r="G1753" s="79" t="s">
        <v>2546</v>
      </c>
      <c r="H1753" s="79" t="s">
        <v>2547</v>
      </c>
      <c r="I1753" s="79"/>
    </row>
    <row r="1754" spans="1:9" ht="14.25">
      <c r="A1754" s="79" t="s">
        <v>3624</v>
      </c>
      <c r="B1754" s="79" t="s">
        <v>3625</v>
      </c>
      <c r="C1754" s="79">
        <v>601183334</v>
      </c>
      <c r="D1754" s="79">
        <v>0</v>
      </c>
      <c r="E1754" s="79" t="s">
        <v>1124</v>
      </c>
      <c r="F1754" s="79" t="s">
        <v>2539</v>
      </c>
      <c r="G1754" s="79" t="s">
        <v>2581</v>
      </c>
      <c r="H1754" s="79"/>
      <c r="I1754" s="79"/>
    </row>
    <row r="1755" spans="1:9" ht="14.25">
      <c r="A1755" s="79" t="s">
        <v>3626</v>
      </c>
      <c r="B1755" s="79" t="s">
        <v>3627</v>
      </c>
      <c r="C1755" s="79">
        <v>601225934</v>
      </c>
      <c r="D1755" s="79">
        <v>0</v>
      </c>
      <c r="E1755" s="79" t="s">
        <v>1124</v>
      </c>
      <c r="F1755" s="79" t="s">
        <v>2539</v>
      </c>
      <c r="G1755" s="79" t="s">
        <v>1130</v>
      </c>
      <c r="H1755" s="79"/>
      <c r="I1755" s="79"/>
    </row>
    <row r="1756" spans="1:9" ht="14.25">
      <c r="A1756" s="79" t="s">
        <v>3626</v>
      </c>
      <c r="B1756" s="79" t="s">
        <v>3627</v>
      </c>
      <c r="C1756" s="79">
        <v>601225934</v>
      </c>
      <c r="D1756" s="79">
        <v>0</v>
      </c>
      <c r="E1756" s="79" t="s">
        <v>1124</v>
      </c>
      <c r="F1756" s="79" t="s">
        <v>2539</v>
      </c>
      <c r="G1756" s="79" t="s">
        <v>1131</v>
      </c>
      <c r="H1756" s="79" t="s">
        <v>1132</v>
      </c>
      <c r="I1756" s="79"/>
    </row>
    <row r="1757" spans="1:9" ht="14.25">
      <c r="A1757" s="79" t="s">
        <v>3626</v>
      </c>
      <c r="B1757" s="79" t="s">
        <v>3627</v>
      </c>
      <c r="C1757" s="79">
        <v>601225934</v>
      </c>
      <c r="D1757" s="79">
        <v>0</v>
      </c>
      <c r="E1757" s="79" t="s">
        <v>1124</v>
      </c>
      <c r="F1757" s="79" t="s">
        <v>2539</v>
      </c>
      <c r="G1757" s="79" t="s">
        <v>2578</v>
      </c>
      <c r="H1757" s="79"/>
      <c r="I1757" s="79"/>
    </row>
    <row r="1758" spans="1:9" ht="14.25">
      <c r="A1758" s="79" t="s">
        <v>3628</v>
      </c>
      <c r="B1758" s="79" t="s">
        <v>3629</v>
      </c>
      <c r="C1758" s="79">
        <v>601226534</v>
      </c>
      <c r="D1758" s="79">
        <v>0</v>
      </c>
      <c r="E1758" s="79" t="s">
        <v>1124</v>
      </c>
      <c r="F1758" s="79" t="s">
        <v>2539</v>
      </c>
      <c r="G1758" s="79" t="s">
        <v>2546</v>
      </c>
      <c r="H1758" s="79" t="s">
        <v>2547</v>
      </c>
      <c r="I1758" s="79"/>
    </row>
    <row r="1759" spans="1:9" ht="14.25">
      <c r="A1759" s="79" t="s">
        <v>3628</v>
      </c>
      <c r="B1759" s="79" t="s">
        <v>3629</v>
      </c>
      <c r="C1759" s="79">
        <v>601226534</v>
      </c>
      <c r="D1759" s="79">
        <v>0</v>
      </c>
      <c r="E1759" s="79" t="s">
        <v>1124</v>
      </c>
      <c r="F1759" s="79" t="s">
        <v>2539</v>
      </c>
      <c r="G1759" s="79" t="s">
        <v>2581</v>
      </c>
      <c r="H1759" s="79"/>
      <c r="I1759" s="79"/>
    </row>
    <row r="1760" spans="1:9" ht="14.25">
      <c r="A1760" s="79" t="s">
        <v>3630</v>
      </c>
      <c r="B1760" s="79" t="s">
        <v>3631</v>
      </c>
      <c r="C1760" s="79">
        <v>601269134</v>
      </c>
      <c r="D1760" s="79">
        <v>0</v>
      </c>
      <c r="E1760" s="79" t="s">
        <v>1124</v>
      </c>
      <c r="F1760" s="79" t="s">
        <v>2539</v>
      </c>
      <c r="G1760" s="79" t="s">
        <v>1130</v>
      </c>
      <c r="H1760" s="79"/>
      <c r="I1760" s="79"/>
    </row>
    <row r="1761" spans="1:9" ht="14.25">
      <c r="A1761" s="79" t="s">
        <v>3630</v>
      </c>
      <c r="B1761" s="79" t="s">
        <v>3631</v>
      </c>
      <c r="C1761" s="79">
        <v>601269134</v>
      </c>
      <c r="D1761" s="79">
        <v>0</v>
      </c>
      <c r="E1761" s="79" t="s">
        <v>1124</v>
      </c>
      <c r="F1761" s="79" t="s">
        <v>2539</v>
      </c>
      <c r="G1761" s="79" t="s">
        <v>1131</v>
      </c>
      <c r="H1761" s="79" t="s">
        <v>1132</v>
      </c>
      <c r="I1761" s="79"/>
    </row>
    <row r="1762" spans="1:9" ht="14.25">
      <c r="A1762" s="79" t="s">
        <v>3630</v>
      </c>
      <c r="B1762" s="79" t="s">
        <v>3631</v>
      </c>
      <c r="C1762" s="79">
        <v>601269134</v>
      </c>
      <c r="D1762" s="79">
        <v>0</v>
      </c>
      <c r="E1762" s="79" t="s">
        <v>1124</v>
      </c>
      <c r="F1762" s="79" t="s">
        <v>2539</v>
      </c>
      <c r="G1762" s="79" t="s">
        <v>2578</v>
      </c>
      <c r="H1762" s="79"/>
      <c r="I1762" s="79"/>
    </row>
    <row r="1763" spans="1:9" ht="14.25">
      <c r="A1763" s="79" t="s">
        <v>3632</v>
      </c>
      <c r="B1763" s="79" t="s">
        <v>3633</v>
      </c>
      <c r="C1763" s="79">
        <v>601269734</v>
      </c>
      <c r="D1763" s="79">
        <v>0</v>
      </c>
      <c r="E1763" s="79" t="s">
        <v>1124</v>
      </c>
      <c r="F1763" s="79" t="s">
        <v>2539</v>
      </c>
      <c r="G1763" s="79" t="s">
        <v>2546</v>
      </c>
      <c r="H1763" s="79" t="s">
        <v>2547</v>
      </c>
      <c r="I1763" s="79"/>
    </row>
    <row r="1764" spans="1:9" ht="14.25">
      <c r="A1764" s="79" t="s">
        <v>3632</v>
      </c>
      <c r="B1764" s="79" t="s">
        <v>3633</v>
      </c>
      <c r="C1764" s="79">
        <v>601269734</v>
      </c>
      <c r="D1764" s="79">
        <v>0</v>
      </c>
      <c r="E1764" s="79" t="s">
        <v>1124</v>
      </c>
      <c r="F1764" s="79" t="s">
        <v>2539</v>
      </c>
      <c r="G1764" s="79" t="s">
        <v>2581</v>
      </c>
      <c r="H1764" s="79"/>
      <c r="I1764" s="79"/>
    </row>
    <row r="1765" spans="1:9" ht="14.25">
      <c r="A1765" s="79" t="s">
        <v>3634</v>
      </c>
      <c r="B1765" s="79" t="s">
        <v>3635</v>
      </c>
      <c r="C1765" s="79">
        <v>601312334</v>
      </c>
      <c r="D1765" s="79">
        <v>0</v>
      </c>
      <c r="E1765" s="79" t="s">
        <v>1124</v>
      </c>
      <c r="F1765" s="79" t="s">
        <v>2539</v>
      </c>
      <c r="G1765" s="79" t="s">
        <v>1130</v>
      </c>
      <c r="H1765" s="79"/>
      <c r="I1765" s="79"/>
    </row>
    <row r="1766" spans="1:9" ht="14.25">
      <c r="A1766" s="79" t="s">
        <v>3634</v>
      </c>
      <c r="B1766" s="79" t="s">
        <v>3635</v>
      </c>
      <c r="C1766" s="79">
        <v>601312334</v>
      </c>
      <c r="D1766" s="79">
        <v>0</v>
      </c>
      <c r="E1766" s="79" t="s">
        <v>1124</v>
      </c>
      <c r="F1766" s="79" t="s">
        <v>2539</v>
      </c>
      <c r="G1766" s="79" t="s">
        <v>1131</v>
      </c>
      <c r="H1766" s="79" t="s">
        <v>1132</v>
      </c>
      <c r="I1766" s="79"/>
    </row>
    <row r="1767" spans="1:9" ht="14.25">
      <c r="A1767" s="79" t="s">
        <v>3634</v>
      </c>
      <c r="B1767" s="79" t="s">
        <v>3635</v>
      </c>
      <c r="C1767" s="79">
        <v>601312334</v>
      </c>
      <c r="D1767" s="79">
        <v>0</v>
      </c>
      <c r="E1767" s="79" t="s">
        <v>1124</v>
      </c>
      <c r="F1767" s="79" t="s">
        <v>2539</v>
      </c>
      <c r="G1767" s="79" t="s">
        <v>2578</v>
      </c>
      <c r="H1767" s="79"/>
      <c r="I1767" s="79"/>
    </row>
    <row r="1768" spans="1:9" ht="14.25">
      <c r="A1768" s="79" t="s">
        <v>3636</v>
      </c>
      <c r="B1768" s="79" t="s">
        <v>3637</v>
      </c>
      <c r="C1768" s="79">
        <v>601312934</v>
      </c>
      <c r="D1768" s="79">
        <v>0</v>
      </c>
      <c r="E1768" s="79" t="s">
        <v>1124</v>
      </c>
      <c r="F1768" s="79" t="s">
        <v>2539</v>
      </c>
      <c r="G1768" s="79" t="s">
        <v>2546</v>
      </c>
      <c r="H1768" s="79" t="s">
        <v>2547</v>
      </c>
      <c r="I1768" s="79"/>
    </row>
    <row r="1769" spans="1:9" ht="14.25">
      <c r="A1769" s="79" t="s">
        <v>3636</v>
      </c>
      <c r="B1769" s="79" t="s">
        <v>3637</v>
      </c>
      <c r="C1769" s="79">
        <v>601312934</v>
      </c>
      <c r="D1769" s="79">
        <v>0</v>
      </c>
      <c r="E1769" s="79" t="s">
        <v>1124</v>
      </c>
      <c r="F1769" s="79" t="s">
        <v>2539</v>
      </c>
      <c r="G1769" s="79" t="s">
        <v>2581</v>
      </c>
      <c r="H1769" s="79"/>
      <c r="I1769" s="79"/>
    </row>
    <row r="1770" spans="1:9" ht="14.25">
      <c r="A1770" s="79" t="s">
        <v>3638</v>
      </c>
      <c r="B1770" s="79" t="s">
        <v>3639</v>
      </c>
      <c r="C1770" s="79">
        <v>601355534</v>
      </c>
      <c r="D1770" s="79">
        <v>0</v>
      </c>
      <c r="E1770" s="79" t="s">
        <v>1124</v>
      </c>
      <c r="F1770" s="79" t="s">
        <v>2539</v>
      </c>
      <c r="G1770" s="79" t="s">
        <v>1130</v>
      </c>
      <c r="H1770" s="79"/>
      <c r="I1770" s="79"/>
    </row>
    <row r="1771" spans="1:9" ht="14.25">
      <c r="A1771" s="79" t="s">
        <v>3638</v>
      </c>
      <c r="B1771" s="79" t="s">
        <v>3639</v>
      </c>
      <c r="C1771" s="79">
        <v>601355534</v>
      </c>
      <c r="D1771" s="79">
        <v>0</v>
      </c>
      <c r="E1771" s="79" t="s">
        <v>1124</v>
      </c>
      <c r="F1771" s="79" t="s">
        <v>2539</v>
      </c>
      <c r="G1771" s="79" t="s">
        <v>1131</v>
      </c>
      <c r="H1771" s="79" t="s">
        <v>1132</v>
      </c>
      <c r="I1771" s="79"/>
    </row>
    <row r="1772" spans="1:9" ht="14.25">
      <c r="A1772" s="79" t="s">
        <v>3638</v>
      </c>
      <c r="B1772" s="79" t="s">
        <v>3639</v>
      </c>
      <c r="C1772" s="79">
        <v>601355534</v>
      </c>
      <c r="D1772" s="79">
        <v>0</v>
      </c>
      <c r="E1772" s="79" t="s">
        <v>1124</v>
      </c>
      <c r="F1772" s="79" t="s">
        <v>2539</v>
      </c>
      <c r="G1772" s="79" t="s">
        <v>2578</v>
      </c>
      <c r="H1772" s="79"/>
      <c r="I1772" s="79"/>
    </row>
    <row r="1773" spans="1:9" ht="14.25">
      <c r="A1773" s="79" t="s">
        <v>3640</v>
      </c>
      <c r="B1773" s="79" t="s">
        <v>3641</v>
      </c>
      <c r="C1773" s="79">
        <v>601356134</v>
      </c>
      <c r="D1773" s="79">
        <v>0</v>
      </c>
      <c r="E1773" s="79" t="s">
        <v>1124</v>
      </c>
      <c r="F1773" s="79" t="s">
        <v>2539</v>
      </c>
      <c r="G1773" s="79" t="s">
        <v>2546</v>
      </c>
      <c r="H1773" s="79" t="s">
        <v>2547</v>
      </c>
      <c r="I1773" s="79"/>
    </row>
    <row r="1774" spans="1:9" ht="14.25">
      <c r="A1774" s="79" t="s">
        <v>3640</v>
      </c>
      <c r="B1774" s="79" t="s">
        <v>3641</v>
      </c>
      <c r="C1774" s="79">
        <v>601356134</v>
      </c>
      <c r="D1774" s="79">
        <v>0</v>
      </c>
      <c r="E1774" s="79" t="s">
        <v>1124</v>
      </c>
      <c r="F1774" s="79" t="s">
        <v>2539</v>
      </c>
      <c r="G1774" s="79" t="s">
        <v>2581</v>
      </c>
      <c r="H1774" s="79"/>
      <c r="I1774" s="79"/>
    </row>
    <row r="1775" spans="1:9" ht="14.25">
      <c r="A1775" s="79" t="s">
        <v>3642</v>
      </c>
      <c r="B1775" s="79" t="s">
        <v>3643</v>
      </c>
      <c r="C1775" s="79">
        <v>601398734</v>
      </c>
      <c r="D1775" s="79">
        <v>0</v>
      </c>
      <c r="E1775" s="79" t="s">
        <v>1124</v>
      </c>
      <c r="F1775" s="79" t="s">
        <v>2539</v>
      </c>
      <c r="G1775" s="79" t="s">
        <v>1130</v>
      </c>
      <c r="H1775" s="79"/>
      <c r="I1775" s="79"/>
    </row>
    <row r="1776" spans="1:9" ht="14.25">
      <c r="A1776" s="79" t="s">
        <v>3642</v>
      </c>
      <c r="B1776" s="79" t="s">
        <v>3643</v>
      </c>
      <c r="C1776" s="79">
        <v>601398734</v>
      </c>
      <c r="D1776" s="79">
        <v>0</v>
      </c>
      <c r="E1776" s="79" t="s">
        <v>1124</v>
      </c>
      <c r="F1776" s="79" t="s">
        <v>2539</v>
      </c>
      <c r="G1776" s="79" t="s">
        <v>1131</v>
      </c>
      <c r="H1776" s="79" t="s">
        <v>1132</v>
      </c>
      <c r="I1776" s="79"/>
    </row>
    <row r="1777" spans="1:9" ht="14.25">
      <c r="A1777" s="79" t="s">
        <v>3642</v>
      </c>
      <c r="B1777" s="79" t="s">
        <v>3643</v>
      </c>
      <c r="C1777" s="79">
        <v>601398734</v>
      </c>
      <c r="D1777" s="79">
        <v>0</v>
      </c>
      <c r="E1777" s="79" t="s">
        <v>1124</v>
      </c>
      <c r="F1777" s="79" t="s">
        <v>2539</v>
      </c>
      <c r="G1777" s="79" t="s">
        <v>2578</v>
      </c>
      <c r="H1777" s="79"/>
      <c r="I1777" s="79"/>
    </row>
    <row r="1778" spans="1:9" ht="14.25">
      <c r="A1778" s="79" t="s">
        <v>3644</v>
      </c>
      <c r="B1778" s="79" t="s">
        <v>3645</v>
      </c>
      <c r="C1778" s="79">
        <v>601399334</v>
      </c>
      <c r="D1778" s="79">
        <v>0</v>
      </c>
      <c r="E1778" s="79" t="s">
        <v>1124</v>
      </c>
      <c r="F1778" s="79" t="s">
        <v>2539</v>
      </c>
      <c r="G1778" s="79" t="s">
        <v>2546</v>
      </c>
      <c r="H1778" s="79" t="s">
        <v>2547</v>
      </c>
      <c r="I1778" s="79"/>
    </row>
    <row r="1779" spans="1:9" ht="14.25">
      <c r="A1779" s="79" t="s">
        <v>3644</v>
      </c>
      <c r="B1779" s="79" t="s">
        <v>3645</v>
      </c>
      <c r="C1779" s="79">
        <v>601399334</v>
      </c>
      <c r="D1779" s="79">
        <v>0</v>
      </c>
      <c r="E1779" s="79" t="s">
        <v>1124</v>
      </c>
      <c r="F1779" s="79" t="s">
        <v>2539</v>
      </c>
      <c r="G1779" s="79" t="s">
        <v>2581</v>
      </c>
      <c r="H1779" s="79"/>
      <c r="I1779" s="79"/>
    </row>
    <row r="1780" spans="1:9" ht="14.25">
      <c r="A1780" s="79" t="s">
        <v>3646</v>
      </c>
      <c r="B1780" s="79" t="s">
        <v>3647</v>
      </c>
      <c r="C1780" s="79">
        <v>601441934</v>
      </c>
      <c r="D1780" s="79">
        <v>0</v>
      </c>
      <c r="E1780" s="79" t="s">
        <v>1124</v>
      </c>
      <c r="F1780" s="79" t="s">
        <v>2539</v>
      </c>
      <c r="G1780" s="79" t="s">
        <v>1130</v>
      </c>
      <c r="H1780" s="79"/>
      <c r="I1780" s="79"/>
    </row>
    <row r="1781" spans="1:9" ht="14.25">
      <c r="A1781" s="79" t="s">
        <v>3646</v>
      </c>
      <c r="B1781" s="79" t="s">
        <v>3647</v>
      </c>
      <c r="C1781" s="79">
        <v>601441934</v>
      </c>
      <c r="D1781" s="79">
        <v>0</v>
      </c>
      <c r="E1781" s="79" t="s">
        <v>1124</v>
      </c>
      <c r="F1781" s="79" t="s">
        <v>2539</v>
      </c>
      <c r="G1781" s="79" t="s">
        <v>1131</v>
      </c>
      <c r="H1781" s="79" t="s">
        <v>1132</v>
      </c>
      <c r="I1781" s="79"/>
    </row>
    <row r="1782" spans="1:9" ht="14.25">
      <c r="A1782" s="79" t="s">
        <v>3646</v>
      </c>
      <c r="B1782" s="79" t="s">
        <v>3647</v>
      </c>
      <c r="C1782" s="79">
        <v>601441934</v>
      </c>
      <c r="D1782" s="79">
        <v>0</v>
      </c>
      <c r="E1782" s="79" t="s">
        <v>1124</v>
      </c>
      <c r="F1782" s="79" t="s">
        <v>2539</v>
      </c>
      <c r="G1782" s="79" t="s">
        <v>2578</v>
      </c>
      <c r="H1782" s="79"/>
      <c r="I1782" s="79"/>
    </row>
    <row r="1783" spans="1:9" ht="14.25">
      <c r="A1783" s="79" t="s">
        <v>3648</v>
      </c>
      <c r="B1783" s="79" t="s">
        <v>3649</v>
      </c>
      <c r="C1783" s="79">
        <v>601442534</v>
      </c>
      <c r="D1783" s="79">
        <v>0</v>
      </c>
      <c r="E1783" s="79" t="s">
        <v>1124</v>
      </c>
      <c r="F1783" s="79" t="s">
        <v>2539</v>
      </c>
      <c r="G1783" s="79" t="s">
        <v>2546</v>
      </c>
      <c r="H1783" s="79" t="s">
        <v>2547</v>
      </c>
      <c r="I1783" s="79"/>
    </row>
    <row r="1784" spans="1:9" ht="14.25">
      <c r="A1784" s="79" t="s">
        <v>3648</v>
      </c>
      <c r="B1784" s="79" t="s">
        <v>3649</v>
      </c>
      <c r="C1784" s="79">
        <v>601442534</v>
      </c>
      <c r="D1784" s="79">
        <v>0</v>
      </c>
      <c r="E1784" s="79" t="s">
        <v>1124</v>
      </c>
      <c r="F1784" s="79" t="s">
        <v>2539</v>
      </c>
      <c r="G1784" s="79" t="s">
        <v>2581</v>
      </c>
      <c r="H1784" s="79"/>
      <c r="I1784" s="79"/>
    </row>
    <row r="1785" spans="1:9" ht="14.25">
      <c r="A1785" s="79" t="s">
        <v>3650</v>
      </c>
      <c r="B1785" s="79" t="s">
        <v>3651</v>
      </c>
      <c r="C1785" s="79">
        <v>601485134</v>
      </c>
      <c r="D1785" s="79">
        <v>0</v>
      </c>
      <c r="E1785" s="79" t="s">
        <v>1124</v>
      </c>
      <c r="F1785" s="79" t="s">
        <v>2539</v>
      </c>
      <c r="G1785" s="79" t="s">
        <v>1130</v>
      </c>
      <c r="H1785" s="79"/>
      <c r="I1785" s="79"/>
    </row>
    <row r="1786" spans="1:9" ht="14.25">
      <c r="A1786" s="79" t="s">
        <v>3650</v>
      </c>
      <c r="B1786" s="79" t="s">
        <v>3651</v>
      </c>
      <c r="C1786" s="79">
        <v>601485134</v>
      </c>
      <c r="D1786" s="79">
        <v>0</v>
      </c>
      <c r="E1786" s="79" t="s">
        <v>1124</v>
      </c>
      <c r="F1786" s="79" t="s">
        <v>2539</v>
      </c>
      <c r="G1786" s="79" t="s">
        <v>1131</v>
      </c>
      <c r="H1786" s="79" t="s">
        <v>1132</v>
      </c>
      <c r="I1786" s="79"/>
    </row>
    <row r="1787" spans="1:9" ht="14.25">
      <c r="A1787" s="79" t="s">
        <v>3650</v>
      </c>
      <c r="B1787" s="79" t="s">
        <v>3651</v>
      </c>
      <c r="C1787" s="79">
        <v>601485134</v>
      </c>
      <c r="D1787" s="79">
        <v>0</v>
      </c>
      <c r="E1787" s="79" t="s">
        <v>1124</v>
      </c>
      <c r="F1787" s="79" t="s">
        <v>2539</v>
      </c>
      <c r="G1787" s="79" t="s">
        <v>2578</v>
      </c>
      <c r="H1787" s="79"/>
      <c r="I1787" s="79"/>
    </row>
    <row r="1788" spans="1:9" ht="14.25">
      <c r="A1788" s="79" t="s">
        <v>3652</v>
      </c>
      <c r="B1788" s="79" t="s">
        <v>3653</v>
      </c>
      <c r="C1788" s="79">
        <v>601485734</v>
      </c>
      <c r="D1788" s="79">
        <v>0</v>
      </c>
      <c r="E1788" s="79" t="s">
        <v>1124</v>
      </c>
      <c r="F1788" s="79" t="s">
        <v>2539</v>
      </c>
      <c r="G1788" s="79" t="s">
        <v>2546</v>
      </c>
      <c r="H1788" s="79" t="s">
        <v>2547</v>
      </c>
      <c r="I1788" s="79"/>
    </row>
    <row r="1789" spans="1:9" ht="14.25">
      <c r="A1789" s="79" t="s">
        <v>3652</v>
      </c>
      <c r="B1789" s="79" t="s">
        <v>3653</v>
      </c>
      <c r="C1789" s="79">
        <v>601485734</v>
      </c>
      <c r="D1789" s="79">
        <v>0</v>
      </c>
      <c r="E1789" s="79" t="s">
        <v>1124</v>
      </c>
      <c r="F1789" s="79" t="s">
        <v>2539</v>
      </c>
      <c r="G1789" s="79" t="s">
        <v>2581</v>
      </c>
      <c r="H1789" s="79"/>
      <c r="I1789" s="79"/>
    </row>
    <row r="1790" spans="1:9" ht="14.25">
      <c r="A1790" s="79" t="s">
        <v>3654</v>
      </c>
      <c r="B1790" s="79" t="s">
        <v>3655</v>
      </c>
      <c r="C1790" s="79">
        <v>601528334</v>
      </c>
      <c r="D1790" s="79">
        <v>0</v>
      </c>
      <c r="E1790" s="79" t="s">
        <v>1124</v>
      </c>
      <c r="F1790" s="79" t="s">
        <v>2539</v>
      </c>
      <c r="G1790" s="79" t="s">
        <v>1130</v>
      </c>
      <c r="H1790" s="79"/>
      <c r="I1790" s="79"/>
    </row>
    <row r="1791" spans="1:9" ht="14.25">
      <c r="A1791" s="79" t="s">
        <v>3654</v>
      </c>
      <c r="B1791" s="79" t="s">
        <v>3655</v>
      </c>
      <c r="C1791" s="79">
        <v>601528334</v>
      </c>
      <c r="D1791" s="79">
        <v>0</v>
      </c>
      <c r="E1791" s="79" t="s">
        <v>1124</v>
      </c>
      <c r="F1791" s="79" t="s">
        <v>2539</v>
      </c>
      <c r="G1791" s="79" t="s">
        <v>1131</v>
      </c>
      <c r="H1791" s="79" t="s">
        <v>1132</v>
      </c>
      <c r="I1791" s="79"/>
    </row>
    <row r="1792" spans="1:9" ht="14.25">
      <c r="A1792" s="79" t="s">
        <v>3654</v>
      </c>
      <c r="B1792" s="79" t="s">
        <v>3655</v>
      </c>
      <c r="C1792" s="79">
        <v>601528334</v>
      </c>
      <c r="D1792" s="79">
        <v>0</v>
      </c>
      <c r="E1792" s="79" t="s">
        <v>1124</v>
      </c>
      <c r="F1792" s="79" t="s">
        <v>2539</v>
      </c>
      <c r="G1792" s="79" t="s">
        <v>2578</v>
      </c>
      <c r="H1792" s="79"/>
      <c r="I1792" s="79"/>
    </row>
    <row r="1793" spans="1:9" ht="14.25">
      <c r="A1793" s="79" t="s">
        <v>3656</v>
      </c>
      <c r="B1793" s="79" t="s">
        <v>3657</v>
      </c>
      <c r="C1793" s="79">
        <v>601528934</v>
      </c>
      <c r="D1793" s="79">
        <v>0</v>
      </c>
      <c r="E1793" s="79" t="s">
        <v>1124</v>
      </c>
      <c r="F1793" s="79" t="s">
        <v>2539</v>
      </c>
      <c r="G1793" s="79" t="s">
        <v>2546</v>
      </c>
      <c r="H1793" s="79" t="s">
        <v>2547</v>
      </c>
      <c r="I1793" s="79"/>
    </row>
    <row r="1794" spans="1:9" ht="14.25">
      <c r="A1794" s="79" t="s">
        <v>3656</v>
      </c>
      <c r="B1794" s="79" t="s">
        <v>3657</v>
      </c>
      <c r="C1794" s="79">
        <v>601528934</v>
      </c>
      <c r="D1794" s="79">
        <v>0</v>
      </c>
      <c r="E1794" s="79" t="s">
        <v>1124</v>
      </c>
      <c r="F1794" s="79" t="s">
        <v>2539</v>
      </c>
      <c r="G1794" s="79" t="s">
        <v>2581</v>
      </c>
      <c r="H1794" s="79"/>
      <c r="I1794" s="79"/>
    </row>
    <row r="1795" spans="1:9" ht="14.25">
      <c r="A1795" s="79" t="s">
        <v>3658</v>
      </c>
      <c r="B1795" s="79" t="s">
        <v>3659</v>
      </c>
      <c r="C1795" s="79">
        <v>601571534</v>
      </c>
      <c r="D1795" s="79">
        <v>0</v>
      </c>
      <c r="E1795" s="79" t="s">
        <v>1124</v>
      </c>
      <c r="F1795" s="79" t="s">
        <v>2539</v>
      </c>
      <c r="G1795" s="79" t="s">
        <v>1130</v>
      </c>
      <c r="H1795" s="79"/>
      <c r="I1795" s="79"/>
    </row>
    <row r="1796" spans="1:9" ht="14.25">
      <c r="A1796" s="79" t="s">
        <v>3658</v>
      </c>
      <c r="B1796" s="79" t="s">
        <v>3659</v>
      </c>
      <c r="C1796" s="79">
        <v>601571534</v>
      </c>
      <c r="D1796" s="79">
        <v>0</v>
      </c>
      <c r="E1796" s="79" t="s">
        <v>1124</v>
      </c>
      <c r="F1796" s="79" t="s">
        <v>2539</v>
      </c>
      <c r="G1796" s="79" t="s">
        <v>1131</v>
      </c>
      <c r="H1796" s="79" t="s">
        <v>1132</v>
      </c>
      <c r="I1796" s="79"/>
    </row>
    <row r="1797" spans="1:9" ht="14.25">
      <c r="A1797" s="79" t="s">
        <v>3658</v>
      </c>
      <c r="B1797" s="79" t="s">
        <v>3659</v>
      </c>
      <c r="C1797" s="79">
        <v>601571534</v>
      </c>
      <c r="D1797" s="79">
        <v>0</v>
      </c>
      <c r="E1797" s="79" t="s">
        <v>1124</v>
      </c>
      <c r="F1797" s="79" t="s">
        <v>2539</v>
      </c>
      <c r="G1797" s="79" t="s">
        <v>2578</v>
      </c>
      <c r="H1797" s="79"/>
      <c r="I1797" s="79"/>
    </row>
    <row r="1798" spans="1:9" ht="14.25">
      <c r="A1798" s="79" t="s">
        <v>3660</v>
      </c>
      <c r="B1798" s="79" t="s">
        <v>3661</v>
      </c>
      <c r="C1798" s="79">
        <v>601572134</v>
      </c>
      <c r="D1798" s="79">
        <v>0</v>
      </c>
      <c r="E1798" s="79" t="s">
        <v>1124</v>
      </c>
      <c r="F1798" s="79" t="s">
        <v>2539</v>
      </c>
      <c r="G1798" s="79" t="s">
        <v>2546</v>
      </c>
      <c r="H1798" s="79" t="s">
        <v>2547</v>
      </c>
      <c r="I1798" s="79"/>
    </row>
    <row r="1799" spans="1:9" ht="14.25">
      <c r="A1799" s="79" t="s">
        <v>3660</v>
      </c>
      <c r="B1799" s="79" t="s">
        <v>3661</v>
      </c>
      <c r="C1799" s="79">
        <v>601572134</v>
      </c>
      <c r="D1799" s="79">
        <v>0</v>
      </c>
      <c r="E1799" s="79" t="s">
        <v>1124</v>
      </c>
      <c r="F1799" s="79" t="s">
        <v>2539</v>
      </c>
      <c r="G1799" s="79" t="s">
        <v>2581</v>
      </c>
      <c r="H1799" s="79"/>
      <c r="I1799" s="79"/>
    </row>
    <row r="1800" spans="1:9" ht="14.25">
      <c r="A1800" s="79" t="s">
        <v>3662</v>
      </c>
      <c r="B1800" s="79" t="s">
        <v>3663</v>
      </c>
      <c r="C1800" s="79">
        <v>601614734</v>
      </c>
      <c r="D1800" s="79">
        <v>0</v>
      </c>
      <c r="E1800" s="79" t="s">
        <v>1124</v>
      </c>
      <c r="F1800" s="79" t="s">
        <v>2539</v>
      </c>
      <c r="G1800" s="79" t="s">
        <v>1130</v>
      </c>
      <c r="H1800" s="79"/>
      <c r="I1800" s="79"/>
    </row>
    <row r="1801" spans="1:9" ht="14.25">
      <c r="A1801" s="79" t="s">
        <v>3662</v>
      </c>
      <c r="B1801" s="79" t="s">
        <v>3663</v>
      </c>
      <c r="C1801" s="79">
        <v>601614734</v>
      </c>
      <c r="D1801" s="79">
        <v>0</v>
      </c>
      <c r="E1801" s="79" t="s">
        <v>1124</v>
      </c>
      <c r="F1801" s="79" t="s">
        <v>2539</v>
      </c>
      <c r="G1801" s="79" t="s">
        <v>1131</v>
      </c>
      <c r="H1801" s="79" t="s">
        <v>1132</v>
      </c>
      <c r="I1801" s="79"/>
    </row>
    <row r="1802" spans="1:9" ht="14.25">
      <c r="A1802" s="79" t="s">
        <v>3662</v>
      </c>
      <c r="B1802" s="79" t="s">
        <v>3663</v>
      </c>
      <c r="C1802" s="79">
        <v>601614734</v>
      </c>
      <c r="D1802" s="79">
        <v>0</v>
      </c>
      <c r="E1802" s="79" t="s">
        <v>1124</v>
      </c>
      <c r="F1802" s="79" t="s">
        <v>2539</v>
      </c>
      <c r="G1802" s="79" t="s">
        <v>2578</v>
      </c>
      <c r="H1802" s="79"/>
      <c r="I1802" s="79"/>
    </row>
    <row r="1803" spans="1:9" ht="14.25">
      <c r="A1803" s="79" t="s">
        <v>3664</v>
      </c>
      <c r="B1803" s="79" t="s">
        <v>3665</v>
      </c>
      <c r="C1803" s="79">
        <v>601615334</v>
      </c>
      <c r="D1803" s="79">
        <v>0</v>
      </c>
      <c r="E1803" s="79" t="s">
        <v>1124</v>
      </c>
      <c r="F1803" s="79" t="s">
        <v>2539</v>
      </c>
      <c r="G1803" s="79" t="s">
        <v>2546</v>
      </c>
      <c r="H1803" s="79" t="s">
        <v>2547</v>
      </c>
      <c r="I1803" s="79"/>
    </row>
    <row r="1804" spans="1:9" ht="14.25">
      <c r="A1804" s="79" t="s">
        <v>3664</v>
      </c>
      <c r="B1804" s="79" t="s">
        <v>3665</v>
      </c>
      <c r="C1804" s="79">
        <v>601615334</v>
      </c>
      <c r="D1804" s="79">
        <v>0</v>
      </c>
      <c r="E1804" s="79" t="s">
        <v>1124</v>
      </c>
      <c r="F1804" s="79" t="s">
        <v>2539</v>
      </c>
      <c r="G1804" s="79" t="s">
        <v>2581</v>
      </c>
      <c r="H1804" s="79"/>
      <c r="I1804" s="79"/>
    </row>
    <row r="1805" spans="1:9" ht="14.25">
      <c r="A1805" s="79" t="s">
        <v>3666</v>
      </c>
      <c r="B1805" s="79" t="s">
        <v>3667</v>
      </c>
      <c r="C1805" s="79">
        <v>601657934</v>
      </c>
      <c r="D1805" s="79">
        <v>0</v>
      </c>
      <c r="E1805" s="79" t="s">
        <v>1124</v>
      </c>
      <c r="F1805" s="79" t="s">
        <v>2539</v>
      </c>
      <c r="G1805" s="79" t="s">
        <v>1130</v>
      </c>
      <c r="H1805" s="79"/>
      <c r="I1805" s="79"/>
    </row>
    <row r="1806" spans="1:9" ht="14.25">
      <c r="A1806" s="79" t="s">
        <v>3666</v>
      </c>
      <c r="B1806" s="79" t="s">
        <v>3667</v>
      </c>
      <c r="C1806" s="79">
        <v>601657934</v>
      </c>
      <c r="D1806" s="79">
        <v>0</v>
      </c>
      <c r="E1806" s="79" t="s">
        <v>1124</v>
      </c>
      <c r="F1806" s="79" t="s">
        <v>2539</v>
      </c>
      <c r="G1806" s="79" t="s">
        <v>1131</v>
      </c>
      <c r="H1806" s="79" t="s">
        <v>1132</v>
      </c>
      <c r="I1806" s="79"/>
    </row>
    <row r="1807" spans="1:9" ht="14.25">
      <c r="A1807" s="79" t="s">
        <v>3666</v>
      </c>
      <c r="B1807" s="79" t="s">
        <v>3667</v>
      </c>
      <c r="C1807" s="79">
        <v>601657934</v>
      </c>
      <c r="D1807" s="79">
        <v>0</v>
      </c>
      <c r="E1807" s="79" t="s">
        <v>1124</v>
      </c>
      <c r="F1807" s="79" t="s">
        <v>2539</v>
      </c>
      <c r="G1807" s="79" t="s">
        <v>2578</v>
      </c>
      <c r="H1807" s="79"/>
      <c r="I1807" s="79"/>
    </row>
    <row r="1808" spans="1:9" ht="14.25">
      <c r="A1808" s="79" t="s">
        <v>3668</v>
      </c>
      <c r="B1808" s="79" t="s">
        <v>3669</v>
      </c>
      <c r="C1808" s="79">
        <v>601658534</v>
      </c>
      <c r="D1808" s="79">
        <v>0</v>
      </c>
      <c r="E1808" s="79" t="s">
        <v>1124</v>
      </c>
      <c r="F1808" s="79" t="s">
        <v>2539</v>
      </c>
      <c r="G1808" s="79" t="s">
        <v>2546</v>
      </c>
      <c r="H1808" s="79" t="s">
        <v>2547</v>
      </c>
      <c r="I1808" s="79"/>
    </row>
    <row r="1809" spans="1:9" ht="14.25">
      <c r="A1809" s="79" t="s">
        <v>3668</v>
      </c>
      <c r="B1809" s="79" t="s">
        <v>3669</v>
      </c>
      <c r="C1809" s="79">
        <v>601658534</v>
      </c>
      <c r="D1809" s="79">
        <v>0</v>
      </c>
      <c r="E1809" s="79" t="s">
        <v>1124</v>
      </c>
      <c r="F1809" s="79" t="s">
        <v>2539</v>
      </c>
      <c r="G1809" s="79" t="s">
        <v>2581</v>
      </c>
      <c r="H1809" s="79"/>
      <c r="I1809" s="79"/>
    </row>
    <row r="1810" spans="1:9" ht="14.25">
      <c r="A1810" s="79" t="s">
        <v>3670</v>
      </c>
      <c r="B1810" s="79" t="s">
        <v>3671</v>
      </c>
      <c r="C1810" s="79">
        <v>601701134</v>
      </c>
      <c r="D1810" s="79">
        <v>0</v>
      </c>
      <c r="E1810" s="79" t="s">
        <v>1124</v>
      </c>
      <c r="F1810" s="79" t="s">
        <v>2539</v>
      </c>
      <c r="G1810" s="79" t="s">
        <v>1130</v>
      </c>
      <c r="H1810" s="79"/>
      <c r="I1810" s="79"/>
    </row>
    <row r="1811" spans="1:9" ht="14.25">
      <c r="A1811" s="79" t="s">
        <v>3670</v>
      </c>
      <c r="B1811" s="79" t="s">
        <v>3671</v>
      </c>
      <c r="C1811" s="79">
        <v>601701134</v>
      </c>
      <c r="D1811" s="79">
        <v>0</v>
      </c>
      <c r="E1811" s="79" t="s">
        <v>1124</v>
      </c>
      <c r="F1811" s="79" t="s">
        <v>2539</v>
      </c>
      <c r="G1811" s="79" t="s">
        <v>1131</v>
      </c>
      <c r="H1811" s="79" t="s">
        <v>1132</v>
      </c>
      <c r="I1811" s="79"/>
    </row>
    <row r="1812" spans="1:9" ht="14.25">
      <c r="A1812" s="79" t="s">
        <v>3670</v>
      </c>
      <c r="B1812" s="79" t="s">
        <v>3671</v>
      </c>
      <c r="C1812" s="79">
        <v>601701134</v>
      </c>
      <c r="D1812" s="79">
        <v>0</v>
      </c>
      <c r="E1812" s="79" t="s">
        <v>1124</v>
      </c>
      <c r="F1812" s="79" t="s">
        <v>2539</v>
      </c>
      <c r="G1812" s="79" t="s">
        <v>2578</v>
      </c>
      <c r="H1812" s="79"/>
      <c r="I1812" s="79"/>
    </row>
    <row r="1813" spans="1:9" ht="14.25">
      <c r="A1813" s="79" t="s">
        <v>3672</v>
      </c>
      <c r="B1813" s="79" t="s">
        <v>3673</v>
      </c>
      <c r="C1813" s="79">
        <v>601701734</v>
      </c>
      <c r="D1813" s="79">
        <v>0</v>
      </c>
      <c r="E1813" s="79" t="s">
        <v>1124</v>
      </c>
      <c r="F1813" s="79" t="s">
        <v>2539</v>
      </c>
      <c r="G1813" s="79" t="s">
        <v>2546</v>
      </c>
      <c r="H1813" s="79" t="s">
        <v>2547</v>
      </c>
      <c r="I1813" s="79"/>
    </row>
    <row r="1814" spans="1:9" ht="14.25">
      <c r="A1814" s="79" t="s">
        <v>3672</v>
      </c>
      <c r="B1814" s="79" t="s">
        <v>3673</v>
      </c>
      <c r="C1814" s="79">
        <v>601701734</v>
      </c>
      <c r="D1814" s="79">
        <v>0</v>
      </c>
      <c r="E1814" s="79" t="s">
        <v>1124</v>
      </c>
      <c r="F1814" s="79" t="s">
        <v>2539</v>
      </c>
      <c r="G1814" s="79" t="s">
        <v>2581</v>
      </c>
      <c r="H1814" s="79"/>
      <c r="I1814" s="79"/>
    </row>
    <row r="1815" spans="1:9" ht="14.25">
      <c r="A1815" s="79" t="s">
        <v>3674</v>
      </c>
      <c r="B1815" s="79" t="s">
        <v>3675</v>
      </c>
      <c r="C1815" s="79">
        <v>601744334</v>
      </c>
      <c r="D1815" s="79">
        <v>0</v>
      </c>
      <c r="E1815" s="79" t="s">
        <v>1124</v>
      </c>
      <c r="F1815" s="79" t="s">
        <v>2539</v>
      </c>
      <c r="G1815" s="79" t="s">
        <v>1130</v>
      </c>
      <c r="H1815" s="79"/>
      <c r="I1815" s="79"/>
    </row>
    <row r="1816" spans="1:9" ht="14.25">
      <c r="A1816" s="79" t="s">
        <v>3674</v>
      </c>
      <c r="B1816" s="79" t="s">
        <v>3675</v>
      </c>
      <c r="C1816" s="79">
        <v>601744334</v>
      </c>
      <c r="D1816" s="79">
        <v>0</v>
      </c>
      <c r="E1816" s="79" t="s">
        <v>1124</v>
      </c>
      <c r="F1816" s="79" t="s">
        <v>2539</v>
      </c>
      <c r="G1816" s="79" t="s">
        <v>1131</v>
      </c>
      <c r="H1816" s="79" t="s">
        <v>1132</v>
      </c>
      <c r="I1816" s="79"/>
    </row>
    <row r="1817" spans="1:9" ht="14.25">
      <c r="A1817" s="79" t="s">
        <v>3674</v>
      </c>
      <c r="B1817" s="79" t="s">
        <v>3675</v>
      </c>
      <c r="C1817" s="79">
        <v>601744334</v>
      </c>
      <c r="D1817" s="79">
        <v>0</v>
      </c>
      <c r="E1817" s="79" t="s">
        <v>1124</v>
      </c>
      <c r="F1817" s="79" t="s">
        <v>2539</v>
      </c>
      <c r="G1817" s="79" t="s">
        <v>2578</v>
      </c>
      <c r="H1817" s="79"/>
      <c r="I1817" s="79"/>
    </row>
    <row r="1818" spans="1:9" ht="14.25">
      <c r="A1818" s="79" t="s">
        <v>3676</v>
      </c>
      <c r="B1818" s="79" t="s">
        <v>3677</v>
      </c>
      <c r="C1818" s="79">
        <v>601744934</v>
      </c>
      <c r="D1818" s="79">
        <v>0</v>
      </c>
      <c r="E1818" s="79" t="s">
        <v>1124</v>
      </c>
      <c r="F1818" s="79" t="s">
        <v>2539</v>
      </c>
      <c r="G1818" s="79" t="s">
        <v>2546</v>
      </c>
      <c r="H1818" s="79" t="s">
        <v>2547</v>
      </c>
      <c r="I1818" s="79"/>
    </row>
    <row r="1819" spans="1:9" ht="14.25">
      <c r="A1819" s="79" t="s">
        <v>3676</v>
      </c>
      <c r="B1819" s="79" t="s">
        <v>3677</v>
      </c>
      <c r="C1819" s="79">
        <v>601744934</v>
      </c>
      <c r="D1819" s="79">
        <v>0</v>
      </c>
      <c r="E1819" s="79" t="s">
        <v>1124</v>
      </c>
      <c r="F1819" s="79" t="s">
        <v>2539</v>
      </c>
      <c r="G1819" s="79" t="s">
        <v>2581</v>
      </c>
      <c r="H1819" s="79"/>
      <c r="I1819" s="79"/>
    </row>
    <row r="1820" spans="1:9" ht="14.25">
      <c r="A1820" s="79" t="s">
        <v>3678</v>
      </c>
      <c r="B1820" s="79" t="s">
        <v>3679</v>
      </c>
      <c r="C1820" s="79">
        <v>601787534</v>
      </c>
      <c r="D1820" s="79">
        <v>0</v>
      </c>
      <c r="E1820" s="79" t="s">
        <v>1124</v>
      </c>
      <c r="F1820" s="79" t="s">
        <v>2539</v>
      </c>
      <c r="G1820" s="79" t="s">
        <v>1130</v>
      </c>
      <c r="H1820" s="79"/>
      <c r="I1820" s="79"/>
    </row>
    <row r="1821" spans="1:9" ht="14.25">
      <c r="A1821" s="79" t="s">
        <v>3678</v>
      </c>
      <c r="B1821" s="79" t="s">
        <v>3679</v>
      </c>
      <c r="C1821" s="79">
        <v>601787534</v>
      </c>
      <c r="D1821" s="79">
        <v>0</v>
      </c>
      <c r="E1821" s="79" t="s">
        <v>1124</v>
      </c>
      <c r="F1821" s="79" t="s">
        <v>2539</v>
      </c>
      <c r="G1821" s="79" t="s">
        <v>1131</v>
      </c>
      <c r="H1821" s="79" t="s">
        <v>1132</v>
      </c>
      <c r="I1821" s="79"/>
    </row>
    <row r="1822" spans="1:9" ht="14.25">
      <c r="A1822" s="79" t="s">
        <v>3678</v>
      </c>
      <c r="B1822" s="79" t="s">
        <v>3679</v>
      </c>
      <c r="C1822" s="79">
        <v>601787534</v>
      </c>
      <c r="D1822" s="79">
        <v>0</v>
      </c>
      <c r="E1822" s="79" t="s">
        <v>1124</v>
      </c>
      <c r="F1822" s="79" t="s">
        <v>2539</v>
      </c>
      <c r="G1822" s="79" t="s">
        <v>2578</v>
      </c>
      <c r="H1822" s="79"/>
      <c r="I1822" s="79"/>
    </row>
    <row r="1823" spans="1:9" ht="14.25">
      <c r="A1823" s="79" t="s">
        <v>3680</v>
      </c>
      <c r="B1823" s="79" t="s">
        <v>3681</v>
      </c>
      <c r="C1823" s="79">
        <v>601788134</v>
      </c>
      <c r="D1823" s="79">
        <v>0</v>
      </c>
      <c r="E1823" s="79" t="s">
        <v>1124</v>
      </c>
      <c r="F1823" s="79" t="s">
        <v>2539</v>
      </c>
      <c r="G1823" s="79" t="s">
        <v>2546</v>
      </c>
      <c r="H1823" s="79" t="s">
        <v>2547</v>
      </c>
      <c r="I1823" s="79"/>
    </row>
    <row r="1824" spans="1:9" ht="14.25">
      <c r="A1824" s="79" t="s">
        <v>3680</v>
      </c>
      <c r="B1824" s="79" t="s">
        <v>3681</v>
      </c>
      <c r="C1824" s="79">
        <v>601788134</v>
      </c>
      <c r="D1824" s="79">
        <v>0</v>
      </c>
      <c r="E1824" s="79" t="s">
        <v>1124</v>
      </c>
      <c r="F1824" s="79" t="s">
        <v>2539</v>
      </c>
      <c r="G1824" s="79" t="s">
        <v>2581</v>
      </c>
      <c r="H1824" s="79"/>
      <c r="I1824" s="79"/>
    </row>
    <row r="1825" spans="1:9" ht="14.25">
      <c r="A1825" s="79" t="s">
        <v>3682</v>
      </c>
      <c r="B1825" s="79" t="s">
        <v>3683</v>
      </c>
      <c r="C1825" s="79">
        <v>601830734</v>
      </c>
      <c r="D1825" s="79">
        <v>0</v>
      </c>
      <c r="E1825" s="79" t="s">
        <v>1124</v>
      </c>
      <c r="F1825" s="79" t="s">
        <v>2539</v>
      </c>
      <c r="G1825" s="79" t="s">
        <v>1130</v>
      </c>
      <c r="H1825" s="79"/>
      <c r="I1825" s="79"/>
    </row>
    <row r="1826" spans="1:9" ht="14.25">
      <c r="A1826" s="79" t="s">
        <v>3682</v>
      </c>
      <c r="B1826" s="79" t="s">
        <v>3683</v>
      </c>
      <c r="C1826" s="79">
        <v>601830734</v>
      </c>
      <c r="D1826" s="79">
        <v>0</v>
      </c>
      <c r="E1826" s="79" t="s">
        <v>1124</v>
      </c>
      <c r="F1826" s="79" t="s">
        <v>2539</v>
      </c>
      <c r="G1826" s="79" t="s">
        <v>1131</v>
      </c>
      <c r="H1826" s="79" t="s">
        <v>1132</v>
      </c>
      <c r="I1826" s="79"/>
    </row>
    <row r="1827" spans="1:9" ht="14.25">
      <c r="A1827" s="79" t="s">
        <v>3682</v>
      </c>
      <c r="B1827" s="79" t="s">
        <v>3683</v>
      </c>
      <c r="C1827" s="79">
        <v>601830734</v>
      </c>
      <c r="D1827" s="79">
        <v>0</v>
      </c>
      <c r="E1827" s="79" t="s">
        <v>1124</v>
      </c>
      <c r="F1827" s="79" t="s">
        <v>2539</v>
      </c>
      <c r="G1827" s="79" t="s">
        <v>2578</v>
      </c>
      <c r="H1827" s="79"/>
      <c r="I1827" s="79"/>
    </row>
    <row r="1828" spans="1:9" ht="14.25">
      <c r="A1828" s="79" t="s">
        <v>3684</v>
      </c>
      <c r="B1828" s="79" t="s">
        <v>3685</v>
      </c>
      <c r="C1828" s="79">
        <v>601831334</v>
      </c>
      <c r="D1828" s="79">
        <v>0</v>
      </c>
      <c r="E1828" s="79" t="s">
        <v>1124</v>
      </c>
      <c r="F1828" s="79" t="s">
        <v>2539</v>
      </c>
      <c r="G1828" s="79" t="s">
        <v>2546</v>
      </c>
      <c r="H1828" s="79" t="s">
        <v>2547</v>
      </c>
      <c r="I1828" s="79"/>
    </row>
    <row r="1829" spans="1:9" ht="14.25">
      <c r="A1829" s="79" t="s">
        <v>3684</v>
      </c>
      <c r="B1829" s="79" t="s">
        <v>3685</v>
      </c>
      <c r="C1829" s="79">
        <v>601831334</v>
      </c>
      <c r="D1829" s="79">
        <v>0</v>
      </c>
      <c r="E1829" s="79" t="s">
        <v>1124</v>
      </c>
      <c r="F1829" s="79" t="s">
        <v>2539</v>
      </c>
      <c r="G1829" s="79" t="s">
        <v>2581</v>
      </c>
      <c r="H1829" s="79"/>
      <c r="I1829" s="79"/>
    </row>
    <row r="1830" spans="1:9" ht="14.25">
      <c r="A1830" s="79" t="s">
        <v>3686</v>
      </c>
      <c r="B1830" s="79" t="s">
        <v>3687</v>
      </c>
      <c r="C1830" s="79">
        <v>601873934</v>
      </c>
      <c r="D1830" s="79">
        <v>0</v>
      </c>
      <c r="E1830" s="79" t="s">
        <v>1124</v>
      </c>
      <c r="F1830" s="79" t="s">
        <v>2539</v>
      </c>
      <c r="G1830" s="79" t="s">
        <v>1130</v>
      </c>
      <c r="H1830" s="79"/>
      <c r="I1830" s="79"/>
    </row>
    <row r="1831" spans="1:9" ht="14.25">
      <c r="A1831" s="79" t="s">
        <v>3686</v>
      </c>
      <c r="B1831" s="79" t="s">
        <v>3687</v>
      </c>
      <c r="C1831" s="79">
        <v>601873934</v>
      </c>
      <c r="D1831" s="79">
        <v>0</v>
      </c>
      <c r="E1831" s="79" t="s">
        <v>1124</v>
      </c>
      <c r="F1831" s="79" t="s">
        <v>2539</v>
      </c>
      <c r="G1831" s="79" t="s">
        <v>1131</v>
      </c>
      <c r="H1831" s="79" t="s">
        <v>1132</v>
      </c>
      <c r="I1831" s="79"/>
    </row>
    <row r="1832" spans="1:9" ht="14.25">
      <c r="A1832" s="79" t="s">
        <v>3686</v>
      </c>
      <c r="B1832" s="79" t="s">
        <v>3687</v>
      </c>
      <c r="C1832" s="79">
        <v>601873934</v>
      </c>
      <c r="D1832" s="79">
        <v>0</v>
      </c>
      <c r="E1832" s="79" t="s">
        <v>1124</v>
      </c>
      <c r="F1832" s="79" t="s">
        <v>2539</v>
      </c>
      <c r="G1832" s="79" t="s">
        <v>2578</v>
      </c>
      <c r="H1832" s="79"/>
      <c r="I1832" s="79"/>
    </row>
    <row r="1833" spans="1:9" ht="14.25">
      <c r="A1833" s="79" t="s">
        <v>3688</v>
      </c>
      <c r="B1833" s="79" t="s">
        <v>3689</v>
      </c>
      <c r="C1833" s="79">
        <v>601874534</v>
      </c>
      <c r="D1833" s="79">
        <v>0</v>
      </c>
      <c r="E1833" s="79" t="s">
        <v>1124</v>
      </c>
      <c r="F1833" s="79" t="s">
        <v>2539</v>
      </c>
      <c r="G1833" s="79" t="s">
        <v>2546</v>
      </c>
      <c r="H1833" s="79" t="s">
        <v>2547</v>
      </c>
      <c r="I1833" s="79"/>
    </row>
    <row r="1834" spans="1:9" ht="14.25">
      <c r="A1834" s="79" t="s">
        <v>3688</v>
      </c>
      <c r="B1834" s="79" t="s">
        <v>3689</v>
      </c>
      <c r="C1834" s="79">
        <v>601874534</v>
      </c>
      <c r="D1834" s="79">
        <v>0</v>
      </c>
      <c r="E1834" s="79" t="s">
        <v>1124</v>
      </c>
      <c r="F1834" s="79" t="s">
        <v>2539</v>
      </c>
      <c r="G1834" s="79" t="s">
        <v>2581</v>
      </c>
      <c r="H1834" s="79"/>
      <c r="I1834" s="79"/>
    </row>
    <row r="1835" spans="1:9" ht="14.25">
      <c r="A1835" s="79" t="s">
        <v>3690</v>
      </c>
      <c r="B1835" s="79" t="s">
        <v>3691</v>
      </c>
      <c r="C1835" s="79">
        <v>601917134</v>
      </c>
      <c r="D1835" s="79">
        <v>0</v>
      </c>
      <c r="E1835" s="79" t="s">
        <v>1124</v>
      </c>
      <c r="F1835" s="79" t="s">
        <v>2539</v>
      </c>
      <c r="G1835" s="79" t="s">
        <v>1130</v>
      </c>
      <c r="H1835" s="79"/>
      <c r="I1835" s="79"/>
    </row>
    <row r="1836" spans="1:9" ht="14.25">
      <c r="A1836" s="79" t="s">
        <v>3690</v>
      </c>
      <c r="B1836" s="79" t="s">
        <v>3691</v>
      </c>
      <c r="C1836" s="79">
        <v>601917134</v>
      </c>
      <c r="D1836" s="79">
        <v>0</v>
      </c>
      <c r="E1836" s="79" t="s">
        <v>1124</v>
      </c>
      <c r="F1836" s="79" t="s">
        <v>2539</v>
      </c>
      <c r="G1836" s="79" t="s">
        <v>1131</v>
      </c>
      <c r="H1836" s="79" t="s">
        <v>1132</v>
      </c>
      <c r="I1836" s="79"/>
    </row>
    <row r="1837" spans="1:9" ht="14.25">
      <c r="A1837" s="79" t="s">
        <v>3690</v>
      </c>
      <c r="B1837" s="79" t="s">
        <v>3691</v>
      </c>
      <c r="C1837" s="79">
        <v>601917134</v>
      </c>
      <c r="D1837" s="79">
        <v>0</v>
      </c>
      <c r="E1837" s="79" t="s">
        <v>1124</v>
      </c>
      <c r="F1837" s="79" t="s">
        <v>2539</v>
      </c>
      <c r="G1837" s="79" t="s">
        <v>2578</v>
      </c>
      <c r="H1837" s="79"/>
      <c r="I1837" s="79"/>
    </row>
    <row r="1838" spans="1:9" ht="14.25">
      <c r="A1838" s="79" t="s">
        <v>3692</v>
      </c>
      <c r="B1838" s="79" t="s">
        <v>3693</v>
      </c>
      <c r="C1838" s="79">
        <v>601917734</v>
      </c>
      <c r="D1838" s="79">
        <v>0</v>
      </c>
      <c r="E1838" s="79" t="s">
        <v>1124</v>
      </c>
      <c r="F1838" s="79" t="s">
        <v>2539</v>
      </c>
      <c r="G1838" s="79" t="s">
        <v>2546</v>
      </c>
      <c r="H1838" s="79" t="s">
        <v>2547</v>
      </c>
      <c r="I1838" s="79"/>
    </row>
    <row r="1839" spans="1:9" ht="14.25">
      <c r="A1839" s="79" t="s">
        <v>3692</v>
      </c>
      <c r="B1839" s="79" t="s">
        <v>3693</v>
      </c>
      <c r="C1839" s="79">
        <v>601917734</v>
      </c>
      <c r="D1839" s="79">
        <v>0</v>
      </c>
      <c r="E1839" s="79" t="s">
        <v>1124</v>
      </c>
      <c r="F1839" s="79" t="s">
        <v>2539</v>
      </c>
      <c r="G1839" s="79" t="s">
        <v>2581</v>
      </c>
      <c r="H1839" s="79"/>
      <c r="I1839" s="79"/>
    </row>
    <row r="1840" spans="1:9" ht="14.25">
      <c r="A1840" s="79" t="s">
        <v>3694</v>
      </c>
      <c r="B1840" s="79" t="s">
        <v>3695</v>
      </c>
      <c r="C1840" s="79">
        <v>601960334</v>
      </c>
      <c r="D1840" s="79">
        <v>0</v>
      </c>
      <c r="E1840" s="79" t="s">
        <v>1124</v>
      </c>
      <c r="F1840" s="79" t="s">
        <v>2539</v>
      </c>
      <c r="G1840" s="79" t="s">
        <v>1130</v>
      </c>
      <c r="H1840" s="79"/>
      <c r="I1840" s="79"/>
    </row>
    <row r="1841" spans="1:9" ht="14.25">
      <c r="A1841" s="79" t="s">
        <v>3694</v>
      </c>
      <c r="B1841" s="79" t="s">
        <v>3695</v>
      </c>
      <c r="C1841" s="79">
        <v>601960334</v>
      </c>
      <c r="D1841" s="79">
        <v>0</v>
      </c>
      <c r="E1841" s="79" t="s">
        <v>1124</v>
      </c>
      <c r="F1841" s="79" t="s">
        <v>2539</v>
      </c>
      <c r="G1841" s="79" t="s">
        <v>1131</v>
      </c>
      <c r="H1841" s="79" t="s">
        <v>1132</v>
      </c>
      <c r="I1841" s="79"/>
    </row>
    <row r="1842" spans="1:9" ht="14.25">
      <c r="A1842" s="79" t="s">
        <v>3694</v>
      </c>
      <c r="B1842" s="79" t="s">
        <v>3695</v>
      </c>
      <c r="C1842" s="79">
        <v>601960334</v>
      </c>
      <c r="D1842" s="79">
        <v>0</v>
      </c>
      <c r="E1842" s="79" t="s">
        <v>1124</v>
      </c>
      <c r="F1842" s="79" t="s">
        <v>2539</v>
      </c>
      <c r="G1842" s="79" t="s">
        <v>2578</v>
      </c>
      <c r="H1842" s="79"/>
      <c r="I1842" s="79"/>
    </row>
    <row r="1843" spans="1:9" ht="14.25">
      <c r="A1843" s="79" t="s">
        <v>3696</v>
      </c>
      <c r="B1843" s="79" t="s">
        <v>3697</v>
      </c>
      <c r="C1843" s="79">
        <v>601960934</v>
      </c>
      <c r="D1843" s="79">
        <v>0</v>
      </c>
      <c r="E1843" s="79" t="s">
        <v>1124</v>
      </c>
      <c r="F1843" s="79" t="s">
        <v>2539</v>
      </c>
      <c r="G1843" s="79" t="s">
        <v>2546</v>
      </c>
      <c r="H1843" s="79" t="s">
        <v>2547</v>
      </c>
      <c r="I1843" s="79"/>
    </row>
    <row r="1844" spans="1:9" ht="14.25">
      <c r="A1844" s="79" t="s">
        <v>3696</v>
      </c>
      <c r="B1844" s="79" t="s">
        <v>3697</v>
      </c>
      <c r="C1844" s="79">
        <v>601960934</v>
      </c>
      <c r="D1844" s="79">
        <v>0</v>
      </c>
      <c r="E1844" s="79" t="s">
        <v>1124</v>
      </c>
      <c r="F1844" s="79" t="s">
        <v>2539</v>
      </c>
      <c r="G1844" s="79" t="s">
        <v>2581</v>
      </c>
      <c r="H1844" s="79"/>
      <c r="I1844" s="79"/>
    </row>
    <row r="1845" spans="1:9" ht="14.25">
      <c r="A1845" s="79" t="s">
        <v>3698</v>
      </c>
      <c r="B1845" s="79" t="s">
        <v>3699</v>
      </c>
      <c r="C1845" s="79">
        <v>602003534</v>
      </c>
      <c r="D1845" s="79">
        <v>0</v>
      </c>
      <c r="E1845" s="79" t="s">
        <v>1124</v>
      </c>
      <c r="F1845" s="79" t="s">
        <v>2539</v>
      </c>
      <c r="G1845" s="79" t="s">
        <v>1130</v>
      </c>
      <c r="H1845" s="79"/>
      <c r="I1845" s="79"/>
    </row>
    <row r="1846" spans="1:9" ht="14.25">
      <c r="A1846" s="79" t="s">
        <v>3698</v>
      </c>
      <c r="B1846" s="79" t="s">
        <v>3699</v>
      </c>
      <c r="C1846" s="79">
        <v>602003534</v>
      </c>
      <c r="D1846" s="79">
        <v>0</v>
      </c>
      <c r="E1846" s="79" t="s">
        <v>1124</v>
      </c>
      <c r="F1846" s="79" t="s">
        <v>2539</v>
      </c>
      <c r="G1846" s="79" t="s">
        <v>1131</v>
      </c>
      <c r="H1846" s="79" t="s">
        <v>1132</v>
      </c>
      <c r="I1846" s="79"/>
    </row>
    <row r="1847" spans="1:9" ht="14.25">
      <c r="A1847" s="79" t="s">
        <v>3698</v>
      </c>
      <c r="B1847" s="79" t="s">
        <v>3699</v>
      </c>
      <c r="C1847" s="79">
        <v>602003534</v>
      </c>
      <c r="D1847" s="79">
        <v>0</v>
      </c>
      <c r="E1847" s="79" t="s">
        <v>1124</v>
      </c>
      <c r="F1847" s="79" t="s">
        <v>2539</v>
      </c>
      <c r="G1847" s="79" t="s">
        <v>2578</v>
      </c>
      <c r="H1847" s="79"/>
      <c r="I1847" s="79"/>
    </row>
    <row r="1848" spans="1:9" ht="14.25">
      <c r="A1848" s="79" t="s">
        <v>3700</v>
      </c>
      <c r="B1848" s="79" t="s">
        <v>3701</v>
      </c>
      <c r="C1848" s="79">
        <v>602004134</v>
      </c>
      <c r="D1848" s="79">
        <v>0</v>
      </c>
      <c r="E1848" s="79" t="s">
        <v>1124</v>
      </c>
      <c r="F1848" s="79" t="s">
        <v>2539</v>
      </c>
      <c r="G1848" s="79" t="s">
        <v>2546</v>
      </c>
      <c r="H1848" s="79" t="s">
        <v>2547</v>
      </c>
      <c r="I1848" s="79"/>
    </row>
    <row r="1849" spans="1:9" ht="14.25">
      <c r="A1849" s="79" t="s">
        <v>3700</v>
      </c>
      <c r="B1849" s="79" t="s">
        <v>3701</v>
      </c>
      <c r="C1849" s="79">
        <v>602004134</v>
      </c>
      <c r="D1849" s="79">
        <v>0</v>
      </c>
      <c r="E1849" s="79" t="s">
        <v>1124</v>
      </c>
      <c r="F1849" s="79" t="s">
        <v>2539</v>
      </c>
      <c r="G1849" s="79" t="s">
        <v>2581</v>
      </c>
      <c r="H1849" s="79"/>
      <c r="I1849" s="79"/>
    </row>
    <row r="1850" spans="1:9" ht="14.25">
      <c r="A1850" s="79" t="s">
        <v>3702</v>
      </c>
      <c r="B1850" s="79" t="s">
        <v>3703</v>
      </c>
      <c r="C1850" s="79">
        <v>602046734</v>
      </c>
      <c r="D1850" s="79">
        <v>0</v>
      </c>
      <c r="E1850" s="79" t="s">
        <v>1124</v>
      </c>
      <c r="F1850" s="79" t="s">
        <v>2539</v>
      </c>
      <c r="G1850" s="79" t="s">
        <v>1130</v>
      </c>
      <c r="H1850" s="79"/>
      <c r="I1850" s="79"/>
    </row>
    <row r="1851" spans="1:9" ht="14.25">
      <c r="A1851" s="79" t="s">
        <v>3702</v>
      </c>
      <c r="B1851" s="79" t="s">
        <v>3703</v>
      </c>
      <c r="C1851" s="79">
        <v>602046734</v>
      </c>
      <c r="D1851" s="79">
        <v>0</v>
      </c>
      <c r="E1851" s="79" t="s">
        <v>1124</v>
      </c>
      <c r="F1851" s="79" t="s">
        <v>2539</v>
      </c>
      <c r="G1851" s="79" t="s">
        <v>1131</v>
      </c>
      <c r="H1851" s="79" t="s">
        <v>1132</v>
      </c>
      <c r="I1851" s="79"/>
    </row>
    <row r="1852" spans="1:9" ht="14.25">
      <c r="A1852" s="79" t="s">
        <v>3702</v>
      </c>
      <c r="B1852" s="79" t="s">
        <v>3703</v>
      </c>
      <c r="C1852" s="79">
        <v>602046734</v>
      </c>
      <c r="D1852" s="79">
        <v>0</v>
      </c>
      <c r="E1852" s="79" t="s">
        <v>1124</v>
      </c>
      <c r="F1852" s="79" t="s">
        <v>2539</v>
      </c>
      <c r="G1852" s="79" t="s">
        <v>2578</v>
      </c>
      <c r="H1852" s="79"/>
      <c r="I1852" s="79"/>
    </row>
    <row r="1853" spans="1:9" ht="14.25">
      <c r="A1853" s="79" t="s">
        <v>3704</v>
      </c>
      <c r="B1853" s="79" t="s">
        <v>3705</v>
      </c>
      <c r="C1853" s="79">
        <v>602047334</v>
      </c>
      <c r="D1853" s="79">
        <v>0</v>
      </c>
      <c r="E1853" s="79" t="s">
        <v>1124</v>
      </c>
      <c r="F1853" s="79" t="s">
        <v>2539</v>
      </c>
      <c r="G1853" s="79" t="s">
        <v>2546</v>
      </c>
      <c r="H1853" s="79" t="s">
        <v>2547</v>
      </c>
      <c r="I1853" s="79"/>
    </row>
    <row r="1854" spans="1:9" ht="14.25">
      <c r="A1854" s="79" t="s">
        <v>3704</v>
      </c>
      <c r="B1854" s="79" t="s">
        <v>3705</v>
      </c>
      <c r="C1854" s="79">
        <v>602047334</v>
      </c>
      <c r="D1854" s="79">
        <v>0</v>
      </c>
      <c r="E1854" s="79" t="s">
        <v>1124</v>
      </c>
      <c r="F1854" s="79" t="s">
        <v>2539</v>
      </c>
      <c r="G1854" s="79" t="s">
        <v>2581</v>
      </c>
      <c r="H1854" s="79"/>
      <c r="I1854" s="79"/>
    </row>
    <row r="1855" spans="1:9" ht="14.25">
      <c r="A1855" s="79" t="s">
        <v>3706</v>
      </c>
      <c r="B1855" s="79" t="s">
        <v>3707</v>
      </c>
      <c r="C1855" s="79">
        <v>602089934</v>
      </c>
      <c r="D1855" s="79">
        <v>0</v>
      </c>
      <c r="E1855" s="79" t="s">
        <v>1124</v>
      </c>
      <c r="F1855" s="79" t="s">
        <v>2539</v>
      </c>
      <c r="G1855" s="79" t="s">
        <v>1130</v>
      </c>
      <c r="H1855" s="79"/>
      <c r="I1855" s="79"/>
    </row>
    <row r="1856" spans="1:9" ht="14.25">
      <c r="A1856" s="79" t="s">
        <v>3706</v>
      </c>
      <c r="B1856" s="79" t="s">
        <v>3707</v>
      </c>
      <c r="C1856" s="79">
        <v>602089934</v>
      </c>
      <c r="D1856" s="79">
        <v>0</v>
      </c>
      <c r="E1856" s="79" t="s">
        <v>1124</v>
      </c>
      <c r="F1856" s="79" t="s">
        <v>2539</v>
      </c>
      <c r="G1856" s="79" t="s">
        <v>1131</v>
      </c>
      <c r="H1856" s="79" t="s">
        <v>1132</v>
      </c>
      <c r="I1856" s="79"/>
    </row>
    <row r="1857" spans="1:9" ht="14.25">
      <c r="A1857" s="79" t="s">
        <v>3706</v>
      </c>
      <c r="B1857" s="79" t="s">
        <v>3707</v>
      </c>
      <c r="C1857" s="79">
        <v>602089934</v>
      </c>
      <c r="D1857" s="79">
        <v>0</v>
      </c>
      <c r="E1857" s="79" t="s">
        <v>1124</v>
      </c>
      <c r="F1857" s="79" t="s">
        <v>2539</v>
      </c>
      <c r="G1857" s="79" t="s">
        <v>2578</v>
      </c>
      <c r="H1857" s="79"/>
      <c r="I1857" s="79"/>
    </row>
    <row r="1858" spans="1:9" ht="14.25">
      <c r="A1858" s="79" t="s">
        <v>3708</v>
      </c>
      <c r="B1858" s="79" t="s">
        <v>3709</v>
      </c>
      <c r="C1858" s="79">
        <v>602090534</v>
      </c>
      <c r="D1858" s="79">
        <v>0</v>
      </c>
      <c r="E1858" s="79" t="s">
        <v>1124</v>
      </c>
      <c r="F1858" s="79" t="s">
        <v>2539</v>
      </c>
      <c r="G1858" s="79" t="s">
        <v>2546</v>
      </c>
      <c r="H1858" s="79" t="s">
        <v>2547</v>
      </c>
      <c r="I1858" s="79"/>
    </row>
    <row r="1859" spans="1:9" ht="14.25">
      <c r="A1859" s="79" t="s">
        <v>3708</v>
      </c>
      <c r="B1859" s="79" t="s">
        <v>3709</v>
      </c>
      <c r="C1859" s="79">
        <v>602090534</v>
      </c>
      <c r="D1859" s="79">
        <v>0</v>
      </c>
      <c r="E1859" s="79" t="s">
        <v>1124</v>
      </c>
      <c r="F1859" s="79" t="s">
        <v>2539</v>
      </c>
      <c r="G1859" s="79" t="s">
        <v>2581</v>
      </c>
      <c r="H1859" s="79"/>
      <c r="I1859" s="79"/>
    </row>
    <row r="1860" spans="1:9" ht="14.25">
      <c r="A1860" s="79" t="s">
        <v>3710</v>
      </c>
      <c r="B1860" s="79" t="s">
        <v>3711</v>
      </c>
      <c r="C1860" s="79">
        <v>602133134</v>
      </c>
      <c r="D1860" s="79">
        <v>0</v>
      </c>
      <c r="E1860" s="79" t="s">
        <v>1124</v>
      </c>
      <c r="F1860" s="79" t="s">
        <v>2539</v>
      </c>
      <c r="G1860" s="79" t="s">
        <v>1130</v>
      </c>
      <c r="H1860" s="79"/>
      <c r="I1860" s="79"/>
    </row>
    <row r="1861" spans="1:9" ht="14.25">
      <c r="A1861" s="79" t="s">
        <v>3710</v>
      </c>
      <c r="B1861" s="79" t="s">
        <v>3711</v>
      </c>
      <c r="C1861" s="79">
        <v>602133134</v>
      </c>
      <c r="D1861" s="79">
        <v>0</v>
      </c>
      <c r="E1861" s="79" t="s">
        <v>1124</v>
      </c>
      <c r="F1861" s="79" t="s">
        <v>2539</v>
      </c>
      <c r="G1861" s="79" t="s">
        <v>1131</v>
      </c>
      <c r="H1861" s="79" t="s">
        <v>1132</v>
      </c>
      <c r="I1861" s="79"/>
    </row>
    <row r="1862" spans="1:9" ht="14.25">
      <c r="A1862" s="79" t="s">
        <v>3710</v>
      </c>
      <c r="B1862" s="79" t="s">
        <v>3711</v>
      </c>
      <c r="C1862" s="79">
        <v>602133134</v>
      </c>
      <c r="D1862" s="79">
        <v>0</v>
      </c>
      <c r="E1862" s="79" t="s">
        <v>1124</v>
      </c>
      <c r="F1862" s="79" t="s">
        <v>2539</v>
      </c>
      <c r="G1862" s="79" t="s">
        <v>2578</v>
      </c>
      <c r="H1862" s="79"/>
      <c r="I1862" s="79"/>
    </row>
    <row r="1863" spans="1:9" ht="14.25">
      <c r="A1863" s="79" t="s">
        <v>3712</v>
      </c>
      <c r="B1863" s="79" t="s">
        <v>3713</v>
      </c>
      <c r="C1863" s="79">
        <v>602133734</v>
      </c>
      <c r="D1863" s="79">
        <v>0</v>
      </c>
      <c r="E1863" s="79" t="s">
        <v>1124</v>
      </c>
      <c r="F1863" s="79" t="s">
        <v>2539</v>
      </c>
      <c r="G1863" s="79" t="s">
        <v>2546</v>
      </c>
      <c r="H1863" s="79" t="s">
        <v>2547</v>
      </c>
      <c r="I1863" s="79"/>
    </row>
    <row r="1864" spans="1:9" ht="14.25">
      <c r="A1864" s="79" t="s">
        <v>3712</v>
      </c>
      <c r="B1864" s="79" t="s">
        <v>3713</v>
      </c>
      <c r="C1864" s="79">
        <v>602133734</v>
      </c>
      <c r="D1864" s="79">
        <v>0</v>
      </c>
      <c r="E1864" s="79" t="s">
        <v>1124</v>
      </c>
      <c r="F1864" s="79" t="s">
        <v>2539</v>
      </c>
      <c r="G1864" s="79" t="s">
        <v>2581</v>
      </c>
      <c r="H1864" s="79"/>
      <c r="I1864" s="79"/>
    </row>
    <row r="1865" spans="1:9" ht="14.25">
      <c r="A1865" s="79" t="s">
        <v>3714</v>
      </c>
      <c r="B1865" s="79" t="s">
        <v>3715</v>
      </c>
      <c r="C1865" s="79">
        <v>602176334</v>
      </c>
      <c r="D1865" s="79">
        <v>0</v>
      </c>
      <c r="E1865" s="79" t="s">
        <v>1124</v>
      </c>
      <c r="F1865" s="79" t="s">
        <v>2539</v>
      </c>
      <c r="G1865" s="79" t="s">
        <v>1130</v>
      </c>
      <c r="H1865" s="79"/>
      <c r="I1865" s="79"/>
    </row>
    <row r="1866" spans="1:9" ht="14.25">
      <c r="A1866" s="79" t="s">
        <v>3714</v>
      </c>
      <c r="B1866" s="79" t="s">
        <v>3715</v>
      </c>
      <c r="C1866" s="79">
        <v>602176334</v>
      </c>
      <c r="D1866" s="79">
        <v>0</v>
      </c>
      <c r="E1866" s="79" t="s">
        <v>1124</v>
      </c>
      <c r="F1866" s="79" t="s">
        <v>2539</v>
      </c>
      <c r="G1866" s="79" t="s">
        <v>1131</v>
      </c>
      <c r="H1866" s="79" t="s">
        <v>1132</v>
      </c>
      <c r="I1866" s="79"/>
    </row>
    <row r="1867" spans="1:9" ht="14.25">
      <c r="A1867" s="79" t="s">
        <v>3714</v>
      </c>
      <c r="B1867" s="79" t="s">
        <v>3715</v>
      </c>
      <c r="C1867" s="79">
        <v>602176334</v>
      </c>
      <c r="D1867" s="79">
        <v>0</v>
      </c>
      <c r="E1867" s="79" t="s">
        <v>1124</v>
      </c>
      <c r="F1867" s="79" t="s">
        <v>2539</v>
      </c>
      <c r="G1867" s="79" t="s">
        <v>2578</v>
      </c>
      <c r="H1867" s="79"/>
      <c r="I1867" s="79"/>
    </row>
    <row r="1868" spans="1:9" ht="14.25">
      <c r="A1868" s="79" t="s">
        <v>3716</v>
      </c>
      <c r="B1868" s="79" t="s">
        <v>3717</v>
      </c>
      <c r="C1868" s="79">
        <v>602176934</v>
      </c>
      <c r="D1868" s="79">
        <v>0</v>
      </c>
      <c r="E1868" s="79" t="s">
        <v>1124</v>
      </c>
      <c r="F1868" s="79" t="s">
        <v>2539</v>
      </c>
      <c r="G1868" s="79" t="s">
        <v>2546</v>
      </c>
      <c r="H1868" s="79" t="s">
        <v>2547</v>
      </c>
      <c r="I1868" s="79"/>
    </row>
    <row r="1869" spans="1:9" ht="14.25">
      <c r="A1869" s="79" t="s">
        <v>3716</v>
      </c>
      <c r="B1869" s="79" t="s">
        <v>3717</v>
      </c>
      <c r="C1869" s="79">
        <v>602176934</v>
      </c>
      <c r="D1869" s="79">
        <v>0</v>
      </c>
      <c r="E1869" s="79" t="s">
        <v>1124</v>
      </c>
      <c r="F1869" s="79" t="s">
        <v>2539</v>
      </c>
      <c r="G1869" s="79" t="s">
        <v>2581</v>
      </c>
      <c r="H1869" s="79"/>
      <c r="I1869" s="79"/>
    </row>
    <row r="1870" spans="1:9" ht="14.25">
      <c r="A1870" s="79" t="s">
        <v>3718</v>
      </c>
      <c r="B1870" s="79" t="s">
        <v>3719</v>
      </c>
      <c r="C1870" s="79">
        <v>602219534</v>
      </c>
      <c r="D1870" s="79">
        <v>0</v>
      </c>
      <c r="E1870" s="79" t="s">
        <v>1124</v>
      </c>
      <c r="F1870" s="79" t="s">
        <v>2539</v>
      </c>
      <c r="G1870" s="79" t="s">
        <v>1130</v>
      </c>
      <c r="H1870" s="79"/>
      <c r="I1870" s="79"/>
    </row>
    <row r="1871" spans="1:9" ht="14.25">
      <c r="A1871" s="79" t="s">
        <v>3718</v>
      </c>
      <c r="B1871" s="79" t="s">
        <v>3719</v>
      </c>
      <c r="C1871" s="79">
        <v>602219534</v>
      </c>
      <c r="D1871" s="79">
        <v>0</v>
      </c>
      <c r="E1871" s="79" t="s">
        <v>1124</v>
      </c>
      <c r="F1871" s="79" t="s">
        <v>2539</v>
      </c>
      <c r="G1871" s="79" t="s">
        <v>1131</v>
      </c>
      <c r="H1871" s="79" t="s">
        <v>1132</v>
      </c>
      <c r="I1871" s="79"/>
    </row>
    <row r="1872" spans="1:9" ht="14.25">
      <c r="A1872" s="79" t="s">
        <v>3718</v>
      </c>
      <c r="B1872" s="79" t="s">
        <v>3719</v>
      </c>
      <c r="C1872" s="79">
        <v>602219534</v>
      </c>
      <c r="D1872" s="79">
        <v>0</v>
      </c>
      <c r="E1872" s="79" t="s">
        <v>1124</v>
      </c>
      <c r="F1872" s="79" t="s">
        <v>2539</v>
      </c>
      <c r="G1872" s="79" t="s">
        <v>2578</v>
      </c>
      <c r="H1872" s="79"/>
      <c r="I1872" s="79"/>
    </row>
    <row r="1873" spans="1:9" ht="14.25">
      <c r="A1873" s="79" t="s">
        <v>3720</v>
      </c>
      <c r="B1873" s="79" t="s">
        <v>3721</v>
      </c>
      <c r="C1873" s="79">
        <v>602220134</v>
      </c>
      <c r="D1873" s="79">
        <v>0</v>
      </c>
      <c r="E1873" s="79" t="s">
        <v>1124</v>
      </c>
      <c r="F1873" s="79" t="s">
        <v>2539</v>
      </c>
      <c r="G1873" s="79" t="s">
        <v>2546</v>
      </c>
      <c r="H1873" s="79" t="s">
        <v>2547</v>
      </c>
      <c r="I1873" s="79"/>
    </row>
    <row r="1874" spans="1:9" ht="14.25">
      <c r="A1874" s="79" t="s">
        <v>3720</v>
      </c>
      <c r="B1874" s="79" t="s">
        <v>3721</v>
      </c>
      <c r="C1874" s="79">
        <v>602220134</v>
      </c>
      <c r="D1874" s="79">
        <v>0</v>
      </c>
      <c r="E1874" s="79" t="s">
        <v>1124</v>
      </c>
      <c r="F1874" s="79" t="s">
        <v>2539</v>
      </c>
      <c r="G1874" s="79" t="s">
        <v>2581</v>
      </c>
      <c r="H1874" s="79"/>
      <c r="I1874" s="79"/>
    </row>
    <row r="1875" spans="1:9" ht="14.25">
      <c r="A1875" s="79" t="s">
        <v>3722</v>
      </c>
      <c r="B1875" s="79" t="s">
        <v>3723</v>
      </c>
      <c r="C1875" s="79">
        <v>602262734</v>
      </c>
      <c r="D1875" s="79">
        <v>0</v>
      </c>
      <c r="E1875" s="79" t="s">
        <v>1124</v>
      </c>
      <c r="F1875" s="79" t="s">
        <v>2539</v>
      </c>
      <c r="G1875" s="79" t="s">
        <v>1130</v>
      </c>
      <c r="H1875" s="79"/>
      <c r="I1875" s="79"/>
    </row>
    <row r="1876" spans="1:9" ht="14.25">
      <c r="A1876" s="79" t="s">
        <v>3722</v>
      </c>
      <c r="B1876" s="79" t="s">
        <v>3723</v>
      </c>
      <c r="C1876" s="79">
        <v>602262734</v>
      </c>
      <c r="D1876" s="79">
        <v>0</v>
      </c>
      <c r="E1876" s="79" t="s">
        <v>1124</v>
      </c>
      <c r="F1876" s="79" t="s">
        <v>2539</v>
      </c>
      <c r="G1876" s="79" t="s">
        <v>1131</v>
      </c>
      <c r="H1876" s="79" t="s">
        <v>1132</v>
      </c>
      <c r="I1876" s="79"/>
    </row>
    <row r="1877" spans="1:9" ht="14.25">
      <c r="A1877" s="79" t="s">
        <v>3722</v>
      </c>
      <c r="B1877" s="79" t="s">
        <v>3723</v>
      </c>
      <c r="C1877" s="79">
        <v>602262734</v>
      </c>
      <c r="D1877" s="79">
        <v>0</v>
      </c>
      <c r="E1877" s="79" t="s">
        <v>1124</v>
      </c>
      <c r="F1877" s="79" t="s">
        <v>2539</v>
      </c>
      <c r="G1877" s="79" t="s">
        <v>2578</v>
      </c>
      <c r="H1877" s="79"/>
      <c r="I1877" s="79"/>
    </row>
    <row r="1878" spans="1:9" ht="14.25">
      <c r="A1878" s="79" t="s">
        <v>3724</v>
      </c>
      <c r="B1878" s="79" t="s">
        <v>3725</v>
      </c>
      <c r="C1878" s="79">
        <v>602263334</v>
      </c>
      <c r="D1878" s="79">
        <v>0</v>
      </c>
      <c r="E1878" s="79" t="s">
        <v>1124</v>
      </c>
      <c r="F1878" s="79" t="s">
        <v>2539</v>
      </c>
      <c r="G1878" s="79" t="s">
        <v>2546</v>
      </c>
      <c r="H1878" s="79" t="s">
        <v>2547</v>
      </c>
      <c r="I1878" s="79"/>
    </row>
    <row r="1879" spans="1:9" ht="14.25">
      <c r="A1879" s="79" t="s">
        <v>3724</v>
      </c>
      <c r="B1879" s="79" t="s">
        <v>3725</v>
      </c>
      <c r="C1879" s="79">
        <v>602263334</v>
      </c>
      <c r="D1879" s="79">
        <v>0</v>
      </c>
      <c r="E1879" s="79" t="s">
        <v>1124</v>
      </c>
      <c r="F1879" s="79" t="s">
        <v>2539</v>
      </c>
      <c r="G1879" s="79" t="s">
        <v>2581</v>
      </c>
      <c r="H1879" s="79"/>
      <c r="I1879" s="79"/>
    </row>
    <row r="1880" spans="1:9" ht="14.25">
      <c r="A1880" s="79" t="s">
        <v>3726</v>
      </c>
      <c r="B1880" s="79" t="s">
        <v>3727</v>
      </c>
      <c r="C1880" s="79">
        <v>602305934</v>
      </c>
      <c r="D1880" s="79">
        <v>0</v>
      </c>
      <c r="E1880" s="79" t="s">
        <v>1124</v>
      </c>
      <c r="F1880" s="79" t="s">
        <v>2539</v>
      </c>
      <c r="G1880" s="79" t="s">
        <v>1130</v>
      </c>
      <c r="H1880" s="79"/>
      <c r="I1880" s="79"/>
    </row>
    <row r="1881" spans="1:9" ht="14.25">
      <c r="A1881" s="79" t="s">
        <v>3726</v>
      </c>
      <c r="B1881" s="79" t="s">
        <v>3727</v>
      </c>
      <c r="C1881" s="79">
        <v>602305934</v>
      </c>
      <c r="D1881" s="79">
        <v>0</v>
      </c>
      <c r="E1881" s="79" t="s">
        <v>1124</v>
      </c>
      <c r="F1881" s="79" t="s">
        <v>2539</v>
      </c>
      <c r="G1881" s="79" t="s">
        <v>1131</v>
      </c>
      <c r="H1881" s="79" t="s">
        <v>1132</v>
      </c>
      <c r="I1881" s="79"/>
    </row>
    <row r="1882" spans="1:9" ht="14.25">
      <c r="A1882" s="79" t="s">
        <v>3726</v>
      </c>
      <c r="B1882" s="79" t="s">
        <v>3727</v>
      </c>
      <c r="C1882" s="79">
        <v>602305934</v>
      </c>
      <c r="D1882" s="79">
        <v>0</v>
      </c>
      <c r="E1882" s="79" t="s">
        <v>1124</v>
      </c>
      <c r="F1882" s="79" t="s">
        <v>2539</v>
      </c>
      <c r="G1882" s="79" t="s">
        <v>2578</v>
      </c>
      <c r="H1882" s="79"/>
      <c r="I1882" s="79"/>
    </row>
    <row r="1883" spans="1:9" ht="14.25">
      <c r="A1883" s="79" t="s">
        <v>3728</v>
      </c>
      <c r="B1883" s="79" t="s">
        <v>3729</v>
      </c>
      <c r="C1883" s="79">
        <v>602306534</v>
      </c>
      <c r="D1883" s="79">
        <v>0</v>
      </c>
      <c r="E1883" s="79" t="s">
        <v>1124</v>
      </c>
      <c r="F1883" s="79" t="s">
        <v>2539</v>
      </c>
      <c r="G1883" s="79" t="s">
        <v>2546</v>
      </c>
      <c r="H1883" s="79" t="s">
        <v>2547</v>
      </c>
      <c r="I1883" s="79"/>
    </row>
    <row r="1884" spans="1:9" ht="14.25">
      <c r="A1884" s="79" t="s">
        <v>3728</v>
      </c>
      <c r="B1884" s="79" t="s">
        <v>3729</v>
      </c>
      <c r="C1884" s="79">
        <v>602306534</v>
      </c>
      <c r="D1884" s="79">
        <v>0</v>
      </c>
      <c r="E1884" s="79" t="s">
        <v>1124</v>
      </c>
      <c r="F1884" s="79" t="s">
        <v>2539</v>
      </c>
      <c r="G1884" s="79" t="s">
        <v>2581</v>
      </c>
      <c r="H1884" s="79"/>
      <c r="I1884" s="79"/>
    </row>
    <row r="1885" spans="1:9" ht="14.25">
      <c r="A1885" s="79" t="s">
        <v>3730</v>
      </c>
      <c r="B1885" s="79" t="s">
        <v>3731</v>
      </c>
      <c r="C1885" s="79">
        <v>602349134</v>
      </c>
      <c r="D1885" s="79">
        <v>0</v>
      </c>
      <c r="E1885" s="79" t="s">
        <v>1124</v>
      </c>
      <c r="F1885" s="79" t="s">
        <v>2539</v>
      </c>
      <c r="G1885" s="79" t="s">
        <v>1130</v>
      </c>
      <c r="H1885" s="79"/>
      <c r="I1885" s="79"/>
    </row>
    <row r="1886" spans="1:9" ht="14.25">
      <c r="A1886" s="79" t="s">
        <v>3730</v>
      </c>
      <c r="B1886" s="79" t="s">
        <v>3731</v>
      </c>
      <c r="C1886" s="79">
        <v>602349134</v>
      </c>
      <c r="D1886" s="79">
        <v>0</v>
      </c>
      <c r="E1886" s="79" t="s">
        <v>1124</v>
      </c>
      <c r="F1886" s="79" t="s">
        <v>2539</v>
      </c>
      <c r="G1886" s="79" t="s">
        <v>2109</v>
      </c>
      <c r="H1886" s="79"/>
      <c r="I1886" s="79"/>
    </row>
    <row r="1887" spans="1:9" ht="14.25">
      <c r="A1887" s="79" t="s">
        <v>3732</v>
      </c>
      <c r="B1887" s="79" t="s">
        <v>3733</v>
      </c>
      <c r="C1887" s="79">
        <v>602349137</v>
      </c>
      <c r="D1887" s="79">
        <v>0</v>
      </c>
      <c r="E1887" s="79" t="s">
        <v>1124</v>
      </c>
      <c r="F1887" s="79" t="s">
        <v>2539</v>
      </c>
      <c r="G1887" s="79" t="s">
        <v>1130</v>
      </c>
      <c r="H1887" s="79"/>
      <c r="I1887" s="79"/>
    </row>
    <row r="1888" spans="1:9" ht="14.25">
      <c r="A1888" s="79" t="s">
        <v>3732</v>
      </c>
      <c r="B1888" s="79" t="s">
        <v>3733</v>
      </c>
      <c r="C1888" s="79">
        <v>602349137</v>
      </c>
      <c r="D1888" s="79">
        <v>0</v>
      </c>
      <c r="E1888" s="79" t="s">
        <v>1124</v>
      </c>
      <c r="F1888" s="79" t="s">
        <v>2539</v>
      </c>
      <c r="G1888" s="79" t="s">
        <v>2572</v>
      </c>
      <c r="H1888" s="79" t="s">
        <v>2573</v>
      </c>
      <c r="I1888" s="79"/>
    </row>
    <row r="1889" spans="1:9" ht="14.25">
      <c r="A1889" s="79" t="s">
        <v>3732</v>
      </c>
      <c r="B1889" s="79" t="s">
        <v>3733</v>
      </c>
      <c r="C1889" s="79">
        <v>602349137</v>
      </c>
      <c r="D1889" s="79">
        <v>0</v>
      </c>
      <c r="E1889" s="79" t="s">
        <v>1124</v>
      </c>
      <c r="F1889" s="79" t="s">
        <v>2539</v>
      </c>
      <c r="G1889" s="79" t="s">
        <v>2568</v>
      </c>
      <c r="H1889" s="79"/>
      <c r="I1889" s="79"/>
    </row>
    <row r="1890" spans="1:9" ht="14.25">
      <c r="A1890" s="79" t="s">
        <v>3734</v>
      </c>
      <c r="B1890" s="79" t="s">
        <v>3735</v>
      </c>
      <c r="C1890" s="79">
        <v>602349497</v>
      </c>
      <c r="D1890" s="79">
        <v>0</v>
      </c>
      <c r="E1890" s="79" t="s">
        <v>1124</v>
      </c>
      <c r="F1890" s="79" t="s">
        <v>2539</v>
      </c>
      <c r="G1890" s="79" t="s">
        <v>2576</v>
      </c>
      <c r="H1890" s="79"/>
      <c r="I1890" s="79"/>
    </row>
    <row r="1891" spans="1:9" ht="14.25">
      <c r="A1891" s="79" t="s">
        <v>3734</v>
      </c>
      <c r="B1891" s="79" t="s">
        <v>3735</v>
      </c>
      <c r="C1891" s="79">
        <v>602349497</v>
      </c>
      <c r="D1891" s="79">
        <v>0</v>
      </c>
      <c r="E1891" s="79" t="s">
        <v>1124</v>
      </c>
      <c r="F1891" s="79" t="s">
        <v>2539</v>
      </c>
      <c r="G1891" s="79" t="s">
        <v>2577</v>
      </c>
      <c r="H1891" s="79"/>
      <c r="I1891" s="79"/>
    </row>
    <row r="1892" spans="1:9" ht="14.25">
      <c r="A1892" s="79" t="s">
        <v>3734</v>
      </c>
      <c r="B1892" s="79" t="s">
        <v>3735</v>
      </c>
      <c r="C1892" s="79">
        <v>602349497</v>
      </c>
      <c r="D1892" s="79">
        <v>0</v>
      </c>
      <c r="E1892" s="79" t="s">
        <v>1124</v>
      </c>
      <c r="F1892" s="79" t="s">
        <v>2539</v>
      </c>
      <c r="G1892" s="79" t="s">
        <v>1131</v>
      </c>
      <c r="H1892" s="79" t="s">
        <v>1132</v>
      </c>
      <c r="I1892" s="79"/>
    </row>
    <row r="1893" spans="1:9" ht="14.25">
      <c r="A1893" s="79" t="s">
        <v>3734</v>
      </c>
      <c r="B1893" s="79" t="s">
        <v>3735</v>
      </c>
      <c r="C1893" s="79">
        <v>602349497</v>
      </c>
      <c r="D1893" s="79">
        <v>0</v>
      </c>
      <c r="E1893" s="79" t="s">
        <v>1124</v>
      </c>
      <c r="F1893" s="79" t="s">
        <v>2539</v>
      </c>
      <c r="G1893" s="79" t="s">
        <v>2578</v>
      </c>
      <c r="H1893" s="79"/>
      <c r="I1893" s="79"/>
    </row>
    <row r="1894" spans="1:9" ht="14.25">
      <c r="A1894" s="79" t="s">
        <v>3736</v>
      </c>
      <c r="B1894" s="79" t="s">
        <v>3737</v>
      </c>
      <c r="C1894" s="79">
        <v>602350097</v>
      </c>
      <c r="D1894" s="79">
        <v>0</v>
      </c>
      <c r="E1894" s="79" t="s">
        <v>1124</v>
      </c>
      <c r="F1894" s="79" t="s">
        <v>2539</v>
      </c>
      <c r="G1894" s="79" t="s">
        <v>2546</v>
      </c>
      <c r="H1894" s="79" t="s">
        <v>2547</v>
      </c>
      <c r="I1894" s="79"/>
    </row>
    <row r="1895" spans="1:9" ht="14.25">
      <c r="A1895" s="79" t="s">
        <v>3736</v>
      </c>
      <c r="B1895" s="79" t="s">
        <v>3737</v>
      </c>
      <c r="C1895" s="79">
        <v>602350097</v>
      </c>
      <c r="D1895" s="79">
        <v>0</v>
      </c>
      <c r="E1895" s="79" t="s">
        <v>1124</v>
      </c>
      <c r="F1895" s="79" t="s">
        <v>2539</v>
      </c>
      <c r="G1895" s="79" t="s">
        <v>2581</v>
      </c>
      <c r="H1895" s="79"/>
      <c r="I1895" s="79"/>
    </row>
    <row r="1896" spans="1:9" ht="14.25">
      <c r="A1896" s="79" t="s">
        <v>3738</v>
      </c>
      <c r="B1896" s="79" t="s">
        <v>3739</v>
      </c>
      <c r="C1896" s="79">
        <v>602392697</v>
      </c>
      <c r="D1896" s="79">
        <v>0</v>
      </c>
      <c r="E1896" s="79" t="s">
        <v>1124</v>
      </c>
      <c r="F1896" s="79" t="s">
        <v>2539</v>
      </c>
      <c r="G1896" s="79" t="s">
        <v>1130</v>
      </c>
      <c r="H1896" s="79"/>
      <c r="I1896" s="79"/>
    </row>
    <row r="1897" spans="1:9" ht="14.25">
      <c r="A1897" s="79" t="s">
        <v>3738</v>
      </c>
      <c r="B1897" s="79" t="s">
        <v>3739</v>
      </c>
      <c r="C1897" s="79">
        <v>602392697</v>
      </c>
      <c r="D1897" s="79">
        <v>0</v>
      </c>
      <c r="E1897" s="79" t="s">
        <v>1124</v>
      </c>
      <c r="F1897" s="79" t="s">
        <v>2539</v>
      </c>
      <c r="G1897" s="79" t="s">
        <v>1131</v>
      </c>
      <c r="H1897" s="79" t="s">
        <v>1132</v>
      </c>
      <c r="I1897" s="79"/>
    </row>
    <row r="1898" spans="1:9" ht="14.25">
      <c r="A1898" s="79" t="s">
        <v>3738</v>
      </c>
      <c r="B1898" s="79" t="s">
        <v>3739</v>
      </c>
      <c r="C1898" s="79">
        <v>602392697</v>
      </c>
      <c r="D1898" s="79">
        <v>0</v>
      </c>
      <c r="E1898" s="79" t="s">
        <v>1124</v>
      </c>
      <c r="F1898" s="79" t="s">
        <v>2539</v>
      </c>
      <c r="G1898" s="79" t="s">
        <v>2578</v>
      </c>
      <c r="H1898" s="79"/>
      <c r="I1898" s="79"/>
    </row>
    <row r="1899" spans="1:9" ht="14.25">
      <c r="A1899" s="79" t="s">
        <v>3740</v>
      </c>
      <c r="B1899" s="79" t="s">
        <v>3741</v>
      </c>
      <c r="C1899" s="79">
        <v>602393297</v>
      </c>
      <c r="D1899" s="79">
        <v>0</v>
      </c>
      <c r="E1899" s="79" t="s">
        <v>1124</v>
      </c>
      <c r="F1899" s="79" t="s">
        <v>2539</v>
      </c>
      <c r="G1899" s="79" t="s">
        <v>2546</v>
      </c>
      <c r="H1899" s="79" t="s">
        <v>2547</v>
      </c>
      <c r="I1899" s="79"/>
    </row>
    <row r="1900" spans="1:9" ht="14.25">
      <c r="A1900" s="79" t="s">
        <v>3740</v>
      </c>
      <c r="B1900" s="79" t="s">
        <v>3741</v>
      </c>
      <c r="C1900" s="79">
        <v>602393297</v>
      </c>
      <c r="D1900" s="79">
        <v>0</v>
      </c>
      <c r="E1900" s="79" t="s">
        <v>1124</v>
      </c>
      <c r="F1900" s="79" t="s">
        <v>2539</v>
      </c>
      <c r="G1900" s="79" t="s">
        <v>2581</v>
      </c>
      <c r="H1900" s="79"/>
      <c r="I1900" s="79"/>
    </row>
    <row r="1901" spans="1:9" ht="14.25">
      <c r="A1901" s="79" t="s">
        <v>3742</v>
      </c>
      <c r="B1901" s="79" t="s">
        <v>3743</v>
      </c>
      <c r="C1901" s="79">
        <v>602435897</v>
      </c>
      <c r="D1901" s="79">
        <v>0</v>
      </c>
      <c r="E1901" s="79" t="s">
        <v>1124</v>
      </c>
      <c r="F1901" s="79" t="s">
        <v>2539</v>
      </c>
      <c r="G1901" s="79" t="s">
        <v>1130</v>
      </c>
      <c r="H1901" s="79"/>
      <c r="I1901" s="79"/>
    </row>
    <row r="1902" spans="1:9" ht="14.25">
      <c r="A1902" s="79" t="s">
        <v>3742</v>
      </c>
      <c r="B1902" s="79" t="s">
        <v>3743</v>
      </c>
      <c r="C1902" s="79">
        <v>602435897</v>
      </c>
      <c r="D1902" s="79">
        <v>0</v>
      </c>
      <c r="E1902" s="79" t="s">
        <v>1124</v>
      </c>
      <c r="F1902" s="79" t="s">
        <v>2539</v>
      </c>
      <c r="G1902" s="79" t="s">
        <v>1131</v>
      </c>
      <c r="H1902" s="79" t="s">
        <v>1132</v>
      </c>
      <c r="I1902" s="79"/>
    </row>
    <row r="1903" spans="1:9" ht="14.25">
      <c r="A1903" s="79" t="s">
        <v>3742</v>
      </c>
      <c r="B1903" s="79" t="s">
        <v>3743</v>
      </c>
      <c r="C1903" s="79">
        <v>602435897</v>
      </c>
      <c r="D1903" s="79">
        <v>0</v>
      </c>
      <c r="E1903" s="79" t="s">
        <v>1124</v>
      </c>
      <c r="F1903" s="79" t="s">
        <v>2539</v>
      </c>
      <c r="G1903" s="79" t="s">
        <v>2578</v>
      </c>
      <c r="H1903" s="79"/>
      <c r="I1903" s="79"/>
    </row>
    <row r="1904" spans="1:9" ht="14.25">
      <c r="A1904" s="79" t="s">
        <v>3744</v>
      </c>
      <c r="B1904" s="79" t="s">
        <v>3745</v>
      </c>
      <c r="C1904" s="79">
        <v>602436497</v>
      </c>
      <c r="D1904" s="79">
        <v>0</v>
      </c>
      <c r="E1904" s="79" t="s">
        <v>1124</v>
      </c>
      <c r="F1904" s="79" t="s">
        <v>2539</v>
      </c>
      <c r="G1904" s="79" t="s">
        <v>2546</v>
      </c>
      <c r="H1904" s="79" t="s">
        <v>2547</v>
      </c>
      <c r="I1904" s="79"/>
    </row>
    <row r="1905" spans="1:9" ht="14.25">
      <c r="A1905" s="79" t="s">
        <v>3744</v>
      </c>
      <c r="B1905" s="79" t="s">
        <v>3745</v>
      </c>
      <c r="C1905" s="79">
        <v>602436497</v>
      </c>
      <c r="D1905" s="79">
        <v>0</v>
      </c>
      <c r="E1905" s="79" t="s">
        <v>1124</v>
      </c>
      <c r="F1905" s="79" t="s">
        <v>2539</v>
      </c>
      <c r="G1905" s="79" t="s">
        <v>2581</v>
      </c>
      <c r="H1905" s="79"/>
      <c r="I1905" s="79"/>
    </row>
    <row r="1906" spans="1:9" ht="14.25">
      <c r="A1906" s="79" t="s">
        <v>3746</v>
      </c>
      <c r="B1906" s="79" t="s">
        <v>3747</v>
      </c>
      <c r="C1906" s="79">
        <v>602479097</v>
      </c>
      <c r="D1906" s="79">
        <v>0</v>
      </c>
      <c r="E1906" s="79" t="s">
        <v>1124</v>
      </c>
      <c r="F1906" s="79" t="s">
        <v>2539</v>
      </c>
      <c r="G1906" s="79" t="s">
        <v>1130</v>
      </c>
      <c r="H1906" s="79"/>
      <c r="I1906" s="79"/>
    </row>
    <row r="1907" spans="1:9" ht="14.25">
      <c r="A1907" s="79" t="s">
        <v>3746</v>
      </c>
      <c r="B1907" s="79" t="s">
        <v>3747</v>
      </c>
      <c r="C1907" s="79">
        <v>602479097</v>
      </c>
      <c r="D1907" s="79">
        <v>0</v>
      </c>
      <c r="E1907" s="79" t="s">
        <v>1124</v>
      </c>
      <c r="F1907" s="79" t="s">
        <v>2539</v>
      </c>
      <c r="G1907" s="79" t="s">
        <v>1131</v>
      </c>
      <c r="H1907" s="79" t="s">
        <v>1132</v>
      </c>
      <c r="I1907" s="79"/>
    </row>
    <row r="1908" spans="1:9" ht="14.25">
      <c r="A1908" s="79" t="s">
        <v>3746</v>
      </c>
      <c r="B1908" s="79" t="s">
        <v>3747</v>
      </c>
      <c r="C1908" s="79">
        <v>602479097</v>
      </c>
      <c r="D1908" s="79">
        <v>0</v>
      </c>
      <c r="E1908" s="79" t="s">
        <v>1124</v>
      </c>
      <c r="F1908" s="79" t="s">
        <v>2539</v>
      </c>
      <c r="G1908" s="79" t="s">
        <v>2578</v>
      </c>
      <c r="H1908" s="79"/>
      <c r="I1908" s="79"/>
    </row>
    <row r="1909" spans="1:9" ht="14.25">
      <c r="A1909" s="79" t="s">
        <v>3748</v>
      </c>
      <c r="B1909" s="79" t="s">
        <v>3749</v>
      </c>
      <c r="C1909" s="79">
        <v>602479697</v>
      </c>
      <c r="D1909" s="79">
        <v>0</v>
      </c>
      <c r="E1909" s="79" t="s">
        <v>1124</v>
      </c>
      <c r="F1909" s="79" t="s">
        <v>2539</v>
      </c>
      <c r="G1909" s="79" t="s">
        <v>2546</v>
      </c>
      <c r="H1909" s="79" t="s">
        <v>2547</v>
      </c>
      <c r="I1909" s="79"/>
    </row>
    <row r="1910" spans="1:9" ht="14.25">
      <c r="A1910" s="79" t="s">
        <v>3748</v>
      </c>
      <c r="B1910" s="79" t="s">
        <v>3749</v>
      </c>
      <c r="C1910" s="79">
        <v>602479697</v>
      </c>
      <c r="D1910" s="79">
        <v>0</v>
      </c>
      <c r="E1910" s="79" t="s">
        <v>1124</v>
      </c>
      <c r="F1910" s="79" t="s">
        <v>2539</v>
      </c>
      <c r="G1910" s="79" t="s">
        <v>2581</v>
      </c>
      <c r="H1910" s="79"/>
      <c r="I1910" s="79"/>
    </row>
    <row r="1911" spans="1:9" ht="14.25">
      <c r="A1911" s="79" t="s">
        <v>3750</v>
      </c>
      <c r="B1911" s="79" t="s">
        <v>3751</v>
      </c>
      <c r="C1911" s="79">
        <v>602522297</v>
      </c>
      <c r="D1911" s="79">
        <v>0</v>
      </c>
      <c r="E1911" s="79" t="s">
        <v>1124</v>
      </c>
      <c r="F1911" s="79" t="s">
        <v>2539</v>
      </c>
      <c r="G1911" s="79" t="s">
        <v>1130</v>
      </c>
      <c r="H1911" s="79"/>
      <c r="I1911" s="79"/>
    </row>
    <row r="1912" spans="1:9" ht="14.25">
      <c r="A1912" s="79" t="s">
        <v>3750</v>
      </c>
      <c r="B1912" s="79" t="s">
        <v>3751</v>
      </c>
      <c r="C1912" s="79">
        <v>602522297</v>
      </c>
      <c r="D1912" s="79">
        <v>0</v>
      </c>
      <c r="E1912" s="79" t="s">
        <v>1124</v>
      </c>
      <c r="F1912" s="79" t="s">
        <v>2539</v>
      </c>
      <c r="G1912" s="79" t="s">
        <v>1131</v>
      </c>
      <c r="H1912" s="79" t="s">
        <v>1132</v>
      </c>
      <c r="I1912" s="79"/>
    </row>
    <row r="1913" spans="1:9" ht="14.25">
      <c r="A1913" s="79" t="s">
        <v>3750</v>
      </c>
      <c r="B1913" s="79" t="s">
        <v>3751</v>
      </c>
      <c r="C1913" s="79">
        <v>602522297</v>
      </c>
      <c r="D1913" s="79">
        <v>0</v>
      </c>
      <c r="E1913" s="79" t="s">
        <v>1124</v>
      </c>
      <c r="F1913" s="79" t="s">
        <v>2539</v>
      </c>
      <c r="G1913" s="79" t="s">
        <v>2578</v>
      </c>
      <c r="H1913" s="79"/>
      <c r="I1913" s="79"/>
    </row>
    <row r="1914" spans="1:9" ht="14.25">
      <c r="A1914" s="79" t="s">
        <v>3752</v>
      </c>
      <c r="B1914" s="79" t="s">
        <v>3753</v>
      </c>
      <c r="C1914" s="79">
        <v>602522897</v>
      </c>
      <c r="D1914" s="79">
        <v>0</v>
      </c>
      <c r="E1914" s="79" t="s">
        <v>1124</v>
      </c>
      <c r="F1914" s="79" t="s">
        <v>2539</v>
      </c>
      <c r="G1914" s="79" t="s">
        <v>2546</v>
      </c>
      <c r="H1914" s="79" t="s">
        <v>2547</v>
      </c>
      <c r="I1914" s="79"/>
    </row>
    <row r="1915" spans="1:9" ht="14.25">
      <c r="A1915" s="79" t="s">
        <v>3752</v>
      </c>
      <c r="B1915" s="79" t="s">
        <v>3753</v>
      </c>
      <c r="C1915" s="79">
        <v>602522897</v>
      </c>
      <c r="D1915" s="79">
        <v>0</v>
      </c>
      <c r="E1915" s="79" t="s">
        <v>1124</v>
      </c>
      <c r="F1915" s="79" t="s">
        <v>2539</v>
      </c>
      <c r="G1915" s="79" t="s">
        <v>2581</v>
      </c>
      <c r="H1915" s="79"/>
      <c r="I1915" s="79"/>
    </row>
    <row r="1916" spans="1:9" ht="14.25">
      <c r="A1916" s="79" t="s">
        <v>3754</v>
      </c>
      <c r="B1916" s="79" t="s">
        <v>3755</v>
      </c>
      <c r="C1916" s="79">
        <v>602565497</v>
      </c>
      <c r="D1916" s="79">
        <v>0</v>
      </c>
      <c r="E1916" s="79" t="s">
        <v>1124</v>
      </c>
      <c r="F1916" s="79" t="s">
        <v>2539</v>
      </c>
      <c r="G1916" s="79" t="s">
        <v>1130</v>
      </c>
      <c r="H1916" s="79"/>
      <c r="I1916" s="79"/>
    </row>
    <row r="1917" spans="1:9" ht="14.25">
      <c r="A1917" s="79" t="s">
        <v>3754</v>
      </c>
      <c r="B1917" s="79" t="s">
        <v>3755</v>
      </c>
      <c r="C1917" s="79">
        <v>602565497</v>
      </c>
      <c r="D1917" s="79">
        <v>0</v>
      </c>
      <c r="E1917" s="79" t="s">
        <v>1124</v>
      </c>
      <c r="F1917" s="79" t="s">
        <v>2539</v>
      </c>
      <c r="G1917" s="79" t="s">
        <v>1131</v>
      </c>
      <c r="H1917" s="79" t="s">
        <v>1132</v>
      </c>
      <c r="I1917" s="79"/>
    </row>
    <row r="1918" spans="1:9" ht="14.25">
      <c r="A1918" s="79" t="s">
        <v>3754</v>
      </c>
      <c r="B1918" s="79" t="s">
        <v>3755</v>
      </c>
      <c r="C1918" s="79">
        <v>602565497</v>
      </c>
      <c r="D1918" s="79">
        <v>0</v>
      </c>
      <c r="E1918" s="79" t="s">
        <v>1124</v>
      </c>
      <c r="F1918" s="79" t="s">
        <v>2539</v>
      </c>
      <c r="G1918" s="79" t="s">
        <v>2578</v>
      </c>
      <c r="H1918" s="79"/>
      <c r="I1918" s="79"/>
    </row>
    <row r="1919" spans="1:9" ht="14.25">
      <c r="A1919" s="79" t="s">
        <v>3756</v>
      </c>
      <c r="B1919" s="79" t="s">
        <v>3757</v>
      </c>
      <c r="C1919" s="79">
        <v>602566097</v>
      </c>
      <c r="D1919" s="79">
        <v>0</v>
      </c>
      <c r="E1919" s="79" t="s">
        <v>1124</v>
      </c>
      <c r="F1919" s="79" t="s">
        <v>2539</v>
      </c>
      <c r="G1919" s="79" t="s">
        <v>2546</v>
      </c>
      <c r="H1919" s="79" t="s">
        <v>2547</v>
      </c>
      <c r="I1919" s="79"/>
    </row>
    <row r="1920" spans="1:9" ht="14.25">
      <c r="A1920" s="79" t="s">
        <v>3756</v>
      </c>
      <c r="B1920" s="79" t="s">
        <v>3757</v>
      </c>
      <c r="C1920" s="79">
        <v>602566097</v>
      </c>
      <c r="D1920" s="79">
        <v>0</v>
      </c>
      <c r="E1920" s="79" t="s">
        <v>1124</v>
      </c>
      <c r="F1920" s="79" t="s">
        <v>2539</v>
      </c>
      <c r="G1920" s="79" t="s">
        <v>2581</v>
      </c>
      <c r="H1920" s="79"/>
      <c r="I1920" s="79"/>
    </row>
    <row r="1921" spans="1:9" ht="14.25">
      <c r="A1921" s="79" t="s">
        <v>3758</v>
      </c>
      <c r="B1921" s="79" t="s">
        <v>3759</v>
      </c>
      <c r="C1921" s="79">
        <v>602608697</v>
      </c>
      <c r="D1921" s="79">
        <v>0</v>
      </c>
      <c r="E1921" s="79" t="s">
        <v>1124</v>
      </c>
      <c r="F1921" s="79" t="s">
        <v>2539</v>
      </c>
      <c r="G1921" s="79" t="s">
        <v>1130</v>
      </c>
      <c r="H1921" s="79"/>
      <c r="I1921" s="79"/>
    </row>
    <row r="1922" spans="1:9" ht="14.25">
      <c r="A1922" s="79" t="s">
        <v>3758</v>
      </c>
      <c r="B1922" s="79" t="s">
        <v>3759</v>
      </c>
      <c r="C1922" s="79">
        <v>602608697</v>
      </c>
      <c r="D1922" s="79">
        <v>0</v>
      </c>
      <c r="E1922" s="79" t="s">
        <v>1124</v>
      </c>
      <c r="F1922" s="79" t="s">
        <v>2539</v>
      </c>
      <c r="G1922" s="79" t="s">
        <v>1131</v>
      </c>
      <c r="H1922" s="79" t="s">
        <v>1132</v>
      </c>
      <c r="I1922" s="79"/>
    </row>
    <row r="1923" spans="1:9" ht="14.25">
      <c r="A1923" s="79" t="s">
        <v>3758</v>
      </c>
      <c r="B1923" s="79" t="s">
        <v>3759</v>
      </c>
      <c r="C1923" s="79">
        <v>602608697</v>
      </c>
      <c r="D1923" s="79">
        <v>0</v>
      </c>
      <c r="E1923" s="79" t="s">
        <v>1124</v>
      </c>
      <c r="F1923" s="79" t="s">
        <v>2539</v>
      </c>
      <c r="G1923" s="79" t="s">
        <v>2578</v>
      </c>
      <c r="H1923" s="79"/>
      <c r="I1923" s="79"/>
    </row>
    <row r="1924" spans="1:9" ht="14.25">
      <c r="A1924" s="79" t="s">
        <v>3760</v>
      </c>
      <c r="B1924" s="79" t="s">
        <v>3761</v>
      </c>
      <c r="C1924" s="79">
        <v>602609297</v>
      </c>
      <c r="D1924" s="79">
        <v>0</v>
      </c>
      <c r="E1924" s="79" t="s">
        <v>1124</v>
      </c>
      <c r="F1924" s="79" t="s">
        <v>2539</v>
      </c>
      <c r="G1924" s="79" t="s">
        <v>2546</v>
      </c>
      <c r="H1924" s="79" t="s">
        <v>2547</v>
      </c>
      <c r="I1924" s="79"/>
    </row>
    <row r="1925" spans="1:9" ht="14.25">
      <c r="A1925" s="79" t="s">
        <v>3760</v>
      </c>
      <c r="B1925" s="79" t="s">
        <v>3761</v>
      </c>
      <c r="C1925" s="79">
        <v>602609297</v>
      </c>
      <c r="D1925" s="79">
        <v>0</v>
      </c>
      <c r="E1925" s="79" t="s">
        <v>1124</v>
      </c>
      <c r="F1925" s="79" t="s">
        <v>2539</v>
      </c>
      <c r="G1925" s="79" t="s">
        <v>2581</v>
      </c>
      <c r="H1925" s="79"/>
      <c r="I1925" s="79"/>
    </row>
    <row r="1926" spans="1:9" ht="14.25">
      <c r="A1926" s="79" t="s">
        <v>3762</v>
      </c>
      <c r="B1926" s="79" t="s">
        <v>3763</v>
      </c>
      <c r="C1926" s="79">
        <v>602651897</v>
      </c>
      <c r="D1926" s="79">
        <v>0</v>
      </c>
      <c r="E1926" s="79" t="s">
        <v>1124</v>
      </c>
      <c r="F1926" s="79" t="s">
        <v>2539</v>
      </c>
      <c r="G1926" s="79" t="s">
        <v>1130</v>
      </c>
      <c r="H1926" s="79"/>
      <c r="I1926" s="79"/>
    </row>
    <row r="1927" spans="1:9" ht="14.25">
      <c r="A1927" s="79" t="s">
        <v>3762</v>
      </c>
      <c r="B1927" s="79" t="s">
        <v>3763</v>
      </c>
      <c r="C1927" s="79">
        <v>602651897</v>
      </c>
      <c r="D1927" s="79">
        <v>0</v>
      </c>
      <c r="E1927" s="79" t="s">
        <v>1124</v>
      </c>
      <c r="F1927" s="79" t="s">
        <v>2539</v>
      </c>
      <c r="G1927" s="79" t="s">
        <v>1131</v>
      </c>
      <c r="H1927" s="79" t="s">
        <v>1132</v>
      </c>
      <c r="I1927" s="79"/>
    </row>
    <row r="1928" spans="1:9" ht="14.25">
      <c r="A1928" s="79" t="s">
        <v>3762</v>
      </c>
      <c r="B1928" s="79" t="s">
        <v>3763</v>
      </c>
      <c r="C1928" s="79">
        <v>602651897</v>
      </c>
      <c r="D1928" s="79">
        <v>0</v>
      </c>
      <c r="E1928" s="79" t="s">
        <v>1124</v>
      </c>
      <c r="F1928" s="79" t="s">
        <v>2539</v>
      </c>
      <c r="G1928" s="79" t="s">
        <v>2578</v>
      </c>
      <c r="H1928" s="79"/>
      <c r="I1928" s="79"/>
    </row>
    <row r="1929" spans="1:9" ht="14.25">
      <c r="A1929" s="79" t="s">
        <v>3764</v>
      </c>
      <c r="B1929" s="79" t="s">
        <v>3765</v>
      </c>
      <c r="C1929" s="79">
        <v>602652497</v>
      </c>
      <c r="D1929" s="79">
        <v>0</v>
      </c>
      <c r="E1929" s="79" t="s">
        <v>1124</v>
      </c>
      <c r="F1929" s="79" t="s">
        <v>2539</v>
      </c>
      <c r="G1929" s="79" t="s">
        <v>2546</v>
      </c>
      <c r="H1929" s="79" t="s">
        <v>2547</v>
      </c>
      <c r="I1929" s="79"/>
    </row>
    <row r="1930" spans="1:9" ht="14.25">
      <c r="A1930" s="79" t="s">
        <v>3764</v>
      </c>
      <c r="B1930" s="79" t="s">
        <v>3765</v>
      </c>
      <c r="C1930" s="79">
        <v>602652497</v>
      </c>
      <c r="D1930" s="79">
        <v>0</v>
      </c>
      <c r="E1930" s="79" t="s">
        <v>1124</v>
      </c>
      <c r="F1930" s="79" t="s">
        <v>2539</v>
      </c>
      <c r="G1930" s="79" t="s">
        <v>2581</v>
      </c>
      <c r="H1930" s="79"/>
      <c r="I1930" s="79"/>
    </row>
    <row r="1931" spans="1:9" ht="14.25">
      <c r="A1931" s="79" t="s">
        <v>3766</v>
      </c>
      <c r="B1931" s="79" t="s">
        <v>3767</v>
      </c>
      <c r="C1931" s="79">
        <v>602695097</v>
      </c>
      <c r="D1931" s="79">
        <v>0</v>
      </c>
      <c r="E1931" s="79" t="s">
        <v>1124</v>
      </c>
      <c r="F1931" s="79" t="s">
        <v>2539</v>
      </c>
      <c r="G1931" s="79" t="s">
        <v>1130</v>
      </c>
      <c r="H1931" s="79"/>
      <c r="I1931" s="79"/>
    </row>
    <row r="1932" spans="1:9" ht="14.25">
      <c r="A1932" s="79" t="s">
        <v>3766</v>
      </c>
      <c r="B1932" s="79" t="s">
        <v>3767</v>
      </c>
      <c r="C1932" s="79">
        <v>602695097</v>
      </c>
      <c r="D1932" s="79">
        <v>0</v>
      </c>
      <c r="E1932" s="79" t="s">
        <v>1124</v>
      </c>
      <c r="F1932" s="79" t="s">
        <v>2539</v>
      </c>
      <c r="G1932" s="79" t="s">
        <v>1131</v>
      </c>
      <c r="H1932" s="79" t="s">
        <v>1132</v>
      </c>
      <c r="I1932" s="79"/>
    </row>
    <row r="1933" spans="1:9" ht="14.25">
      <c r="A1933" s="79" t="s">
        <v>3766</v>
      </c>
      <c r="B1933" s="79" t="s">
        <v>3767</v>
      </c>
      <c r="C1933" s="79">
        <v>602695097</v>
      </c>
      <c r="D1933" s="79">
        <v>0</v>
      </c>
      <c r="E1933" s="79" t="s">
        <v>1124</v>
      </c>
      <c r="F1933" s="79" t="s">
        <v>2539</v>
      </c>
      <c r="G1933" s="79" t="s">
        <v>2578</v>
      </c>
      <c r="H1933" s="79"/>
      <c r="I1933" s="79"/>
    </row>
    <row r="1934" spans="1:9" ht="14.25">
      <c r="A1934" s="79" t="s">
        <v>3768</v>
      </c>
      <c r="B1934" s="79" t="s">
        <v>3769</v>
      </c>
      <c r="C1934" s="79">
        <v>602695697</v>
      </c>
      <c r="D1934" s="79">
        <v>0</v>
      </c>
      <c r="E1934" s="79" t="s">
        <v>1124</v>
      </c>
      <c r="F1934" s="79" t="s">
        <v>2539</v>
      </c>
      <c r="G1934" s="79" t="s">
        <v>2546</v>
      </c>
      <c r="H1934" s="79" t="s">
        <v>2547</v>
      </c>
      <c r="I1934" s="79"/>
    </row>
    <row r="1935" spans="1:9" ht="14.25">
      <c r="A1935" s="79" t="s">
        <v>3768</v>
      </c>
      <c r="B1935" s="79" t="s">
        <v>3769</v>
      </c>
      <c r="C1935" s="79">
        <v>602695697</v>
      </c>
      <c r="D1935" s="79">
        <v>0</v>
      </c>
      <c r="E1935" s="79" t="s">
        <v>1124</v>
      </c>
      <c r="F1935" s="79" t="s">
        <v>2539</v>
      </c>
      <c r="G1935" s="79" t="s">
        <v>2581</v>
      </c>
      <c r="H1935" s="79"/>
      <c r="I1935" s="79"/>
    </row>
    <row r="1936" spans="1:9" ht="14.25">
      <c r="A1936" s="79" t="s">
        <v>3770</v>
      </c>
      <c r="B1936" s="79" t="s">
        <v>3771</v>
      </c>
      <c r="C1936" s="79">
        <v>602738297</v>
      </c>
      <c r="D1936" s="79">
        <v>0</v>
      </c>
      <c r="E1936" s="79" t="s">
        <v>1124</v>
      </c>
      <c r="F1936" s="79" t="s">
        <v>2539</v>
      </c>
      <c r="G1936" s="79" t="s">
        <v>1130</v>
      </c>
      <c r="H1936" s="79"/>
      <c r="I1936" s="79"/>
    </row>
    <row r="1937" spans="1:9" ht="14.25">
      <c r="A1937" s="79" t="s">
        <v>3770</v>
      </c>
      <c r="B1937" s="79" t="s">
        <v>3771</v>
      </c>
      <c r="C1937" s="79">
        <v>602738297</v>
      </c>
      <c r="D1937" s="79">
        <v>0</v>
      </c>
      <c r="E1937" s="79" t="s">
        <v>1124</v>
      </c>
      <c r="F1937" s="79" t="s">
        <v>2539</v>
      </c>
      <c r="G1937" s="79" t="s">
        <v>1131</v>
      </c>
      <c r="H1937" s="79" t="s">
        <v>1132</v>
      </c>
      <c r="I1937" s="79"/>
    </row>
    <row r="1938" spans="1:9" ht="14.25">
      <c r="A1938" s="79" t="s">
        <v>3770</v>
      </c>
      <c r="B1938" s="79" t="s">
        <v>3771</v>
      </c>
      <c r="C1938" s="79">
        <v>602738297</v>
      </c>
      <c r="D1938" s="79">
        <v>0</v>
      </c>
      <c r="E1938" s="79" t="s">
        <v>1124</v>
      </c>
      <c r="F1938" s="79" t="s">
        <v>2539</v>
      </c>
      <c r="G1938" s="79" t="s">
        <v>2578</v>
      </c>
      <c r="H1938" s="79"/>
      <c r="I1938" s="79"/>
    </row>
    <row r="1939" spans="1:9" ht="14.25">
      <c r="A1939" s="79" t="s">
        <v>3772</v>
      </c>
      <c r="B1939" s="79" t="s">
        <v>3773</v>
      </c>
      <c r="C1939" s="79">
        <v>602738897</v>
      </c>
      <c r="D1939" s="79">
        <v>0</v>
      </c>
      <c r="E1939" s="79" t="s">
        <v>1124</v>
      </c>
      <c r="F1939" s="79" t="s">
        <v>2539</v>
      </c>
      <c r="G1939" s="79" t="s">
        <v>2546</v>
      </c>
      <c r="H1939" s="79" t="s">
        <v>2547</v>
      </c>
      <c r="I1939" s="79"/>
    </row>
    <row r="1940" spans="1:9" ht="14.25">
      <c r="A1940" s="79" t="s">
        <v>3772</v>
      </c>
      <c r="B1940" s="79" t="s">
        <v>3773</v>
      </c>
      <c r="C1940" s="79">
        <v>602738897</v>
      </c>
      <c r="D1940" s="79">
        <v>0</v>
      </c>
      <c r="E1940" s="79" t="s">
        <v>1124</v>
      </c>
      <c r="F1940" s="79" t="s">
        <v>2539</v>
      </c>
      <c r="G1940" s="79" t="s">
        <v>2581</v>
      </c>
      <c r="H1940" s="79"/>
      <c r="I1940" s="79"/>
    </row>
    <row r="1941" spans="1:9" ht="14.25">
      <c r="A1941" s="79" t="s">
        <v>3774</v>
      </c>
      <c r="B1941" s="79" t="s">
        <v>3775</v>
      </c>
      <c r="C1941" s="79">
        <v>602781497</v>
      </c>
      <c r="D1941" s="79">
        <v>0</v>
      </c>
      <c r="E1941" s="79" t="s">
        <v>1124</v>
      </c>
      <c r="F1941" s="79" t="s">
        <v>2539</v>
      </c>
      <c r="G1941" s="79" t="s">
        <v>1130</v>
      </c>
      <c r="H1941" s="79"/>
      <c r="I1941" s="79"/>
    </row>
    <row r="1942" spans="1:9" ht="14.25">
      <c r="A1942" s="79" t="s">
        <v>3774</v>
      </c>
      <c r="B1942" s="79" t="s">
        <v>3775</v>
      </c>
      <c r="C1942" s="79">
        <v>602781497</v>
      </c>
      <c r="D1942" s="79">
        <v>0</v>
      </c>
      <c r="E1942" s="79" t="s">
        <v>1124</v>
      </c>
      <c r="F1942" s="79" t="s">
        <v>2539</v>
      </c>
      <c r="G1942" s="79" t="s">
        <v>1131</v>
      </c>
      <c r="H1942" s="79" t="s">
        <v>1132</v>
      </c>
      <c r="I1942" s="79"/>
    </row>
    <row r="1943" spans="1:9" ht="14.25">
      <c r="A1943" s="79" t="s">
        <v>3774</v>
      </c>
      <c r="B1943" s="79" t="s">
        <v>3775</v>
      </c>
      <c r="C1943" s="79">
        <v>602781497</v>
      </c>
      <c r="D1943" s="79">
        <v>0</v>
      </c>
      <c r="E1943" s="79" t="s">
        <v>1124</v>
      </c>
      <c r="F1943" s="79" t="s">
        <v>2539</v>
      </c>
      <c r="G1943" s="79" t="s">
        <v>2578</v>
      </c>
      <c r="H1943" s="79"/>
      <c r="I1943" s="79"/>
    </row>
    <row r="1944" spans="1:9" ht="14.25">
      <c r="A1944" s="79" t="s">
        <v>3776</v>
      </c>
      <c r="B1944" s="79" t="s">
        <v>3777</v>
      </c>
      <c r="C1944" s="79">
        <v>602782097</v>
      </c>
      <c r="D1944" s="79">
        <v>0</v>
      </c>
      <c r="E1944" s="79" t="s">
        <v>1124</v>
      </c>
      <c r="F1944" s="79" t="s">
        <v>2539</v>
      </c>
      <c r="G1944" s="79" t="s">
        <v>2546</v>
      </c>
      <c r="H1944" s="79" t="s">
        <v>2547</v>
      </c>
      <c r="I1944" s="79"/>
    </row>
    <row r="1945" spans="1:9" ht="14.25">
      <c r="A1945" s="79" t="s">
        <v>3776</v>
      </c>
      <c r="B1945" s="79" t="s">
        <v>3777</v>
      </c>
      <c r="C1945" s="79">
        <v>602782097</v>
      </c>
      <c r="D1945" s="79">
        <v>0</v>
      </c>
      <c r="E1945" s="79" t="s">
        <v>1124</v>
      </c>
      <c r="F1945" s="79" t="s">
        <v>2539</v>
      </c>
      <c r="G1945" s="79" t="s">
        <v>2581</v>
      </c>
      <c r="H1945" s="79"/>
      <c r="I1945" s="79"/>
    </row>
    <row r="1946" spans="1:9" ht="14.25">
      <c r="A1946" s="79" t="s">
        <v>3778</v>
      </c>
      <c r="B1946" s="79" t="s">
        <v>3779</v>
      </c>
      <c r="C1946" s="79">
        <v>602824697</v>
      </c>
      <c r="D1946" s="79">
        <v>0</v>
      </c>
      <c r="E1946" s="79" t="s">
        <v>1124</v>
      </c>
      <c r="F1946" s="79" t="s">
        <v>2539</v>
      </c>
      <c r="G1946" s="79" t="s">
        <v>1130</v>
      </c>
      <c r="H1946" s="79"/>
      <c r="I1946" s="79"/>
    </row>
    <row r="1947" spans="1:9" ht="14.25">
      <c r="A1947" s="79" t="s">
        <v>3778</v>
      </c>
      <c r="B1947" s="79" t="s">
        <v>3779</v>
      </c>
      <c r="C1947" s="79">
        <v>602824697</v>
      </c>
      <c r="D1947" s="79">
        <v>0</v>
      </c>
      <c r="E1947" s="79" t="s">
        <v>1124</v>
      </c>
      <c r="F1947" s="79" t="s">
        <v>2539</v>
      </c>
      <c r="G1947" s="79" t="s">
        <v>1131</v>
      </c>
      <c r="H1947" s="79" t="s">
        <v>1132</v>
      </c>
      <c r="I1947" s="79"/>
    </row>
    <row r="1948" spans="1:9" ht="14.25">
      <c r="A1948" s="79" t="s">
        <v>3778</v>
      </c>
      <c r="B1948" s="79" t="s">
        <v>3779</v>
      </c>
      <c r="C1948" s="79">
        <v>602824697</v>
      </c>
      <c r="D1948" s="79">
        <v>0</v>
      </c>
      <c r="E1948" s="79" t="s">
        <v>1124</v>
      </c>
      <c r="F1948" s="79" t="s">
        <v>2539</v>
      </c>
      <c r="G1948" s="79" t="s">
        <v>2578</v>
      </c>
      <c r="H1948" s="79"/>
      <c r="I1948" s="79"/>
    </row>
    <row r="1949" spans="1:9" ht="14.25">
      <c r="A1949" s="79" t="s">
        <v>3780</v>
      </c>
      <c r="B1949" s="79" t="s">
        <v>3781</v>
      </c>
      <c r="C1949" s="79">
        <v>602825297</v>
      </c>
      <c r="D1949" s="79">
        <v>0</v>
      </c>
      <c r="E1949" s="79" t="s">
        <v>1124</v>
      </c>
      <c r="F1949" s="79" t="s">
        <v>2539</v>
      </c>
      <c r="G1949" s="79" t="s">
        <v>2546</v>
      </c>
      <c r="H1949" s="79" t="s">
        <v>2547</v>
      </c>
      <c r="I1949" s="79"/>
    </row>
    <row r="1950" spans="1:9" ht="14.25">
      <c r="A1950" s="79" t="s">
        <v>3780</v>
      </c>
      <c r="B1950" s="79" t="s">
        <v>3781</v>
      </c>
      <c r="C1950" s="79">
        <v>602825297</v>
      </c>
      <c r="D1950" s="79">
        <v>0</v>
      </c>
      <c r="E1950" s="79" t="s">
        <v>1124</v>
      </c>
      <c r="F1950" s="79" t="s">
        <v>2539</v>
      </c>
      <c r="G1950" s="79" t="s">
        <v>2581</v>
      </c>
      <c r="H1950" s="79"/>
      <c r="I1950" s="79"/>
    </row>
    <row r="1951" spans="1:9" ht="14.25">
      <c r="A1951" s="79" t="s">
        <v>3782</v>
      </c>
      <c r="B1951" s="79" t="s">
        <v>3783</v>
      </c>
      <c r="C1951" s="79">
        <v>602867897</v>
      </c>
      <c r="D1951" s="79">
        <v>0</v>
      </c>
      <c r="E1951" s="79" t="s">
        <v>1124</v>
      </c>
      <c r="F1951" s="79" t="s">
        <v>2539</v>
      </c>
      <c r="G1951" s="79" t="s">
        <v>1130</v>
      </c>
      <c r="H1951" s="79"/>
      <c r="I1951" s="79"/>
    </row>
    <row r="1952" spans="1:9" ht="14.25">
      <c r="A1952" s="79" t="s">
        <v>3782</v>
      </c>
      <c r="B1952" s="79" t="s">
        <v>3783</v>
      </c>
      <c r="C1952" s="79">
        <v>602867897</v>
      </c>
      <c r="D1952" s="79">
        <v>0</v>
      </c>
      <c r="E1952" s="79" t="s">
        <v>1124</v>
      </c>
      <c r="F1952" s="79" t="s">
        <v>2539</v>
      </c>
      <c r="G1952" s="79" t="s">
        <v>1131</v>
      </c>
      <c r="H1952" s="79" t="s">
        <v>1132</v>
      </c>
      <c r="I1952" s="79"/>
    </row>
    <row r="1953" spans="1:9" ht="14.25">
      <c r="A1953" s="79" t="s">
        <v>3782</v>
      </c>
      <c r="B1953" s="79" t="s">
        <v>3783</v>
      </c>
      <c r="C1953" s="79">
        <v>602867897</v>
      </c>
      <c r="D1953" s="79">
        <v>0</v>
      </c>
      <c r="E1953" s="79" t="s">
        <v>1124</v>
      </c>
      <c r="F1953" s="79" t="s">
        <v>2539</v>
      </c>
      <c r="G1953" s="79" t="s">
        <v>2578</v>
      </c>
      <c r="H1953" s="79"/>
      <c r="I1953" s="79"/>
    </row>
    <row r="1954" spans="1:9" ht="14.25">
      <c r="A1954" s="79" t="s">
        <v>3784</v>
      </c>
      <c r="B1954" s="79" t="s">
        <v>3785</v>
      </c>
      <c r="C1954" s="79">
        <v>602868497</v>
      </c>
      <c r="D1954" s="79">
        <v>0</v>
      </c>
      <c r="E1954" s="79" t="s">
        <v>1124</v>
      </c>
      <c r="F1954" s="79" t="s">
        <v>2539</v>
      </c>
      <c r="G1954" s="79" t="s">
        <v>2546</v>
      </c>
      <c r="H1954" s="79" t="s">
        <v>2547</v>
      </c>
      <c r="I1954" s="79"/>
    </row>
    <row r="1955" spans="1:9" ht="14.25">
      <c r="A1955" s="79" t="s">
        <v>3784</v>
      </c>
      <c r="B1955" s="79" t="s">
        <v>3785</v>
      </c>
      <c r="C1955" s="79">
        <v>602868497</v>
      </c>
      <c r="D1955" s="79">
        <v>0</v>
      </c>
      <c r="E1955" s="79" t="s">
        <v>1124</v>
      </c>
      <c r="F1955" s="79" t="s">
        <v>2539</v>
      </c>
      <c r="G1955" s="79" t="s">
        <v>2581</v>
      </c>
      <c r="H1955" s="79"/>
      <c r="I1955" s="79"/>
    </row>
    <row r="1956" spans="1:9" ht="14.25">
      <c r="A1956" s="79" t="s">
        <v>3786</v>
      </c>
      <c r="B1956" s="79" t="s">
        <v>3787</v>
      </c>
      <c r="C1956" s="79">
        <v>602911097</v>
      </c>
      <c r="D1956" s="79">
        <v>0</v>
      </c>
      <c r="E1956" s="79" t="s">
        <v>1124</v>
      </c>
      <c r="F1956" s="79" t="s">
        <v>2539</v>
      </c>
      <c r="G1956" s="79" t="s">
        <v>1130</v>
      </c>
      <c r="H1956" s="79"/>
      <c r="I1956" s="79"/>
    </row>
    <row r="1957" spans="1:9" ht="14.25">
      <c r="A1957" s="79" t="s">
        <v>3786</v>
      </c>
      <c r="B1957" s="79" t="s">
        <v>3787</v>
      </c>
      <c r="C1957" s="79">
        <v>602911097</v>
      </c>
      <c r="D1957" s="79">
        <v>0</v>
      </c>
      <c r="E1957" s="79" t="s">
        <v>1124</v>
      </c>
      <c r="F1957" s="79" t="s">
        <v>2539</v>
      </c>
      <c r="G1957" s="79" t="s">
        <v>1131</v>
      </c>
      <c r="H1957" s="79" t="s">
        <v>1132</v>
      </c>
      <c r="I1957" s="79"/>
    </row>
    <row r="1958" spans="1:9" ht="14.25">
      <c r="A1958" s="79" t="s">
        <v>3786</v>
      </c>
      <c r="B1958" s="79" t="s">
        <v>3787</v>
      </c>
      <c r="C1958" s="79">
        <v>602911097</v>
      </c>
      <c r="D1958" s="79">
        <v>0</v>
      </c>
      <c r="E1958" s="79" t="s">
        <v>1124</v>
      </c>
      <c r="F1958" s="79" t="s">
        <v>2539</v>
      </c>
      <c r="G1958" s="79" t="s">
        <v>2578</v>
      </c>
      <c r="H1958" s="79"/>
      <c r="I1958" s="79"/>
    </row>
    <row r="1959" spans="1:9" ht="14.25">
      <c r="A1959" s="79" t="s">
        <v>3788</v>
      </c>
      <c r="B1959" s="79" t="s">
        <v>3789</v>
      </c>
      <c r="C1959" s="79">
        <v>602911697</v>
      </c>
      <c r="D1959" s="79">
        <v>0</v>
      </c>
      <c r="E1959" s="79" t="s">
        <v>1124</v>
      </c>
      <c r="F1959" s="79" t="s">
        <v>2539</v>
      </c>
      <c r="G1959" s="79" t="s">
        <v>2546</v>
      </c>
      <c r="H1959" s="79" t="s">
        <v>2547</v>
      </c>
      <c r="I1959" s="79"/>
    </row>
    <row r="1960" spans="1:9" ht="14.25">
      <c r="A1960" s="79" t="s">
        <v>3788</v>
      </c>
      <c r="B1960" s="79" t="s">
        <v>3789</v>
      </c>
      <c r="C1960" s="79">
        <v>602911697</v>
      </c>
      <c r="D1960" s="79">
        <v>0</v>
      </c>
      <c r="E1960" s="79" t="s">
        <v>1124</v>
      </c>
      <c r="F1960" s="79" t="s">
        <v>2539</v>
      </c>
      <c r="G1960" s="79" t="s">
        <v>2581</v>
      </c>
      <c r="H1960" s="79"/>
      <c r="I1960" s="79"/>
    </row>
    <row r="1961" spans="1:9" ht="14.25">
      <c r="A1961" s="79" t="s">
        <v>3790</v>
      </c>
      <c r="B1961" s="79" t="s">
        <v>3791</v>
      </c>
      <c r="C1961" s="79">
        <v>602954297</v>
      </c>
      <c r="D1961" s="79">
        <v>0</v>
      </c>
      <c r="E1961" s="79" t="s">
        <v>1124</v>
      </c>
      <c r="F1961" s="79" t="s">
        <v>2539</v>
      </c>
      <c r="G1961" s="79" t="s">
        <v>1130</v>
      </c>
      <c r="H1961" s="79"/>
      <c r="I1961" s="79"/>
    </row>
    <row r="1962" spans="1:9" ht="14.25">
      <c r="A1962" s="79" t="s">
        <v>3790</v>
      </c>
      <c r="B1962" s="79" t="s">
        <v>3791</v>
      </c>
      <c r="C1962" s="79">
        <v>602954297</v>
      </c>
      <c r="D1962" s="79">
        <v>0</v>
      </c>
      <c r="E1962" s="79" t="s">
        <v>1124</v>
      </c>
      <c r="F1962" s="79" t="s">
        <v>2539</v>
      </c>
      <c r="G1962" s="79" t="s">
        <v>1131</v>
      </c>
      <c r="H1962" s="79" t="s">
        <v>1132</v>
      </c>
      <c r="I1962" s="79"/>
    </row>
    <row r="1963" spans="1:9" ht="14.25">
      <c r="A1963" s="79" t="s">
        <v>3790</v>
      </c>
      <c r="B1963" s="79" t="s">
        <v>3791</v>
      </c>
      <c r="C1963" s="79">
        <v>602954297</v>
      </c>
      <c r="D1963" s="79">
        <v>0</v>
      </c>
      <c r="E1963" s="79" t="s">
        <v>1124</v>
      </c>
      <c r="F1963" s="79" t="s">
        <v>2539</v>
      </c>
      <c r="G1963" s="79" t="s">
        <v>2578</v>
      </c>
      <c r="H1963" s="79"/>
      <c r="I1963" s="79"/>
    </row>
    <row r="1964" spans="1:9" ht="14.25">
      <c r="A1964" s="79" t="s">
        <v>3792</v>
      </c>
      <c r="B1964" s="79" t="s">
        <v>3793</v>
      </c>
      <c r="C1964" s="79">
        <v>602954897</v>
      </c>
      <c r="D1964" s="79">
        <v>0</v>
      </c>
      <c r="E1964" s="79" t="s">
        <v>1124</v>
      </c>
      <c r="F1964" s="79" t="s">
        <v>2539</v>
      </c>
      <c r="G1964" s="79" t="s">
        <v>2546</v>
      </c>
      <c r="H1964" s="79" t="s">
        <v>2547</v>
      </c>
      <c r="I1964" s="79"/>
    </row>
    <row r="1965" spans="1:9" ht="14.25">
      <c r="A1965" s="79" t="s">
        <v>3792</v>
      </c>
      <c r="B1965" s="79" t="s">
        <v>3793</v>
      </c>
      <c r="C1965" s="79">
        <v>602954897</v>
      </c>
      <c r="D1965" s="79">
        <v>0</v>
      </c>
      <c r="E1965" s="79" t="s">
        <v>1124</v>
      </c>
      <c r="F1965" s="79" t="s">
        <v>2539</v>
      </c>
      <c r="G1965" s="79" t="s">
        <v>2581</v>
      </c>
      <c r="H1965" s="79"/>
      <c r="I1965" s="79"/>
    </row>
    <row r="1966" spans="1:9" ht="14.25">
      <c r="A1966" s="79" t="s">
        <v>3794</v>
      </c>
      <c r="B1966" s="79" t="s">
        <v>3795</v>
      </c>
      <c r="C1966" s="79">
        <v>602997497</v>
      </c>
      <c r="D1966" s="79">
        <v>0</v>
      </c>
      <c r="E1966" s="79" t="s">
        <v>1124</v>
      </c>
      <c r="F1966" s="79" t="s">
        <v>2539</v>
      </c>
      <c r="G1966" s="79" t="s">
        <v>1130</v>
      </c>
      <c r="H1966" s="79"/>
      <c r="I1966" s="79"/>
    </row>
    <row r="1967" spans="1:9" ht="14.25">
      <c r="A1967" s="79" t="s">
        <v>3794</v>
      </c>
      <c r="B1967" s="79" t="s">
        <v>3795</v>
      </c>
      <c r="C1967" s="79">
        <v>602997497</v>
      </c>
      <c r="D1967" s="79">
        <v>0</v>
      </c>
      <c r="E1967" s="79" t="s">
        <v>1124</v>
      </c>
      <c r="F1967" s="79" t="s">
        <v>2539</v>
      </c>
      <c r="G1967" s="79" t="s">
        <v>1131</v>
      </c>
      <c r="H1967" s="79" t="s">
        <v>1132</v>
      </c>
      <c r="I1967" s="79"/>
    </row>
    <row r="1968" spans="1:9" ht="14.25">
      <c r="A1968" s="79" t="s">
        <v>3794</v>
      </c>
      <c r="B1968" s="79" t="s">
        <v>3795</v>
      </c>
      <c r="C1968" s="79">
        <v>602997497</v>
      </c>
      <c r="D1968" s="79">
        <v>0</v>
      </c>
      <c r="E1968" s="79" t="s">
        <v>1124</v>
      </c>
      <c r="F1968" s="79" t="s">
        <v>2539</v>
      </c>
      <c r="G1968" s="79" t="s">
        <v>2578</v>
      </c>
      <c r="H1968" s="79"/>
      <c r="I1968" s="79"/>
    </row>
    <row r="1969" spans="1:9" ht="14.25">
      <c r="A1969" s="79" t="s">
        <v>3796</v>
      </c>
      <c r="B1969" s="79" t="s">
        <v>3797</v>
      </c>
      <c r="C1969" s="79">
        <v>602998097</v>
      </c>
      <c r="D1969" s="79">
        <v>0</v>
      </c>
      <c r="E1969" s="79" t="s">
        <v>1124</v>
      </c>
      <c r="F1969" s="79" t="s">
        <v>2539</v>
      </c>
      <c r="G1969" s="79" t="s">
        <v>2546</v>
      </c>
      <c r="H1969" s="79" t="s">
        <v>2547</v>
      </c>
      <c r="I1969" s="79"/>
    </row>
    <row r="1970" spans="1:9" ht="14.25">
      <c r="A1970" s="79" t="s">
        <v>3796</v>
      </c>
      <c r="B1970" s="79" t="s">
        <v>3797</v>
      </c>
      <c r="C1970" s="79">
        <v>602998097</v>
      </c>
      <c r="D1970" s="79">
        <v>0</v>
      </c>
      <c r="E1970" s="79" t="s">
        <v>1124</v>
      </c>
      <c r="F1970" s="79" t="s">
        <v>2539</v>
      </c>
      <c r="G1970" s="79" t="s">
        <v>2581</v>
      </c>
      <c r="H1970" s="79"/>
      <c r="I1970" s="79"/>
    </row>
    <row r="1971" spans="1:9" ht="14.25">
      <c r="A1971" s="79" t="s">
        <v>3798</v>
      </c>
      <c r="B1971" s="79" t="s">
        <v>3799</v>
      </c>
      <c r="C1971" s="79">
        <v>603040697</v>
      </c>
      <c r="D1971" s="79">
        <v>0</v>
      </c>
      <c r="E1971" s="79" t="s">
        <v>1124</v>
      </c>
      <c r="F1971" s="79" t="s">
        <v>2539</v>
      </c>
      <c r="G1971" s="79" t="s">
        <v>1130</v>
      </c>
      <c r="H1971" s="79"/>
      <c r="I1971" s="79"/>
    </row>
    <row r="1972" spans="1:9" ht="14.25">
      <c r="A1972" s="79" t="s">
        <v>3798</v>
      </c>
      <c r="B1972" s="79" t="s">
        <v>3799</v>
      </c>
      <c r="C1972" s="79">
        <v>603040697</v>
      </c>
      <c r="D1972" s="79">
        <v>0</v>
      </c>
      <c r="E1972" s="79" t="s">
        <v>1124</v>
      </c>
      <c r="F1972" s="79" t="s">
        <v>2539</v>
      </c>
      <c r="G1972" s="79" t="s">
        <v>1131</v>
      </c>
      <c r="H1972" s="79" t="s">
        <v>1132</v>
      </c>
      <c r="I1972" s="79"/>
    </row>
    <row r="1973" spans="1:9" ht="14.25">
      <c r="A1973" s="79" t="s">
        <v>3798</v>
      </c>
      <c r="B1973" s="79" t="s">
        <v>3799</v>
      </c>
      <c r="C1973" s="79">
        <v>603040697</v>
      </c>
      <c r="D1973" s="79">
        <v>0</v>
      </c>
      <c r="E1973" s="79" t="s">
        <v>1124</v>
      </c>
      <c r="F1973" s="79" t="s">
        <v>2539</v>
      </c>
      <c r="G1973" s="79" t="s">
        <v>2578</v>
      </c>
      <c r="H1973" s="79"/>
      <c r="I1973" s="79"/>
    </row>
    <row r="1974" spans="1:9" ht="14.25">
      <c r="A1974" s="79" t="s">
        <v>3800</v>
      </c>
      <c r="B1974" s="79" t="s">
        <v>3801</v>
      </c>
      <c r="C1974" s="79">
        <v>603041297</v>
      </c>
      <c r="D1974" s="79">
        <v>0</v>
      </c>
      <c r="E1974" s="79" t="s">
        <v>1124</v>
      </c>
      <c r="F1974" s="79" t="s">
        <v>2539</v>
      </c>
      <c r="G1974" s="79" t="s">
        <v>2546</v>
      </c>
      <c r="H1974" s="79" t="s">
        <v>2547</v>
      </c>
      <c r="I1974" s="79"/>
    </row>
    <row r="1975" spans="1:9" ht="14.25">
      <c r="A1975" s="79" t="s">
        <v>3800</v>
      </c>
      <c r="B1975" s="79" t="s">
        <v>3801</v>
      </c>
      <c r="C1975" s="79">
        <v>603041297</v>
      </c>
      <c r="D1975" s="79">
        <v>0</v>
      </c>
      <c r="E1975" s="79" t="s">
        <v>1124</v>
      </c>
      <c r="F1975" s="79" t="s">
        <v>2539</v>
      </c>
      <c r="G1975" s="79" t="s">
        <v>2581</v>
      </c>
      <c r="H1975" s="79"/>
      <c r="I1975" s="79"/>
    </row>
    <row r="1976" spans="1:9" ht="14.25">
      <c r="A1976" s="79" t="s">
        <v>3802</v>
      </c>
      <c r="B1976" s="79" t="s">
        <v>3803</v>
      </c>
      <c r="C1976" s="79">
        <v>603083897</v>
      </c>
      <c r="D1976" s="79">
        <v>0</v>
      </c>
      <c r="E1976" s="79" t="s">
        <v>1124</v>
      </c>
      <c r="F1976" s="79" t="s">
        <v>2539</v>
      </c>
      <c r="G1976" s="79" t="s">
        <v>1130</v>
      </c>
      <c r="H1976" s="79"/>
      <c r="I1976" s="79"/>
    </row>
    <row r="1977" spans="1:9" ht="14.25">
      <c r="A1977" s="79" t="s">
        <v>3802</v>
      </c>
      <c r="B1977" s="79" t="s">
        <v>3803</v>
      </c>
      <c r="C1977" s="79">
        <v>603083897</v>
      </c>
      <c r="D1977" s="79">
        <v>0</v>
      </c>
      <c r="E1977" s="79" t="s">
        <v>1124</v>
      </c>
      <c r="F1977" s="79" t="s">
        <v>2539</v>
      </c>
      <c r="G1977" s="79" t="s">
        <v>1131</v>
      </c>
      <c r="H1977" s="79" t="s">
        <v>1132</v>
      </c>
      <c r="I1977" s="79"/>
    </row>
    <row r="1978" spans="1:9" ht="14.25">
      <c r="A1978" s="79" t="s">
        <v>3802</v>
      </c>
      <c r="B1978" s="79" t="s">
        <v>3803</v>
      </c>
      <c r="C1978" s="79">
        <v>603083897</v>
      </c>
      <c r="D1978" s="79">
        <v>0</v>
      </c>
      <c r="E1978" s="79" t="s">
        <v>1124</v>
      </c>
      <c r="F1978" s="79" t="s">
        <v>2539</v>
      </c>
      <c r="G1978" s="79" t="s">
        <v>2578</v>
      </c>
      <c r="H1978" s="79"/>
      <c r="I1978" s="79"/>
    </row>
    <row r="1979" spans="1:9" ht="14.25">
      <c r="A1979" s="79" t="s">
        <v>3804</v>
      </c>
      <c r="B1979" s="79" t="s">
        <v>3805</v>
      </c>
      <c r="C1979" s="79">
        <v>603084497</v>
      </c>
      <c r="D1979" s="79">
        <v>0</v>
      </c>
      <c r="E1979" s="79" t="s">
        <v>1124</v>
      </c>
      <c r="F1979" s="79" t="s">
        <v>2539</v>
      </c>
      <c r="G1979" s="79" t="s">
        <v>2546</v>
      </c>
      <c r="H1979" s="79" t="s">
        <v>2547</v>
      </c>
      <c r="I1979" s="79"/>
    </row>
    <row r="1980" spans="1:9" ht="14.25">
      <c r="A1980" s="79" t="s">
        <v>3804</v>
      </c>
      <c r="B1980" s="79" t="s">
        <v>3805</v>
      </c>
      <c r="C1980" s="79">
        <v>603084497</v>
      </c>
      <c r="D1980" s="79">
        <v>0</v>
      </c>
      <c r="E1980" s="79" t="s">
        <v>1124</v>
      </c>
      <c r="F1980" s="79" t="s">
        <v>2539</v>
      </c>
      <c r="G1980" s="79" t="s">
        <v>2581</v>
      </c>
      <c r="H1980" s="79"/>
      <c r="I1980" s="79"/>
    </row>
    <row r="1981" spans="1:9" ht="14.25">
      <c r="A1981" s="79" t="s">
        <v>3806</v>
      </c>
      <c r="B1981" s="79" t="s">
        <v>3807</v>
      </c>
      <c r="C1981" s="79">
        <v>603127097</v>
      </c>
      <c r="D1981" s="79">
        <v>0</v>
      </c>
      <c r="E1981" s="79" t="s">
        <v>1124</v>
      </c>
      <c r="F1981" s="79" t="s">
        <v>2539</v>
      </c>
      <c r="G1981" s="79" t="s">
        <v>1130</v>
      </c>
      <c r="H1981" s="79"/>
      <c r="I1981" s="79"/>
    </row>
    <row r="1982" spans="1:9" ht="14.25">
      <c r="A1982" s="79" t="s">
        <v>3806</v>
      </c>
      <c r="B1982" s="79" t="s">
        <v>3807</v>
      </c>
      <c r="C1982" s="79">
        <v>603127097</v>
      </c>
      <c r="D1982" s="79">
        <v>0</v>
      </c>
      <c r="E1982" s="79" t="s">
        <v>1124</v>
      </c>
      <c r="F1982" s="79" t="s">
        <v>2539</v>
      </c>
      <c r="G1982" s="79" t="s">
        <v>1131</v>
      </c>
      <c r="H1982" s="79" t="s">
        <v>1132</v>
      </c>
      <c r="I1982" s="79"/>
    </row>
    <row r="1983" spans="1:9" ht="14.25">
      <c r="A1983" s="79" t="s">
        <v>3806</v>
      </c>
      <c r="B1983" s="79" t="s">
        <v>3807</v>
      </c>
      <c r="C1983" s="79">
        <v>603127097</v>
      </c>
      <c r="D1983" s="79">
        <v>0</v>
      </c>
      <c r="E1983" s="79" t="s">
        <v>1124</v>
      </c>
      <c r="F1983" s="79" t="s">
        <v>2539</v>
      </c>
      <c r="G1983" s="79" t="s">
        <v>2578</v>
      </c>
      <c r="H1983" s="79"/>
      <c r="I1983" s="79"/>
    </row>
    <row r="1984" spans="1:9" ht="14.25">
      <c r="A1984" s="79" t="s">
        <v>3808</v>
      </c>
      <c r="B1984" s="79" t="s">
        <v>3809</v>
      </c>
      <c r="C1984" s="79">
        <v>603127697</v>
      </c>
      <c r="D1984" s="79">
        <v>0</v>
      </c>
      <c r="E1984" s="79" t="s">
        <v>1124</v>
      </c>
      <c r="F1984" s="79" t="s">
        <v>2539</v>
      </c>
      <c r="G1984" s="79" t="s">
        <v>2546</v>
      </c>
      <c r="H1984" s="79" t="s">
        <v>2547</v>
      </c>
      <c r="I1984" s="79"/>
    </row>
    <row r="1985" spans="1:9" ht="14.25">
      <c r="A1985" s="79" t="s">
        <v>3808</v>
      </c>
      <c r="B1985" s="79" t="s">
        <v>3809</v>
      </c>
      <c r="C1985" s="79">
        <v>603127697</v>
      </c>
      <c r="D1985" s="79">
        <v>0</v>
      </c>
      <c r="E1985" s="79" t="s">
        <v>1124</v>
      </c>
      <c r="F1985" s="79" t="s">
        <v>2539</v>
      </c>
      <c r="G1985" s="79" t="s">
        <v>2581</v>
      </c>
      <c r="H1985" s="79"/>
      <c r="I1985" s="79"/>
    </row>
    <row r="1986" spans="1:9" ht="14.25">
      <c r="A1986" s="79" t="s">
        <v>3810</v>
      </c>
      <c r="B1986" s="79" t="s">
        <v>3811</v>
      </c>
      <c r="C1986" s="79">
        <v>603170297</v>
      </c>
      <c r="D1986" s="79">
        <v>0</v>
      </c>
      <c r="E1986" s="79" t="s">
        <v>1124</v>
      </c>
      <c r="F1986" s="79" t="s">
        <v>2539</v>
      </c>
      <c r="G1986" s="79" t="s">
        <v>1130</v>
      </c>
      <c r="H1986" s="79"/>
      <c r="I1986" s="79"/>
    </row>
    <row r="1987" spans="1:9" ht="14.25">
      <c r="A1987" s="79" t="s">
        <v>3810</v>
      </c>
      <c r="B1987" s="79" t="s">
        <v>3811</v>
      </c>
      <c r="C1987" s="79">
        <v>603170297</v>
      </c>
      <c r="D1987" s="79">
        <v>0</v>
      </c>
      <c r="E1987" s="79" t="s">
        <v>1124</v>
      </c>
      <c r="F1987" s="79" t="s">
        <v>2539</v>
      </c>
      <c r="G1987" s="79" t="s">
        <v>1131</v>
      </c>
      <c r="H1987" s="79" t="s">
        <v>1132</v>
      </c>
      <c r="I1987" s="79"/>
    </row>
    <row r="1988" spans="1:9" ht="14.25">
      <c r="A1988" s="79" t="s">
        <v>3810</v>
      </c>
      <c r="B1988" s="79" t="s">
        <v>3811</v>
      </c>
      <c r="C1988" s="79">
        <v>603170297</v>
      </c>
      <c r="D1988" s="79">
        <v>0</v>
      </c>
      <c r="E1988" s="79" t="s">
        <v>1124</v>
      </c>
      <c r="F1988" s="79" t="s">
        <v>2539</v>
      </c>
      <c r="G1988" s="79" t="s">
        <v>2578</v>
      </c>
      <c r="H1988" s="79"/>
      <c r="I1988" s="79"/>
    </row>
    <row r="1989" spans="1:9" ht="14.25">
      <c r="A1989" s="79" t="s">
        <v>3812</v>
      </c>
      <c r="B1989" s="79" t="s">
        <v>3813</v>
      </c>
      <c r="C1989" s="79">
        <v>603170897</v>
      </c>
      <c r="D1989" s="79">
        <v>0</v>
      </c>
      <c r="E1989" s="79" t="s">
        <v>1124</v>
      </c>
      <c r="F1989" s="79" t="s">
        <v>2539</v>
      </c>
      <c r="G1989" s="79" t="s">
        <v>2546</v>
      </c>
      <c r="H1989" s="79" t="s">
        <v>2547</v>
      </c>
      <c r="I1989" s="79"/>
    </row>
    <row r="1990" spans="1:9" ht="14.25">
      <c r="A1990" s="79" t="s">
        <v>3812</v>
      </c>
      <c r="B1990" s="79" t="s">
        <v>3813</v>
      </c>
      <c r="C1990" s="79">
        <v>603170897</v>
      </c>
      <c r="D1990" s="79">
        <v>0</v>
      </c>
      <c r="E1990" s="79" t="s">
        <v>1124</v>
      </c>
      <c r="F1990" s="79" t="s">
        <v>2539</v>
      </c>
      <c r="G1990" s="79" t="s">
        <v>2581</v>
      </c>
      <c r="H1990" s="79"/>
      <c r="I1990" s="79"/>
    </row>
    <row r="1991" spans="1:9" ht="14.25">
      <c r="A1991" s="79" t="s">
        <v>3814</v>
      </c>
      <c r="B1991" s="79" t="s">
        <v>3815</v>
      </c>
      <c r="C1991" s="79">
        <v>603213497</v>
      </c>
      <c r="D1991" s="79">
        <v>0</v>
      </c>
      <c r="E1991" s="79" t="s">
        <v>1124</v>
      </c>
      <c r="F1991" s="79" t="s">
        <v>2539</v>
      </c>
      <c r="G1991" s="79" t="s">
        <v>1130</v>
      </c>
      <c r="H1991" s="79"/>
      <c r="I1991" s="79"/>
    </row>
    <row r="1992" spans="1:9" ht="14.25">
      <c r="A1992" s="79" t="s">
        <v>3814</v>
      </c>
      <c r="B1992" s="79" t="s">
        <v>3815</v>
      </c>
      <c r="C1992" s="79">
        <v>603213497</v>
      </c>
      <c r="D1992" s="79">
        <v>0</v>
      </c>
      <c r="E1992" s="79" t="s">
        <v>1124</v>
      </c>
      <c r="F1992" s="79" t="s">
        <v>2539</v>
      </c>
      <c r="G1992" s="79" t="s">
        <v>1131</v>
      </c>
      <c r="H1992" s="79" t="s">
        <v>1132</v>
      </c>
      <c r="I1992" s="79"/>
    </row>
    <row r="1993" spans="1:9" ht="14.25">
      <c r="A1993" s="79" t="s">
        <v>3814</v>
      </c>
      <c r="B1993" s="79" t="s">
        <v>3815</v>
      </c>
      <c r="C1993" s="79">
        <v>603213497</v>
      </c>
      <c r="D1993" s="79">
        <v>0</v>
      </c>
      <c r="E1993" s="79" t="s">
        <v>1124</v>
      </c>
      <c r="F1993" s="79" t="s">
        <v>2539</v>
      </c>
      <c r="G1993" s="79" t="s">
        <v>2578</v>
      </c>
      <c r="H1993" s="79"/>
      <c r="I1993" s="79"/>
    </row>
    <row r="1994" spans="1:9" ht="14.25">
      <c r="A1994" s="79" t="s">
        <v>3816</v>
      </c>
      <c r="B1994" s="79" t="s">
        <v>3817</v>
      </c>
      <c r="C1994" s="79">
        <v>603214097</v>
      </c>
      <c r="D1994" s="79">
        <v>0</v>
      </c>
      <c r="E1994" s="79" t="s">
        <v>1124</v>
      </c>
      <c r="F1994" s="79" t="s">
        <v>2539</v>
      </c>
      <c r="G1994" s="79" t="s">
        <v>2546</v>
      </c>
      <c r="H1994" s="79" t="s">
        <v>2547</v>
      </c>
      <c r="I1994" s="79"/>
    </row>
    <row r="1995" spans="1:9" ht="14.25">
      <c r="A1995" s="79" t="s">
        <v>3816</v>
      </c>
      <c r="B1995" s="79" t="s">
        <v>3817</v>
      </c>
      <c r="C1995" s="79">
        <v>603214097</v>
      </c>
      <c r="D1995" s="79">
        <v>0</v>
      </c>
      <c r="E1995" s="79" t="s">
        <v>1124</v>
      </c>
      <c r="F1995" s="79" t="s">
        <v>2539</v>
      </c>
      <c r="G1995" s="79" t="s">
        <v>2581</v>
      </c>
      <c r="H1995" s="79"/>
      <c r="I1995" s="79"/>
    </row>
    <row r="1996" spans="1:9" ht="14.25">
      <c r="A1996" s="79" t="s">
        <v>3818</v>
      </c>
      <c r="B1996" s="79" t="s">
        <v>3819</v>
      </c>
      <c r="C1996" s="79">
        <v>603256697</v>
      </c>
      <c r="D1996" s="79">
        <v>0</v>
      </c>
      <c r="E1996" s="79" t="s">
        <v>1124</v>
      </c>
      <c r="F1996" s="79" t="s">
        <v>2539</v>
      </c>
      <c r="G1996" s="79" t="s">
        <v>1130</v>
      </c>
      <c r="H1996" s="79"/>
      <c r="I1996" s="79"/>
    </row>
    <row r="1997" spans="1:9" ht="14.25">
      <c r="A1997" s="79" t="s">
        <v>3818</v>
      </c>
      <c r="B1997" s="79" t="s">
        <v>3819</v>
      </c>
      <c r="C1997" s="79">
        <v>603256697</v>
      </c>
      <c r="D1997" s="79">
        <v>0</v>
      </c>
      <c r="E1997" s="79" t="s">
        <v>1124</v>
      </c>
      <c r="F1997" s="79" t="s">
        <v>2539</v>
      </c>
      <c r="G1997" s="79" t="s">
        <v>1131</v>
      </c>
      <c r="H1997" s="79" t="s">
        <v>1132</v>
      </c>
      <c r="I1997" s="79"/>
    </row>
    <row r="1998" spans="1:9" ht="14.25">
      <c r="A1998" s="79" t="s">
        <v>3818</v>
      </c>
      <c r="B1998" s="79" t="s">
        <v>3819</v>
      </c>
      <c r="C1998" s="79">
        <v>603256697</v>
      </c>
      <c r="D1998" s="79">
        <v>0</v>
      </c>
      <c r="E1998" s="79" t="s">
        <v>1124</v>
      </c>
      <c r="F1998" s="79" t="s">
        <v>2539</v>
      </c>
      <c r="G1998" s="79" t="s">
        <v>2578</v>
      </c>
      <c r="H1998" s="79"/>
      <c r="I1998" s="79"/>
    </row>
    <row r="1999" spans="1:9" ht="14.25">
      <c r="A1999" s="79" t="s">
        <v>3820</v>
      </c>
      <c r="B1999" s="79" t="s">
        <v>3821</v>
      </c>
      <c r="C1999" s="79">
        <v>603257297</v>
      </c>
      <c r="D1999" s="79">
        <v>0</v>
      </c>
      <c r="E1999" s="79" t="s">
        <v>1124</v>
      </c>
      <c r="F1999" s="79" t="s">
        <v>2539</v>
      </c>
      <c r="G1999" s="79" t="s">
        <v>2546</v>
      </c>
      <c r="H1999" s="79" t="s">
        <v>2547</v>
      </c>
      <c r="I1999" s="79"/>
    </row>
    <row r="2000" spans="1:9" ht="14.25">
      <c r="A2000" s="79" t="s">
        <v>3820</v>
      </c>
      <c r="B2000" s="79" t="s">
        <v>3821</v>
      </c>
      <c r="C2000" s="79">
        <v>603257297</v>
      </c>
      <c r="D2000" s="79">
        <v>0</v>
      </c>
      <c r="E2000" s="79" t="s">
        <v>1124</v>
      </c>
      <c r="F2000" s="79" t="s">
        <v>2539</v>
      </c>
      <c r="G2000" s="79" t="s">
        <v>2581</v>
      </c>
      <c r="H2000" s="79"/>
      <c r="I2000" s="79"/>
    </row>
    <row r="2001" spans="1:9" ht="14.25">
      <c r="A2001" s="79" t="s">
        <v>3822</v>
      </c>
      <c r="B2001" s="79" t="s">
        <v>3823</v>
      </c>
      <c r="C2001" s="79">
        <v>603299897</v>
      </c>
      <c r="D2001" s="79">
        <v>0</v>
      </c>
      <c r="E2001" s="79" t="s">
        <v>1124</v>
      </c>
      <c r="F2001" s="79" t="s">
        <v>2539</v>
      </c>
      <c r="G2001" s="79" t="s">
        <v>1130</v>
      </c>
      <c r="H2001" s="79"/>
      <c r="I2001" s="79"/>
    </row>
    <row r="2002" spans="1:9" ht="14.25">
      <c r="A2002" s="79" t="s">
        <v>3822</v>
      </c>
      <c r="B2002" s="79" t="s">
        <v>3823</v>
      </c>
      <c r="C2002" s="79">
        <v>603299897</v>
      </c>
      <c r="D2002" s="79">
        <v>0</v>
      </c>
      <c r="E2002" s="79" t="s">
        <v>1124</v>
      </c>
      <c r="F2002" s="79" t="s">
        <v>2539</v>
      </c>
      <c r="G2002" s="79" t="s">
        <v>1131</v>
      </c>
      <c r="H2002" s="79" t="s">
        <v>1132</v>
      </c>
      <c r="I2002" s="79"/>
    </row>
    <row r="2003" spans="1:9" ht="14.25">
      <c r="A2003" s="79" t="s">
        <v>3822</v>
      </c>
      <c r="B2003" s="79" t="s">
        <v>3823</v>
      </c>
      <c r="C2003" s="79">
        <v>603299897</v>
      </c>
      <c r="D2003" s="79">
        <v>0</v>
      </c>
      <c r="E2003" s="79" t="s">
        <v>1124</v>
      </c>
      <c r="F2003" s="79" t="s">
        <v>2539</v>
      </c>
      <c r="G2003" s="79" t="s">
        <v>2578</v>
      </c>
      <c r="H2003" s="79"/>
      <c r="I2003" s="79"/>
    </row>
    <row r="2004" spans="1:9" ht="14.25">
      <c r="A2004" s="79" t="s">
        <v>3824</v>
      </c>
      <c r="B2004" s="79" t="s">
        <v>3825</v>
      </c>
      <c r="C2004" s="79">
        <v>603300497</v>
      </c>
      <c r="D2004" s="79">
        <v>0</v>
      </c>
      <c r="E2004" s="79" t="s">
        <v>1124</v>
      </c>
      <c r="F2004" s="79" t="s">
        <v>2539</v>
      </c>
      <c r="G2004" s="79" t="s">
        <v>2546</v>
      </c>
      <c r="H2004" s="79" t="s">
        <v>2547</v>
      </c>
      <c r="I2004" s="79"/>
    </row>
    <row r="2005" spans="1:9" ht="14.25">
      <c r="A2005" s="79" t="s">
        <v>3824</v>
      </c>
      <c r="B2005" s="79" t="s">
        <v>3825</v>
      </c>
      <c r="C2005" s="79">
        <v>603300497</v>
      </c>
      <c r="D2005" s="79">
        <v>0</v>
      </c>
      <c r="E2005" s="79" t="s">
        <v>1124</v>
      </c>
      <c r="F2005" s="79" t="s">
        <v>2539</v>
      </c>
      <c r="G2005" s="79" t="s">
        <v>2581</v>
      </c>
      <c r="H2005" s="79"/>
      <c r="I2005" s="79"/>
    </row>
    <row r="2006" spans="1:9" ht="14.25">
      <c r="A2006" s="79" t="s">
        <v>3826</v>
      </c>
      <c r="B2006" s="79" t="s">
        <v>3827</v>
      </c>
      <c r="C2006" s="79">
        <v>603343097</v>
      </c>
      <c r="D2006" s="79">
        <v>0</v>
      </c>
      <c r="E2006" s="79" t="s">
        <v>1124</v>
      </c>
      <c r="F2006" s="79" t="s">
        <v>2539</v>
      </c>
      <c r="G2006" s="79" t="s">
        <v>1130</v>
      </c>
      <c r="H2006" s="79"/>
      <c r="I2006" s="79"/>
    </row>
    <row r="2007" spans="1:9" ht="14.25">
      <c r="A2007" s="79" t="s">
        <v>3826</v>
      </c>
      <c r="B2007" s="79" t="s">
        <v>3827</v>
      </c>
      <c r="C2007" s="79">
        <v>603343097</v>
      </c>
      <c r="D2007" s="79">
        <v>0</v>
      </c>
      <c r="E2007" s="79" t="s">
        <v>1124</v>
      </c>
      <c r="F2007" s="79" t="s">
        <v>2539</v>
      </c>
      <c r="G2007" s="79" t="s">
        <v>1131</v>
      </c>
      <c r="H2007" s="79" t="s">
        <v>1132</v>
      </c>
      <c r="I2007" s="79"/>
    </row>
    <row r="2008" spans="1:9" ht="14.25">
      <c r="A2008" s="79" t="s">
        <v>3826</v>
      </c>
      <c r="B2008" s="79" t="s">
        <v>3827</v>
      </c>
      <c r="C2008" s="79">
        <v>603343097</v>
      </c>
      <c r="D2008" s="79">
        <v>0</v>
      </c>
      <c r="E2008" s="79" t="s">
        <v>1124</v>
      </c>
      <c r="F2008" s="79" t="s">
        <v>2539</v>
      </c>
      <c r="G2008" s="79" t="s">
        <v>2578</v>
      </c>
      <c r="H2008" s="79"/>
      <c r="I2008" s="79"/>
    </row>
    <row r="2009" spans="1:9" ht="14.25">
      <c r="A2009" s="79" t="s">
        <v>3828</v>
      </c>
      <c r="B2009" s="79" t="s">
        <v>3829</v>
      </c>
      <c r="C2009" s="79">
        <v>603343697</v>
      </c>
      <c r="D2009" s="79">
        <v>0</v>
      </c>
      <c r="E2009" s="79" t="s">
        <v>1124</v>
      </c>
      <c r="F2009" s="79" t="s">
        <v>2539</v>
      </c>
      <c r="G2009" s="79" t="s">
        <v>2546</v>
      </c>
      <c r="H2009" s="79" t="s">
        <v>2547</v>
      </c>
      <c r="I2009" s="79"/>
    </row>
    <row r="2010" spans="1:9" ht="14.25">
      <c r="A2010" s="79" t="s">
        <v>3828</v>
      </c>
      <c r="B2010" s="79" t="s">
        <v>3829</v>
      </c>
      <c r="C2010" s="79">
        <v>603343697</v>
      </c>
      <c r="D2010" s="79">
        <v>0</v>
      </c>
      <c r="E2010" s="79" t="s">
        <v>1124</v>
      </c>
      <c r="F2010" s="79" t="s">
        <v>2539</v>
      </c>
      <c r="G2010" s="79" t="s">
        <v>2581</v>
      </c>
      <c r="H2010" s="79"/>
      <c r="I2010" s="79"/>
    </row>
    <row r="2011" spans="1:9" ht="14.25">
      <c r="A2011" s="79" t="s">
        <v>3830</v>
      </c>
      <c r="B2011" s="79" t="s">
        <v>3831</v>
      </c>
      <c r="C2011" s="79">
        <v>603386297</v>
      </c>
      <c r="D2011" s="79">
        <v>0</v>
      </c>
      <c r="E2011" s="79" t="s">
        <v>1124</v>
      </c>
      <c r="F2011" s="79" t="s">
        <v>2539</v>
      </c>
      <c r="G2011" s="79" t="s">
        <v>1130</v>
      </c>
      <c r="H2011" s="79"/>
      <c r="I2011" s="79"/>
    </row>
    <row r="2012" spans="1:9" ht="14.25">
      <c r="A2012" s="79" t="s">
        <v>3830</v>
      </c>
      <c r="B2012" s="79" t="s">
        <v>3831</v>
      </c>
      <c r="C2012" s="79">
        <v>603386297</v>
      </c>
      <c r="D2012" s="79">
        <v>0</v>
      </c>
      <c r="E2012" s="79" t="s">
        <v>1124</v>
      </c>
      <c r="F2012" s="79" t="s">
        <v>2539</v>
      </c>
      <c r="G2012" s="79" t="s">
        <v>1131</v>
      </c>
      <c r="H2012" s="79" t="s">
        <v>1132</v>
      </c>
      <c r="I2012" s="79"/>
    </row>
    <row r="2013" spans="1:9" ht="14.25">
      <c r="A2013" s="79" t="s">
        <v>3830</v>
      </c>
      <c r="B2013" s="79" t="s">
        <v>3831</v>
      </c>
      <c r="C2013" s="79">
        <v>603386297</v>
      </c>
      <c r="D2013" s="79">
        <v>0</v>
      </c>
      <c r="E2013" s="79" t="s">
        <v>1124</v>
      </c>
      <c r="F2013" s="79" t="s">
        <v>2539</v>
      </c>
      <c r="G2013" s="79" t="s">
        <v>2578</v>
      </c>
      <c r="H2013" s="79"/>
      <c r="I2013" s="79"/>
    </row>
    <row r="2014" spans="1:9" ht="14.25">
      <c r="A2014" s="79" t="s">
        <v>3832</v>
      </c>
      <c r="B2014" s="79" t="s">
        <v>3833</v>
      </c>
      <c r="C2014" s="79">
        <v>603386897</v>
      </c>
      <c r="D2014" s="79">
        <v>0</v>
      </c>
      <c r="E2014" s="79" t="s">
        <v>1124</v>
      </c>
      <c r="F2014" s="79" t="s">
        <v>2539</v>
      </c>
      <c r="G2014" s="79" t="s">
        <v>2546</v>
      </c>
      <c r="H2014" s="79" t="s">
        <v>2547</v>
      </c>
      <c r="I2014" s="79"/>
    </row>
    <row r="2015" spans="1:9" ht="14.25">
      <c r="A2015" s="79" t="s">
        <v>3832</v>
      </c>
      <c r="B2015" s="79" t="s">
        <v>3833</v>
      </c>
      <c r="C2015" s="79">
        <v>603386897</v>
      </c>
      <c r="D2015" s="79">
        <v>0</v>
      </c>
      <c r="E2015" s="79" t="s">
        <v>1124</v>
      </c>
      <c r="F2015" s="79" t="s">
        <v>2539</v>
      </c>
      <c r="G2015" s="79" t="s">
        <v>2581</v>
      </c>
      <c r="H2015" s="79"/>
      <c r="I2015" s="79"/>
    </row>
    <row r="2016" spans="1:9" ht="14.25">
      <c r="A2016" s="79" t="s">
        <v>3834</v>
      </c>
      <c r="B2016" s="79" t="s">
        <v>3835</v>
      </c>
      <c r="C2016" s="79">
        <v>603429497</v>
      </c>
      <c r="D2016" s="79">
        <v>0</v>
      </c>
      <c r="E2016" s="79" t="s">
        <v>1124</v>
      </c>
      <c r="F2016" s="79" t="s">
        <v>2539</v>
      </c>
      <c r="G2016" s="79" t="s">
        <v>1130</v>
      </c>
      <c r="H2016" s="79"/>
      <c r="I2016" s="79"/>
    </row>
    <row r="2017" spans="1:9" ht="14.25">
      <c r="A2017" s="79" t="s">
        <v>3834</v>
      </c>
      <c r="B2017" s="79" t="s">
        <v>3835</v>
      </c>
      <c r="C2017" s="79">
        <v>603429497</v>
      </c>
      <c r="D2017" s="79">
        <v>0</v>
      </c>
      <c r="E2017" s="79" t="s">
        <v>1124</v>
      </c>
      <c r="F2017" s="79" t="s">
        <v>2539</v>
      </c>
      <c r="G2017" s="79" t="s">
        <v>1131</v>
      </c>
      <c r="H2017" s="79" t="s">
        <v>1132</v>
      </c>
      <c r="I2017" s="79"/>
    </row>
    <row r="2018" spans="1:9" ht="14.25">
      <c r="A2018" s="79" t="s">
        <v>3834</v>
      </c>
      <c r="B2018" s="79" t="s">
        <v>3835</v>
      </c>
      <c r="C2018" s="79">
        <v>603429497</v>
      </c>
      <c r="D2018" s="79">
        <v>0</v>
      </c>
      <c r="E2018" s="79" t="s">
        <v>1124</v>
      </c>
      <c r="F2018" s="79" t="s">
        <v>2539</v>
      </c>
      <c r="G2018" s="79" t="s">
        <v>2578</v>
      </c>
      <c r="H2018" s="79"/>
      <c r="I2018" s="79"/>
    </row>
    <row r="2019" spans="1:9" ht="14.25">
      <c r="A2019" s="79" t="s">
        <v>3836</v>
      </c>
      <c r="B2019" s="79" t="s">
        <v>3837</v>
      </c>
      <c r="C2019" s="79">
        <v>603430097</v>
      </c>
      <c r="D2019" s="79">
        <v>0</v>
      </c>
      <c r="E2019" s="79" t="s">
        <v>1124</v>
      </c>
      <c r="F2019" s="79" t="s">
        <v>2539</v>
      </c>
      <c r="G2019" s="79" t="s">
        <v>2546</v>
      </c>
      <c r="H2019" s="79" t="s">
        <v>2547</v>
      </c>
      <c r="I2019" s="79"/>
    </row>
    <row r="2020" spans="1:9" ht="14.25">
      <c r="A2020" s="79" t="s">
        <v>3836</v>
      </c>
      <c r="B2020" s="79" t="s">
        <v>3837</v>
      </c>
      <c r="C2020" s="79">
        <v>603430097</v>
      </c>
      <c r="D2020" s="79">
        <v>0</v>
      </c>
      <c r="E2020" s="79" t="s">
        <v>1124</v>
      </c>
      <c r="F2020" s="79" t="s">
        <v>2539</v>
      </c>
      <c r="G2020" s="79" t="s">
        <v>2581</v>
      </c>
      <c r="H2020" s="79"/>
      <c r="I2020" s="79"/>
    </row>
    <row r="2021" spans="1:9" ht="14.25">
      <c r="A2021" s="79" t="s">
        <v>3838</v>
      </c>
      <c r="B2021" s="79" t="s">
        <v>3839</v>
      </c>
      <c r="C2021" s="79">
        <v>603472697</v>
      </c>
      <c r="D2021" s="79">
        <v>0</v>
      </c>
      <c r="E2021" s="79" t="s">
        <v>1124</v>
      </c>
      <c r="F2021" s="79" t="s">
        <v>2539</v>
      </c>
      <c r="G2021" s="79" t="s">
        <v>1130</v>
      </c>
      <c r="H2021" s="79"/>
      <c r="I2021" s="79"/>
    </row>
    <row r="2022" spans="1:9" ht="14.25">
      <c r="A2022" s="79" t="s">
        <v>3838</v>
      </c>
      <c r="B2022" s="79" t="s">
        <v>3839</v>
      </c>
      <c r="C2022" s="79">
        <v>603472697</v>
      </c>
      <c r="D2022" s="79">
        <v>0</v>
      </c>
      <c r="E2022" s="79" t="s">
        <v>1124</v>
      </c>
      <c r="F2022" s="79" t="s">
        <v>2539</v>
      </c>
      <c r="G2022" s="79" t="s">
        <v>1131</v>
      </c>
      <c r="H2022" s="79" t="s">
        <v>1132</v>
      </c>
      <c r="I2022" s="79"/>
    </row>
    <row r="2023" spans="1:9" ht="14.25">
      <c r="A2023" s="79" t="s">
        <v>3838</v>
      </c>
      <c r="B2023" s="79" t="s">
        <v>3839</v>
      </c>
      <c r="C2023" s="79">
        <v>603472697</v>
      </c>
      <c r="D2023" s="79">
        <v>0</v>
      </c>
      <c r="E2023" s="79" t="s">
        <v>1124</v>
      </c>
      <c r="F2023" s="79" t="s">
        <v>2539</v>
      </c>
      <c r="G2023" s="79" t="s">
        <v>2578</v>
      </c>
      <c r="H2023" s="79"/>
      <c r="I2023" s="79"/>
    </row>
    <row r="2024" spans="1:9" ht="14.25">
      <c r="A2024" s="79" t="s">
        <v>3840</v>
      </c>
      <c r="B2024" s="79" t="s">
        <v>3841</v>
      </c>
      <c r="C2024" s="79">
        <v>603473297</v>
      </c>
      <c r="D2024" s="79">
        <v>0</v>
      </c>
      <c r="E2024" s="79" t="s">
        <v>1124</v>
      </c>
      <c r="F2024" s="79" t="s">
        <v>2539</v>
      </c>
      <c r="G2024" s="79" t="s">
        <v>2546</v>
      </c>
      <c r="H2024" s="79" t="s">
        <v>2547</v>
      </c>
      <c r="I2024" s="79"/>
    </row>
    <row r="2025" spans="1:9" ht="14.25">
      <c r="A2025" s="79" t="s">
        <v>3840</v>
      </c>
      <c r="B2025" s="79" t="s">
        <v>3841</v>
      </c>
      <c r="C2025" s="79">
        <v>603473297</v>
      </c>
      <c r="D2025" s="79">
        <v>0</v>
      </c>
      <c r="E2025" s="79" t="s">
        <v>1124</v>
      </c>
      <c r="F2025" s="79" t="s">
        <v>2539</v>
      </c>
      <c r="G2025" s="79" t="s">
        <v>2581</v>
      </c>
      <c r="H2025" s="79"/>
      <c r="I2025" s="79"/>
    </row>
    <row r="2026" spans="1:9" ht="14.25">
      <c r="A2026" s="79" t="s">
        <v>3842</v>
      </c>
      <c r="B2026" s="79" t="s">
        <v>3843</v>
      </c>
      <c r="C2026" s="79">
        <v>603515897</v>
      </c>
      <c r="D2026" s="79">
        <v>0</v>
      </c>
      <c r="E2026" s="79" t="s">
        <v>1124</v>
      </c>
      <c r="F2026" s="79" t="s">
        <v>2539</v>
      </c>
      <c r="G2026" s="79" t="s">
        <v>1130</v>
      </c>
      <c r="H2026" s="79"/>
      <c r="I2026" s="79"/>
    </row>
    <row r="2027" spans="1:9" ht="14.25">
      <c r="A2027" s="79" t="s">
        <v>3842</v>
      </c>
      <c r="B2027" s="79" t="s">
        <v>3843</v>
      </c>
      <c r="C2027" s="79">
        <v>603515897</v>
      </c>
      <c r="D2027" s="79">
        <v>0</v>
      </c>
      <c r="E2027" s="79" t="s">
        <v>1124</v>
      </c>
      <c r="F2027" s="79" t="s">
        <v>2539</v>
      </c>
      <c r="G2027" s="79" t="s">
        <v>1131</v>
      </c>
      <c r="H2027" s="79" t="s">
        <v>1132</v>
      </c>
      <c r="I2027" s="79"/>
    </row>
    <row r="2028" spans="1:9" ht="14.25">
      <c r="A2028" s="79" t="s">
        <v>3842</v>
      </c>
      <c r="B2028" s="79" t="s">
        <v>3843</v>
      </c>
      <c r="C2028" s="79">
        <v>603515897</v>
      </c>
      <c r="D2028" s="79">
        <v>0</v>
      </c>
      <c r="E2028" s="79" t="s">
        <v>1124</v>
      </c>
      <c r="F2028" s="79" t="s">
        <v>2539</v>
      </c>
      <c r="G2028" s="79" t="s">
        <v>2578</v>
      </c>
      <c r="H2028" s="79"/>
      <c r="I2028" s="79"/>
    </row>
    <row r="2029" spans="1:9" ht="14.25">
      <c r="A2029" s="79" t="s">
        <v>3844</v>
      </c>
      <c r="B2029" s="79" t="s">
        <v>3845</v>
      </c>
      <c r="C2029" s="79">
        <v>603516497</v>
      </c>
      <c r="D2029" s="79">
        <v>0</v>
      </c>
      <c r="E2029" s="79" t="s">
        <v>1124</v>
      </c>
      <c r="F2029" s="79" t="s">
        <v>2539</v>
      </c>
      <c r="G2029" s="79" t="s">
        <v>2546</v>
      </c>
      <c r="H2029" s="79" t="s">
        <v>2547</v>
      </c>
      <c r="I2029" s="79"/>
    </row>
    <row r="2030" spans="1:9" ht="14.25">
      <c r="A2030" s="79" t="s">
        <v>3844</v>
      </c>
      <c r="B2030" s="79" t="s">
        <v>3845</v>
      </c>
      <c r="C2030" s="79">
        <v>603516497</v>
      </c>
      <c r="D2030" s="79">
        <v>0</v>
      </c>
      <c r="E2030" s="79" t="s">
        <v>1124</v>
      </c>
      <c r="F2030" s="79" t="s">
        <v>2539</v>
      </c>
      <c r="G2030" s="79" t="s">
        <v>2581</v>
      </c>
      <c r="H2030" s="79"/>
      <c r="I2030" s="79"/>
    </row>
    <row r="2031" spans="1:9" ht="14.25">
      <c r="A2031" s="79" t="s">
        <v>3846</v>
      </c>
      <c r="B2031" s="79" t="s">
        <v>3847</v>
      </c>
      <c r="C2031" s="79">
        <v>603559097</v>
      </c>
      <c r="D2031" s="79">
        <v>0</v>
      </c>
      <c r="E2031" s="79" t="s">
        <v>1124</v>
      </c>
      <c r="F2031" s="79" t="s">
        <v>2539</v>
      </c>
      <c r="G2031" s="79" t="s">
        <v>1130</v>
      </c>
      <c r="H2031" s="79"/>
      <c r="I2031" s="79"/>
    </row>
    <row r="2032" spans="1:9" ht="14.25">
      <c r="A2032" s="79" t="s">
        <v>3846</v>
      </c>
      <c r="B2032" s="79" t="s">
        <v>3847</v>
      </c>
      <c r="C2032" s="79">
        <v>603559097</v>
      </c>
      <c r="D2032" s="79">
        <v>0</v>
      </c>
      <c r="E2032" s="79" t="s">
        <v>1124</v>
      </c>
      <c r="F2032" s="79" t="s">
        <v>2539</v>
      </c>
      <c r="G2032" s="79" t="s">
        <v>1131</v>
      </c>
      <c r="H2032" s="79" t="s">
        <v>1132</v>
      </c>
      <c r="I2032" s="79"/>
    </row>
    <row r="2033" spans="1:9" ht="14.25">
      <c r="A2033" s="79" t="s">
        <v>3846</v>
      </c>
      <c r="B2033" s="79" t="s">
        <v>3847</v>
      </c>
      <c r="C2033" s="79">
        <v>603559097</v>
      </c>
      <c r="D2033" s="79">
        <v>0</v>
      </c>
      <c r="E2033" s="79" t="s">
        <v>1124</v>
      </c>
      <c r="F2033" s="79" t="s">
        <v>2539</v>
      </c>
      <c r="G2033" s="79" t="s">
        <v>2578</v>
      </c>
      <c r="H2033" s="79"/>
      <c r="I2033" s="79"/>
    </row>
    <row r="2034" spans="1:9" ht="14.25">
      <c r="A2034" s="79" t="s">
        <v>3848</v>
      </c>
      <c r="B2034" s="79" t="s">
        <v>3849</v>
      </c>
      <c r="C2034" s="79">
        <v>603559697</v>
      </c>
      <c r="D2034" s="79">
        <v>0</v>
      </c>
      <c r="E2034" s="79" t="s">
        <v>1124</v>
      </c>
      <c r="F2034" s="79" t="s">
        <v>2539</v>
      </c>
      <c r="G2034" s="79" t="s">
        <v>2546</v>
      </c>
      <c r="H2034" s="79" t="s">
        <v>2547</v>
      </c>
      <c r="I2034" s="79"/>
    </row>
    <row r="2035" spans="1:9" ht="14.25">
      <c r="A2035" s="79" t="s">
        <v>3848</v>
      </c>
      <c r="B2035" s="79" t="s">
        <v>3849</v>
      </c>
      <c r="C2035" s="79">
        <v>603559697</v>
      </c>
      <c r="D2035" s="79">
        <v>0</v>
      </c>
      <c r="E2035" s="79" t="s">
        <v>1124</v>
      </c>
      <c r="F2035" s="79" t="s">
        <v>2539</v>
      </c>
      <c r="G2035" s="79" t="s">
        <v>2581</v>
      </c>
      <c r="H2035" s="79"/>
      <c r="I2035" s="79"/>
    </row>
    <row r="2036" spans="1:9" ht="14.25">
      <c r="A2036" s="79" t="s">
        <v>3850</v>
      </c>
      <c r="B2036" s="79" t="s">
        <v>3851</v>
      </c>
      <c r="C2036" s="79">
        <v>603602297</v>
      </c>
      <c r="D2036" s="79">
        <v>0</v>
      </c>
      <c r="E2036" s="79" t="s">
        <v>1124</v>
      </c>
      <c r="F2036" s="79" t="s">
        <v>2539</v>
      </c>
      <c r="G2036" s="79" t="s">
        <v>1130</v>
      </c>
      <c r="H2036" s="79"/>
      <c r="I2036" s="79"/>
    </row>
    <row r="2037" spans="1:9" ht="14.25">
      <c r="A2037" s="79" t="s">
        <v>3850</v>
      </c>
      <c r="B2037" s="79" t="s">
        <v>3851</v>
      </c>
      <c r="C2037" s="79">
        <v>603602297</v>
      </c>
      <c r="D2037" s="79">
        <v>0</v>
      </c>
      <c r="E2037" s="79" t="s">
        <v>1124</v>
      </c>
      <c r="F2037" s="79" t="s">
        <v>2539</v>
      </c>
      <c r="G2037" s="79" t="s">
        <v>1131</v>
      </c>
      <c r="H2037" s="79" t="s">
        <v>1132</v>
      </c>
      <c r="I2037" s="79"/>
    </row>
    <row r="2038" spans="1:9" ht="14.25">
      <c r="A2038" s="79" t="s">
        <v>3850</v>
      </c>
      <c r="B2038" s="79" t="s">
        <v>3851</v>
      </c>
      <c r="C2038" s="79">
        <v>603602297</v>
      </c>
      <c r="D2038" s="79">
        <v>0</v>
      </c>
      <c r="E2038" s="79" t="s">
        <v>1124</v>
      </c>
      <c r="F2038" s="79" t="s">
        <v>2539</v>
      </c>
      <c r="G2038" s="79" t="s">
        <v>2578</v>
      </c>
      <c r="H2038" s="79"/>
      <c r="I2038" s="79"/>
    </row>
    <row r="2039" spans="1:9" ht="14.25">
      <c r="A2039" s="79" t="s">
        <v>3852</v>
      </c>
      <c r="B2039" s="79" t="s">
        <v>3853</v>
      </c>
      <c r="C2039" s="79">
        <v>603602897</v>
      </c>
      <c r="D2039" s="79">
        <v>0</v>
      </c>
      <c r="E2039" s="79" t="s">
        <v>1124</v>
      </c>
      <c r="F2039" s="79" t="s">
        <v>2539</v>
      </c>
      <c r="G2039" s="79" t="s">
        <v>2546</v>
      </c>
      <c r="H2039" s="79" t="s">
        <v>2547</v>
      </c>
      <c r="I2039" s="79"/>
    </row>
    <row r="2040" spans="1:9" ht="14.25">
      <c r="A2040" s="79" t="s">
        <v>3852</v>
      </c>
      <c r="B2040" s="79" t="s">
        <v>3853</v>
      </c>
      <c r="C2040" s="79">
        <v>603602897</v>
      </c>
      <c r="D2040" s="79">
        <v>0</v>
      </c>
      <c r="E2040" s="79" t="s">
        <v>1124</v>
      </c>
      <c r="F2040" s="79" t="s">
        <v>2539</v>
      </c>
      <c r="G2040" s="79" t="s">
        <v>2581</v>
      </c>
      <c r="H2040" s="79"/>
      <c r="I2040" s="79"/>
    </row>
    <row r="2041" spans="1:9" ht="14.25">
      <c r="A2041" s="79" t="s">
        <v>3854</v>
      </c>
      <c r="B2041" s="79" t="s">
        <v>3855</v>
      </c>
      <c r="C2041" s="79">
        <v>603645497</v>
      </c>
      <c r="D2041" s="79">
        <v>0</v>
      </c>
      <c r="E2041" s="79" t="s">
        <v>1124</v>
      </c>
      <c r="F2041" s="79" t="s">
        <v>2539</v>
      </c>
      <c r="G2041" s="79" t="s">
        <v>1130</v>
      </c>
      <c r="H2041" s="79"/>
      <c r="I2041" s="79"/>
    </row>
    <row r="2042" spans="1:9" ht="14.25">
      <c r="A2042" s="79" t="s">
        <v>3854</v>
      </c>
      <c r="B2042" s="79" t="s">
        <v>3855</v>
      </c>
      <c r="C2042" s="79">
        <v>603645497</v>
      </c>
      <c r="D2042" s="79">
        <v>0</v>
      </c>
      <c r="E2042" s="79" t="s">
        <v>1124</v>
      </c>
      <c r="F2042" s="79" t="s">
        <v>2539</v>
      </c>
      <c r="G2042" s="79" t="s">
        <v>1131</v>
      </c>
      <c r="H2042" s="79" t="s">
        <v>1132</v>
      </c>
      <c r="I2042" s="79"/>
    </row>
    <row r="2043" spans="1:9" ht="14.25">
      <c r="A2043" s="79" t="s">
        <v>3854</v>
      </c>
      <c r="B2043" s="79" t="s">
        <v>3855</v>
      </c>
      <c r="C2043" s="79">
        <v>603645497</v>
      </c>
      <c r="D2043" s="79">
        <v>0</v>
      </c>
      <c r="E2043" s="79" t="s">
        <v>1124</v>
      </c>
      <c r="F2043" s="79" t="s">
        <v>2539</v>
      </c>
      <c r="G2043" s="79" t="s">
        <v>2578</v>
      </c>
      <c r="H2043" s="79"/>
      <c r="I2043" s="79"/>
    </row>
    <row r="2044" spans="1:9" ht="14.25">
      <c r="A2044" s="79" t="s">
        <v>3856</v>
      </c>
      <c r="B2044" s="79" t="s">
        <v>3857</v>
      </c>
      <c r="C2044" s="79">
        <v>603646097</v>
      </c>
      <c r="D2044" s="79">
        <v>0</v>
      </c>
      <c r="E2044" s="79" t="s">
        <v>1124</v>
      </c>
      <c r="F2044" s="79" t="s">
        <v>2539</v>
      </c>
      <c r="G2044" s="79" t="s">
        <v>2546</v>
      </c>
      <c r="H2044" s="79" t="s">
        <v>2547</v>
      </c>
      <c r="I2044" s="79"/>
    </row>
    <row r="2045" spans="1:9" ht="14.25">
      <c r="A2045" s="79" t="s">
        <v>3856</v>
      </c>
      <c r="B2045" s="79" t="s">
        <v>3857</v>
      </c>
      <c r="C2045" s="79">
        <v>603646097</v>
      </c>
      <c r="D2045" s="79">
        <v>0</v>
      </c>
      <c r="E2045" s="79" t="s">
        <v>1124</v>
      </c>
      <c r="F2045" s="79" t="s">
        <v>2539</v>
      </c>
      <c r="G2045" s="79" t="s">
        <v>2581</v>
      </c>
      <c r="H2045" s="79"/>
      <c r="I2045" s="79"/>
    </row>
    <row r="2046" spans="1:9" ht="14.25">
      <c r="A2046" s="79" t="s">
        <v>3858</v>
      </c>
      <c r="B2046" s="79" t="s">
        <v>3859</v>
      </c>
      <c r="C2046" s="79">
        <v>603688697</v>
      </c>
      <c r="D2046" s="79">
        <v>0</v>
      </c>
      <c r="E2046" s="79" t="s">
        <v>1124</v>
      </c>
      <c r="F2046" s="79" t="s">
        <v>2539</v>
      </c>
      <c r="G2046" s="79" t="s">
        <v>1130</v>
      </c>
      <c r="H2046" s="79"/>
      <c r="I2046" s="79"/>
    </row>
    <row r="2047" spans="1:9" ht="14.25">
      <c r="A2047" s="79" t="s">
        <v>3858</v>
      </c>
      <c r="B2047" s="79" t="s">
        <v>3859</v>
      </c>
      <c r="C2047" s="79">
        <v>603688697</v>
      </c>
      <c r="D2047" s="79">
        <v>0</v>
      </c>
      <c r="E2047" s="79" t="s">
        <v>1124</v>
      </c>
      <c r="F2047" s="79" t="s">
        <v>2539</v>
      </c>
      <c r="G2047" s="79" t="s">
        <v>1131</v>
      </c>
      <c r="H2047" s="79" t="s">
        <v>1132</v>
      </c>
      <c r="I2047" s="79"/>
    </row>
    <row r="2048" spans="1:9" ht="14.25">
      <c r="A2048" s="79" t="s">
        <v>3858</v>
      </c>
      <c r="B2048" s="79" t="s">
        <v>3859</v>
      </c>
      <c r="C2048" s="79">
        <v>603688697</v>
      </c>
      <c r="D2048" s="79">
        <v>0</v>
      </c>
      <c r="E2048" s="79" t="s">
        <v>1124</v>
      </c>
      <c r="F2048" s="79" t="s">
        <v>2539</v>
      </c>
      <c r="G2048" s="79" t="s">
        <v>2578</v>
      </c>
      <c r="H2048" s="79"/>
      <c r="I2048" s="79"/>
    </row>
    <row r="2049" spans="1:9" ht="14.25">
      <c r="A2049" s="79" t="s">
        <v>3860</v>
      </c>
      <c r="B2049" s="79" t="s">
        <v>3861</v>
      </c>
      <c r="C2049" s="79">
        <v>603689297</v>
      </c>
      <c r="D2049" s="79">
        <v>0</v>
      </c>
      <c r="E2049" s="79" t="s">
        <v>1124</v>
      </c>
      <c r="F2049" s="79" t="s">
        <v>2539</v>
      </c>
      <c r="G2049" s="79" t="s">
        <v>2546</v>
      </c>
      <c r="H2049" s="79" t="s">
        <v>2547</v>
      </c>
      <c r="I2049" s="79"/>
    </row>
    <row r="2050" spans="1:9" ht="14.25">
      <c r="A2050" s="79" t="s">
        <v>3860</v>
      </c>
      <c r="B2050" s="79" t="s">
        <v>3861</v>
      </c>
      <c r="C2050" s="79">
        <v>603689297</v>
      </c>
      <c r="D2050" s="79">
        <v>0</v>
      </c>
      <c r="E2050" s="79" t="s">
        <v>1124</v>
      </c>
      <c r="F2050" s="79" t="s">
        <v>2539</v>
      </c>
      <c r="G2050" s="79" t="s">
        <v>2581</v>
      </c>
      <c r="H2050" s="79"/>
      <c r="I2050" s="79"/>
    </row>
    <row r="2051" spans="1:9" ht="14.25">
      <c r="A2051" s="79" t="s">
        <v>3862</v>
      </c>
      <c r="B2051" s="79" t="s">
        <v>3863</v>
      </c>
      <c r="C2051" s="79">
        <v>603731897</v>
      </c>
      <c r="D2051" s="79">
        <v>0</v>
      </c>
      <c r="E2051" s="79" t="s">
        <v>1124</v>
      </c>
      <c r="F2051" s="79" t="s">
        <v>2539</v>
      </c>
      <c r="G2051" s="79" t="s">
        <v>1130</v>
      </c>
      <c r="H2051" s="79"/>
      <c r="I2051" s="79"/>
    </row>
    <row r="2052" spans="1:9" ht="14.25">
      <c r="A2052" s="79" t="s">
        <v>3862</v>
      </c>
      <c r="B2052" s="79" t="s">
        <v>3863</v>
      </c>
      <c r="C2052" s="79">
        <v>603731897</v>
      </c>
      <c r="D2052" s="79">
        <v>0</v>
      </c>
      <c r="E2052" s="79" t="s">
        <v>1124</v>
      </c>
      <c r="F2052" s="79" t="s">
        <v>2539</v>
      </c>
      <c r="G2052" s="79" t="s">
        <v>1131</v>
      </c>
      <c r="H2052" s="79" t="s">
        <v>1132</v>
      </c>
      <c r="I2052" s="79"/>
    </row>
    <row r="2053" spans="1:9" ht="14.25">
      <c r="A2053" s="79" t="s">
        <v>3862</v>
      </c>
      <c r="B2053" s="79" t="s">
        <v>3863</v>
      </c>
      <c r="C2053" s="79">
        <v>603731897</v>
      </c>
      <c r="D2053" s="79">
        <v>0</v>
      </c>
      <c r="E2053" s="79" t="s">
        <v>1124</v>
      </c>
      <c r="F2053" s="79" t="s">
        <v>2539</v>
      </c>
      <c r="G2053" s="79" t="s">
        <v>2578</v>
      </c>
      <c r="H2053" s="79"/>
      <c r="I2053" s="79"/>
    </row>
    <row r="2054" spans="1:9" ht="14.25">
      <c r="A2054" s="79" t="s">
        <v>3864</v>
      </c>
      <c r="B2054" s="79" t="s">
        <v>3865</v>
      </c>
      <c r="C2054" s="79">
        <v>603732497</v>
      </c>
      <c r="D2054" s="79">
        <v>0</v>
      </c>
      <c r="E2054" s="79" t="s">
        <v>1124</v>
      </c>
      <c r="F2054" s="79" t="s">
        <v>2539</v>
      </c>
      <c r="G2054" s="79" t="s">
        <v>2546</v>
      </c>
      <c r="H2054" s="79" t="s">
        <v>2547</v>
      </c>
      <c r="I2054" s="79"/>
    </row>
    <row r="2055" spans="1:9" ht="14.25">
      <c r="A2055" s="79" t="s">
        <v>3864</v>
      </c>
      <c r="B2055" s="79" t="s">
        <v>3865</v>
      </c>
      <c r="C2055" s="79">
        <v>603732497</v>
      </c>
      <c r="D2055" s="79">
        <v>0</v>
      </c>
      <c r="E2055" s="79" t="s">
        <v>1124</v>
      </c>
      <c r="F2055" s="79" t="s">
        <v>2539</v>
      </c>
      <c r="G2055" s="79" t="s">
        <v>2581</v>
      </c>
      <c r="H2055" s="79"/>
      <c r="I2055" s="79"/>
    </row>
    <row r="2056" spans="1:9" ht="14.25">
      <c r="A2056" s="79" t="s">
        <v>3866</v>
      </c>
      <c r="B2056" s="79" t="s">
        <v>3867</v>
      </c>
      <c r="C2056" s="79">
        <v>603775097</v>
      </c>
      <c r="D2056" s="79">
        <v>0</v>
      </c>
      <c r="E2056" s="79" t="s">
        <v>1124</v>
      </c>
      <c r="F2056" s="79" t="s">
        <v>2539</v>
      </c>
      <c r="G2056" s="79" t="s">
        <v>1130</v>
      </c>
      <c r="H2056" s="79"/>
      <c r="I2056" s="79"/>
    </row>
    <row r="2057" spans="1:9" ht="14.25">
      <c r="A2057" s="79" t="s">
        <v>3866</v>
      </c>
      <c r="B2057" s="79" t="s">
        <v>3867</v>
      </c>
      <c r="C2057" s="79">
        <v>603775097</v>
      </c>
      <c r="D2057" s="79">
        <v>0</v>
      </c>
      <c r="E2057" s="79" t="s">
        <v>1124</v>
      </c>
      <c r="F2057" s="79" t="s">
        <v>2539</v>
      </c>
      <c r="G2057" s="79" t="s">
        <v>1131</v>
      </c>
      <c r="H2057" s="79" t="s">
        <v>1132</v>
      </c>
      <c r="I2057" s="79"/>
    </row>
    <row r="2058" spans="1:9" ht="14.25">
      <c r="A2058" s="79" t="s">
        <v>3866</v>
      </c>
      <c r="B2058" s="79" t="s">
        <v>3867</v>
      </c>
      <c r="C2058" s="79">
        <v>603775097</v>
      </c>
      <c r="D2058" s="79">
        <v>0</v>
      </c>
      <c r="E2058" s="79" t="s">
        <v>1124</v>
      </c>
      <c r="F2058" s="79" t="s">
        <v>2539</v>
      </c>
      <c r="G2058" s="79" t="s">
        <v>2578</v>
      </c>
      <c r="H2058" s="79"/>
      <c r="I2058" s="79"/>
    </row>
    <row r="2059" spans="1:9" ht="14.25">
      <c r="A2059" s="79" t="s">
        <v>3868</v>
      </c>
      <c r="B2059" s="79" t="s">
        <v>3869</v>
      </c>
      <c r="C2059" s="79">
        <v>603775697</v>
      </c>
      <c r="D2059" s="79">
        <v>0</v>
      </c>
      <c r="E2059" s="79" t="s">
        <v>1124</v>
      </c>
      <c r="F2059" s="79" t="s">
        <v>2539</v>
      </c>
      <c r="G2059" s="79" t="s">
        <v>2546</v>
      </c>
      <c r="H2059" s="79" t="s">
        <v>2547</v>
      </c>
      <c r="I2059" s="79"/>
    </row>
    <row r="2060" spans="1:9" ht="14.25">
      <c r="A2060" s="79" t="s">
        <v>3868</v>
      </c>
      <c r="B2060" s="79" t="s">
        <v>3869</v>
      </c>
      <c r="C2060" s="79">
        <v>603775697</v>
      </c>
      <c r="D2060" s="79">
        <v>0</v>
      </c>
      <c r="E2060" s="79" t="s">
        <v>1124</v>
      </c>
      <c r="F2060" s="79" t="s">
        <v>2539</v>
      </c>
      <c r="G2060" s="79" t="s">
        <v>2581</v>
      </c>
      <c r="H2060" s="79"/>
      <c r="I2060" s="79"/>
    </row>
    <row r="2061" spans="1:9" ht="14.25">
      <c r="A2061" s="79" t="s">
        <v>3870</v>
      </c>
      <c r="B2061" s="79" t="s">
        <v>3871</v>
      </c>
      <c r="C2061" s="79">
        <v>603818297</v>
      </c>
      <c r="D2061" s="79">
        <v>0</v>
      </c>
      <c r="E2061" s="79" t="s">
        <v>1124</v>
      </c>
      <c r="F2061" s="79" t="s">
        <v>2539</v>
      </c>
      <c r="G2061" s="79" t="s">
        <v>1130</v>
      </c>
      <c r="H2061" s="79"/>
      <c r="I2061" s="79"/>
    </row>
    <row r="2062" spans="1:9" ht="14.25">
      <c r="A2062" s="79" t="s">
        <v>3870</v>
      </c>
      <c r="B2062" s="79" t="s">
        <v>3871</v>
      </c>
      <c r="C2062" s="79">
        <v>603818297</v>
      </c>
      <c r="D2062" s="79">
        <v>0</v>
      </c>
      <c r="E2062" s="79" t="s">
        <v>1124</v>
      </c>
      <c r="F2062" s="79" t="s">
        <v>2539</v>
      </c>
      <c r="G2062" s="79" t="s">
        <v>1131</v>
      </c>
      <c r="H2062" s="79" t="s">
        <v>1132</v>
      </c>
      <c r="I2062" s="79"/>
    </row>
    <row r="2063" spans="1:9" ht="14.25">
      <c r="A2063" s="79" t="s">
        <v>3870</v>
      </c>
      <c r="B2063" s="79" t="s">
        <v>3871</v>
      </c>
      <c r="C2063" s="79">
        <v>603818297</v>
      </c>
      <c r="D2063" s="79">
        <v>0</v>
      </c>
      <c r="E2063" s="79" t="s">
        <v>1124</v>
      </c>
      <c r="F2063" s="79" t="s">
        <v>2539</v>
      </c>
      <c r="G2063" s="79" t="s">
        <v>2578</v>
      </c>
      <c r="H2063" s="79"/>
      <c r="I2063" s="79"/>
    </row>
    <row r="2064" spans="1:9" ht="14.25">
      <c r="A2064" s="79" t="s">
        <v>3872</v>
      </c>
      <c r="B2064" s="79" t="s">
        <v>3873</v>
      </c>
      <c r="C2064" s="79">
        <v>603818897</v>
      </c>
      <c r="D2064" s="79">
        <v>0</v>
      </c>
      <c r="E2064" s="79" t="s">
        <v>1124</v>
      </c>
      <c r="F2064" s="79" t="s">
        <v>2539</v>
      </c>
      <c r="G2064" s="79" t="s">
        <v>2546</v>
      </c>
      <c r="H2064" s="79" t="s">
        <v>2547</v>
      </c>
      <c r="I2064" s="79"/>
    </row>
    <row r="2065" spans="1:9" ht="14.25">
      <c r="A2065" s="79" t="s">
        <v>3872</v>
      </c>
      <c r="B2065" s="79" t="s">
        <v>3873</v>
      </c>
      <c r="C2065" s="79">
        <v>603818897</v>
      </c>
      <c r="D2065" s="79">
        <v>0</v>
      </c>
      <c r="E2065" s="79" t="s">
        <v>1124</v>
      </c>
      <c r="F2065" s="79" t="s">
        <v>2539</v>
      </c>
      <c r="G2065" s="79" t="s">
        <v>2581</v>
      </c>
      <c r="H2065" s="79"/>
      <c r="I2065" s="79"/>
    </row>
    <row r="2066" spans="1:9" ht="14.25">
      <c r="A2066" s="79" t="s">
        <v>3874</v>
      </c>
      <c r="B2066" s="79" t="s">
        <v>3875</v>
      </c>
      <c r="C2066" s="79">
        <v>603861497</v>
      </c>
      <c r="D2066" s="79">
        <v>0</v>
      </c>
      <c r="E2066" s="79" t="s">
        <v>1124</v>
      </c>
      <c r="F2066" s="79" t="s">
        <v>2539</v>
      </c>
      <c r="G2066" s="79" t="s">
        <v>1130</v>
      </c>
      <c r="H2066" s="79"/>
      <c r="I2066" s="79"/>
    </row>
    <row r="2067" spans="1:9" ht="14.25">
      <c r="A2067" s="79" t="s">
        <v>3874</v>
      </c>
      <c r="B2067" s="79" t="s">
        <v>3875</v>
      </c>
      <c r="C2067" s="79">
        <v>603861497</v>
      </c>
      <c r="D2067" s="79">
        <v>0</v>
      </c>
      <c r="E2067" s="79" t="s">
        <v>1124</v>
      </c>
      <c r="F2067" s="79" t="s">
        <v>2539</v>
      </c>
      <c r="G2067" s="79" t="s">
        <v>1131</v>
      </c>
      <c r="H2067" s="79" t="s">
        <v>1132</v>
      </c>
      <c r="I2067" s="79"/>
    </row>
    <row r="2068" spans="1:9" ht="14.25">
      <c r="A2068" s="79" t="s">
        <v>3874</v>
      </c>
      <c r="B2068" s="79" t="s">
        <v>3875</v>
      </c>
      <c r="C2068" s="79">
        <v>603861497</v>
      </c>
      <c r="D2068" s="79">
        <v>0</v>
      </c>
      <c r="E2068" s="79" t="s">
        <v>1124</v>
      </c>
      <c r="F2068" s="79" t="s">
        <v>2539</v>
      </c>
      <c r="G2068" s="79" t="s">
        <v>2578</v>
      </c>
      <c r="H2068" s="79"/>
      <c r="I2068" s="79"/>
    </row>
    <row r="2069" spans="1:9" ht="14.25">
      <c r="A2069" s="79" t="s">
        <v>3876</v>
      </c>
      <c r="B2069" s="79" t="s">
        <v>3877</v>
      </c>
      <c r="C2069" s="79">
        <v>603862097</v>
      </c>
      <c r="D2069" s="79">
        <v>0</v>
      </c>
      <c r="E2069" s="79" t="s">
        <v>1124</v>
      </c>
      <c r="F2069" s="79" t="s">
        <v>2539</v>
      </c>
      <c r="G2069" s="79" t="s">
        <v>2546</v>
      </c>
      <c r="H2069" s="79" t="s">
        <v>2547</v>
      </c>
      <c r="I2069" s="79"/>
    </row>
    <row r="2070" spans="1:9" ht="14.25">
      <c r="A2070" s="79" t="s">
        <v>3876</v>
      </c>
      <c r="B2070" s="79" t="s">
        <v>3877</v>
      </c>
      <c r="C2070" s="79">
        <v>603862097</v>
      </c>
      <c r="D2070" s="79">
        <v>0</v>
      </c>
      <c r="E2070" s="79" t="s">
        <v>1124</v>
      </c>
      <c r="F2070" s="79" t="s">
        <v>2539</v>
      </c>
      <c r="G2070" s="79" t="s">
        <v>2581</v>
      </c>
      <c r="H2070" s="79"/>
      <c r="I2070" s="79"/>
    </row>
    <row r="2071" spans="1:9" ht="14.25">
      <c r="A2071" s="79" t="s">
        <v>3878</v>
      </c>
      <c r="B2071" s="79" t="s">
        <v>3879</v>
      </c>
      <c r="C2071" s="79">
        <v>603904697</v>
      </c>
      <c r="D2071" s="79">
        <v>0</v>
      </c>
      <c r="E2071" s="79" t="s">
        <v>1124</v>
      </c>
      <c r="F2071" s="79" t="s">
        <v>2539</v>
      </c>
      <c r="G2071" s="79" t="s">
        <v>1130</v>
      </c>
      <c r="H2071" s="79"/>
      <c r="I2071" s="79"/>
    </row>
    <row r="2072" spans="1:9" ht="14.25">
      <c r="A2072" s="79" t="s">
        <v>3878</v>
      </c>
      <c r="B2072" s="79" t="s">
        <v>3879</v>
      </c>
      <c r="C2072" s="79">
        <v>603904697</v>
      </c>
      <c r="D2072" s="79">
        <v>0</v>
      </c>
      <c r="E2072" s="79" t="s">
        <v>1124</v>
      </c>
      <c r="F2072" s="79" t="s">
        <v>2539</v>
      </c>
      <c r="G2072" s="79" t="s">
        <v>1131</v>
      </c>
      <c r="H2072" s="79" t="s">
        <v>1132</v>
      </c>
      <c r="I2072" s="79"/>
    </row>
    <row r="2073" spans="1:9" ht="14.25">
      <c r="A2073" s="79" t="s">
        <v>3878</v>
      </c>
      <c r="B2073" s="79" t="s">
        <v>3879</v>
      </c>
      <c r="C2073" s="79">
        <v>603904697</v>
      </c>
      <c r="D2073" s="79">
        <v>0</v>
      </c>
      <c r="E2073" s="79" t="s">
        <v>1124</v>
      </c>
      <c r="F2073" s="79" t="s">
        <v>2539</v>
      </c>
      <c r="G2073" s="79" t="s">
        <v>2578</v>
      </c>
      <c r="H2073" s="79"/>
      <c r="I2073" s="79"/>
    </row>
    <row r="2074" spans="1:9" ht="14.25">
      <c r="A2074" s="79" t="s">
        <v>3880</v>
      </c>
      <c r="B2074" s="79" t="s">
        <v>3881</v>
      </c>
      <c r="C2074" s="79">
        <v>603905297</v>
      </c>
      <c r="D2074" s="79">
        <v>0</v>
      </c>
      <c r="E2074" s="79" t="s">
        <v>1124</v>
      </c>
      <c r="F2074" s="79" t="s">
        <v>2539</v>
      </c>
      <c r="G2074" s="79" t="s">
        <v>2546</v>
      </c>
      <c r="H2074" s="79" t="s">
        <v>2547</v>
      </c>
      <c r="I2074" s="79"/>
    </row>
    <row r="2075" spans="1:9" ht="14.25">
      <c r="A2075" s="79" t="s">
        <v>3880</v>
      </c>
      <c r="B2075" s="79" t="s">
        <v>3881</v>
      </c>
      <c r="C2075" s="79">
        <v>603905297</v>
      </c>
      <c r="D2075" s="79">
        <v>0</v>
      </c>
      <c r="E2075" s="79" t="s">
        <v>1124</v>
      </c>
      <c r="F2075" s="79" t="s">
        <v>2539</v>
      </c>
      <c r="G2075" s="79" t="s">
        <v>2581</v>
      </c>
      <c r="H2075" s="79"/>
      <c r="I2075" s="79"/>
    </row>
    <row r="2076" spans="1:9" ht="14.25">
      <c r="A2076" s="79" t="s">
        <v>3882</v>
      </c>
      <c r="B2076" s="79" t="s">
        <v>3883</v>
      </c>
      <c r="C2076" s="79">
        <v>603947897</v>
      </c>
      <c r="D2076" s="79">
        <v>0</v>
      </c>
      <c r="E2076" s="79" t="s">
        <v>1124</v>
      </c>
      <c r="F2076" s="79" t="s">
        <v>2539</v>
      </c>
      <c r="G2076" s="79" t="s">
        <v>1130</v>
      </c>
      <c r="H2076" s="79"/>
      <c r="I2076" s="79"/>
    </row>
    <row r="2077" spans="1:9" ht="14.25">
      <c r="A2077" s="79" t="s">
        <v>3882</v>
      </c>
      <c r="B2077" s="79" t="s">
        <v>3883</v>
      </c>
      <c r="C2077" s="79">
        <v>603947897</v>
      </c>
      <c r="D2077" s="79">
        <v>0</v>
      </c>
      <c r="E2077" s="79" t="s">
        <v>1124</v>
      </c>
      <c r="F2077" s="79" t="s">
        <v>2539</v>
      </c>
      <c r="G2077" s="79" t="s">
        <v>1131</v>
      </c>
      <c r="H2077" s="79" t="s">
        <v>1132</v>
      </c>
      <c r="I2077" s="79"/>
    </row>
    <row r="2078" spans="1:9" ht="14.25">
      <c r="A2078" s="79" t="s">
        <v>3882</v>
      </c>
      <c r="B2078" s="79" t="s">
        <v>3883</v>
      </c>
      <c r="C2078" s="79">
        <v>603947897</v>
      </c>
      <c r="D2078" s="79">
        <v>0</v>
      </c>
      <c r="E2078" s="79" t="s">
        <v>1124</v>
      </c>
      <c r="F2078" s="79" t="s">
        <v>2539</v>
      </c>
      <c r="G2078" s="79" t="s">
        <v>2578</v>
      </c>
      <c r="H2078" s="79"/>
      <c r="I2078" s="79"/>
    </row>
    <row r="2079" spans="1:9" ht="14.25">
      <c r="A2079" s="79" t="s">
        <v>3884</v>
      </c>
      <c r="B2079" s="79" t="s">
        <v>3885</v>
      </c>
      <c r="C2079" s="79">
        <v>603948497</v>
      </c>
      <c r="D2079" s="79">
        <v>0</v>
      </c>
      <c r="E2079" s="79" t="s">
        <v>1124</v>
      </c>
      <c r="F2079" s="79" t="s">
        <v>2539</v>
      </c>
      <c r="G2079" s="79" t="s">
        <v>2546</v>
      </c>
      <c r="H2079" s="79" t="s">
        <v>2547</v>
      </c>
      <c r="I2079" s="79"/>
    </row>
    <row r="2080" spans="1:9" ht="14.25">
      <c r="A2080" s="79" t="s">
        <v>3884</v>
      </c>
      <c r="B2080" s="79" t="s">
        <v>3885</v>
      </c>
      <c r="C2080" s="79">
        <v>603948497</v>
      </c>
      <c r="D2080" s="79">
        <v>0</v>
      </c>
      <c r="E2080" s="79" t="s">
        <v>1124</v>
      </c>
      <c r="F2080" s="79" t="s">
        <v>2539</v>
      </c>
      <c r="G2080" s="79" t="s">
        <v>2581</v>
      </c>
      <c r="H2080" s="79"/>
      <c r="I2080" s="79"/>
    </row>
    <row r="2081" spans="1:9" ht="14.25">
      <c r="A2081" s="79" t="s">
        <v>3886</v>
      </c>
      <c r="B2081" s="79" t="s">
        <v>3887</v>
      </c>
      <c r="C2081" s="79">
        <v>603991097</v>
      </c>
      <c r="D2081" s="79">
        <v>0</v>
      </c>
      <c r="E2081" s="79" t="s">
        <v>1124</v>
      </c>
      <c r="F2081" s="79" t="s">
        <v>2539</v>
      </c>
      <c r="G2081" s="79" t="s">
        <v>1130</v>
      </c>
      <c r="H2081" s="79"/>
      <c r="I2081" s="79"/>
    </row>
    <row r="2082" spans="1:9" ht="14.25">
      <c r="A2082" s="79" t="s">
        <v>3886</v>
      </c>
      <c r="B2082" s="79" t="s">
        <v>3887</v>
      </c>
      <c r="C2082" s="79">
        <v>603991097</v>
      </c>
      <c r="D2082" s="79">
        <v>0</v>
      </c>
      <c r="E2082" s="79" t="s">
        <v>1124</v>
      </c>
      <c r="F2082" s="79" t="s">
        <v>2539</v>
      </c>
      <c r="G2082" s="79" t="s">
        <v>1131</v>
      </c>
      <c r="H2082" s="79" t="s">
        <v>1132</v>
      </c>
      <c r="I2082" s="79"/>
    </row>
    <row r="2083" spans="1:9" ht="14.25">
      <c r="A2083" s="79" t="s">
        <v>3886</v>
      </c>
      <c r="B2083" s="79" t="s">
        <v>3887</v>
      </c>
      <c r="C2083" s="79">
        <v>603991097</v>
      </c>
      <c r="D2083" s="79">
        <v>0</v>
      </c>
      <c r="E2083" s="79" t="s">
        <v>1124</v>
      </c>
      <c r="F2083" s="79" t="s">
        <v>2539</v>
      </c>
      <c r="G2083" s="79" t="s">
        <v>2578</v>
      </c>
      <c r="H2083" s="79"/>
      <c r="I2083" s="79"/>
    </row>
    <row r="2084" spans="1:9" ht="14.25">
      <c r="A2084" s="79" t="s">
        <v>3888</v>
      </c>
      <c r="B2084" s="79" t="s">
        <v>3889</v>
      </c>
      <c r="C2084" s="79">
        <v>603991697</v>
      </c>
      <c r="D2084" s="79">
        <v>0</v>
      </c>
      <c r="E2084" s="79" t="s">
        <v>1124</v>
      </c>
      <c r="F2084" s="79" t="s">
        <v>2539</v>
      </c>
      <c r="G2084" s="79" t="s">
        <v>2546</v>
      </c>
      <c r="H2084" s="79" t="s">
        <v>2547</v>
      </c>
      <c r="I2084" s="79"/>
    </row>
    <row r="2085" spans="1:9" ht="14.25">
      <c r="A2085" s="79" t="s">
        <v>3888</v>
      </c>
      <c r="B2085" s="79" t="s">
        <v>3889</v>
      </c>
      <c r="C2085" s="79">
        <v>603991697</v>
      </c>
      <c r="D2085" s="79">
        <v>0</v>
      </c>
      <c r="E2085" s="79" t="s">
        <v>1124</v>
      </c>
      <c r="F2085" s="79" t="s">
        <v>2539</v>
      </c>
      <c r="G2085" s="79" t="s">
        <v>2581</v>
      </c>
      <c r="H2085" s="79"/>
      <c r="I2085" s="79"/>
    </row>
    <row r="2086" spans="1:9" ht="14.25">
      <c r="A2086" s="79" t="s">
        <v>3890</v>
      </c>
      <c r="B2086" s="79" t="s">
        <v>3891</v>
      </c>
      <c r="C2086" s="79">
        <v>604034297</v>
      </c>
      <c r="D2086" s="79">
        <v>0</v>
      </c>
      <c r="E2086" s="79" t="s">
        <v>1124</v>
      </c>
      <c r="F2086" s="79" t="s">
        <v>2539</v>
      </c>
      <c r="G2086" s="79" t="s">
        <v>1130</v>
      </c>
      <c r="H2086" s="79"/>
      <c r="I2086" s="79"/>
    </row>
    <row r="2087" spans="1:9" ht="14.25">
      <c r="A2087" s="79" t="s">
        <v>3890</v>
      </c>
      <c r="B2087" s="79" t="s">
        <v>3891</v>
      </c>
      <c r="C2087" s="79">
        <v>604034297</v>
      </c>
      <c r="D2087" s="79">
        <v>0</v>
      </c>
      <c r="E2087" s="79" t="s">
        <v>1124</v>
      </c>
      <c r="F2087" s="79" t="s">
        <v>2539</v>
      </c>
      <c r="G2087" s="79" t="s">
        <v>1131</v>
      </c>
      <c r="H2087" s="79" t="s">
        <v>1132</v>
      </c>
      <c r="I2087" s="79"/>
    </row>
    <row r="2088" spans="1:9" ht="14.25">
      <c r="A2088" s="79" t="s">
        <v>3890</v>
      </c>
      <c r="B2088" s="79" t="s">
        <v>3891</v>
      </c>
      <c r="C2088" s="79">
        <v>604034297</v>
      </c>
      <c r="D2088" s="79">
        <v>0</v>
      </c>
      <c r="E2088" s="79" t="s">
        <v>1124</v>
      </c>
      <c r="F2088" s="79" t="s">
        <v>2539</v>
      </c>
      <c r="G2088" s="79" t="s">
        <v>2578</v>
      </c>
      <c r="H2088" s="79"/>
      <c r="I2088" s="79"/>
    </row>
    <row r="2089" spans="1:9" ht="14.25">
      <c r="A2089" s="79" t="s">
        <v>3892</v>
      </c>
      <c r="B2089" s="79" t="s">
        <v>3893</v>
      </c>
      <c r="C2089" s="79">
        <v>604034897</v>
      </c>
      <c r="D2089" s="79">
        <v>0</v>
      </c>
      <c r="E2089" s="79" t="s">
        <v>1124</v>
      </c>
      <c r="F2089" s="79" t="s">
        <v>2539</v>
      </c>
      <c r="G2089" s="79" t="s">
        <v>2546</v>
      </c>
      <c r="H2089" s="79" t="s">
        <v>2547</v>
      </c>
      <c r="I2089" s="79"/>
    </row>
    <row r="2090" spans="1:9" ht="14.25">
      <c r="A2090" s="79" t="s">
        <v>3892</v>
      </c>
      <c r="B2090" s="79" t="s">
        <v>3893</v>
      </c>
      <c r="C2090" s="79">
        <v>604034897</v>
      </c>
      <c r="D2090" s="79">
        <v>0</v>
      </c>
      <c r="E2090" s="79" t="s">
        <v>1124</v>
      </c>
      <c r="F2090" s="79" t="s">
        <v>2539</v>
      </c>
      <c r="G2090" s="79" t="s">
        <v>2581</v>
      </c>
      <c r="H2090" s="79"/>
      <c r="I2090" s="79"/>
    </row>
    <row r="2091" spans="1:9" ht="14.25">
      <c r="A2091" s="79" t="s">
        <v>3894</v>
      </c>
      <c r="B2091" s="79" t="s">
        <v>3895</v>
      </c>
      <c r="C2091" s="79">
        <v>604077497</v>
      </c>
      <c r="D2091" s="79">
        <v>0</v>
      </c>
      <c r="E2091" s="79" t="s">
        <v>1124</v>
      </c>
      <c r="F2091" s="79" t="s">
        <v>2539</v>
      </c>
      <c r="G2091" s="79" t="s">
        <v>1130</v>
      </c>
      <c r="H2091" s="79"/>
      <c r="I2091" s="79"/>
    </row>
    <row r="2092" spans="1:9" ht="14.25">
      <c r="A2092" s="79" t="s">
        <v>3894</v>
      </c>
      <c r="B2092" s="79" t="s">
        <v>3895</v>
      </c>
      <c r="C2092" s="79">
        <v>604077497</v>
      </c>
      <c r="D2092" s="79">
        <v>0</v>
      </c>
      <c r="E2092" s="79" t="s">
        <v>1124</v>
      </c>
      <c r="F2092" s="79" t="s">
        <v>2539</v>
      </c>
      <c r="G2092" s="79" t="s">
        <v>2109</v>
      </c>
      <c r="H2092" s="79"/>
      <c r="I2092" s="79"/>
    </row>
    <row r="2093" spans="1:9" ht="14.25">
      <c r="A2093" s="79" t="s">
        <v>3896</v>
      </c>
      <c r="B2093" s="79" t="s">
        <v>3897</v>
      </c>
      <c r="C2093" s="79">
        <v>604077500</v>
      </c>
      <c r="D2093" s="79">
        <v>0</v>
      </c>
      <c r="E2093" s="79" t="s">
        <v>1124</v>
      </c>
      <c r="F2093" s="79" t="s">
        <v>2539</v>
      </c>
      <c r="G2093" s="79" t="s">
        <v>1130</v>
      </c>
      <c r="H2093" s="79"/>
      <c r="I2093" s="79"/>
    </row>
    <row r="2094" spans="1:9" ht="14.25">
      <c r="A2094" s="79" t="s">
        <v>3896</v>
      </c>
      <c r="B2094" s="79" t="s">
        <v>3897</v>
      </c>
      <c r="C2094" s="79">
        <v>604077500</v>
      </c>
      <c r="D2094" s="79">
        <v>0</v>
      </c>
      <c r="E2094" s="79" t="s">
        <v>1124</v>
      </c>
      <c r="F2094" s="79" t="s">
        <v>2539</v>
      </c>
      <c r="G2094" s="79" t="s">
        <v>2572</v>
      </c>
      <c r="H2094" s="79" t="s">
        <v>2573</v>
      </c>
      <c r="I2094" s="79"/>
    </row>
    <row r="2095" spans="1:9" ht="14.25">
      <c r="A2095" s="79" t="s">
        <v>3896</v>
      </c>
      <c r="B2095" s="79" t="s">
        <v>3897</v>
      </c>
      <c r="C2095" s="79">
        <v>604077500</v>
      </c>
      <c r="D2095" s="79">
        <v>0</v>
      </c>
      <c r="E2095" s="79" t="s">
        <v>1124</v>
      </c>
      <c r="F2095" s="79" t="s">
        <v>2539</v>
      </c>
      <c r="G2095" s="79" t="s">
        <v>2568</v>
      </c>
      <c r="H2095" s="79"/>
      <c r="I2095" s="79"/>
    </row>
    <row r="2096" spans="1:9" ht="14.25">
      <c r="A2096" s="79" t="s">
        <v>3898</v>
      </c>
      <c r="B2096" s="79" t="s">
        <v>3899</v>
      </c>
      <c r="C2096" s="79">
        <v>604077860</v>
      </c>
      <c r="D2096" s="79">
        <v>0</v>
      </c>
      <c r="E2096" s="79" t="s">
        <v>1124</v>
      </c>
      <c r="F2096" s="79" t="s">
        <v>2539</v>
      </c>
      <c r="G2096" s="79" t="s">
        <v>2576</v>
      </c>
      <c r="H2096" s="79"/>
      <c r="I2096" s="79"/>
    </row>
    <row r="2097" spans="1:9" ht="14.25">
      <c r="A2097" s="79" t="s">
        <v>3898</v>
      </c>
      <c r="B2097" s="79" t="s">
        <v>3899</v>
      </c>
      <c r="C2097" s="79">
        <v>604077860</v>
      </c>
      <c r="D2097" s="79">
        <v>0</v>
      </c>
      <c r="E2097" s="79" t="s">
        <v>1124</v>
      </c>
      <c r="F2097" s="79" t="s">
        <v>2539</v>
      </c>
      <c r="G2097" s="79" t="s">
        <v>2577</v>
      </c>
      <c r="H2097" s="79"/>
      <c r="I2097" s="79"/>
    </row>
    <row r="2098" spans="1:9" ht="14.25">
      <c r="A2098" s="79" t="s">
        <v>3898</v>
      </c>
      <c r="B2098" s="79" t="s">
        <v>3899</v>
      </c>
      <c r="C2098" s="79">
        <v>604077860</v>
      </c>
      <c r="D2098" s="79">
        <v>0</v>
      </c>
      <c r="E2098" s="79" t="s">
        <v>1124</v>
      </c>
      <c r="F2098" s="79" t="s">
        <v>2539</v>
      </c>
      <c r="G2098" s="79" t="s">
        <v>1131</v>
      </c>
      <c r="H2098" s="79" t="s">
        <v>1132</v>
      </c>
      <c r="I2098" s="79"/>
    </row>
    <row r="2099" spans="1:9" ht="14.25">
      <c r="A2099" s="79" t="s">
        <v>3898</v>
      </c>
      <c r="B2099" s="79" t="s">
        <v>3899</v>
      </c>
      <c r="C2099" s="79">
        <v>604077860</v>
      </c>
      <c r="D2099" s="79">
        <v>0</v>
      </c>
      <c r="E2099" s="79" t="s">
        <v>1124</v>
      </c>
      <c r="F2099" s="79" t="s">
        <v>2539</v>
      </c>
      <c r="G2099" s="79" t="s">
        <v>2578</v>
      </c>
      <c r="H2099" s="79"/>
      <c r="I2099" s="79"/>
    </row>
    <row r="2100" spans="1:9" ht="14.25">
      <c r="A2100" s="79" t="s">
        <v>3900</v>
      </c>
      <c r="B2100" s="79" t="s">
        <v>3901</v>
      </c>
      <c r="C2100" s="79">
        <v>604078460</v>
      </c>
      <c r="D2100" s="79">
        <v>0</v>
      </c>
      <c r="E2100" s="79" t="s">
        <v>1124</v>
      </c>
      <c r="F2100" s="79" t="s">
        <v>2539</v>
      </c>
      <c r="G2100" s="79" t="s">
        <v>2546</v>
      </c>
      <c r="H2100" s="79" t="s">
        <v>2547</v>
      </c>
      <c r="I2100" s="79"/>
    </row>
    <row r="2101" spans="1:9" ht="14.25">
      <c r="A2101" s="79" t="s">
        <v>3900</v>
      </c>
      <c r="B2101" s="79" t="s">
        <v>3901</v>
      </c>
      <c r="C2101" s="79">
        <v>604078460</v>
      </c>
      <c r="D2101" s="79">
        <v>0</v>
      </c>
      <c r="E2101" s="79" t="s">
        <v>1124</v>
      </c>
      <c r="F2101" s="79" t="s">
        <v>2539</v>
      </c>
      <c r="G2101" s="79" t="s">
        <v>2581</v>
      </c>
      <c r="H2101" s="79"/>
      <c r="I2101" s="79"/>
    </row>
    <row r="2102" spans="1:9" ht="14.25">
      <c r="A2102" s="79" t="s">
        <v>3902</v>
      </c>
      <c r="B2102" s="79" t="s">
        <v>3903</v>
      </c>
      <c r="C2102" s="79">
        <v>604121060</v>
      </c>
      <c r="D2102" s="79">
        <v>0</v>
      </c>
      <c r="E2102" s="79" t="s">
        <v>1124</v>
      </c>
      <c r="F2102" s="79" t="s">
        <v>2539</v>
      </c>
      <c r="G2102" s="79" t="s">
        <v>1130</v>
      </c>
      <c r="H2102" s="79"/>
      <c r="I2102" s="79"/>
    </row>
    <row r="2103" spans="1:9" ht="14.25">
      <c r="A2103" s="79" t="s">
        <v>3902</v>
      </c>
      <c r="B2103" s="79" t="s">
        <v>3903</v>
      </c>
      <c r="C2103" s="79">
        <v>604121060</v>
      </c>
      <c r="D2103" s="79">
        <v>0</v>
      </c>
      <c r="E2103" s="79" t="s">
        <v>1124</v>
      </c>
      <c r="F2103" s="79" t="s">
        <v>2539</v>
      </c>
      <c r="G2103" s="79" t="s">
        <v>1131</v>
      </c>
      <c r="H2103" s="79" t="s">
        <v>1132</v>
      </c>
      <c r="I2103" s="79"/>
    </row>
    <row r="2104" spans="1:9" ht="14.25">
      <c r="A2104" s="79" t="s">
        <v>3902</v>
      </c>
      <c r="B2104" s="79" t="s">
        <v>3903</v>
      </c>
      <c r="C2104" s="79">
        <v>604121060</v>
      </c>
      <c r="D2104" s="79">
        <v>0</v>
      </c>
      <c r="E2104" s="79" t="s">
        <v>1124</v>
      </c>
      <c r="F2104" s="79" t="s">
        <v>2539</v>
      </c>
      <c r="G2104" s="79" t="s">
        <v>2578</v>
      </c>
      <c r="H2104" s="79"/>
      <c r="I2104" s="79"/>
    </row>
    <row r="2105" spans="1:9" ht="14.25">
      <c r="A2105" s="79" t="s">
        <v>3904</v>
      </c>
      <c r="B2105" s="79" t="s">
        <v>3905</v>
      </c>
      <c r="C2105" s="79">
        <v>604121660</v>
      </c>
      <c r="D2105" s="79">
        <v>0</v>
      </c>
      <c r="E2105" s="79" t="s">
        <v>1124</v>
      </c>
      <c r="F2105" s="79" t="s">
        <v>2539</v>
      </c>
      <c r="G2105" s="79" t="s">
        <v>2546</v>
      </c>
      <c r="H2105" s="79" t="s">
        <v>2547</v>
      </c>
      <c r="I2105" s="79"/>
    </row>
    <row r="2106" spans="1:9" ht="14.25">
      <c r="A2106" s="79" t="s">
        <v>3904</v>
      </c>
      <c r="B2106" s="79" t="s">
        <v>3905</v>
      </c>
      <c r="C2106" s="79">
        <v>604121660</v>
      </c>
      <c r="D2106" s="79">
        <v>0</v>
      </c>
      <c r="E2106" s="79" t="s">
        <v>1124</v>
      </c>
      <c r="F2106" s="79" t="s">
        <v>2539</v>
      </c>
      <c r="G2106" s="79" t="s">
        <v>2581</v>
      </c>
      <c r="H2106" s="79"/>
      <c r="I2106" s="79"/>
    </row>
    <row r="2107" spans="1:9" ht="14.25">
      <c r="A2107" s="79" t="s">
        <v>3906</v>
      </c>
      <c r="B2107" s="79" t="s">
        <v>3907</v>
      </c>
      <c r="C2107" s="79">
        <v>604164260</v>
      </c>
      <c r="D2107" s="79">
        <v>0</v>
      </c>
      <c r="E2107" s="79" t="s">
        <v>1124</v>
      </c>
      <c r="F2107" s="79" t="s">
        <v>2539</v>
      </c>
      <c r="G2107" s="79" t="s">
        <v>1130</v>
      </c>
      <c r="H2107" s="79"/>
      <c r="I2107" s="79"/>
    </row>
    <row r="2108" spans="1:9" ht="14.25">
      <c r="A2108" s="79" t="s">
        <v>3906</v>
      </c>
      <c r="B2108" s="79" t="s">
        <v>3907</v>
      </c>
      <c r="C2108" s="79">
        <v>604164260</v>
      </c>
      <c r="D2108" s="79">
        <v>0</v>
      </c>
      <c r="E2108" s="79" t="s">
        <v>1124</v>
      </c>
      <c r="F2108" s="79" t="s">
        <v>2539</v>
      </c>
      <c r="G2108" s="79" t="s">
        <v>1131</v>
      </c>
      <c r="H2108" s="79" t="s">
        <v>1132</v>
      </c>
      <c r="I2108" s="79"/>
    </row>
    <row r="2109" spans="1:9" ht="14.25">
      <c r="A2109" s="79" t="s">
        <v>3906</v>
      </c>
      <c r="B2109" s="79" t="s">
        <v>3907</v>
      </c>
      <c r="C2109" s="79">
        <v>604164260</v>
      </c>
      <c r="D2109" s="79">
        <v>0</v>
      </c>
      <c r="E2109" s="79" t="s">
        <v>1124</v>
      </c>
      <c r="F2109" s="79" t="s">
        <v>2539</v>
      </c>
      <c r="G2109" s="79" t="s">
        <v>2578</v>
      </c>
      <c r="H2109" s="79"/>
      <c r="I2109" s="79"/>
    </row>
    <row r="2110" spans="1:9" ht="14.25">
      <c r="A2110" s="79" t="s">
        <v>3908</v>
      </c>
      <c r="B2110" s="79" t="s">
        <v>3909</v>
      </c>
      <c r="C2110" s="79">
        <v>604164860</v>
      </c>
      <c r="D2110" s="79">
        <v>0</v>
      </c>
      <c r="E2110" s="79" t="s">
        <v>1124</v>
      </c>
      <c r="F2110" s="79" t="s">
        <v>2539</v>
      </c>
      <c r="G2110" s="79" t="s">
        <v>2546</v>
      </c>
      <c r="H2110" s="79" t="s">
        <v>2547</v>
      </c>
      <c r="I2110" s="79"/>
    </row>
    <row r="2111" spans="1:9" ht="14.25">
      <c r="A2111" s="79" t="s">
        <v>3908</v>
      </c>
      <c r="B2111" s="79" t="s">
        <v>3909</v>
      </c>
      <c r="C2111" s="79">
        <v>604164860</v>
      </c>
      <c r="D2111" s="79">
        <v>0</v>
      </c>
      <c r="E2111" s="79" t="s">
        <v>1124</v>
      </c>
      <c r="F2111" s="79" t="s">
        <v>2539</v>
      </c>
      <c r="G2111" s="79" t="s">
        <v>2581</v>
      </c>
      <c r="H2111" s="79"/>
      <c r="I2111" s="79"/>
    </row>
    <row r="2112" spans="1:9" ht="14.25">
      <c r="A2112" s="79" t="s">
        <v>3910</v>
      </c>
      <c r="B2112" s="79" t="s">
        <v>3911</v>
      </c>
      <c r="C2112" s="79">
        <v>604207460</v>
      </c>
      <c r="D2112" s="79">
        <v>0</v>
      </c>
      <c r="E2112" s="79" t="s">
        <v>1124</v>
      </c>
      <c r="F2112" s="79" t="s">
        <v>2539</v>
      </c>
      <c r="G2112" s="79" t="s">
        <v>1130</v>
      </c>
      <c r="H2112" s="79"/>
      <c r="I2112" s="79"/>
    </row>
    <row r="2113" spans="1:9" ht="14.25">
      <c r="A2113" s="79" t="s">
        <v>3910</v>
      </c>
      <c r="B2113" s="79" t="s">
        <v>3911</v>
      </c>
      <c r="C2113" s="79">
        <v>604207460</v>
      </c>
      <c r="D2113" s="79">
        <v>0</v>
      </c>
      <c r="E2113" s="79" t="s">
        <v>1124</v>
      </c>
      <c r="F2113" s="79" t="s">
        <v>2539</v>
      </c>
      <c r="G2113" s="79" t="s">
        <v>1131</v>
      </c>
      <c r="H2113" s="79" t="s">
        <v>1132</v>
      </c>
      <c r="I2113" s="79"/>
    </row>
    <row r="2114" spans="1:9" ht="14.25">
      <c r="A2114" s="79" t="s">
        <v>3910</v>
      </c>
      <c r="B2114" s="79" t="s">
        <v>3911</v>
      </c>
      <c r="C2114" s="79">
        <v>604207460</v>
      </c>
      <c r="D2114" s="79">
        <v>0</v>
      </c>
      <c r="E2114" s="79" t="s">
        <v>1124</v>
      </c>
      <c r="F2114" s="79" t="s">
        <v>2539</v>
      </c>
      <c r="G2114" s="79" t="s">
        <v>2578</v>
      </c>
      <c r="H2114" s="79"/>
      <c r="I2114" s="79"/>
    </row>
    <row r="2115" spans="1:9" ht="14.25">
      <c r="A2115" s="79" t="s">
        <v>3912</v>
      </c>
      <c r="B2115" s="79" t="s">
        <v>3913</v>
      </c>
      <c r="C2115" s="79">
        <v>604208060</v>
      </c>
      <c r="D2115" s="79">
        <v>0</v>
      </c>
      <c r="E2115" s="79" t="s">
        <v>1124</v>
      </c>
      <c r="F2115" s="79" t="s">
        <v>2539</v>
      </c>
      <c r="G2115" s="79" t="s">
        <v>2546</v>
      </c>
      <c r="H2115" s="79" t="s">
        <v>2547</v>
      </c>
      <c r="I2115" s="79"/>
    </row>
    <row r="2116" spans="1:9" ht="14.25">
      <c r="A2116" s="79" t="s">
        <v>3912</v>
      </c>
      <c r="B2116" s="79" t="s">
        <v>3913</v>
      </c>
      <c r="C2116" s="79">
        <v>604208060</v>
      </c>
      <c r="D2116" s="79">
        <v>0</v>
      </c>
      <c r="E2116" s="79" t="s">
        <v>1124</v>
      </c>
      <c r="F2116" s="79" t="s">
        <v>2539</v>
      </c>
      <c r="G2116" s="79" t="s">
        <v>2581</v>
      </c>
      <c r="H2116" s="79"/>
      <c r="I2116" s="79"/>
    </row>
    <row r="2117" spans="1:9" ht="14.25">
      <c r="A2117" s="79" t="s">
        <v>3914</v>
      </c>
      <c r="B2117" s="79" t="s">
        <v>3915</v>
      </c>
      <c r="C2117" s="79">
        <v>604250660</v>
      </c>
      <c r="D2117" s="79">
        <v>0</v>
      </c>
      <c r="E2117" s="79" t="s">
        <v>1124</v>
      </c>
      <c r="F2117" s="79" t="s">
        <v>2539</v>
      </c>
      <c r="G2117" s="79" t="s">
        <v>1130</v>
      </c>
      <c r="H2117" s="79"/>
      <c r="I2117" s="79"/>
    </row>
    <row r="2118" spans="1:9" ht="14.25">
      <c r="A2118" s="79" t="s">
        <v>3914</v>
      </c>
      <c r="B2118" s="79" t="s">
        <v>3915</v>
      </c>
      <c r="C2118" s="79">
        <v>604250660</v>
      </c>
      <c r="D2118" s="79">
        <v>0</v>
      </c>
      <c r="E2118" s="79" t="s">
        <v>1124</v>
      </c>
      <c r="F2118" s="79" t="s">
        <v>2539</v>
      </c>
      <c r="G2118" s="79" t="s">
        <v>1131</v>
      </c>
      <c r="H2118" s="79" t="s">
        <v>1132</v>
      </c>
      <c r="I2118" s="79"/>
    </row>
    <row r="2119" spans="1:9" ht="14.25">
      <c r="A2119" s="79" t="s">
        <v>3914</v>
      </c>
      <c r="B2119" s="79" t="s">
        <v>3915</v>
      </c>
      <c r="C2119" s="79">
        <v>604250660</v>
      </c>
      <c r="D2119" s="79">
        <v>0</v>
      </c>
      <c r="E2119" s="79" t="s">
        <v>1124</v>
      </c>
      <c r="F2119" s="79" t="s">
        <v>2539</v>
      </c>
      <c r="G2119" s="79" t="s">
        <v>2578</v>
      </c>
      <c r="H2119" s="79"/>
      <c r="I2119" s="79"/>
    </row>
    <row r="2120" spans="1:9" ht="14.25">
      <c r="A2120" s="79" t="s">
        <v>3916</v>
      </c>
      <c r="B2120" s="79" t="s">
        <v>3917</v>
      </c>
      <c r="C2120" s="79">
        <v>604251260</v>
      </c>
      <c r="D2120" s="79">
        <v>0</v>
      </c>
      <c r="E2120" s="79" t="s">
        <v>1124</v>
      </c>
      <c r="F2120" s="79" t="s">
        <v>2539</v>
      </c>
      <c r="G2120" s="79" t="s">
        <v>2546</v>
      </c>
      <c r="H2120" s="79" t="s">
        <v>2547</v>
      </c>
      <c r="I2120" s="79"/>
    </row>
    <row r="2121" spans="1:9" ht="14.25">
      <c r="A2121" s="79" t="s">
        <v>3916</v>
      </c>
      <c r="B2121" s="79" t="s">
        <v>3917</v>
      </c>
      <c r="C2121" s="79">
        <v>604251260</v>
      </c>
      <c r="D2121" s="79">
        <v>0</v>
      </c>
      <c r="E2121" s="79" t="s">
        <v>1124</v>
      </c>
      <c r="F2121" s="79" t="s">
        <v>2539</v>
      </c>
      <c r="G2121" s="79" t="s">
        <v>2581</v>
      </c>
      <c r="H2121" s="79"/>
      <c r="I2121" s="79"/>
    </row>
    <row r="2122" spans="1:9" ht="14.25">
      <c r="A2122" s="79" t="s">
        <v>3918</v>
      </c>
      <c r="B2122" s="79" t="s">
        <v>3919</v>
      </c>
      <c r="C2122" s="79">
        <v>604293860</v>
      </c>
      <c r="D2122" s="79">
        <v>0</v>
      </c>
      <c r="E2122" s="79" t="s">
        <v>1124</v>
      </c>
      <c r="F2122" s="79" t="s">
        <v>2539</v>
      </c>
      <c r="G2122" s="79" t="s">
        <v>1130</v>
      </c>
      <c r="H2122" s="79"/>
      <c r="I2122" s="79"/>
    </row>
    <row r="2123" spans="1:9" ht="14.25">
      <c r="A2123" s="79" t="s">
        <v>3918</v>
      </c>
      <c r="B2123" s="79" t="s">
        <v>3919</v>
      </c>
      <c r="C2123" s="79">
        <v>604293860</v>
      </c>
      <c r="D2123" s="79">
        <v>0</v>
      </c>
      <c r="E2123" s="79" t="s">
        <v>1124</v>
      </c>
      <c r="F2123" s="79" t="s">
        <v>2539</v>
      </c>
      <c r="G2123" s="79" t="s">
        <v>1131</v>
      </c>
      <c r="H2123" s="79" t="s">
        <v>1132</v>
      </c>
      <c r="I2123" s="79"/>
    </row>
    <row r="2124" spans="1:9" ht="14.25">
      <c r="A2124" s="79" t="s">
        <v>3918</v>
      </c>
      <c r="B2124" s="79" t="s">
        <v>3919</v>
      </c>
      <c r="C2124" s="79">
        <v>604293860</v>
      </c>
      <c r="D2124" s="79">
        <v>0</v>
      </c>
      <c r="E2124" s="79" t="s">
        <v>1124</v>
      </c>
      <c r="F2124" s="79" t="s">
        <v>2539</v>
      </c>
      <c r="G2124" s="79" t="s">
        <v>2578</v>
      </c>
      <c r="H2124" s="79"/>
      <c r="I2124" s="79"/>
    </row>
    <row r="2125" spans="1:9" ht="14.25">
      <c r="A2125" s="79" t="s">
        <v>3920</v>
      </c>
      <c r="B2125" s="79" t="s">
        <v>3921</v>
      </c>
      <c r="C2125" s="79">
        <v>604294460</v>
      </c>
      <c r="D2125" s="79">
        <v>0</v>
      </c>
      <c r="E2125" s="79" t="s">
        <v>1124</v>
      </c>
      <c r="F2125" s="79" t="s">
        <v>2539</v>
      </c>
      <c r="G2125" s="79" t="s">
        <v>2546</v>
      </c>
      <c r="H2125" s="79" t="s">
        <v>2547</v>
      </c>
      <c r="I2125" s="79"/>
    </row>
    <row r="2126" spans="1:9" ht="14.25">
      <c r="A2126" s="79" t="s">
        <v>3920</v>
      </c>
      <c r="B2126" s="79" t="s">
        <v>3921</v>
      </c>
      <c r="C2126" s="79">
        <v>604294460</v>
      </c>
      <c r="D2126" s="79">
        <v>0</v>
      </c>
      <c r="E2126" s="79" t="s">
        <v>1124</v>
      </c>
      <c r="F2126" s="79" t="s">
        <v>2539</v>
      </c>
      <c r="G2126" s="79" t="s">
        <v>2581</v>
      </c>
      <c r="H2126" s="79"/>
      <c r="I2126" s="79"/>
    </row>
    <row r="2127" spans="1:9" ht="14.25">
      <c r="A2127" s="79" t="s">
        <v>3922</v>
      </c>
      <c r="B2127" s="79" t="s">
        <v>3923</v>
      </c>
      <c r="C2127" s="79">
        <v>604337060</v>
      </c>
      <c r="D2127" s="79">
        <v>0</v>
      </c>
      <c r="E2127" s="79" t="s">
        <v>1124</v>
      </c>
      <c r="F2127" s="79" t="s">
        <v>2539</v>
      </c>
      <c r="G2127" s="79" t="s">
        <v>1130</v>
      </c>
      <c r="H2127" s="79"/>
      <c r="I2127" s="79"/>
    </row>
    <row r="2128" spans="1:9" ht="14.25">
      <c r="A2128" s="79" t="s">
        <v>3922</v>
      </c>
      <c r="B2128" s="79" t="s">
        <v>3923</v>
      </c>
      <c r="C2128" s="79">
        <v>604337060</v>
      </c>
      <c r="D2128" s="79">
        <v>0</v>
      </c>
      <c r="E2128" s="79" t="s">
        <v>1124</v>
      </c>
      <c r="F2128" s="79" t="s">
        <v>2539</v>
      </c>
      <c r="G2128" s="79" t="s">
        <v>1131</v>
      </c>
      <c r="H2128" s="79" t="s">
        <v>1132</v>
      </c>
      <c r="I2128" s="79"/>
    </row>
    <row r="2129" spans="1:9" ht="14.25">
      <c r="A2129" s="79" t="s">
        <v>3922</v>
      </c>
      <c r="B2129" s="79" t="s">
        <v>3923</v>
      </c>
      <c r="C2129" s="79">
        <v>604337060</v>
      </c>
      <c r="D2129" s="79">
        <v>0</v>
      </c>
      <c r="E2129" s="79" t="s">
        <v>1124</v>
      </c>
      <c r="F2129" s="79" t="s">
        <v>2539</v>
      </c>
      <c r="G2129" s="79" t="s">
        <v>2578</v>
      </c>
      <c r="H2129" s="79"/>
      <c r="I2129" s="79"/>
    </row>
    <row r="2130" spans="1:9" ht="14.25">
      <c r="A2130" s="79" t="s">
        <v>3924</v>
      </c>
      <c r="B2130" s="79" t="s">
        <v>3925</v>
      </c>
      <c r="C2130" s="79">
        <v>604337660</v>
      </c>
      <c r="D2130" s="79">
        <v>0</v>
      </c>
      <c r="E2130" s="79" t="s">
        <v>1124</v>
      </c>
      <c r="F2130" s="79" t="s">
        <v>2539</v>
      </c>
      <c r="G2130" s="79" t="s">
        <v>2546</v>
      </c>
      <c r="H2130" s="79" t="s">
        <v>2547</v>
      </c>
      <c r="I2130" s="79"/>
    </row>
    <row r="2131" spans="1:9" ht="14.25">
      <c r="A2131" s="79" t="s">
        <v>3924</v>
      </c>
      <c r="B2131" s="79" t="s">
        <v>3925</v>
      </c>
      <c r="C2131" s="79">
        <v>604337660</v>
      </c>
      <c r="D2131" s="79">
        <v>0</v>
      </c>
      <c r="E2131" s="79" t="s">
        <v>1124</v>
      </c>
      <c r="F2131" s="79" t="s">
        <v>2539</v>
      </c>
      <c r="G2131" s="79" t="s">
        <v>2581</v>
      </c>
      <c r="H2131" s="79"/>
      <c r="I2131" s="79"/>
    </row>
    <row r="2132" spans="1:9" ht="14.25">
      <c r="A2132" s="79" t="s">
        <v>3926</v>
      </c>
      <c r="B2132" s="79" t="s">
        <v>3927</v>
      </c>
      <c r="C2132" s="79">
        <v>604380260</v>
      </c>
      <c r="D2132" s="79">
        <v>0</v>
      </c>
      <c r="E2132" s="79" t="s">
        <v>1124</v>
      </c>
      <c r="F2132" s="79" t="s">
        <v>2539</v>
      </c>
      <c r="G2132" s="79" t="s">
        <v>1130</v>
      </c>
      <c r="H2132" s="79"/>
      <c r="I2132" s="79"/>
    </row>
    <row r="2133" spans="1:9" ht="14.25">
      <c r="A2133" s="79" t="s">
        <v>3926</v>
      </c>
      <c r="B2133" s="79" t="s">
        <v>3927</v>
      </c>
      <c r="C2133" s="79">
        <v>604380260</v>
      </c>
      <c r="D2133" s="79">
        <v>0</v>
      </c>
      <c r="E2133" s="79" t="s">
        <v>1124</v>
      </c>
      <c r="F2133" s="79" t="s">
        <v>2539</v>
      </c>
      <c r="G2133" s="79" t="s">
        <v>1131</v>
      </c>
      <c r="H2133" s="79" t="s">
        <v>1132</v>
      </c>
      <c r="I2133" s="79"/>
    </row>
    <row r="2134" spans="1:9" ht="14.25">
      <c r="A2134" s="79" t="s">
        <v>3926</v>
      </c>
      <c r="B2134" s="79" t="s">
        <v>3927</v>
      </c>
      <c r="C2134" s="79">
        <v>604380260</v>
      </c>
      <c r="D2134" s="79">
        <v>0</v>
      </c>
      <c r="E2134" s="79" t="s">
        <v>1124</v>
      </c>
      <c r="F2134" s="79" t="s">
        <v>2539</v>
      </c>
      <c r="G2134" s="79" t="s">
        <v>2578</v>
      </c>
      <c r="H2134" s="79"/>
      <c r="I2134" s="79"/>
    </row>
    <row r="2135" spans="1:9" ht="14.25">
      <c r="A2135" s="79" t="s">
        <v>3928</v>
      </c>
      <c r="B2135" s="79" t="s">
        <v>3929</v>
      </c>
      <c r="C2135" s="79">
        <v>604380860</v>
      </c>
      <c r="D2135" s="79">
        <v>0</v>
      </c>
      <c r="E2135" s="79" t="s">
        <v>1124</v>
      </c>
      <c r="F2135" s="79" t="s">
        <v>2539</v>
      </c>
      <c r="G2135" s="79" t="s">
        <v>2546</v>
      </c>
      <c r="H2135" s="79" t="s">
        <v>2547</v>
      </c>
      <c r="I2135" s="79"/>
    </row>
    <row r="2136" spans="1:9" ht="14.25">
      <c r="A2136" s="79" t="s">
        <v>3928</v>
      </c>
      <c r="B2136" s="79" t="s">
        <v>3929</v>
      </c>
      <c r="C2136" s="79">
        <v>604380860</v>
      </c>
      <c r="D2136" s="79">
        <v>0</v>
      </c>
      <c r="E2136" s="79" t="s">
        <v>1124</v>
      </c>
      <c r="F2136" s="79" t="s">
        <v>2539</v>
      </c>
      <c r="G2136" s="79" t="s">
        <v>2581</v>
      </c>
      <c r="H2136" s="79"/>
      <c r="I2136" s="79"/>
    </row>
    <row r="2137" spans="1:9" ht="14.25">
      <c r="A2137" s="79" t="s">
        <v>3930</v>
      </c>
      <c r="B2137" s="79" t="s">
        <v>3931</v>
      </c>
      <c r="C2137" s="79">
        <v>604423460</v>
      </c>
      <c r="D2137" s="79">
        <v>0</v>
      </c>
      <c r="E2137" s="79" t="s">
        <v>1124</v>
      </c>
      <c r="F2137" s="79" t="s">
        <v>2539</v>
      </c>
      <c r="G2137" s="79" t="s">
        <v>1130</v>
      </c>
      <c r="H2137" s="79"/>
      <c r="I2137" s="79"/>
    </row>
    <row r="2138" spans="1:9" ht="14.25">
      <c r="A2138" s="79" t="s">
        <v>3930</v>
      </c>
      <c r="B2138" s="79" t="s">
        <v>3931</v>
      </c>
      <c r="C2138" s="79">
        <v>604423460</v>
      </c>
      <c r="D2138" s="79">
        <v>0</v>
      </c>
      <c r="E2138" s="79" t="s">
        <v>1124</v>
      </c>
      <c r="F2138" s="79" t="s">
        <v>2539</v>
      </c>
      <c r="G2138" s="79" t="s">
        <v>1131</v>
      </c>
      <c r="H2138" s="79" t="s">
        <v>1132</v>
      </c>
      <c r="I2138" s="79"/>
    </row>
    <row r="2139" spans="1:9" ht="14.25">
      <c r="A2139" s="79" t="s">
        <v>3930</v>
      </c>
      <c r="B2139" s="79" t="s">
        <v>3931</v>
      </c>
      <c r="C2139" s="79">
        <v>604423460</v>
      </c>
      <c r="D2139" s="79">
        <v>0</v>
      </c>
      <c r="E2139" s="79" t="s">
        <v>1124</v>
      </c>
      <c r="F2139" s="79" t="s">
        <v>2539</v>
      </c>
      <c r="G2139" s="79" t="s">
        <v>2578</v>
      </c>
      <c r="H2139" s="79"/>
      <c r="I2139" s="79"/>
    </row>
    <row r="2140" spans="1:9" ht="14.25">
      <c r="A2140" s="79" t="s">
        <v>3932</v>
      </c>
      <c r="B2140" s="79" t="s">
        <v>3933</v>
      </c>
      <c r="C2140" s="79">
        <v>604424060</v>
      </c>
      <c r="D2140" s="79">
        <v>0</v>
      </c>
      <c r="E2140" s="79" t="s">
        <v>1124</v>
      </c>
      <c r="F2140" s="79" t="s">
        <v>2539</v>
      </c>
      <c r="G2140" s="79" t="s">
        <v>2546</v>
      </c>
      <c r="H2140" s="79" t="s">
        <v>2547</v>
      </c>
      <c r="I2140" s="79"/>
    </row>
    <row r="2141" spans="1:9" ht="14.25">
      <c r="A2141" s="79" t="s">
        <v>3932</v>
      </c>
      <c r="B2141" s="79" t="s">
        <v>3933</v>
      </c>
      <c r="C2141" s="79">
        <v>604424060</v>
      </c>
      <c r="D2141" s="79">
        <v>0</v>
      </c>
      <c r="E2141" s="79" t="s">
        <v>1124</v>
      </c>
      <c r="F2141" s="79" t="s">
        <v>2539</v>
      </c>
      <c r="G2141" s="79" t="s">
        <v>2581</v>
      </c>
      <c r="H2141" s="79"/>
      <c r="I2141" s="79"/>
    </row>
    <row r="2142" spans="1:9" ht="14.25">
      <c r="A2142" s="79" t="s">
        <v>3934</v>
      </c>
      <c r="B2142" s="79" t="s">
        <v>3935</v>
      </c>
      <c r="C2142" s="79">
        <v>604466660</v>
      </c>
      <c r="D2142" s="79">
        <v>0</v>
      </c>
      <c r="E2142" s="79" t="s">
        <v>1124</v>
      </c>
      <c r="F2142" s="79" t="s">
        <v>2539</v>
      </c>
      <c r="G2142" s="79" t="s">
        <v>1130</v>
      </c>
      <c r="H2142" s="79"/>
      <c r="I2142" s="79"/>
    </row>
    <row r="2143" spans="1:9" ht="14.25">
      <c r="A2143" s="79" t="s">
        <v>3934</v>
      </c>
      <c r="B2143" s="79" t="s">
        <v>3935</v>
      </c>
      <c r="C2143" s="79">
        <v>604466660</v>
      </c>
      <c r="D2143" s="79">
        <v>0</v>
      </c>
      <c r="E2143" s="79" t="s">
        <v>1124</v>
      </c>
      <c r="F2143" s="79" t="s">
        <v>2539</v>
      </c>
      <c r="G2143" s="79" t="s">
        <v>1131</v>
      </c>
      <c r="H2143" s="79" t="s">
        <v>1132</v>
      </c>
      <c r="I2143" s="79"/>
    </row>
    <row r="2144" spans="1:9" ht="14.25">
      <c r="A2144" s="79" t="s">
        <v>3934</v>
      </c>
      <c r="B2144" s="79" t="s">
        <v>3935</v>
      </c>
      <c r="C2144" s="79">
        <v>604466660</v>
      </c>
      <c r="D2144" s="79">
        <v>0</v>
      </c>
      <c r="E2144" s="79" t="s">
        <v>1124</v>
      </c>
      <c r="F2144" s="79" t="s">
        <v>2539</v>
      </c>
      <c r="G2144" s="79" t="s">
        <v>2578</v>
      </c>
      <c r="H2144" s="79"/>
      <c r="I2144" s="79"/>
    </row>
    <row r="2145" spans="1:9" ht="14.25">
      <c r="A2145" s="79" t="s">
        <v>3936</v>
      </c>
      <c r="B2145" s="79" t="s">
        <v>3937</v>
      </c>
      <c r="C2145" s="79">
        <v>604467260</v>
      </c>
      <c r="D2145" s="79">
        <v>0</v>
      </c>
      <c r="E2145" s="79" t="s">
        <v>1124</v>
      </c>
      <c r="F2145" s="79" t="s">
        <v>2539</v>
      </c>
      <c r="G2145" s="79" t="s">
        <v>2546</v>
      </c>
      <c r="H2145" s="79" t="s">
        <v>2547</v>
      </c>
      <c r="I2145" s="79"/>
    </row>
    <row r="2146" spans="1:9" ht="14.25">
      <c r="A2146" s="79" t="s">
        <v>3936</v>
      </c>
      <c r="B2146" s="79" t="s">
        <v>3937</v>
      </c>
      <c r="C2146" s="79">
        <v>604467260</v>
      </c>
      <c r="D2146" s="79">
        <v>0</v>
      </c>
      <c r="E2146" s="79" t="s">
        <v>1124</v>
      </c>
      <c r="F2146" s="79" t="s">
        <v>2539</v>
      </c>
      <c r="G2146" s="79" t="s">
        <v>2581</v>
      </c>
      <c r="H2146" s="79"/>
      <c r="I2146" s="79"/>
    </row>
    <row r="2147" spans="1:9" ht="14.25">
      <c r="A2147" s="79" t="s">
        <v>3938</v>
      </c>
      <c r="B2147" s="79" t="s">
        <v>3939</v>
      </c>
      <c r="C2147" s="79">
        <v>604509860</v>
      </c>
      <c r="D2147" s="79">
        <v>0</v>
      </c>
      <c r="E2147" s="79" t="s">
        <v>1124</v>
      </c>
      <c r="F2147" s="79" t="s">
        <v>2539</v>
      </c>
      <c r="G2147" s="79" t="s">
        <v>1130</v>
      </c>
      <c r="H2147" s="79"/>
      <c r="I2147" s="79"/>
    </row>
    <row r="2148" spans="1:9" ht="14.25">
      <c r="A2148" s="79" t="s">
        <v>3938</v>
      </c>
      <c r="B2148" s="79" t="s">
        <v>3939</v>
      </c>
      <c r="C2148" s="79">
        <v>604509860</v>
      </c>
      <c r="D2148" s="79">
        <v>0</v>
      </c>
      <c r="E2148" s="79" t="s">
        <v>1124</v>
      </c>
      <c r="F2148" s="79" t="s">
        <v>2539</v>
      </c>
      <c r="G2148" s="79" t="s">
        <v>1131</v>
      </c>
      <c r="H2148" s="79" t="s">
        <v>1132</v>
      </c>
      <c r="I2148" s="79"/>
    </row>
    <row r="2149" spans="1:9" ht="14.25">
      <c r="A2149" s="79" t="s">
        <v>3938</v>
      </c>
      <c r="B2149" s="79" t="s">
        <v>3939</v>
      </c>
      <c r="C2149" s="79">
        <v>604509860</v>
      </c>
      <c r="D2149" s="79">
        <v>0</v>
      </c>
      <c r="E2149" s="79" t="s">
        <v>1124</v>
      </c>
      <c r="F2149" s="79" t="s">
        <v>2539</v>
      </c>
      <c r="G2149" s="79" t="s">
        <v>2578</v>
      </c>
      <c r="H2149" s="79"/>
      <c r="I2149" s="79"/>
    </row>
    <row r="2150" spans="1:9" ht="14.25">
      <c r="A2150" s="79" t="s">
        <v>3940</v>
      </c>
      <c r="B2150" s="79" t="s">
        <v>3941</v>
      </c>
      <c r="C2150" s="79">
        <v>604510460</v>
      </c>
      <c r="D2150" s="79">
        <v>0</v>
      </c>
      <c r="E2150" s="79" t="s">
        <v>1124</v>
      </c>
      <c r="F2150" s="79" t="s">
        <v>2539</v>
      </c>
      <c r="G2150" s="79" t="s">
        <v>2546</v>
      </c>
      <c r="H2150" s="79" t="s">
        <v>2547</v>
      </c>
      <c r="I2150" s="79"/>
    </row>
    <row r="2151" spans="1:9" ht="14.25">
      <c r="A2151" s="79" t="s">
        <v>3940</v>
      </c>
      <c r="B2151" s="79" t="s">
        <v>3941</v>
      </c>
      <c r="C2151" s="79">
        <v>604510460</v>
      </c>
      <c r="D2151" s="79">
        <v>0</v>
      </c>
      <c r="E2151" s="79" t="s">
        <v>1124</v>
      </c>
      <c r="F2151" s="79" t="s">
        <v>2539</v>
      </c>
      <c r="G2151" s="79" t="s">
        <v>2581</v>
      </c>
      <c r="H2151" s="79"/>
      <c r="I2151" s="79"/>
    </row>
    <row r="2152" spans="1:9" ht="14.25">
      <c r="A2152" s="79" t="s">
        <v>3942</v>
      </c>
      <c r="B2152" s="79" t="s">
        <v>3943</v>
      </c>
      <c r="C2152" s="79">
        <v>604553060</v>
      </c>
      <c r="D2152" s="79">
        <v>0</v>
      </c>
      <c r="E2152" s="79" t="s">
        <v>1124</v>
      </c>
      <c r="F2152" s="79" t="s">
        <v>2539</v>
      </c>
      <c r="G2152" s="79" t="s">
        <v>1130</v>
      </c>
      <c r="H2152" s="79"/>
      <c r="I2152" s="79"/>
    </row>
    <row r="2153" spans="1:9" ht="14.25">
      <c r="A2153" s="79" t="s">
        <v>3942</v>
      </c>
      <c r="B2153" s="79" t="s">
        <v>3943</v>
      </c>
      <c r="C2153" s="79">
        <v>604553060</v>
      </c>
      <c r="D2153" s="79">
        <v>0</v>
      </c>
      <c r="E2153" s="79" t="s">
        <v>1124</v>
      </c>
      <c r="F2153" s="79" t="s">
        <v>2539</v>
      </c>
      <c r="G2153" s="79" t="s">
        <v>1131</v>
      </c>
      <c r="H2153" s="79" t="s">
        <v>1132</v>
      </c>
      <c r="I2153" s="79"/>
    </row>
    <row r="2154" spans="1:9" ht="14.25">
      <c r="A2154" s="79" t="s">
        <v>3942</v>
      </c>
      <c r="B2154" s="79" t="s">
        <v>3943</v>
      </c>
      <c r="C2154" s="79">
        <v>604553060</v>
      </c>
      <c r="D2154" s="79">
        <v>0</v>
      </c>
      <c r="E2154" s="79" t="s">
        <v>1124</v>
      </c>
      <c r="F2154" s="79" t="s">
        <v>2539</v>
      </c>
      <c r="G2154" s="79" t="s">
        <v>2578</v>
      </c>
      <c r="H2154" s="79"/>
      <c r="I2154" s="79"/>
    </row>
    <row r="2155" spans="1:9" ht="14.25">
      <c r="A2155" s="79" t="s">
        <v>3944</v>
      </c>
      <c r="B2155" s="79" t="s">
        <v>3945</v>
      </c>
      <c r="C2155" s="79">
        <v>604553660</v>
      </c>
      <c r="D2155" s="79">
        <v>0</v>
      </c>
      <c r="E2155" s="79" t="s">
        <v>1124</v>
      </c>
      <c r="F2155" s="79" t="s">
        <v>2539</v>
      </c>
      <c r="G2155" s="79" t="s">
        <v>2546</v>
      </c>
      <c r="H2155" s="79" t="s">
        <v>2547</v>
      </c>
      <c r="I2155" s="79"/>
    </row>
    <row r="2156" spans="1:9" ht="14.25">
      <c r="A2156" s="79" t="s">
        <v>3944</v>
      </c>
      <c r="B2156" s="79" t="s">
        <v>3945</v>
      </c>
      <c r="C2156" s="79">
        <v>604553660</v>
      </c>
      <c r="D2156" s="79">
        <v>0</v>
      </c>
      <c r="E2156" s="79" t="s">
        <v>1124</v>
      </c>
      <c r="F2156" s="79" t="s">
        <v>2539</v>
      </c>
      <c r="G2156" s="79" t="s">
        <v>2581</v>
      </c>
      <c r="H2156" s="79"/>
      <c r="I2156" s="79"/>
    </row>
    <row r="2157" spans="1:9" ht="14.25">
      <c r="A2157" s="79" t="s">
        <v>3946</v>
      </c>
      <c r="B2157" s="79" t="s">
        <v>3947</v>
      </c>
      <c r="C2157" s="79">
        <v>604596260</v>
      </c>
      <c r="D2157" s="79">
        <v>0</v>
      </c>
      <c r="E2157" s="79" t="s">
        <v>1124</v>
      </c>
      <c r="F2157" s="79" t="s">
        <v>2539</v>
      </c>
      <c r="G2157" s="79" t="s">
        <v>1130</v>
      </c>
      <c r="H2157" s="79"/>
      <c r="I2157" s="79"/>
    </row>
    <row r="2158" spans="1:9" ht="14.25">
      <c r="A2158" s="79" t="s">
        <v>3946</v>
      </c>
      <c r="B2158" s="79" t="s">
        <v>3947</v>
      </c>
      <c r="C2158" s="79">
        <v>604596260</v>
      </c>
      <c r="D2158" s="79">
        <v>0</v>
      </c>
      <c r="E2158" s="79" t="s">
        <v>1124</v>
      </c>
      <c r="F2158" s="79" t="s">
        <v>2539</v>
      </c>
      <c r="G2158" s="79" t="s">
        <v>1131</v>
      </c>
      <c r="H2158" s="79" t="s">
        <v>1132</v>
      </c>
      <c r="I2158" s="79"/>
    </row>
    <row r="2159" spans="1:9" ht="14.25">
      <c r="A2159" s="79" t="s">
        <v>3946</v>
      </c>
      <c r="B2159" s="79" t="s">
        <v>3947</v>
      </c>
      <c r="C2159" s="79">
        <v>604596260</v>
      </c>
      <c r="D2159" s="79">
        <v>0</v>
      </c>
      <c r="E2159" s="79" t="s">
        <v>1124</v>
      </c>
      <c r="F2159" s="79" t="s">
        <v>2539</v>
      </c>
      <c r="G2159" s="79" t="s">
        <v>2578</v>
      </c>
      <c r="H2159" s="79"/>
      <c r="I2159" s="79"/>
    </row>
    <row r="2160" spans="1:9" ht="14.25">
      <c r="A2160" s="79" t="s">
        <v>3948</v>
      </c>
      <c r="B2160" s="79" t="s">
        <v>3949</v>
      </c>
      <c r="C2160" s="79">
        <v>604596860</v>
      </c>
      <c r="D2160" s="79">
        <v>0</v>
      </c>
      <c r="E2160" s="79" t="s">
        <v>1124</v>
      </c>
      <c r="F2160" s="79" t="s">
        <v>2539</v>
      </c>
      <c r="G2160" s="79" t="s">
        <v>2546</v>
      </c>
      <c r="H2160" s="79" t="s">
        <v>2547</v>
      </c>
      <c r="I2160" s="79"/>
    </row>
    <row r="2161" spans="1:9" ht="14.25">
      <c r="A2161" s="79" t="s">
        <v>3948</v>
      </c>
      <c r="B2161" s="79" t="s">
        <v>3949</v>
      </c>
      <c r="C2161" s="79">
        <v>604596860</v>
      </c>
      <c r="D2161" s="79">
        <v>0</v>
      </c>
      <c r="E2161" s="79" t="s">
        <v>1124</v>
      </c>
      <c r="F2161" s="79" t="s">
        <v>2539</v>
      </c>
      <c r="G2161" s="79" t="s">
        <v>2581</v>
      </c>
      <c r="H2161" s="79"/>
      <c r="I2161" s="79"/>
    </row>
    <row r="2162" spans="1:9" ht="14.25">
      <c r="A2162" s="79" t="s">
        <v>3950</v>
      </c>
      <c r="B2162" s="79" t="s">
        <v>3951</v>
      </c>
      <c r="C2162" s="79">
        <v>604639460</v>
      </c>
      <c r="D2162" s="79">
        <v>0</v>
      </c>
      <c r="E2162" s="79" t="s">
        <v>1124</v>
      </c>
      <c r="F2162" s="79" t="s">
        <v>2539</v>
      </c>
      <c r="G2162" s="79" t="s">
        <v>1130</v>
      </c>
      <c r="H2162" s="79"/>
      <c r="I2162" s="79"/>
    </row>
    <row r="2163" spans="1:9" ht="14.25">
      <c r="A2163" s="79" t="s">
        <v>3950</v>
      </c>
      <c r="B2163" s="79" t="s">
        <v>3951</v>
      </c>
      <c r="C2163" s="79">
        <v>604639460</v>
      </c>
      <c r="D2163" s="79">
        <v>0</v>
      </c>
      <c r="E2163" s="79" t="s">
        <v>1124</v>
      </c>
      <c r="F2163" s="79" t="s">
        <v>2539</v>
      </c>
      <c r="G2163" s="79" t="s">
        <v>1131</v>
      </c>
      <c r="H2163" s="79" t="s">
        <v>1132</v>
      </c>
      <c r="I2163" s="79"/>
    </row>
    <row r="2164" spans="1:9" ht="14.25">
      <c r="A2164" s="79" t="s">
        <v>3950</v>
      </c>
      <c r="B2164" s="79" t="s">
        <v>3951</v>
      </c>
      <c r="C2164" s="79">
        <v>604639460</v>
      </c>
      <c r="D2164" s="79">
        <v>0</v>
      </c>
      <c r="E2164" s="79" t="s">
        <v>1124</v>
      </c>
      <c r="F2164" s="79" t="s">
        <v>2539</v>
      </c>
      <c r="G2164" s="79" t="s">
        <v>2578</v>
      </c>
      <c r="H2164" s="79"/>
      <c r="I2164" s="79"/>
    </row>
    <row r="2165" spans="1:9" ht="14.25">
      <c r="A2165" s="79" t="s">
        <v>3952</v>
      </c>
      <c r="B2165" s="79" t="s">
        <v>3953</v>
      </c>
      <c r="C2165" s="79">
        <v>604640060</v>
      </c>
      <c r="D2165" s="79">
        <v>0</v>
      </c>
      <c r="E2165" s="79" t="s">
        <v>1124</v>
      </c>
      <c r="F2165" s="79" t="s">
        <v>2539</v>
      </c>
      <c r="G2165" s="79" t="s">
        <v>2546</v>
      </c>
      <c r="H2165" s="79" t="s">
        <v>2547</v>
      </c>
      <c r="I2165" s="79"/>
    </row>
    <row r="2166" spans="1:9" ht="14.25">
      <c r="A2166" s="79" t="s">
        <v>3952</v>
      </c>
      <c r="B2166" s="79" t="s">
        <v>3953</v>
      </c>
      <c r="C2166" s="79">
        <v>604640060</v>
      </c>
      <c r="D2166" s="79">
        <v>0</v>
      </c>
      <c r="E2166" s="79" t="s">
        <v>1124</v>
      </c>
      <c r="F2166" s="79" t="s">
        <v>2539</v>
      </c>
      <c r="G2166" s="79" t="s">
        <v>2581</v>
      </c>
      <c r="H2166" s="79"/>
      <c r="I2166" s="79"/>
    </row>
    <row r="2167" spans="1:9" ht="14.25">
      <c r="A2167" s="79" t="s">
        <v>3954</v>
      </c>
      <c r="B2167" s="79" t="s">
        <v>3955</v>
      </c>
      <c r="C2167" s="79">
        <v>604682660</v>
      </c>
      <c r="D2167" s="79">
        <v>0</v>
      </c>
      <c r="E2167" s="79" t="s">
        <v>1124</v>
      </c>
      <c r="F2167" s="79" t="s">
        <v>2539</v>
      </c>
      <c r="G2167" s="79" t="s">
        <v>1130</v>
      </c>
      <c r="H2167" s="79"/>
      <c r="I2167" s="79"/>
    </row>
    <row r="2168" spans="1:9" ht="14.25">
      <c r="A2168" s="79" t="s">
        <v>3954</v>
      </c>
      <c r="B2168" s="79" t="s">
        <v>3955</v>
      </c>
      <c r="C2168" s="79">
        <v>604682660</v>
      </c>
      <c r="D2168" s="79">
        <v>0</v>
      </c>
      <c r="E2168" s="79" t="s">
        <v>1124</v>
      </c>
      <c r="F2168" s="79" t="s">
        <v>2539</v>
      </c>
      <c r="G2168" s="79" t="s">
        <v>1131</v>
      </c>
      <c r="H2168" s="79" t="s">
        <v>1132</v>
      </c>
      <c r="I2168" s="79"/>
    </row>
    <row r="2169" spans="1:9" ht="14.25">
      <c r="A2169" s="79" t="s">
        <v>3954</v>
      </c>
      <c r="B2169" s="79" t="s">
        <v>3955</v>
      </c>
      <c r="C2169" s="79">
        <v>604682660</v>
      </c>
      <c r="D2169" s="79">
        <v>0</v>
      </c>
      <c r="E2169" s="79" t="s">
        <v>1124</v>
      </c>
      <c r="F2169" s="79" t="s">
        <v>2539</v>
      </c>
      <c r="G2169" s="79" t="s">
        <v>2578</v>
      </c>
      <c r="H2169" s="79"/>
      <c r="I2169" s="79"/>
    </row>
    <row r="2170" spans="1:9" ht="14.25">
      <c r="A2170" s="79" t="s">
        <v>3956</v>
      </c>
      <c r="B2170" s="79" t="s">
        <v>3957</v>
      </c>
      <c r="C2170" s="79">
        <v>604683260</v>
      </c>
      <c r="D2170" s="79">
        <v>0</v>
      </c>
      <c r="E2170" s="79" t="s">
        <v>1124</v>
      </c>
      <c r="F2170" s="79" t="s">
        <v>2539</v>
      </c>
      <c r="G2170" s="79" t="s">
        <v>2546</v>
      </c>
      <c r="H2170" s="79" t="s">
        <v>2547</v>
      </c>
      <c r="I2170" s="79"/>
    </row>
    <row r="2171" spans="1:9" ht="14.25">
      <c r="A2171" s="79" t="s">
        <v>3956</v>
      </c>
      <c r="B2171" s="79" t="s">
        <v>3957</v>
      </c>
      <c r="C2171" s="79">
        <v>604683260</v>
      </c>
      <c r="D2171" s="79">
        <v>0</v>
      </c>
      <c r="E2171" s="79" t="s">
        <v>1124</v>
      </c>
      <c r="F2171" s="79" t="s">
        <v>2539</v>
      </c>
      <c r="G2171" s="79" t="s">
        <v>2581</v>
      </c>
      <c r="H2171" s="79"/>
      <c r="I2171" s="79"/>
    </row>
    <row r="2172" spans="1:9" ht="14.25">
      <c r="A2172" s="79" t="s">
        <v>3958</v>
      </c>
      <c r="B2172" s="79" t="s">
        <v>3959</v>
      </c>
      <c r="C2172" s="79">
        <v>604725860</v>
      </c>
      <c r="D2172" s="79">
        <v>0</v>
      </c>
      <c r="E2172" s="79" t="s">
        <v>1124</v>
      </c>
      <c r="F2172" s="79" t="s">
        <v>2539</v>
      </c>
      <c r="G2172" s="79" t="s">
        <v>1130</v>
      </c>
      <c r="H2172" s="79"/>
      <c r="I2172" s="79"/>
    </row>
    <row r="2173" spans="1:9" ht="14.25">
      <c r="A2173" s="79" t="s">
        <v>3958</v>
      </c>
      <c r="B2173" s="79" t="s">
        <v>3959</v>
      </c>
      <c r="C2173" s="79">
        <v>604725860</v>
      </c>
      <c r="D2173" s="79">
        <v>0</v>
      </c>
      <c r="E2173" s="79" t="s">
        <v>1124</v>
      </c>
      <c r="F2173" s="79" t="s">
        <v>2539</v>
      </c>
      <c r="G2173" s="79" t="s">
        <v>1131</v>
      </c>
      <c r="H2173" s="79" t="s">
        <v>1132</v>
      </c>
      <c r="I2173" s="79"/>
    </row>
    <row r="2174" spans="1:9" ht="14.25">
      <c r="A2174" s="79" t="s">
        <v>3958</v>
      </c>
      <c r="B2174" s="79" t="s">
        <v>3959</v>
      </c>
      <c r="C2174" s="79">
        <v>604725860</v>
      </c>
      <c r="D2174" s="79">
        <v>0</v>
      </c>
      <c r="E2174" s="79" t="s">
        <v>1124</v>
      </c>
      <c r="F2174" s="79" t="s">
        <v>2539</v>
      </c>
      <c r="G2174" s="79" t="s">
        <v>2578</v>
      </c>
      <c r="H2174" s="79"/>
      <c r="I2174" s="79"/>
    </row>
    <row r="2175" spans="1:9" ht="14.25">
      <c r="A2175" s="79" t="s">
        <v>3960</v>
      </c>
      <c r="B2175" s="79" t="s">
        <v>3961</v>
      </c>
      <c r="C2175" s="79">
        <v>604726460</v>
      </c>
      <c r="D2175" s="79">
        <v>0</v>
      </c>
      <c r="E2175" s="79" t="s">
        <v>1124</v>
      </c>
      <c r="F2175" s="79" t="s">
        <v>2539</v>
      </c>
      <c r="G2175" s="79" t="s">
        <v>2546</v>
      </c>
      <c r="H2175" s="79" t="s">
        <v>2547</v>
      </c>
      <c r="I2175" s="79"/>
    </row>
    <row r="2176" spans="1:9" ht="14.25">
      <c r="A2176" s="79" t="s">
        <v>3960</v>
      </c>
      <c r="B2176" s="79" t="s">
        <v>3961</v>
      </c>
      <c r="C2176" s="79">
        <v>604726460</v>
      </c>
      <c r="D2176" s="79">
        <v>0</v>
      </c>
      <c r="E2176" s="79" t="s">
        <v>1124</v>
      </c>
      <c r="F2176" s="79" t="s">
        <v>2539</v>
      </c>
      <c r="G2176" s="79" t="s">
        <v>2581</v>
      </c>
      <c r="H2176" s="79"/>
      <c r="I2176" s="79"/>
    </row>
    <row r="2177" spans="1:9" ht="14.25">
      <c r="A2177" s="79" t="s">
        <v>3962</v>
      </c>
      <c r="B2177" s="79" t="s">
        <v>3963</v>
      </c>
      <c r="C2177" s="79">
        <v>604769060</v>
      </c>
      <c r="D2177" s="79">
        <v>0</v>
      </c>
      <c r="E2177" s="79" t="s">
        <v>1124</v>
      </c>
      <c r="F2177" s="79" t="s">
        <v>2539</v>
      </c>
      <c r="G2177" s="79" t="s">
        <v>1130</v>
      </c>
      <c r="H2177" s="79"/>
      <c r="I2177" s="79"/>
    </row>
    <row r="2178" spans="1:9" ht="14.25">
      <c r="A2178" s="79" t="s">
        <v>3962</v>
      </c>
      <c r="B2178" s="79" t="s">
        <v>3963</v>
      </c>
      <c r="C2178" s="79">
        <v>604769060</v>
      </c>
      <c r="D2178" s="79">
        <v>0</v>
      </c>
      <c r="E2178" s="79" t="s">
        <v>1124</v>
      </c>
      <c r="F2178" s="79" t="s">
        <v>2539</v>
      </c>
      <c r="G2178" s="79" t="s">
        <v>1131</v>
      </c>
      <c r="H2178" s="79" t="s">
        <v>1132</v>
      </c>
      <c r="I2178" s="79"/>
    </row>
    <row r="2179" spans="1:9" ht="14.25">
      <c r="A2179" s="79" t="s">
        <v>3962</v>
      </c>
      <c r="B2179" s="79" t="s">
        <v>3963</v>
      </c>
      <c r="C2179" s="79">
        <v>604769060</v>
      </c>
      <c r="D2179" s="79">
        <v>0</v>
      </c>
      <c r="E2179" s="79" t="s">
        <v>1124</v>
      </c>
      <c r="F2179" s="79" t="s">
        <v>2539</v>
      </c>
      <c r="G2179" s="79" t="s">
        <v>2578</v>
      </c>
      <c r="H2179" s="79"/>
      <c r="I2179" s="79"/>
    </row>
    <row r="2180" spans="1:9" ht="14.25">
      <c r="A2180" s="79" t="s">
        <v>3964</v>
      </c>
      <c r="B2180" s="79" t="s">
        <v>3965</v>
      </c>
      <c r="C2180" s="79">
        <v>604769660</v>
      </c>
      <c r="D2180" s="79">
        <v>0</v>
      </c>
      <c r="E2180" s="79" t="s">
        <v>1124</v>
      </c>
      <c r="F2180" s="79" t="s">
        <v>2539</v>
      </c>
      <c r="G2180" s="79" t="s">
        <v>2546</v>
      </c>
      <c r="H2180" s="79" t="s">
        <v>2547</v>
      </c>
      <c r="I2180" s="79"/>
    </row>
    <row r="2181" spans="1:9" ht="14.25">
      <c r="A2181" s="79" t="s">
        <v>3964</v>
      </c>
      <c r="B2181" s="79" t="s">
        <v>3965</v>
      </c>
      <c r="C2181" s="79">
        <v>604769660</v>
      </c>
      <c r="D2181" s="79">
        <v>0</v>
      </c>
      <c r="E2181" s="79" t="s">
        <v>1124</v>
      </c>
      <c r="F2181" s="79" t="s">
        <v>2539</v>
      </c>
      <c r="G2181" s="79" t="s">
        <v>2581</v>
      </c>
      <c r="H2181" s="79"/>
      <c r="I2181" s="79"/>
    </row>
    <row r="2182" spans="1:9" ht="14.25">
      <c r="A2182" s="79" t="s">
        <v>3966</v>
      </c>
      <c r="B2182" s="79" t="s">
        <v>3967</v>
      </c>
      <c r="C2182" s="79">
        <v>604812260</v>
      </c>
      <c r="D2182" s="79">
        <v>0</v>
      </c>
      <c r="E2182" s="79" t="s">
        <v>1124</v>
      </c>
      <c r="F2182" s="79" t="s">
        <v>2539</v>
      </c>
      <c r="G2182" s="79" t="s">
        <v>1130</v>
      </c>
      <c r="H2182" s="79"/>
      <c r="I2182" s="79"/>
    </row>
    <row r="2183" spans="1:9" ht="14.25">
      <c r="A2183" s="79" t="s">
        <v>3966</v>
      </c>
      <c r="B2183" s="79" t="s">
        <v>3967</v>
      </c>
      <c r="C2183" s="79">
        <v>604812260</v>
      </c>
      <c r="D2183" s="79">
        <v>0</v>
      </c>
      <c r="E2183" s="79" t="s">
        <v>1124</v>
      </c>
      <c r="F2183" s="79" t="s">
        <v>2539</v>
      </c>
      <c r="G2183" s="79" t="s">
        <v>1131</v>
      </c>
      <c r="H2183" s="79" t="s">
        <v>1132</v>
      </c>
      <c r="I2183" s="79"/>
    </row>
    <row r="2184" spans="1:9" ht="14.25">
      <c r="A2184" s="79" t="s">
        <v>3966</v>
      </c>
      <c r="B2184" s="79" t="s">
        <v>3967</v>
      </c>
      <c r="C2184" s="79">
        <v>604812260</v>
      </c>
      <c r="D2184" s="79">
        <v>0</v>
      </c>
      <c r="E2184" s="79" t="s">
        <v>1124</v>
      </c>
      <c r="F2184" s="79" t="s">
        <v>2539</v>
      </c>
      <c r="G2184" s="79" t="s">
        <v>2578</v>
      </c>
      <c r="H2184" s="79"/>
      <c r="I2184" s="79"/>
    </row>
    <row r="2185" spans="1:9" ht="14.25">
      <c r="A2185" s="79" t="s">
        <v>3968</v>
      </c>
      <c r="B2185" s="79" t="s">
        <v>3969</v>
      </c>
      <c r="C2185" s="79">
        <v>604812860</v>
      </c>
      <c r="D2185" s="79">
        <v>0</v>
      </c>
      <c r="E2185" s="79" t="s">
        <v>1124</v>
      </c>
      <c r="F2185" s="79" t="s">
        <v>2539</v>
      </c>
      <c r="G2185" s="79" t="s">
        <v>2546</v>
      </c>
      <c r="H2185" s="79" t="s">
        <v>2547</v>
      </c>
      <c r="I2185" s="79"/>
    </row>
    <row r="2186" spans="1:9" ht="14.25">
      <c r="A2186" s="79" t="s">
        <v>3968</v>
      </c>
      <c r="B2186" s="79" t="s">
        <v>3969</v>
      </c>
      <c r="C2186" s="79">
        <v>604812860</v>
      </c>
      <c r="D2186" s="79">
        <v>0</v>
      </c>
      <c r="E2186" s="79" t="s">
        <v>1124</v>
      </c>
      <c r="F2186" s="79" t="s">
        <v>2539</v>
      </c>
      <c r="G2186" s="79" t="s">
        <v>2581</v>
      </c>
      <c r="H2186" s="79"/>
      <c r="I2186" s="79"/>
    </row>
    <row r="2187" spans="1:9" ht="14.25">
      <c r="A2187" s="79" t="s">
        <v>3970</v>
      </c>
      <c r="B2187" s="79" t="s">
        <v>3971</v>
      </c>
      <c r="C2187" s="79">
        <v>604855460</v>
      </c>
      <c r="D2187" s="79">
        <v>0</v>
      </c>
      <c r="E2187" s="79" t="s">
        <v>1124</v>
      </c>
      <c r="F2187" s="79" t="s">
        <v>2539</v>
      </c>
      <c r="G2187" s="79" t="s">
        <v>1130</v>
      </c>
      <c r="H2187" s="79"/>
      <c r="I2187" s="79"/>
    </row>
    <row r="2188" spans="1:9" ht="14.25">
      <c r="A2188" s="79" t="s">
        <v>3970</v>
      </c>
      <c r="B2188" s="79" t="s">
        <v>3971</v>
      </c>
      <c r="C2188" s="79">
        <v>604855460</v>
      </c>
      <c r="D2188" s="79">
        <v>0</v>
      </c>
      <c r="E2188" s="79" t="s">
        <v>1124</v>
      </c>
      <c r="F2188" s="79" t="s">
        <v>2539</v>
      </c>
      <c r="G2188" s="79" t="s">
        <v>1131</v>
      </c>
      <c r="H2188" s="79" t="s">
        <v>1132</v>
      </c>
      <c r="I2188" s="79"/>
    </row>
    <row r="2189" spans="1:9" ht="14.25">
      <c r="A2189" s="79" t="s">
        <v>3970</v>
      </c>
      <c r="B2189" s="79" t="s">
        <v>3971</v>
      </c>
      <c r="C2189" s="79">
        <v>604855460</v>
      </c>
      <c r="D2189" s="79">
        <v>0</v>
      </c>
      <c r="E2189" s="79" t="s">
        <v>1124</v>
      </c>
      <c r="F2189" s="79" t="s">
        <v>2539</v>
      </c>
      <c r="G2189" s="79" t="s">
        <v>2578</v>
      </c>
      <c r="H2189" s="79"/>
      <c r="I2189" s="79"/>
    </row>
    <row r="2190" spans="1:9" ht="14.25">
      <c r="A2190" s="79" t="s">
        <v>3972</v>
      </c>
      <c r="B2190" s="79" t="s">
        <v>3973</v>
      </c>
      <c r="C2190" s="79">
        <v>604856060</v>
      </c>
      <c r="D2190" s="79">
        <v>0</v>
      </c>
      <c r="E2190" s="79" t="s">
        <v>1124</v>
      </c>
      <c r="F2190" s="79" t="s">
        <v>2539</v>
      </c>
      <c r="G2190" s="79" t="s">
        <v>2546</v>
      </c>
      <c r="H2190" s="79" t="s">
        <v>2547</v>
      </c>
      <c r="I2190" s="79"/>
    </row>
    <row r="2191" spans="1:9" ht="14.25">
      <c r="A2191" s="79" t="s">
        <v>3972</v>
      </c>
      <c r="B2191" s="79" t="s">
        <v>3973</v>
      </c>
      <c r="C2191" s="79">
        <v>604856060</v>
      </c>
      <c r="D2191" s="79">
        <v>0</v>
      </c>
      <c r="E2191" s="79" t="s">
        <v>1124</v>
      </c>
      <c r="F2191" s="79" t="s">
        <v>2539</v>
      </c>
      <c r="G2191" s="79" t="s">
        <v>2581</v>
      </c>
      <c r="H2191" s="79"/>
      <c r="I2191" s="79"/>
    </row>
    <row r="2192" spans="1:9" ht="14.25">
      <c r="A2192" s="79" t="s">
        <v>3974</v>
      </c>
      <c r="B2192" s="79" t="s">
        <v>3975</v>
      </c>
      <c r="C2192" s="79">
        <v>604898660</v>
      </c>
      <c r="D2192" s="79">
        <v>0</v>
      </c>
      <c r="E2192" s="79" t="s">
        <v>1124</v>
      </c>
      <c r="F2192" s="79" t="s">
        <v>2539</v>
      </c>
      <c r="G2192" s="79" t="s">
        <v>1130</v>
      </c>
      <c r="H2192" s="79"/>
      <c r="I2192" s="79"/>
    </row>
    <row r="2193" spans="1:9" ht="14.25">
      <c r="A2193" s="79" t="s">
        <v>3974</v>
      </c>
      <c r="B2193" s="79" t="s">
        <v>3975</v>
      </c>
      <c r="C2193" s="79">
        <v>604898660</v>
      </c>
      <c r="D2193" s="79">
        <v>0</v>
      </c>
      <c r="E2193" s="79" t="s">
        <v>1124</v>
      </c>
      <c r="F2193" s="79" t="s">
        <v>2539</v>
      </c>
      <c r="G2193" s="79" t="s">
        <v>1131</v>
      </c>
      <c r="H2193" s="79" t="s">
        <v>1132</v>
      </c>
      <c r="I2193" s="79"/>
    </row>
    <row r="2194" spans="1:9" ht="14.25">
      <c r="A2194" s="79" t="s">
        <v>3974</v>
      </c>
      <c r="B2194" s="79" t="s">
        <v>3975</v>
      </c>
      <c r="C2194" s="79">
        <v>604898660</v>
      </c>
      <c r="D2194" s="79">
        <v>0</v>
      </c>
      <c r="E2194" s="79" t="s">
        <v>1124</v>
      </c>
      <c r="F2194" s="79" t="s">
        <v>2539</v>
      </c>
      <c r="G2194" s="79" t="s">
        <v>2578</v>
      </c>
      <c r="H2194" s="79"/>
      <c r="I2194" s="79"/>
    </row>
    <row r="2195" spans="1:9" ht="14.25">
      <c r="A2195" s="79" t="s">
        <v>3976</v>
      </c>
      <c r="B2195" s="79" t="s">
        <v>3977</v>
      </c>
      <c r="C2195" s="79">
        <v>604899260</v>
      </c>
      <c r="D2195" s="79">
        <v>0</v>
      </c>
      <c r="E2195" s="79" t="s">
        <v>1124</v>
      </c>
      <c r="F2195" s="79" t="s">
        <v>2539</v>
      </c>
      <c r="G2195" s="79" t="s">
        <v>2546</v>
      </c>
      <c r="H2195" s="79" t="s">
        <v>2547</v>
      </c>
      <c r="I2195" s="79"/>
    </row>
    <row r="2196" spans="1:9" ht="14.25">
      <c r="A2196" s="79" t="s">
        <v>3976</v>
      </c>
      <c r="B2196" s="79" t="s">
        <v>3977</v>
      </c>
      <c r="C2196" s="79">
        <v>604899260</v>
      </c>
      <c r="D2196" s="79">
        <v>0</v>
      </c>
      <c r="E2196" s="79" t="s">
        <v>1124</v>
      </c>
      <c r="F2196" s="79" t="s">
        <v>2539</v>
      </c>
      <c r="G2196" s="79" t="s">
        <v>2581</v>
      </c>
      <c r="H2196" s="79"/>
      <c r="I2196" s="79"/>
    </row>
    <row r="2197" spans="1:9" ht="14.25">
      <c r="A2197" s="79" t="s">
        <v>3978</v>
      </c>
      <c r="B2197" s="79" t="s">
        <v>3979</v>
      </c>
      <c r="C2197" s="79">
        <v>604941860</v>
      </c>
      <c r="D2197" s="79">
        <v>0</v>
      </c>
      <c r="E2197" s="79" t="s">
        <v>1124</v>
      </c>
      <c r="F2197" s="79" t="s">
        <v>2539</v>
      </c>
      <c r="G2197" s="79" t="s">
        <v>1130</v>
      </c>
      <c r="H2197" s="79"/>
      <c r="I2197" s="79"/>
    </row>
    <row r="2198" spans="1:9" ht="14.25">
      <c r="A2198" s="79" t="s">
        <v>3978</v>
      </c>
      <c r="B2198" s="79" t="s">
        <v>3979</v>
      </c>
      <c r="C2198" s="79">
        <v>604941860</v>
      </c>
      <c r="D2198" s="79">
        <v>0</v>
      </c>
      <c r="E2198" s="79" t="s">
        <v>1124</v>
      </c>
      <c r="F2198" s="79" t="s">
        <v>2539</v>
      </c>
      <c r="G2198" s="79" t="s">
        <v>1131</v>
      </c>
      <c r="H2198" s="79" t="s">
        <v>1132</v>
      </c>
      <c r="I2198" s="79"/>
    </row>
    <row r="2199" spans="1:9" ht="14.25">
      <c r="A2199" s="79" t="s">
        <v>3978</v>
      </c>
      <c r="B2199" s="79" t="s">
        <v>3979</v>
      </c>
      <c r="C2199" s="79">
        <v>604941860</v>
      </c>
      <c r="D2199" s="79">
        <v>0</v>
      </c>
      <c r="E2199" s="79" t="s">
        <v>1124</v>
      </c>
      <c r="F2199" s="79" t="s">
        <v>2539</v>
      </c>
      <c r="G2199" s="79" t="s">
        <v>2578</v>
      </c>
      <c r="H2199" s="79"/>
      <c r="I2199" s="79"/>
    </row>
    <row r="2200" spans="1:9" ht="14.25">
      <c r="A2200" s="79" t="s">
        <v>3980</v>
      </c>
      <c r="B2200" s="79" t="s">
        <v>3981</v>
      </c>
      <c r="C2200" s="79">
        <v>604942460</v>
      </c>
      <c r="D2200" s="79">
        <v>0</v>
      </c>
      <c r="E2200" s="79" t="s">
        <v>1124</v>
      </c>
      <c r="F2200" s="79" t="s">
        <v>2539</v>
      </c>
      <c r="G2200" s="79" t="s">
        <v>2546</v>
      </c>
      <c r="H2200" s="79" t="s">
        <v>2547</v>
      </c>
      <c r="I2200" s="79"/>
    </row>
    <row r="2201" spans="1:9" ht="14.25">
      <c r="A2201" s="79" t="s">
        <v>3980</v>
      </c>
      <c r="B2201" s="79" t="s">
        <v>3981</v>
      </c>
      <c r="C2201" s="79">
        <v>604942460</v>
      </c>
      <c r="D2201" s="79">
        <v>0</v>
      </c>
      <c r="E2201" s="79" t="s">
        <v>1124</v>
      </c>
      <c r="F2201" s="79" t="s">
        <v>2539</v>
      </c>
      <c r="G2201" s="79" t="s">
        <v>2581</v>
      </c>
      <c r="H2201" s="79"/>
      <c r="I2201" s="79"/>
    </row>
    <row r="2202" spans="1:9" ht="14.25">
      <c r="A2202" s="79" t="s">
        <v>3982</v>
      </c>
      <c r="B2202" s="79" t="s">
        <v>3983</v>
      </c>
      <c r="C2202" s="79">
        <v>604985060</v>
      </c>
      <c r="D2202" s="79">
        <v>0</v>
      </c>
      <c r="E2202" s="79" t="s">
        <v>1124</v>
      </c>
      <c r="F2202" s="79" t="s">
        <v>2539</v>
      </c>
      <c r="G2202" s="79" t="s">
        <v>1130</v>
      </c>
      <c r="H2202" s="79"/>
      <c r="I2202" s="79"/>
    </row>
    <row r="2203" spans="1:9" ht="14.25">
      <c r="A2203" s="79" t="s">
        <v>3982</v>
      </c>
      <c r="B2203" s="79" t="s">
        <v>3983</v>
      </c>
      <c r="C2203" s="79">
        <v>604985060</v>
      </c>
      <c r="D2203" s="79">
        <v>0</v>
      </c>
      <c r="E2203" s="79" t="s">
        <v>1124</v>
      </c>
      <c r="F2203" s="79" t="s">
        <v>2539</v>
      </c>
      <c r="G2203" s="79" t="s">
        <v>1131</v>
      </c>
      <c r="H2203" s="79" t="s">
        <v>1132</v>
      </c>
      <c r="I2203" s="79"/>
    </row>
    <row r="2204" spans="1:9" ht="14.25">
      <c r="A2204" s="79" t="s">
        <v>3982</v>
      </c>
      <c r="B2204" s="79" t="s">
        <v>3983</v>
      </c>
      <c r="C2204" s="79">
        <v>604985060</v>
      </c>
      <c r="D2204" s="79">
        <v>0</v>
      </c>
      <c r="E2204" s="79" t="s">
        <v>1124</v>
      </c>
      <c r="F2204" s="79" t="s">
        <v>2539</v>
      </c>
      <c r="G2204" s="79" t="s">
        <v>2578</v>
      </c>
      <c r="H2204" s="79"/>
      <c r="I2204" s="79"/>
    </row>
    <row r="2205" spans="1:9" ht="14.25">
      <c r="A2205" s="79" t="s">
        <v>3984</v>
      </c>
      <c r="B2205" s="79" t="s">
        <v>3985</v>
      </c>
      <c r="C2205" s="79">
        <v>604985660</v>
      </c>
      <c r="D2205" s="79">
        <v>0</v>
      </c>
      <c r="E2205" s="79" t="s">
        <v>1124</v>
      </c>
      <c r="F2205" s="79" t="s">
        <v>2539</v>
      </c>
      <c r="G2205" s="79" t="s">
        <v>2546</v>
      </c>
      <c r="H2205" s="79" t="s">
        <v>2547</v>
      </c>
      <c r="I2205" s="79"/>
    </row>
    <row r="2206" spans="1:9" ht="14.25">
      <c r="A2206" s="79" t="s">
        <v>3984</v>
      </c>
      <c r="B2206" s="79" t="s">
        <v>3985</v>
      </c>
      <c r="C2206" s="79">
        <v>604985660</v>
      </c>
      <c r="D2206" s="79">
        <v>0</v>
      </c>
      <c r="E2206" s="79" t="s">
        <v>1124</v>
      </c>
      <c r="F2206" s="79" t="s">
        <v>2539</v>
      </c>
      <c r="G2206" s="79" t="s">
        <v>2581</v>
      </c>
      <c r="H2206" s="79"/>
      <c r="I2206" s="79"/>
    </row>
    <row r="2207" spans="1:9" ht="14.25">
      <c r="A2207" s="79" t="s">
        <v>3986</v>
      </c>
      <c r="B2207" s="79" t="s">
        <v>3987</v>
      </c>
      <c r="C2207" s="79">
        <v>605028260</v>
      </c>
      <c r="D2207" s="79">
        <v>0</v>
      </c>
      <c r="E2207" s="79" t="s">
        <v>1124</v>
      </c>
      <c r="F2207" s="79" t="s">
        <v>2539</v>
      </c>
      <c r="G2207" s="79" t="s">
        <v>1130</v>
      </c>
      <c r="H2207" s="79"/>
      <c r="I2207" s="79"/>
    </row>
    <row r="2208" spans="1:9" ht="14.25">
      <c r="A2208" s="79" t="s">
        <v>3986</v>
      </c>
      <c r="B2208" s="79" t="s">
        <v>3987</v>
      </c>
      <c r="C2208" s="79">
        <v>605028260</v>
      </c>
      <c r="D2208" s="79">
        <v>0</v>
      </c>
      <c r="E2208" s="79" t="s">
        <v>1124</v>
      </c>
      <c r="F2208" s="79" t="s">
        <v>2539</v>
      </c>
      <c r="G2208" s="79" t="s">
        <v>1131</v>
      </c>
      <c r="H2208" s="79" t="s">
        <v>1132</v>
      </c>
      <c r="I2208" s="79"/>
    </row>
    <row r="2209" spans="1:9" ht="14.25">
      <c r="A2209" s="79" t="s">
        <v>3986</v>
      </c>
      <c r="B2209" s="79" t="s">
        <v>3987</v>
      </c>
      <c r="C2209" s="79">
        <v>605028260</v>
      </c>
      <c r="D2209" s="79">
        <v>0</v>
      </c>
      <c r="E2209" s="79" t="s">
        <v>1124</v>
      </c>
      <c r="F2209" s="79" t="s">
        <v>2539</v>
      </c>
      <c r="G2209" s="79" t="s">
        <v>2578</v>
      </c>
      <c r="H2209" s="79"/>
      <c r="I2209" s="79"/>
    </row>
    <row r="2210" spans="1:9" ht="14.25">
      <c r="A2210" s="79" t="s">
        <v>3988</v>
      </c>
      <c r="B2210" s="79" t="s">
        <v>3989</v>
      </c>
      <c r="C2210" s="79">
        <v>605028860</v>
      </c>
      <c r="D2210" s="79">
        <v>0</v>
      </c>
      <c r="E2210" s="79" t="s">
        <v>1124</v>
      </c>
      <c r="F2210" s="79" t="s">
        <v>2539</v>
      </c>
      <c r="G2210" s="79" t="s">
        <v>2546</v>
      </c>
      <c r="H2210" s="79" t="s">
        <v>2547</v>
      </c>
      <c r="I2210" s="79"/>
    </row>
    <row r="2211" spans="1:9" ht="14.25">
      <c r="A2211" s="79" t="s">
        <v>3988</v>
      </c>
      <c r="B2211" s="79" t="s">
        <v>3989</v>
      </c>
      <c r="C2211" s="79">
        <v>605028860</v>
      </c>
      <c r="D2211" s="79">
        <v>0</v>
      </c>
      <c r="E2211" s="79" t="s">
        <v>1124</v>
      </c>
      <c r="F2211" s="79" t="s">
        <v>2539</v>
      </c>
      <c r="G2211" s="79" t="s">
        <v>2581</v>
      </c>
      <c r="H2211" s="79"/>
      <c r="I2211" s="79"/>
    </row>
    <row r="2212" spans="1:9" ht="14.25">
      <c r="A2212" s="79" t="s">
        <v>3990</v>
      </c>
      <c r="B2212" s="79" t="s">
        <v>3991</v>
      </c>
      <c r="C2212" s="79">
        <v>605071460</v>
      </c>
      <c r="D2212" s="79">
        <v>0</v>
      </c>
      <c r="E2212" s="79" t="s">
        <v>1124</v>
      </c>
      <c r="F2212" s="79" t="s">
        <v>2539</v>
      </c>
      <c r="G2212" s="79" t="s">
        <v>1130</v>
      </c>
      <c r="H2212" s="79"/>
      <c r="I2212" s="79"/>
    </row>
    <row r="2213" spans="1:9" ht="14.25">
      <c r="A2213" s="79" t="s">
        <v>3990</v>
      </c>
      <c r="B2213" s="79" t="s">
        <v>3991</v>
      </c>
      <c r="C2213" s="79">
        <v>605071460</v>
      </c>
      <c r="D2213" s="79">
        <v>0</v>
      </c>
      <c r="E2213" s="79" t="s">
        <v>1124</v>
      </c>
      <c r="F2213" s="79" t="s">
        <v>2539</v>
      </c>
      <c r="G2213" s="79" t="s">
        <v>1131</v>
      </c>
      <c r="H2213" s="79" t="s">
        <v>1132</v>
      </c>
      <c r="I2213" s="79"/>
    </row>
    <row r="2214" spans="1:9" ht="14.25">
      <c r="A2214" s="79" t="s">
        <v>3990</v>
      </c>
      <c r="B2214" s="79" t="s">
        <v>3991</v>
      </c>
      <c r="C2214" s="79">
        <v>605071460</v>
      </c>
      <c r="D2214" s="79">
        <v>0</v>
      </c>
      <c r="E2214" s="79" t="s">
        <v>1124</v>
      </c>
      <c r="F2214" s="79" t="s">
        <v>2539</v>
      </c>
      <c r="G2214" s="79" t="s">
        <v>2578</v>
      </c>
      <c r="H2214" s="79"/>
      <c r="I2214" s="79"/>
    </row>
    <row r="2215" spans="1:9" ht="14.25">
      <c r="A2215" s="79" t="s">
        <v>3992</v>
      </c>
      <c r="B2215" s="79" t="s">
        <v>3993</v>
      </c>
      <c r="C2215" s="79">
        <v>605072060</v>
      </c>
      <c r="D2215" s="79">
        <v>0</v>
      </c>
      <c r="E2215" s="79" t="s">
        <v>1124</v>
      </c>
      <c r="F2215" s="79" t="s">
        <v>2539</v>
      </c>
      <c r="G2215" s="79" t="s">
        <v>2546</v>
      </c>
      <c r="H2215" s="79" t="s">
        <v>2547</v>
      </c>
      <c r="I2215" s="79"/>
    </row>
    <row r="2216" spans="1:9" ht="14.25">
      <c r="A2216" s="79" t="s">
        <v>3992</v>
      </c>
      <c r="B2216" s="79" t="s">
        <v>3993</v>
      </c>
      <c r="C2216" s="79">
        <v>605072060</v>
      </c>
      <c r="D2216" s="79">
        <v>0</v>
      </c>
      <c r="E2216" s="79" t="s">
        <v>1124</v>
      </c>
      <c r="F2216" s="79" t="s">
        <v>2539</v>
      </c>
      <c r="G2216" s="79" t="s">
        <v>2581</v>
      </c>
      <c r="H2216" s="79"/>
      <c r="I2216" s="79"/>
    </row>
    <row r="2217" spans="1:9" ht="14.25">
      <c r="A2217" s="81" t="s">
        <v>3994</v>
      </c>
      <c r="B2217" s="81" t="s">
        <v>3995</v>
      </c>
      <c r="C2217" s="81">
        <v>605076716</v>
      </c>
      <c r="D2217" s="81">
        <v>0</v>
      </c>
      <c r="E2217" s="81" t="s">
        <v>1124</v>
      </c>
      <c r="F2217" s="81" t="s">
        <v>3996</v>
      </c>
      <c r="G2217" s="81" t="s">
        <v>2100</v>
      </c>
      <c r="H2217" s="81"/>
      <c r="I2217" s="81" t="s">
        <v>3997</v>
      </c>
    </row>
    <row r="2218" spans="1:9" ht="14.25">
      <c r="A2218" s="79" t="s">
        <v>3994</v>
      </c>
      <c r="B2218" s="79" t="s">
        <v>3995</v>
      </c>
      <c r="C2218" s="79">
        <v>605076716</v>
      </c>
      <c r="D2218" s="79">
        <v>0</v>
      </c>
      <c r="E2218" s="79" t="s">
        <v>1124</v>
      </c>
      <c r="F2218" s="79" t="s">
        <v>2102</v>
      </c>
      <c r="G2218" s="79" t="s">
        <v>2103</v>
      </c>
      <c r="H2218" s="79"/>
      <c r="I2218" s="79"/>
    </row>
    <row r="2219" spans="1:9" ht="14.25">
      <c r="A2219" s="79" t="s">
        <v>3994</v>
      </c>
      <c r="B2219" s="79" t="s">
        <v>3995</v>
      </c>
      <c r="C2219" s="79">
        <v>605076716</v>
      </c>
      <c r="D2219" s="79">
        <v>0</v>
      </c>
      <c r="E2219" s="79" t="s">
        <v>1124</v>
      </c>
      <c r="F2219" s="79" t="s">
        <v>2102</v>
      </c>
      <c r="G2219" s="79" t="s">
        <v>2104</v>
      </c>
      <c r="H2219" s="79"/>
      <c r="I2219" s="79"/>
    </row>
    <row r="2220" spans="1:9" ht="14.25">
      <c r="A2220" s="79" t="s">
        <v>3998</v>
      </c>
      <c r="B2220" s="79" t="s">
        <v>3999</v>
      </c>
      <c r="C2220" s="79">
        <v>605076717</v>
      </c>
      <c r="D2220" s="79">
        <v>0</v>
      </c>
      <c r="E2220" s="79" t="s">
        <v>1124</v>
      </c>
      <c r="F2220" s="79" t="s">
        <v>2102</v>
      </c>
      <c r="G2220" s="79" t="s">
        <v>2107</v>
      </c>
      <c r="H2220" s="79"/>
      <c r="I2220" s="79"/>
    </row>
    <row r="2221" spans="1:9" ht="14.25">
      <c r="A2221" s="79" t="s">
        <v>3998</v>
      </c>
      <c r="B2221" s="79" t="s">
        <v>3999</v>
      </c>
      <c r="C2221" s="79">
        <v>605076717</v>
      </c>
      <c r="D2221" s="79">
        <v>0</v>
      </c>
      <c r="E2221" s="79" t="s">
        <v>1124</v>
      </c>
      <c r="F2221" s="79" t="s">
        <v>2102</v>
      </c>
      <c r="G2221" s="79" t="s">
        <v>2108</v>
      </c>
      <c r="H2221" s="79"/>
      <c r="I2221" s="79"/>
    </row>
    <row r="2222" spans="1:9" ht="14.25">
      <c r="A2222" s="79" t="s">
        <v>3998</v>
      </c>
      <c r="B2222" s="79" t="s">
        <v>3999</v>
      </c>
      <c r="C2222" s="79">
        <v>605076717</v>
      </c>
      <c r="D2222" s="79">
        <v>0</v>
      </c>
      <c r="E2222" s="79" t="s">
        <v>1124</v>
      </c>
      <c r="F2222" s="79" t="s">
        <v>2102</v>
      </c>
      <c r="G2222" s="79" t="s">
        <v>2109</v>
      </c>
      <c r="H2222" s="79"/>
      <c r="I2222" s="79"/>
    </row>
    <row r="2223" spans="1:9" ht="14.25">
      <c r="A2223" s="79" t="s">
        <v>4000</v>
      </c>
      <c r="B2223" s="79" t="s">
        <v>4001</v>
      </c>
      <c r="C2223" s="79">
        <v>605076720</v>
      </c>
      <c r="D2223" s="79">
        <v>0</v>
      </c>
      <c r="E2223" s="79" t="s">
        <v>1124</v>
      </c>
      <c r="F2223" s="79" t="s">
        <v>2102</v>
      </c>
      <c r="G2223" s="79" t="s">
        <v>2112</v>
      </c>
      <c r="H2223" s="79"/>
      <c r="I2223" s="79"/>
    </row>
    <row r="2224" spans="1:9" ht="14.25">
      <c r="A2224" s="79" t="s">
        <v>4000</v>
      </c>
      <c r="B2224" s="79" t="s">
        <v>4001</v>
      </c>
      <c r="C2224" s="79">
        <v>605076720</v>
      </c>
      <c r="D2224" s="79">
        <v>0</v>
      </c>
      <c r="E2224" s="79" t="s">
        <v>1124</v>
      </c>
      <c r="F2224" s="79" t="s">
        <v>2102</v>
      </c>
      <c r="G2224" s="79" t="s">
        <v>2113</v>
      </c>
      <c r="H2224" s="79"/>
      <c r="I2224" s="79"/>
    </row>
    <row r="2225" spans="1:9" ht="14.25">
      <c r="A2225" s="79" t="s">
        <v>4000</v>
      </c>
      <c r="B2225" s="79" t="s">
        <v>4001</v>
      </c>
      <c r="C2225" s="79">
        <v>605076720</v>
      </c>
      <c r="D2225" s="79">
        <v>0</v>
      </c>
      <c r="E2225" s="79" t="s">
        <v>1124</v>
      </c>
      <c r="F2225" s="79" t="s">
        <v>2102</v>
      </c>
      <c r="G2225" s="79" t="s">
        <v>2109</v>
      </c>
      <c r="H2225" s="79"/>
      <c r="I2225" s="79"/>
    </row>
    <row r="2226" spans="1:9" ht="14.25">
      <c r="A2226" s="79" t="s">
        <v>4002</v>
      </c>
      <c r="B2226" s="79" t="s">
        <v>4003</v>
      </c>
      <c r="C2226" s="79">
        <v>605076723</v>
      </c>
      <c r="D2226" s="79">
        <v>0</v>
      </c>
      <c r="E2226" s="79" t="s">
        <v>1124</v>
      </c>
      <c r="F2226" s="79" t="s">
        <v>2102</v>
      </c>
      <c r="G2226" s="79" t="s">
        <v>2116</v>
      </c>
      <c r="H2226" s="79"/>
      <c r="I2226" s="79"/>
    </row>
    <row r="2227" spans="1:9" ht="14.25">
      <c r="A2227" s="79" t="s">
        <v>4002</v>
      </c>
      <c r="B2227" s="79" t="s">
        <v>4003</v>
      </c>
      <c r="C2227" s="79">
        <v>605076723</v>
      </c>
      <c r="D2227" s="79">
        <v>0</v>
      </c>
      <c r="E2227" s="79" t="s">
        <v>1124</v>
      </c>
      <c r="F2227" s="79" t="s">
        <v>2102</v>
      </c>
      <c r="G2227" s="79" t="s">
        <v>2117</v>
      </c>
      <c r="H2227" s="79"/>
      <c r="I2227" s="79"/>
    </row>
    <row r="2228" spans="1:9" ht="14.25">
      <c r="A2228" s="79" t="s">
        <v>4002</v>
      </c>
      <c r="B2228" s="79" t="s">
        <v>4003</v>
      </c>
      <c r="C2228" s="79">
        <v>605076723</v>
      </c>
      <c r="D2228" s="79">
        <v>0</v>
      </c>
      <c r="E2228" s="79" t="s">
        <v>1124</v>
      </c>
      <c r="F2228" s="79" t="s">
        <v>2102</v>
      </c>
      <c r="G2228" s="79" t="s">
        <v>2109</v>
      </c>
      <c r="H2228" s="79"/>
      <c r="I2228" s="79"/>
    </row>
    <row r="2229" spans="1:9" ht="14.25">
      <c r="A2229" s="79" t="s">
        <v>4004</v>
      </c>
      <c r="B2229" s="79" t="s">
        <v>4005</v>
      </c>
      <c r="C2229" s="79">
        <v>605076726</v>
      </c>
      <c r="D2229" s="79">
        <v>0</v>
      </c>
      <c r="E2229" s="79" t="s">
        <v>1124</v>
      </c>
      <c r="F2229" s="79" t="s">
        <v>2102</v>
      </c>
      <c r="G2229" s="79" t="s">
        <v>2120</v>
      </c>
      <c r="H2229" s="79"/>
      <c r="I2229" s="79"/>
    </row>
    <row r="2230" spans="1:9" ht="14.25">
      <c r="A2230" s="79" t="s">
        <v>4004</v>
      </c>
      <c r="B2230" s="79" t="s">
        <v>4005</v>
      </c>
      <c r="C2230" s="79">
        <v>605076726</v>
      </c>
      <c r="D2230" s="79">
        <v>0</v>
      </c>
      <c r="E2230" s="79" t="s">
        <v>1124</v>
      </c>
      <c r="F2230" s="79" t="s">
        <v>2102</v>
      </c>
      <c r="G2230" s="79" t="s">
        <v>2121</v>
      </c>
      <c r="H2230" s="79"/>
      <c r="I2230" s="79"/>
    </row>
    <row r="2231" spans="1:9" ht="14.25">
      <c r="A2231" s="79" t="s">
        <v>4004</v>
      </c>
      <c r="B2231" s="79" t="s">
        <v>4005</v>
      </c>
      <c r="C2231" s="79">
        <v>605076726</v>
      </c>
      <c r="D2231" s="79">
        <v>0</v>
      </c>
      <c r="E2231" s="79" t="s">
        <v>1124</v>
      </c>
      <c r="F2231" s="79" t="s">
        <v>2102</v>
      </c>
      <c r="G2231" s="79" t="s">
        <v>2109</v>
      </c>
      <c r="H2231" s="79"/>
      <c r="I2231" s="79"/>
    </row>
    <row r="2232" spans="1:9" ht="14.25">
      <c r="A2232" s="79" t="s">
        <v>4006</v>
      </c>
      <c r="B2232" s="79" t="s">
        <v>4007</v>
      </c>
      <c r="C2232" s="79">
        <v>605076729</v>
      </c>
      <c r="D2232" s="79">
        <v>0</v>
      </c>
      <c r="E2232" s="79" t="s">
        <v>1124</v>
      </c>
      <c r="F2232" s="79" t="s">
        <v>2102</v>
      </c>
      <c r="G2232" s="79" t="s">
        <v>2124</v>
      </c>
      <c r="H2232" s="79"/>
      <c r="I2232" s="79"/>
    </row>
    <row r="2233" spans="1:9" ht="14.25">
      <c r="A2233" s="79" t="s">
        <v>4006</v>
      </c>
      <c r="B2233" s="79" t="s">
        <v>4007</v>
      </c>
      <c r="C2233" s="79">
        <v>605076729</v>
      </c>
      <c r="D2233" s="79">
        <v>0</v>
      </c>
      <c r="E2233" s="79" t="s">
        <v>1124</v>
      </c>
      <c r="F2233" s="79" t="s">
        <v>2102</v>
      </c>
      <c r="G2233" s="79" t="s">
        <v>2125</v>
      </c>
      <c r="H2233" s="79"/>
      <c r="I2233" s="79"/>
    </row>
    <row r="2234" spans="1:9" ht="14.25">
      <c r="A2234" s="79" t="s">
        <v>4006</v>
      </c>
      <c r="B2234" s="79" t="s">
        <v>4007</v>
      </c>
      <c r="C2234" s="79">
        <v>605076729</v>
      </c>
      <c r="D2234" s="79">
        <v>0</v>
      </c>
      <c r="E2234" s="79" t="s">
        <v>1124</v>
      </c>
      <c r="F2234" s="79" t="s">
        <v>2102</v>
      </c>
      <c r="G2234" s="79" t="s">
        <v>2109</v>
      </c>
      <c r="H2234" s="79"/>
      <c r="I2234" s="79"/>
    </row>
    <row r="2235" spans="1:9" ht="14.25">
      <c r="A2235" s="79" t="s">
        <v>4008</v>
      </c>
      <c r="B2235" s="79" t="s">
        <v>4009</v>
      </c>
      <c r="C2235" s="79">
        <v>605076732</v>
      </c>
      <c r="D2235" s="79">
        <v>0</v>
      </c>
      <c r="E2235" s="79" t="s">
        <v>1124</v>
      </c>
      <c r="F2235" s="79" t="s">
        <v>2102</v>
      </c>
      <c r="G2235" s="79" t="s">
        <v>2128</v>
      </c>
      <c r="H2235" s="79"/>
      <c r="I2235" s="79"/>
    </row>
    <row r="2236" spans="1:9" ht="14.25">
      <c r="A2236" s="79" t="s">
        <v>4008</v>
      </c>
      <c r="B2236" s="79" t="s">
        <v>4009</v>
      </c>
      <c r="C2236" s="79">
        <v>605076732</v>
      </c>
      <c r="D2236" s="79">
        <v>0</v>
      </c>
      <c r="E2236" s="79" t="s">
        <v>1124</v>
      </c>
      <c r="F2236" s="79" t="s">
        <v>2102</v>
      </c>
      <c r="G2236" s="79" t="s">
        <v>2129</v>
      </c>
      <c r="H2236" s="79"/>
      <c r="I2236" s="79"/>
    </row>
    <row r="2237" spans="1:9" ht="14.25">
      <c r="A2237" s="79" t="s">
        <v>4008</v>
      </c>
      <c r="B2237" s="79" t="s">
        <v>4009</v>
      </c>
      <c r="C2237" s="79">
        <v>605076732</v>
      </c>
      <c r="D2237" s="79">
        <v>0</v>
      </c>
      <c r="E2237" s="79" t="s">
        <v>1124</v>
      </c>
      <c r="F2237" s="79" t="s">
        <v>2102</v>
      </c>
      <c r="G2237" s="79" t="s">
        <v>2109</v>
      </c>
      <c r="H2237" s="79"/>
      <c r="I2237" s="79"/>
    </row>
    <row r="2238" spans="1:9" ht="14.25">
      <c r="A2238" s="79" t="s">
        <v>4010</v>
      </c>
      <c r="B2238" s="79" t="s">
        <v>4011</v>
      </c>
      <c r="C2238" s="79">
        <v>605076735</v>
      </c>
      <c r="D2238" s="79">
        <v>0</v>
      </c>
      <c r="E2238" s="79" t="s">
        <v>1124</v>
      </c>
      <c r="F2238" s="79" t="s">
        <v>2102</v>
      </c>
      <c r="G2238" s="79" t="s">
        <v>2132</v>
      </c>
      <c r="H2238" s="79"/>
      <c r="I2238" s="79"/>
    </row>
    <row r="2239" spans="1:9" ht="14.25">
      <c r="A2239" s="79" t="s">
        <v>4010</v>
      </c>
      <c r="B2239" s="79" t="s">
        <v>4011</v>
      </c>
      <c r="C2239" s="79">
        <v>605076735</v>
      </c>
      <c r="D2239" s="79">
        <v>0</v>
      </c>
      <c r="E2239" s="79" t="s">
        <v>1124</v>
      </c>
      <c r="F2239" s="79" t="s">
        <v>2102</v>
      </c>
      <c r="G2239" s="79" t="s">
        <v>2133</v>
      </c>
      <c r="H2239" s="79"/>
      <c r="I2239" s="79"/>
    </row>
    <row r="2240" spans="1:9" ht="14.25">
      <c r="A2240" s="79" t="s">
        <v>4010</v>
      </c>
      <c r="B2240" s="79" t="s">
        <v>4011</v>
      </c>
      <c r="C2240" s="79">
        <v>605076735</v>
      </c>
      <c r="D2240" s="79">
        <v>0</v>
      </c>
      <c r="E2240" s="79" t="s">
        <v>1124</v>
      </c>
      <c r="F2240" s="79" t="s">
        <v>2102</v>
      </c>
      <c r="G2240" s="79" t="s">
        <v>2109</v>
      </c>
      <c r="H2240" s="79"/>
      <c r="I2240" s="79"/>
    </row>
    <row r="2241" spans="1:9" ht="14.25">
      <c r="A2241" s="79" t="s">
        <v>4012</v>
      </c>
      <c r="B2241" s="79" t="s">
        <v>4013</v>
      </c>
      <c r="C2241" s="79">
        <v>605076738</v>
      </c>
      <c r="D2241" s="79">
        <v>0</v>
      </c>
      <c r="E2241" s="79" t="s">
        <v>1124</v>
      </c>
      <c r="F2241" s="79" t="s">
        <v>2102</v>
      </c>
      <c r="G2241" s="79" t="s">
        <v>2136</v>
      </c>
      <c r="H2241" s="79"/>
      <c r="I2241" s="79"/>
    </row>
    <row r="2242" spans="1:9" ht="14.25">
      <c r="A2242" s="79" t="s">
        <v>4012</v>
      </c>
      <c r="B2242" s="79" t="s">
        <v>4013</v>
      </c>
      <c r="C2242" s="79">
        <v>605076738</v>
      </c>
      <c r="D2242" s="79">
        <v>0</v>
      </c>
      <c r="E2242" s="79" t="s">
        <v>1124</v>
      </c>
      <c r="F2242" s="79" t="s">
        <v>2102</v>
      </c>
      <c r="G2242" s="79" t="s">
        <v>2137</v>
      </c>
      <c r="H2242" s="79"/>
      <c r="I2242" s="79"/>
    </row>
    <row r="2243" spans="1:9" ht="14.25">
      <c r="A2243" s="79" t="s">
        <v>4012</v>
      </c>
      <c r="B2243" s="79" t="s">
        <v>4013</v>
      </c>
      <c r="C2243" s="79">
        <v>605076738</v>
      </c>
      <c r="D2243" s="79">
        <v>0</v>
      </c>
      <c r="E2243" s="79" t="s">
        <v>1124</v>
      </c>
      <c r="F2243" s="79" t="s">
        <v>2102</v>
      </c>
      <c r="G2243" s="79" t="s">
        <v>2109</v>
      </c>
      <c r="H2243" s="79"/>
      <c r="I2243" s="79"/>
    </row>
    <row r="2244" spans="1:9" ht="14.25">
      <c r="A2244" s="79" t="s">
        <v>4014</v>
      </c>
      <c r="B2244" s="79" t="s">
        <v>4015</v>
      </c>
      <c r="C2244" s="79">
        <v>605076741</v>
      </c>
      <c r="D2244" s="79">
        <v>0</v>
      </c>
      <c r="E2244" s="79" t="s">
        <v>1124</v>
      </c>
      <c r="F2244" s="79" t="s">
        <v>2102</v>
      </c>
      <c r="G2244" s="79" t="s">
        <v>2140</v>
      </c>
      <c r="H2244" s="79"/>
      <c r="I2244" s="79"/>
    </row>
    <row r="2245" spans="1:9" ht="14.25">
      <c r="A2245" s="79" t="s">
        <v>4014</v>
      </c>
      <c r="B2245" s="79" t="s">
        <v>4015</v>
      </c>
      <c r="C2245" s="79">
        <v>605076741</v>
      </c>
      <c r="D2245" s="79">
        <v>0</v>
      </c>
      <c r="E2245" s="79" t="s">
        <v>1124</v>
      </c>
      <c r="F2245" s="79" t="s">
        <v>2102</v>
      </c>
      <c r="G2245" s="79" t="s">
        <v>2141</v>
      </c>
      <c r="H2245" s="79"/>
      <c r="I2245" s="79"/>
    </row>
    <row r="2246" spans="1:9" ht="14.25">
      <c r="A2246" s="79" t="s">
        <v>4014</v>
      </c>
      <c r="B2246" s="79" t="s">
        <v>4015</v>
      </c>
      <c r="C2246" s="79">
        <v>605076741</v>
      </c>
      <c r="D2246" s="79">
        <v>0</v>
      </c>
      <c r="E2246" s="79" t="s">
        <v>1124</v>
      </c>
      <c r="F2246" s="79" t="s">
        <v>2102</v>
      </c>
      <c r="G2246" s="79" t="s">
        <v>2109</v>
      </c>
      <c r="H2246" s="79"/>
      <c r="I2246" s="79"/>
    </row>
    <row r="2247" spans="1:9" ht="14.25">
      <c r="A2247" s="79" t="s">
        <v>4016</v>
      </c>
      <c r="B2247" s="79" t="s">
        <v>4017</v>
      </c>
      <c r="C2247" s="79">
        <v>605076744</v>
      </c>
      <c r="D2247" s="79">
        <v>0</v>
      </c>
      <c r="E2247" s="79" t="s">
        <v>1124</v>
      </c>
      <c r="F2247" s="79" t="s">
        <v>2102</v>
      </c>
      <c r="G2247" s="79" t="s">
        <v>2144</v>
      </c>
      <c r="H2247" s="79"/>
      <c r="I2247" s="79"/>
    </row>
    <row r="2248" spans="1:9" ht="14.25">
      <c r="A2248" s="79" t="s">
        <v>4016</v>
      </c>
      <c r="B2248" s="79" t="s">
        <v>4017</v>
      </c>
      <c r="C2248" s="79">
        <v>605076744</v>
      </c>
      <c r="D2248" s="79">
        <v>0</v>
      </c>
      <c r="E2248" s="79" t="s">
        <v>1124</v>
      </c>
      <c r="F2248" s="79" t="s">
        <v>2102</v>
      </c>
      <c r="G2248" s="79" t="s">
        <v>2145</v>
      </c>
      <c r="H2248" s="79"/>
      <c r="I2248" s="79"/>
    </row>
    <row r="2249" spans="1:9" ht="14.25">
      <c r="A2249" s="79" t="s">
        <v>4016</v>
      </c>
      <c r="B2249" s="79" t="s">
        <v>4017</v>
      </c>
      <c r="C2249" s="79">
        <v>605076744</v>
      </c>
      <c r="D2249" s="79">
        <v>0</v>
      </c>
      <c r="E2249" s="79" t="s">
        <v>1124</v>
      </c>
      <c r="F2249" s="79" t="s">
        <v>2102</v>
      </c>
      <c r="G2249" s="79" t="s">
        <v>2109</v>
      </c>
      <c r="H2249" s="79"/>
      <c r="I2249" s="79"/>
    </row>
    <row r="2250" spans="1:9" ht="14.25">
      <c r="A2250" s="79" t="s">
        <v>4018</v>
      </c>
      <c r="B2250" s="79" t="s">
        <v>4019</v>
      </c>
      <c r="C2250" s="79">
        <v>605076747</v>
      </c>
      <c r="D2250" s="79">
        <v>0</v>
      </c>
      <c r="E2250" s="79" t="s">
        <v>1124</v>
      </c>
      <c r="F2250" s="79" t="s">
        <v>2102</v>
      </c>
      <c r="G2250" s="79" t="s">
        <v>2148</v>
      </c>
      <c r="H2250" s="79"/>
      <c r="I2250" s="79"/>
    </row>
    <row r="2251" spans="1:9" ht="14.25">
      <c r="A2251" s="79" t="s">
        <v>4018</v>
      </c>
      <c r="B2251" s="79" t="s">
        <v>4019</v>
      </c>
      <c r="C2251" s="79">
        <v>605076747</v>
      </c>
      <c r="D2251" s="79">
        <v>0</v>
      </c>
      <c r="E2251" s="79" t="s">
        <v>1124</v>
      </c>
      <c r="F2251" s="79" t="s">
        <v>2102</v>
      </c>
      <c r="G2251" s="79" t="s">
        <v>2149</v>
      </c>
      <c r="H2251" s="79"/>
      <c r="I2251" s="79"/>
    </row>
    <row r="2252" spans="1:9" ht="14.25">
      <c r="A2252" s="79" t="s">
        <v>4018</v>
      </c>
      <c r="B2252" s="79" t="s">
        <v>4019</v>
      </c>
      <c r="C2252" s="79">
        <v>605076747</v>
      </c>
      <c r="D2252" s="79">
        <v>0</v>
      </c>
      <c r="E2252" s="79" t="s">
        <v>1124</v>
      </c>
      <c r="F2252" s="79" t="s">
        <v>2102</v>
      </c>
      <c r="G2252" s="79" t="s">
        <v>2109</v>
      </c>
      <c r="H2252" s="79"/>
      <c r="I2252" s="79"/>
    </row>
    <row r="2253" spans="1:9" ht="14.25">
      <c r="A2253" s="79" t="s">
        <v>4020</v>
      </c>
      <c r="B2253" s="79" t="s">
        <v>4021</v>
      </c>
      <c r="C2253" s="79">
        <v>605076750</v>
      </c>
      <c r="D2253" s="79">
        <v>0</v>
      </c>
      <c r="E2253" s="79" t="s">
        <v>1124</v>
      </c>
      <c r="F2253" s="79" t="s">
        <v>2102</v>
      </c>
      <c r="G2253" s="79" t="s">
        <v>2152</v>
      </c>
      <c r="H2253" s="79"/>
      <c r="I2253" s="79"/>
    </row>
    <row r="2254" spans="1:9" ht="14.25">
      <c r="A2254" s="79" t="s">
        <v>4020</v>
      </c>
      <c r="B2254" s="79" t="s">
        <v>4021</v>
      </c>
      <c r="C2254" s="79">
        <v>605076750</v>
      </c>
      <c r="D2254" s="79">
        <v>0</v>
      </c>
      <c r="E2254" s="79" t="s">
        <v>1124</v>
      </c>
      <c r="F2254" s="79" t="s">
        <v>2102</v>
      </c>
      <c r="G2254" s="79" t="s">
        <v>2109</v>
      </c>
      <c r="H2254" s="79"/>
      <c r="I2254" s="79"/>
    </row>
    <row r="2255" spans="1:9" ht="14.25">
      <c r="A2255" s="79" t="s">
        <v>4022</v>
      </c>
      <c r="B2255" s="79" t="s">
        <v>4023</v>
      </c>
      <c r="C2255" s="79">
        <v>605076753</v>
      </c>
      <c r="D2255" s="79">
        <v>0</v>
      </c>
      <c r="E2255" s="79" t="s">
        <v>1124</v>
      </c>
      <c r="F2255" s="79" t="s">
        <v>2102</v>
      </c>
      <c r="G2255" s="79" t="s">
        <v>2155</v>
      </c>
      <c r="H2255" s="79"/>
      <c r="I2255" s="79"/>
    </row>
    <row r="2256" spans="1:9" ht="14.25">
      <c r="A2256" s="79" t="s">
        <v>4022</v>
      </c>
      <c r="B2256" s="79" t="s">
        <v>4023</v>
      </c>
      <c r="C2256" s="79">
        <v>605076753</v>
      </c>
      <c r="D2256" s="79">
        <v>0</v>
      </c>
      <c r="E2256" s="79" t="s">
        <v>1124</v>
      </c>
      <c r="F2256" s="79" t="s">
        <v>2102</v>
      </c>
      <c r="G2256" s="79" t="s">
        <v>2109</v>
      </c>
      <c r="H2256" s="79"/>
      <c r="I2256" s="79"/>
    </row>
    <row r="2257" spans="1:9" ht="14.25">
      <c r="A2257" s="79" t="s">
        <v>4024</v>
      </c>
      <c r="B2257" s="79" t="s">
        <v>4025</v>
      </c>
      <c r="C2257" s="79">
        <v>605076756</v>
      </c>
      <c r="D2257" s="79">
        <v>0</v>
      </c>
      <c r="E2257" s="79" t="s">
        <v>1124</v>
      </c>
      <c r="F2257" s="79" t="s">
        <v>2102</v>
      </c>
      <c r="G2257" s="79" t="s">
        <v>2158</v>
      </c>
      <c r="H2257" s="79"/>
      <c r="I2257" s="79"/>
    </row>
    <row r="2258" spans="1:9" ht="14.25">
      <c r="A2258" s="79" t="s">
        <v>4024</v>
      </c>
      <c r="B2258" s="79" t="s">
        <v>4025</v>
      </c>
      <c r="C2258" s="79">
        <v>605076756</v>
      </c>
      <c r="D2258" s="79">
        <v>0</v>
      </c>
      <c r="E2258" s="79" t="s">
        <v>1124</v>
      </c>
      <c r="F2258" s="79" t="s">
        <v>2102</v>
      </c>
      <c r="G2258" s="79" t="s">
        <v>2159</v>
      </c>
      <c r="H2258" s="79"/>
      <c r="I2258" s="79"/>
    </row>
    <row r="2259" spans="1:9" ht="14.25">
      <c r="A2259" s="79" t="s">
        <v>4024</v>
      </c>
      <c r="B2259" s="79" t="s">
        <v>4025</v>
      </c>
      <c r="C2259" s="79">
        <v>605076756</v>
      </c>
      <c r="D2259" s="79">
        <v>0</v>
      </c>
      <c r="E2259" s="79" t="s">
        <v>1124</v>
      </c>
      <c r="F2259" s="79" t="s">
        <v>2102</v>
      </c>
      <c r="G2259" s="79" t="s">
        <v>2160</v>
      </c>
      <c r="H2259" s="79"/>
      <c r="I2259" s="79"/>
    </row>
    <row r="2260" spans="1:9" ht="14.25">
      <c r="A2260" s="79" t="s">
        <v>4024</v>
      </c>
      <c r="B2260" s="79" t="s">
        <v>4025</v>
      </c>
      <c r="C2260" s="79">
        <v>605076756</v>
      </c>
      <c r="D2260" s="79">
        <v>0</v>
      </c>
      <c r="E2260" s="79" t="s">
        <v>1124</v>
      </c>
      <c r="F2260" s="79" t="s">
        <v>2102</v>
      </c>
      <c r="G2260" s="79" t="s">
        <v>2161</v>
      </c>
      <c r="H2260" s="79"/>
      <c r="I2260" s="79"/>
    </row>
    <row r="2261" spans="1:9" ht="14.25">
      <c r="A2261" s="79" t="s">
        <v>4024</v>
      </c>
      <c r="B2261" s="79" t="s">
        <v>4025</v>
      </c>
      <c r="C2261" s="79">
        <v>605076756</v>
      </c>
      <c r="D2261" s="79">
        <v>0</v>
      </c>
      <c r="E2261" s="79" t="s">
        <v>1124</v>
      </c>
      <c r="F2261" s="79" t="s">
        <v>2102</v>
      </c>
      <c r="G2261" s="79" t="s">
        <v>2162</v>
      </c>
      <c r="H2261" s="79"/>
      <c r="I2261" s="79"/>
    </row>
    <row r="2262" spans="1:9" ht="14.25">
      <c r="A2262" s="79" t="s">
        <v>4024</v>
      </c>
      <c r="B2262" s="79" t="s">
        <v>4025</v>
      </c>
      <c r="C2262" s="79">
        <v>605076756</v>
      </c>
      <c r="D2262" s="79">
        <v>0</v>
      </c>
      <c r="E2262" s="79" t="s">
        <v>1124</v>
      </c>
      <c r="F2262" s="79" t="s">
        <v>2102</v>
      </c>
      <c r="G2262" s="79" t="s">
        <v>1294</v>
      </c>
      <c r="H2262" s="79"/>
      <c r="I2262" s="79"/>
    </row>
    <row r="2263" spans="1:9" ht="14.25">
      <c r="A2263" s="81" t="s">
        <v>4026</v>
      </c>
      <c r="B2263" s="81" t="s">
        <v>4027</v>
      </c>
      <c r="C2263" s="81">
        <v>605076786</v>
      </c>
      <c r="D2263" s="81">
        <v>7</v>
      </c>
      <c r="E2263" s="81" t="s">
        <v>373</v>
      </c>
      <c r="F2263" s="81" t="s">
        <v>3996</v>
      </c>
      <c r="G2263" s="81" t="s">
        <v>2165</v>
      </c>
      <c r="H2263" s="81" t="s">
        <v>2166</v>
      </c>
      <c r="I2263" s="81" t="s">
        <v>3997</v>
      </c>
    </row>
    <row r="2264" spans="1:9" ht="14.25">
      <c r="A2264" s="81" t="s">
        <v>4028</v>
      </c>
      <c r="B2264" s="81" t="s">
        <v>4029</v>
      </c>
      <c r="C2264" s="81">
        <v>605076791</v>
      </c>
      <c r="D2264" s="81">
        <v>1</v>
      </c>
      <c r="E2264" s="81" t="s">
        <v>373</v>
      </c>
      <c r="F2264" s="81" t="s">
        <v>3996</v>
      </c>
      <c r="G2264" s="81" t="s">
        <v>389</v>
      </c>
      <c r="H2264" s="81"/>
      <c r="I2264" s="81" t="s">
        <v>3997</v>
      </c>
    </row>
    <row r="2265" spans="1:9" ht="14.25">
      <c r="A2265" s="81" t="s">
        <v>4030</v>
      </c>
      <c r="B2265" s="81" t="s">
        <v>4031</v>
      </c>
      <c r="C2265" s="81">
        <v>605076795</v>
      </c>
      <c r="D2265" s="81">
        <v>1</v>
      </c>
      <c r="E2265" s="81" t="s">
        <v>373</v>
      </c>
      <c r="F2265" s="81" t="s">
        <v>3996</v>
      </c>
      <c r="G2265" s="81" t="s">
        <v>389</v>
      </c>
      <c r="H2265" s="81"/>
      <c r="I2265" s="81" t="s">
        <v>3997</v>
      </c>
    </row>
    <row r="2266" spans="1:9" ht="14.25">
      <c r="A2266" s="81" t="s">
        <v>4032</v>
      </c>
      <c r="B2266" s="81" t="s">
        <v>4033</v>
      </c>
      <c r="C2266" s="81">
        <v>605076800</v>
      </c>
      <c r="D2266" s="81">
        <v>1</v>
      </c>
      <c r="E2266" s="81" t="s">
        <v>373</v>
      </c>
      <c r="F2266" s="81" t="s">
        <v>3996</v>
      </c>
      <c r="G2266" s="81" t="s">
        <v>395</v>
      </c>
      <c r="H2266" s="81"/>
      <c r="I2266" s="81" t="s">
        <v>3997</v>
      </c>
    </row>
    <row r="2267" spans="1:9" ht="14.25">
      <c r="A2267" s="81" t="s">
        <v>4034</v>
      </c>
      <c r="B2267" s="81" t="s">
        <v>4035</v>
      </c>
      <c r="C2267" s="81">
        <v>605076804</v>
      </c>
      <c r="D2267" s="81">
        <v>1</v>
      </c>
      <c r="E2267" s="81" t="s">
        <v>373</v>
      </c>
      <c r="F2267" s="81" t="s">
        <v>3996</v>
      </c>
      <c r="G2267" s="81" t="s">
        <v>395</v>
      </c>
      <c r="H2267" s="81"/>
      <c r="I2267" s="81" t="s">
        <v>3997</v>
      </c>
    </row>
    <row r="2268" spans="1:9" ht="14.25">
      <c r="A2268" s="81" t="s">
        <v>4036</v>
      </c>
      <c r="B2268" s="81" t="s">
        <v>4037</v>
      </c>
      <c r="C2268" s="81">
        <v>605076809</v>
      </c>
      <c r="D2268" s="81">
        <v>1</v>
      </c>
      <c r="E2268" s="81" t="s">
        <v>373</v>
      </c>
      <c r="F2268" s="81" t="s">
        <v>3996</v>
      </c>
      <c r="G2268" s="81" t="s">
        <v>375</v>
      </c>
      <c r="H2268" s="81"/>
      <c r="I2268" s="81" t="s">
        <v>3997</v>
      </c>
    </row>
    <row r="2269" spans="1:9" ht="14.25">
      <c r="A2269" s="81" t="s">
        <v>4038</v>
      </c>
      <c r="B2269" s="81" t="s">
        <v>4039</v>
      </c>
      <c r="C2269" s="81">
        <v>605076813</v>
      </c>
      <c r="D2269" s="81">
        <v>1</v>
      </c>
      <c r="E2269" s="81" t="s">
        <v>373</v>
      </c>
      <c r="F2269" s="81" t="s">
        <v>3996</v>
      </c>
      <c r="G2269" s="81" t="s">
        <v>375</v>
      </c>
      <c r="H2269" s="81"/>
      <c r="I2269" s="81" t="s">
        <v>3997</v>
      </c>
    </row>
    <row r="2270" spans="1:9" ht="14.25">
      <c r="A2270" s="81" t="s">
        <v>4040</v>
      </c>
      <c r="B2270" s="81" t="s">
        <v>4041</v>
      </c>
      <c r="C2270" s="81">
        <v>605076818</v>
      </c>
      <c r="D2270" s="81">
        <v>1</v>
      </c>
      <c r="E2270" s="81" t="s">
        <v>373</v>
      </c>
      <c r="F2270" s="81" t="s">
        <v>3996</v>
      </c>
      <c r="G2270" s="81" t="s">
        <v>382</v>
      </c>
      <c r="H2270" s="81"/>
      <c r="I2270" s="81" t="s">
        <v>3997</v>
      </c>
    </row>
    <row r="2271" spans="1:9" ht="14.25">
      <c r="A2271" s="81" t="s">
        <v>4042</v>
      </c>
      <c r="B2271" s="81" t="s">
        <v>4043</v>
      </c>
      <c r="C2271" s="81">
        <v>605076822</v>
      </c>
      <c r="D2271" s="81">
        <v>1</v>
      </c>
      <c r="E2271" s="81" t="s">
        <v>373</v>
      </c>
      <c r="F2271" s="81" t="s">
        <v>3996</v>
      </c>
      <c r="G2271" s="81" t="s">
        <v>382</v>
      </c>
      <c r="H2271" s="81"/>
      <c r="I2271" s="81" t="s">
        <v>3997</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20375</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pb_calc_pre_2025</vt:lpstr>
      <vt:lpstr>2025_pb</vt:lpstr>
      <vt:lpstr>Sheet2</vt:lpstr>
      <vt:lpstr>2025_pb_2</vt:lpstr>
      <vt:lpstr>calculations</vt:lpstr>
      <vt:lpstr>SWAP Data Volumns</vt:lpstr>
      <vt:lpstr>Overview 2025</vt:lpstr>
      <vt:lpstr>Sheet37</vt:lpstr>
      <vt:lpstr>swap_rates</vt:lpstr>
      <vt:lpstr>swap_rates_2</vt:lpstr>
      <vt:lpstr>Sheet1</vt:lpstr>
      <vt:lpstr>status tracker</vt:lpstr>
      <vt:lpstr>totals</vt:lpstr>
      <vt:lpstr>22144-hibernation 2022 +</vt:lpstr>
      <vt:lpstr>24267_pepssi</vt:lpstr>
    </vt:vector>
  </TitlesOfParts>
  <Company>Johns Hopkins University - Applied Physics 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Jaskulek, Steve</dc:creator>
  <dc:description/>
  <cp:lastModifiedBy>Ann Harch</cp:lastModifiedBy>
  <cp:revision>127</cp:revision>
  <dcterms:created xsi:type="dcterms:W3CDTF">2021-10-05T20:43:26Z</dcterms:created>
  <dcterms:modified xsi:type="dcterms:W3CDTF">2026-06-23T20:54:16Z</dcterms:modified>
  <dc:language>en-US</dc:language>
</cp:coreProperties>
</file>