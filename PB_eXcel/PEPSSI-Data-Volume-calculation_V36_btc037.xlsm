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AAB368B8-7D38-4497-8BF3-8FF54D711CB9}" xr6:coauthVersionLast="47" xr6:coauthVersionMax="47" xr10:uidLastSave="{00000000-0000-0000-0000-000000000000}"/>
  <bookViews>
    <workbookView xWindow="-120" yWindow="-120" windowWidth="29040" windowHeight="15390" tabRatio="906"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9" i="22" l="1"/>
  <c r="AA31" i="22"/>
  <c r="AA30" i="22"/>
  <c r="AA28" i="22"/>
  <c r="AA26" i="22"/>
  <c r="AA24" i="22"/>
  <c r="AA22" i="22"/>
  <c r="AA21" i="22"/>
  <c r="AA20" i="22"/>
  <c r="K25" i="22"/>
  <c r="J25" i="22" s="1"/>
  <c r="K30" i="22"/>
  <c r="J30" i="22" s="1"/>
  <c r="K29" i="22"/>
  <c r="J29" i="22" s="1"/>
  <c r="L103" i="6"/>
  <c r="K103" i="6"/>
  <c r="L151" i="6"/>
  <c r="K151" i="6"/>
  <c r="L139" i="6"/>
  <c r="K139" i="6"/>
  <c r="L121" i="6"/>
  <c r="K121" i="6"/>
  <c r="L112" i="6"/>
  <c r="K112" i="6"/>
  <c r="L94" i="6"/>
  <c r="K94" i="6"/>
  <c r="L85" i="6"/>
  <c r="K85" i="6"/>
  <c r="L76" i="6"/>
  <c r="K76" i="6"/>
  <c r="L67" i="6"/>
  <c r="K67" i="6"/>
  <c r="L58" i="6"/>
  <c r="K58" i="6"/>
  <c r="L49" i="6"/>
  <c r="K49" i="6"/>
  <c r="L40" i="6"/>
  <c r="K40" i="6"/>
  <c r="J31" i="22"/>
  <c r="J24" i="22"/>
  <c r="J23" i="22"/>
  <c r="J22" i="22"/>
  <c r="J21" i="22"/>
  <c r="J20" i="22"/>
  <c r="J19" i="22"/>
  <c r="J18" i="22"/>
  <c r="K17" i="22"/>
  <c r="J17" i="22" s="1"/>
  <c r="T10" i="22"/>
  <c r="K11" i="22" s="1"/>
  <c r="K26" i="22"/>
  <c r="J26" i="22" s="1"/>
  <c r="F27" i="6"/>
  <c r="G103" i="6"/>
  <c r="I103" i="6"/>
  <c r="S9" i="22"/>
  <c r="U31" i="22"/>
  <c r="S4" i="22"/>
  <c r="S8" i="22" s="1"/>
  <c r="S5"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1" i="94"/>
  <c r="E11" i="92"/>
  <c r="E11" i="87"/>
  <c r="E14" i="93"/>
  <c r="E12" i="89"/>
  <c r="E12" i="94"/>
  <c r="E11" i="90"/>
  <c r="E12" i="90"/>
  <c r="E12" i="86"/>
  <c r="E13" i="93"/>
  <c r="E20" i="93"/>
  <c r="E12" i="93"/>
  <c r="E13" i="92"/>
  <c r="E11" i="93"/>
  <c r="E12" i="91"/>
  <c r="E11" i="91"/>
  <c r="E11" i="86"/>
  <c r="E17" i="93"/>
  <c r="E15" i="93"/>
  <c r="E12" i="87"/>
  <c r="E14" i="92"/>
  <c r="E13" i="94"/>
  <c r="E11" i="89"/>
  <c r="E12" i="92"/>
  <c r="E11" i="88"/>
  <c r="E19" i="93"/>
  <c r="E12" i="88"/>
  <c r="E18" i="93"/>
  <c r="E16" i="93"/>
  <c r="O17" i="22"/>
  <c r="O23" i="22"/>
  <c r="O24" i="22"/>
  <c r="O30" i="22"/>
  <c r="O25" i="22"/>
  <c r="Q11" i="22"/>
  <c r="R12" i="22"/>
  <c r="O26" i="22"/>
  <c r="O18" i="22"/>
  <c r="O29" i="22"/>
  <c r="O27" i="22"/>
  <c r="O28" i="22"/>
  <c r="R17" i="22"/>
  <c r="C11" i="89"/>
  <c r="D11" i="93"/>
  <c r="D12" i="94"/>
  <c r="C11" i="88"/>
  <c r="C17" i="93"/>
  <c r="C19" i="93"/>
  <c r="L17" i="22"/>
  <c r="D14" i="92"/>
  <c r="D12" i="92"/>
  <c r="C13" i="94"/>
  <c r="C12" i="91"/>
  <c r="D11" i="87"/>
  <c r="D11" i="91"/>
  <c r="C12" i="93"/>
  <c r="C11" i="91"/>
  <c r="D18" i="93"/>
  <c r="C14" i="93"/>
  <c r="D15" i="93"/>
  <c r="D16" i="93"/>
  <c r="D11" i="88"/>
  <c r="D19" i="93"/>
  <c r="C12" i="86"/>
  <c r="C12" i="88"/>
  <c r="C16" i="93"/>
  <c r="C14" i="92"/>
  <c r="D11" i="89"/>
  <c r="C15" i="93"/>
  <c r="D11" i="92"/>
  <c r="D12" i="88"/>
  <c r="C11" i="92"/>
  <c r="D11" i="94"/>
  <c r="C12" i="92"/>
  <c r="D12" i="86"/>
  <c r="L25" i="22"/>
  <c r="D20" i="93"/>
  <c r="D12" i="89"/>
  <c r="D14" i="93"/>
  <c r="D12" i="90"/>
  <c r="D12" i="93"/>
  <c r="C11" i="87"/>
  <c r="D12" i="91"/>
  <c r="C20" i="93"/>
  <c r="C12" i="87"/>
  <c r="C12" i="90"/>
  <c r="C11" i="94"/>
  <c r="D13" i="92"/>
  <c r="C12" i="94"/>
  <c r="D13" i="93"/>
  <c r="C13" i="92"/>
  <c r="C18" i="93"/>
  <c r="D13" i="94"/>
  <c r="D11" i="90"/>
  <c r="D11" i="86"/>
  <c r="D12" i="87"/>
  <c r="D17" i="93"/>
  <c r="C11" i="93"/>
  <c r="C13" i="93"/>
  <c r="C11" i="90"/>
  <c r="C12" i="89"/>
  <c r="C11" i="86"/>
  <c r="AA17" i="22" l="1"/>
  <c r="K28" i="22"/>
  <c r="J28" i="22" s="1"/>
  <c r="AA18" i="22"/>
  <c r="AA23" i="22"/>
  <c r="AA27" i="22"/>
  <c r="K27" i="22"/>
  <c r="J27" i="22" s="1"/>
  <c r="AA25" i="22"/>
  <c r="AA29" i="22"/>
  <c r="Q18" i="22"/>
  <c r="S17" i="22"/>
  <c r="S3" i="22"/>
  <c r="S7" i="22" s="1"/>
  <c r="S2" i="22"/>
  <c r="S6" i="22" s="1"/>
  <c r="U2" i="22"/>
  <c r="R25" i="22"/>
  <c r="M17" i="22"/>
  <c r="L18" i="22"/>
  <c r="Q29" i="22" l="1"/>
  <c r="R18" i="22"/>
  <c r="S25" i="22"/>
  <c r="Y17" i="22"/>
  <c r="M18" i="22"/>
  <c r="L29" i="22"/>
  <c r="M25" i="22"/>
  <c r="T17" i="22"/>
  <c r="Y25" i="22" l="1"/>
  <c r="Y18" i="22"/>
  <c r="Q19" i="22"/>
  <c r="S18" i="22"/>
  <c r="V17" i="22"/>
  <c r="AB17" i="22" s="1"/>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R29" i="22"/>
  <c r="L19" i="22"/>
  <c r="T25" i="22"/>
  <c r="T18" i="22"/>
  <c r="Q30" i="22" l="1"/>
  <c r="S29" i="22"/>
  <c r="V25" i="22"/>
  <c r="AC25" i="22" s="1"/>
  <c r="V18" i="22"/>
  <c r="X18" i="22" s="1"/>
  <c r="W19" i="22" s="1"/>
  <c r="R19" i="22"/>
  <c r="Q20" i="22" s="1"/>
  <c r="AC17" i="22"/>
  <c r="X17"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M29" i="22"/>
  <c r="M19" i="22"/>
  <c r="L20" i="22"/>
  <c r="X25" i="22" l="1"/>
  <c r="Y29" i="22"/>
  <c r="AB25" i="22"/>
  <c r="S19" i="22"/>
  <c r="AB18" i="22"/>
  <c r="AC18" i="22"/>
  <c r="R20" i="22"/>
  <c r="Q21" i="22" s="1"/>
  <c r="Y19" i="22"/>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R30" i="22"/>
  <c r="L30" i="22"/>
  <c r="L21" i="22"/>
  <c r="T19" i="22"/>
  <c r="T29" i="22"/>
  <c r="V29" i="22" l="1"/>
  <c r="X29" i="22" s="1"/>
  <c r="S30" i="22"/>
  <c r="R21" i="22"/>
  <c r="Q22" i="22" s="1"/>
  <c r="V19" i="22"/>
  <c r="AC19" i="22" s="1"/>
  <c r="R73" i="19"/>
  <c r="U72" i="19"/>
  <c r="U20" i="19"/>
  <c r="R21" i="19"/>
  <c r="U180" i="19"/>
  <c r="R181" i="19"/>
  <c r="U120" i="19"/>
  <c r="R121" i="19"/>
  <c r="R37" i="19"/>
  <c r="U36" i="19"/>
  <c r="U104" i="19"/>
  <c r="R105" i="19"/>
  <c r="U52" i="19"/>
  <c r="R53" i="19"/>
  <c r="U88" i="19"/>
  <c r="R89" i="19"/>
  <c r="R165" i="19"/>
  <c r="U164" i="19"/>
  <c r="U138" i="19"/>
  <c r="R139" i="19"/>
  <c r="U139" i="19" s="1"/>
  <c r="U146" i="19"/>
  <c r="R147" i="19"/>
  <c r="L22" i="22"/>
  <c r="M30" i="22"/>
  <c r="AB29" i="22" l="1"/>
  <c r="Y30" i="22"/>
  <c r="AC29" i="22"/>
  <c r="X19" i="22"/>
  <c r="AB19" i="22"/>
  <c r="R122" i="19"/>
  <c r="U121" i="19"/>
  <c r="R90" i="19"/>
  <c r="U89" i="19"/>
  <c r="R22" i="19"/>
  <c r="U21" i="19"/>
  <c r="R54" i="19"/>
  <c r="U53" i="19"/>
  <c r="R182" i="19"/>
  <c r="U182" i="19" s="1"/>
  <c r="U181" i="19"/>
  <c r="R106" i="19"/>
  <c r="U105" i="19"/>
  <c r="U147" i="19"/>
  <c r="R148" i="19"/>
  <c r="R166" i="19"/>
  <c r="U165" i="19"/>
  <c r="R38" i="19"/>
  <c r="U37" i="19"/>
  <c r="R74" i="19"/>
  <c r="U73" i="19"/>
  <c r="T30" i="22"/>
  <c r="V30" i="22" l="1"/>
  <c r="W20" i="22"/>
  <c r="U106" i="19"/>
  <c r="R107" i="19"/>
  <c r="U54" i="19"/>
  <c r="R55" i="19"/>
  <c r="U90" i="19"/>
  <c r="R91" i="19"/>
  <c r="U74" i="19"/>
  <c r="R75" i="19"/>
  <c r="U166" i="19"/>
  <c r="R167" i="19"/>
  <c r="U148" i="19"/>
  <c r="R149" i="19"/>
  <c r="U38" i="19"/>
  <c r="R39" i="19"/>
  <c r="U22" i="19"/>
  <c r="R23" i="19"/>
  <c r="U122" i="19"/>
  <c r="R123" i="19"/>
  <c r="AB30" i="22" l="1"/>
  <c r="X30" i="22"/>
  <c r="W31" i="22" s="1"/>
  <c r="AC30" i="22"/>
  <c r="S20" i="22"/>
  <c r="U23" i="19"/>
  <c r="R24" i="19"/>
  <c r="R150" i="19"/>
  <c r="U149" i="19"/>
  <c r="U75" i="19"/>
  <c r="R76" i="19"/>
  <c r="U55" i="19"/>
  <c r="R56" i="19"/>
  <c r="U39" i="19"/>
  <c r="R40" i="19"/>
  <c r="U167" i="19"/>
  <c r="R168" i="19"/>
  <c r="U107" i="19"/>
  <c r="R108" i="19"/>
  <c r="U123" i="19"/>
  <c r="R124" i="19"/>
  <c r="U91" i="19"/>
  <c r="R92" i="19"/>
  <c r="M20" i="22"/>
  <c r="Y20" i="22" l="1"/>
  <c r="U168" i="19"/>
  <c r="R169" i="19"/>
  <c r="R57" i="19"/>
  <c r="U56" i="19"/>
  <c r="U150" i="19"/>
  <c r="R151" i="19"/>
  <c r="R125" i="19"/>
  <c r="U124" i="19"/>
  <c r="U108" i="19"/>
  <c r="R109" i="19"/>
  <c r="U40" i="19"/>
  <c r="R41" i="19"/>
  <c r="R25" i="19"/>
  <c r="U24" i="19"/>
  <c r="R93" i="19"/>
  <c r="U92" i="19"/>
  <c r="U76" i="19"/>
  <c r="R77" i="19"/>
  <c r="T20" i="22"/>
  <c r="V20" i="22" l="1"/>
  <c r="AB20" i="22" s="1"/>
  <c r="R42" i="19"/>
  <c r="U41" i="19"/>
  <c r="R94" i="19"/>
  <c r="U93" i="19"/>
  <c r="R126" i="19"/>
  <c r="U125" i="19"/>
  <c r="R58" i="19"/>
  <c r="U57" i="19"/>
  <c r="U151" i="19"/>
  <c r="R152" i="19"/>
  <c r="R78" i="19"/>
  <c r="U77" i="19"/>
  <c r="R110" i="19"/>
  <c r="U109" i="19"/>
  <c r="R170" i="19"/>
  <c r="U169" i="19"/>
  <c r="R26" i="19"/>
  <c r="U25" i="19"/>
  <c r="X20" i="22" l="1"/>
  <c r="W21" i="22" s="1"/>
  <c r="AC20" i="22"/>
  <c r="U170" i="19"/>
  <c r="R171" i="19"/>
  <c r="U78" i="19"/>
  <c r="R79" i="19"/>
  <c r="U79" i="19" s="1"/>
  <c r="U58" i="19"/>
  <c r="R59" i="19"/>
  <c r="U94" i="19"/>
  <c r="R95" i="19"/>
  <c r="R153" i="19"/>
  <c r="U152" i="19"/>
  <c r="U26" i="19"/>
  <c r="R27" i="19"/>
  <c r="U110" i="19"/>
  <c r="R111" i="19"/>
  <c r="U126" i="19"/>
  <c r="R127" i="19"/>
  <c r="U42" i="19"/>
  <c r="R43" i="19"/>
  <c r="M21" i="22"/>
  <c r="Y21" i="22" l="1"/>
  <c r="S21" i="22"/>
  <c r="U27" i="19"/>
  <c r="R28" i="19"/>
  <c r="U28" i="19" s="1"/>
  <c r="U95" i="19"/>
  <c r="R96" i="19"/>
  <c r="U96" i="19" s="1"/>
  <c r="U43" i="19"/>
  <c r="R44" i="19"/>
  <c r="U171" i="19"/>
  <c r="R172" i="19"/>
  <c r="U127" i="19"/>
  <c r="R128" i="19"/>
  <c r="U111" i="19"/>
  <c r="R112" i="19"/>
  <c r="U59" i="19"/>
  <c r="R60" i="19"/>
  <c r="R154" i="19"/>
  <c r="U153" i="19"/>
  <c r="T21" i="22"/>
  <c r="V21" i="22" l="1"/>
  <c r="R113" i="19"/>
  <c r="U113" i="19" s="1"/>
  <c r="U112" i="19"/>
  <c r="U154" i="19"/>
  <c r="R155" i="19"/>
  <c r="R61" i="19"/>
  <c r="U60" i="19"/>
  <c r="R45" i="19"/>
  <c r="U45" i="19" s="1"/>
  <c r="U44" i="19"/>
  <c r="R173" i="19"/>
  <c r="U172" i="19"/>
  <c r="R129" i="19"/>
  <c r="U128" i="19"/>
  <c r="AC21" i="22" l="1"/>
  <c r="AB21" i="22"/>
  <c r="X21" i="22"/>
  <c r="W22" i="22" s="1"/>
  <c r="U155" i="19"/>
  <c r="R156" i="19"/>
  <c r="R130" i="19"/>
  <c r="U129" i="19"/>
  <c r="R174" i="19"/>
  <c r="U173" i="19"/>
  <c r="R62" i="19"/>
  <c r="U62" i="19" s="1"/>
  <c r="U61" i="19"/>
  <c r="R22" i="22"/>
  <c r="Q23" i="22" l="1"/>
  <c r="S22" i="22"/>
  <c r="U130" i="19"/>
  <c r="R131" i="19"/>
  <c r="U156" i="19"/>
  <c r="R157" i="19"/>
  <c r="U157" i="19" s="1"/>
  <c r="U174" i="19"/>
  <c r="R175" i="19"/>
  <c r="U175" i="19" s="1"/>
  <c r="R23" i="22"/>
  <c r="L23" i="22"/>
  <c r="M22" i="22"/>
  <c r="Q24" i="22" l="1"/>
  <c r="S23" i="22"/>
  <c r="Y22" i="22"/>
  <c r="U131" i="19"/>
  <c r="R132" i="19"/>
  <c r="U132" i="19" s="1"/>
  <c r="M23" i="22"/>
  <c r="R24" i="22"/>
  <c r="T22" i="22"/>
  <c r="Y23" i="22" l="1"/>
  <c r="Q26" i="22"/>
  <c r="S24" i="22"/>
  <c r="V22" i="22"/>
  <c r="X22" i="22" s="1"/>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T23" i="22"/>
  <c r="M24" i="22"/>
  <c r="L24" i="22"/>
  <c r="L26" i="22"/>
  <c r="V23" i="22" l="1"/>
  <c r="AB23" i="22" s="1"/>
  <c r="Y24" i="22"/>
  <c r="AB22" i="22"/>
  <c r="AC22" i="22"/>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F137" i="19" a="1"/>
  <c r="T24" i="22"/>
  <c r="F77" i="19" a="1"/>
  <c r="F142" i="19" a="1"/>
  <c r="F45" i="19" a="1"/>
  <c r="F106" i="19" a="1"/>
  <c r="F80" i="19" a="1"/>
  <c r="F79" i="19" a="1"/>
  <c r="F20" i="19" a="1"/>
  <c r="F121" i="19" a="1"/>
  <c r="F120" i="19" a="1"/>
  <c r="F65" i="19" a="1"/>
  <c r="F157" i="19" a="1"/>
  <c r="F23" i="19" a="1"/>
  <c r="F55" i="19" a="1"/>
  <c r="F168" i="19" a="1"/>
  <c r="F101" i="19" a="1"/>
  <c r="F113" i="19" a="1"/>
  <c r="F94" i="19" a="1"/>
  <c r="F170" i="19" a="1"/>
  <c r="F132" i="19" a="1"/>
  <c r="F164" i="19" a="1"/>
  <c r="F172" i="19" a="1"/>
  <c r="F129" i="19" a="1"/>
  <c r="F69" i="19" a="1"/>
  <c r="F112" i="19" a="1"/>
  <c r="F71" i="19" a="1"/>
  <c r="F73" i="19" a="1"/>
  <c r="F50" i="19" a="1"/>
  <c r="F144" i="19" a="1"/>
  <c r="F116" i="19" a="1"/>
  <c r="F181" i="19" a="1"/>
  <c r="F83" i="19" a="1"/>
  <c r="F49" i="19" a="1"/>
  <c r="F74" i="19" a="1"/>
  <c r="F48" i="19" a="1"/>
  <c r="F124" i="19" a="1"/>
  <c r="F78" i="19" a="1"/>
  <c r="F174" i="19" a="1"/>
  <c r="F105" i="19" a="1"/>
  <c r="F42" i="19" a="1"/>
  <c r="F140" i="19" a="1"/>
  <c r="F14" i="19" a="1"/>
  <c r="F138" i="19" a="1"/>
  <c r="F30" i="19" a="1"/>
  <c r="F167" i="19" a="1"/>
  <c r="F39" i="19" a="1"/>
  <c r="F182" i="19" a="1"/>
  <c r="F128" i="19" a="1"/>
  <c r="F88" i="19" a="1"/>
  <c r="F173" i="19" a="1"/>
  <c r="F64" i="19" a="1"/>
  <c r="F41" i="19" a="1"/>
  <c r="F125" i="19" a="1"/>
  <c r="F60" i="19" a="1"/>
  <c r="F153" i="19" a="1"/>
  <c r="F130" i="19" a="1"/>
  <c r="F102" i="19" a="1"/>
  <c r="F115" i="19" a="1"/>
  <c r="F147" i="19" a="1"/>
  <c r="F54" i="19" a="1"/>
  <c r="F76" i="19" a="1"/>
  <c r="F67" i="19" a="1"/>
  <c r="F161" i="19" a="1"/>
  <c r="F163" i="19" a="1"/>
  <c r="F66" i="19" a="1"/>
  <c r="F151" i="19" a="1"/>
  <c r="F122" i="19" a="1"/>
  <c r="F108" i="19" a="1"/>
  <c r="F95" i="19" a="1"/>
  <c r="F159" i="19" a="1"/>
  <c r="F139" i="19" a="1"/>
  <c r="F136" i="19" a="1"/>
  <c r="F183" i="19" a="1"/>
  <c r="F149" i="19" a="1"/>
  <c r="F87" i="19" a="1"/>
  <c r="R26" i="22"/>
  <c r="F29" i="19" a="1"/>
  <c r="F61" i="19" a="1"/>
  <c r="F68" i="19" a="1"/>
  <c r="F86" i="19" a="1"/>
  <c r="F152" i="19" a="1"/>
  <c r="F33" i="19" a="1"/>
  <c r="F177" i="19" a="1"/>
  <c r="F89" i="19" a="1"/>
  <c r="F58" i="19" a="1"/>
  <c r="F143" i="19" a="1"/>
  <c r="F43" i="19" a="1"/>
  <c r="F35" i="19" a="1"/>
  <c r="F56" i="19" a="1"/>
  <c r="F27" i="19" a="1"/>
  <c r="F28" i="19" a="1"/>
  <c r="F110" i="19" a="1"/>
  <c r="F31" i="19" a="1"/>
  <c r="F109" i="19" a="1"/>
  <c r="F175" i="19" a="1"/>
  <c r="F171" i="19" a="1"/>
  <c r="F37" i="19" a="1"/>
  <c r="F59" i="19" a="1"/>
  <c r="F32" i="19" a="1"/>
  <c r="F38" i="19" a="1"/>
  <c r="F70" i="19" a="1"/>
  <c r="F40" i="19" a="1"/>
  <c r="F131" i="19" a="1"/>
  <c r="F141" i="19" a="1"/>
  <c r="F57" i="19" a="1"/>
  <c r="F160" i="19" a="1"/>
  <c r="F133" i="19" a="1"/>
  <c r="F92" i="19" a="1"/>
  <c r="F176" i="19" a="1"/>
  <c r="F26" i="19" a="1"/>
  <c r="F111" i="19" a="1"/>
  <c r="F123" i="19" a="1"/>
  <c r="F97" i="19" a="1"/>
  <c r="F82" i="19" a="1"/>
  <c r="F21" i="19" a="1"/>
  <c r="F126" i="19" a="1"/>
  <c r="F91" i="19" a="1"/>
  <c r="F150" i="19" a="1"/>
  <c r="F22" i="19" a="1"/>
  <c r="F135" i="19" a="1"/>
  <c r="F51" i="19" a="1"/>
  <c r="F100" i="19" a="1"/>
  <c r="F162" i="19" a="1"/>
  <c r="F17" i="19" a="1"/>
  <c r="F36" i="19" a="1"/>
  <c r="F18" i="19" a="1"/>
  <c r="F145" i="19" a="1"/>
  <c r="F93" i="19" a="1"/>
  <c r="F99" i="19" a="1"/>
  <c r="F62" i="19" a="1"/>
  <c r="F117" i="19" a="1"/>
  <c r="F158" i="19" a="1"/>
  <c r="F72" i="19" a="1"/>
  <c r="F16" i="19" a="1"/>
  <c r="F169" i="19" a="1"/>
  <c r="F107" i="19" a="1"/>
  <c r="F98" i="19" a="1"/>
  <c r="F180" i="19" a="1"/>
  <c r="F104" i="19" a="1"/>
  <c r="F119" i="19" a="1"/>
  <c r="F96" i="19" a="1"/>
  <c r="F24" i="19" a="1"/>
  <c r="F85" i="19" a="1"/>
  <c r="F15" i="19" a="1"/>
  <c r="F63" i="19" a="1"/>
  <c r="F146" i="19" a="1"/>
  <c r="F179" i="19" a="1"/>
  <c r="F75" i="19" a="1"/>
  <c r="F103" i="19" a="1"/>
  <c r="F53" i="19" a="1"/>
  <c r="F156" i="19" a="1"/>
  <c r="F155" i="19" a="1"/>
  <c r="F44" i="19" a="1"/>
  <c r="F127" i="19" a="1"/>
  <c r="F90" i="19" a="1"/>
  <c r="F81" i="19" a="1"/>
  <c r="F34" i="19" a="1"/>
  <c r="F47" i="19" a="1"/>
  <c r="F84" i="19" a="1"/>
  <c r="F148" i="19" a="1"/>
  <c r="F52" i="19" a="1"/>
  <c r="F46" i="19" a="1"/>
  <c r="F178" i="19" a="1"/>
  <c r="F154" i="19" a="1"/>
  <c r="F118" i="19" a="1"/>
  <c r="F25" i="19" a="1"/>
  <c r="F114" i="19" a="1"/>
  <c r="F134" i="19" a="1"/>
  <c r="F166" i="19" a="1"/>
  <c r="F19" i="19" a="1"/>
  <c r="F165" i="19" a="1"/>
  <c r="S26" i="22" l="1"/>
  <c r="Q27" i="22"/>
  <c r="X23" i="22"/>
  <c r="AC23" i="22"/>
  <c r="V24" i="22"/>
  <c r="AB24" i="22" s="1"/>
  <c r="F125" i="19"/>
  <c r="F62" i="19"/>
  <c r="F29" i="19"/>
  <c r="F45" i="19"/>
  <c r="F139" i="19"/>
  <c r="F30" i="19"/>
  <c r="F157" i="19"/>
  <c r="F123" i="19"/>
  <c r="F33" i="19"/>
  <c r="F95" i="19"/>
  <c r="F154" i="19"/>
  <c r="F82" i="19"/>
  <c r="F153" i="19"/>
  <c r="F23" i="19"/>
  <c r="F156" i="19"/>
  <c r="F47" i="19"/>
  <c r="F83" i="19"/>
  <c r="F142" i="19"/>
  <c r="F151" i="19"/>
  <c r="F73" i="19"/>
  <c r="F56" i="19"/>
  <c r="F182" i="19"/>
  <c r="F34" i="19"/>
  <c r="F21" i="19"/>
  <c r="F58" i="19"/>
  <c r="F44" i="19"/>
  <c r="F19" i="19"/>
  <c r="F124" i="19"/>
  <c r="F141" i="19"/>
  <c r="F107" i="19"/>
  <c r="F116" i="19"/>
  <c r="F69" i="19"/>
  <c r="F22" i="19"/>
  <c r="F14" i="19"/>
  <c r="F131" i="19"/>
  <c r="F81" i="19"/>
  <c r="F32" i="19"/>
  <c r="F136" i="19"/>
  <c r="F158" i="19"/>
  <c r="F147" i="19"/>
  <c r="F183" i="19"/>
  <c r="F20" i="19"/>
  <c r="F172" i="19"/>
  <c r="F72" i="19"/>
  <c r="F106" i="19"/>
  <c r="F144" i="19"/>
  <c r="F25" i="19"/>
  <c r="F104" i="19"/>
  <c r="F41" i="19"/>
  <c r="F120" i="19"/>
  <c r="F80" i="19"/>
  <c r="F40" i="19"/>
  <c r="F71" i="19"/>
  <c r="F70" i="19"/>
  <c r="F143" i="19"/>
  <c r="F38" i="19"/>
  <c r="F108" i="19"/>
  <c r="F17" i="19"/>
  <c r="F150" i="19"/>
  <c r="F101" i="19"/>
  <c r="F121" i="19"/>
  <c r="F146" i="19"/>
  <c r="F118" i="19"/>
  <c r="F180" i="19"/>
  <c r="F109" i="19"/>
  <c r="F149" i="19"/>
  <c r="F164" i="19"/>
  <c r="F105" i="19"/>
  <c r="F165" i="19"/>
  <c r="F50" i="19"/>
  <c r="F174" i="19"/>
  <c r="F112" i="19"/>
  <c r="F100" i="19"/>
  <c r="F79" i="19"/>
  <c r="F48" i="19"/>
  <c r="F181" i="19"/>
  <c r="F175" i="19"/>
  <c r="F89" i="19"/>
  <c r="F31" i="19"/>
  <c r="F127" i="19"/>
  <c r="F86" i="19"/>
  <c r="F126" i="19"/>
  <c r="F91" i="19"/>
  <c r="F129" i="19"/>
  <c r="F169" i="19"/>
  <c r="F77" i="19"/>
  <c r="F138" i="19"/>
  <c r="F168" i="19"/>
  <c r="F78" i="19"/>
  <c r="F111" i="19"/>
  <c r="F84" i="19"/>
  <c r="F94" i="19"/>
  <c r="F75" i="19"/>
  <c r="F179" i="19"/>
  <c r="F26" i="19"/>
  <c r="F36" i="19"/>
  <c r="F122" i="19"/>
  <c r="F162" i="19"/>
  <c r="F140" i="19"/>
  <c r="F68" i="19"/>
  <c r="F117" i="19"/>
  <c r="F53" i="19"/>
  <c r="F66" i="19"/>
  <c r="F98" i="19"/>
  <c r="F152" i="19"/>
  <c r="F92" i="19"/>
  <c r="F15" i="19"/>
  <c r="F132" i="19"/>
  <c r="F93" i="19"/>
  <c r="F171" i="19"/>
  <c r="F137" i="19"/>
  <c r="F176" i="19"/>
  <c r="F110" i="19"/>
  <c r="F52" i="19"/>
  <c r="F114" i="19"/>
  <c r="F39" i="19"/>
  <c r="F159" i="19"/>
  <c r="F155" i="19"/>
  <c r="F102" i="19"/>
  <c r="F113" i="19"/>
  <c r="F27" i="19"/>
  <c r="F65" i="19"/>
  <c r="F119" i="19"/>
  <c r="F87" i="19"/>
  <c r="F35" i="19"/>
  <c r="F145" i="19"/>
  <c r="F55" i="19"/>
  <c r="F170" i="19"/>
  <c r="F133" i="19"/>
  <c r="F57" i="19"/>
  <c r="F64" i="19"/>
  <c r="F177" i="19"/>
  <c r="F115" i="19"/>
  <c r="F51" i="19"/>
  <c r="F60" i="19"/>
  <c r="F42" i="19"/>
  <c r="F24" i="19"/>
  <c r="F97" i="19"/>
  <c r="F74" i="19"/>
  <c r="F134" i="19"/>
  <c r="F37" i="19"/>
  <c r="F61" i="19"/>
  <c r="F76" i="19"/>
  <c r="F96" i="19"/>
  <c r="F18" i="19"/>
  <c r="F63" i="19"/>
  <c r="F43" i="19"/>
  <c r="F166" i="19"/>
  <c r="F130" i="19"/>
  <c r="F173" i="19"/>
  <c r="F128" i="19"/>
  <c r="F28" i="19"/>
  <c r="F167" i="19"/>
  <c r="F161" i="19"/>
  <c r="F46" i="19"/>
  <c r="F54" i="19"/>
  <c r="F85" i="19"/>
  <c r="F49" i="19"/>
  <c r="F163" i="19"/>
  <c r="F67" i="19"/>
  <c r="F135" i="19"/>
  <c r="F59" i="19"/>
  <c r="F16" i="19"/>
  <c r="F103" i="19"/>
  <c r="F148" i="19"/>
  <c r="F178" i="19"/>
  <c r="F160" i="19"/>
  <c r="F88" i="19"/>
  <c r="F99" i="19"/>
  <c r="F90" i="19"/>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M26" i="22"/>
  <c r="R27" i="22"/>
  <c r="L27" i="22"/>
  <c r="Y26" i="22" l="1"/>
  <c r="X24" i="22"/>
  <c r="AC24" i="22"/>
  <c r="S27" i="22"/>
  <c r="Q28" i="22"/>
  <c r="AD158" i="19"/>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T26" i="22"/>
  <c r="M68" i="21" a="1"/>
  <c r="M27" i="22"/>
  <c r="V26" i="22" l="1"/>
  <c r="X26" i="22" s="1"/>
  <c r="Y27" i="22"/>
  <c r="AN144" i="19"/>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L28" i="22"/>
  <c r="T27" i="22"/>
  <c r="R28" i="22"/>
  <c r="AB26" i="22" l="1"/>
  <c r="AC26" i="22"/>
  <c r="V27" i="22"/>
  <c r="Q31" i="22"/>
  <c r="S28" i="22"/>
  <c r="AY180" i="19"/>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M70" i="21" a="1"/>
  <c r="M28" i="22"/>
  <c r="L70" i="21" a="1"/>
  <c r="Y28" i="22" l="1"/>
  <c r="AC27" i="22"/>
  <c r="AB27" i="22"/>
  <c r="X27" i="22"/>
  <c r="V123" i="19"/>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R31" i="22"/>
  <c r="T28" i="22"/>
  <c r="L31" i="22"/>
  <c r="V28" i="22" l="1"/>
  <c r="S31" i="22"/>
  <c r="AF38" i="19"/>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M31" i="22"/>
  <c r="L68" i="21" a="1"/>
  <c r="L72" i="21" a="1"/>
  <c r="Y31" i="22" l="1"/>
  <c r="AB28" i="22"/>
  <c r="AC28" i="22"/>
  <c r="X28" i="22"/>
  <c r="AF39" i="19"/>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T31" i="22"/>
  <c r="V31" i="22" l="1"/>
  <c r="AF40" i="19"/>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X31" i="22" l="1"/>
  <c r="AC31" i="22"/>
  <c r="AC16" i="22" s="1"/>
  <c r="AB31" i="22"/>
  <c r="AB16" i="22" s="1"/>
  <c r="K169" i="19"/>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72" i="21" a="1"/>
  <c r="M362" i="21" a="1"/>
  <c r="L360"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L472" i="21" a="1"/>
  <c r="M371"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M452" i="21" a="1"/>
  <c r="F3" i="17"/>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Error 1004 (Unable to get the Text property of the Range class)_x000D_
R17:caller</t>
        </r>
      </text>
    </comment>
    <comment ref="T17" authorId="0" shapeId="0" xr:uid="{B0AF6F5E-69F5-4F4B-97BB-86DFA5FC7FE5}">
      <text>
        <r>
          <rPr>
            <b/>
            <sz val="9"/>
            <color indexed="81"/>
            <rFont val="Tahoma"/>
            <family val="2"/>
          </rPr>
          <t xml:space="preserve">0.725833333333333:byte/s_x000D_
5.80666666666667:bit/s_x000D_
AS158:Rate_Cell_x000D_
T17:caller_x000D_
</t>
        </r>
      </text>
    </comment>
    <comment ref="T18" authorId="0" shapeId="0" xr:uid="{48F10CA4-6A23-47BE-A28C-B58B9A1FE951}">
      <text>
        <r>
          <rPr>
            <b/>
            <sz val="9"/>
            <color indexed="81"/>
            <rFont val="Tahoma"/>
            <family val="2"/>
          </rPr>
          <t xml:space="preserve">5.74043402777778:byte/s_x000D_
45.9234722222222:bit/s_x000D_
AE158:Rate_Cell_x000D_
T18:caller_x000D_
</t>
        </r>
      </text>
    </comment>
    <comment ref="T19" authorId="0" shapeId="0" xr:uid="{00A0E73F-E12B-4711-8614-DB6E38DC22A6}">
      <text>
        <r>
          <rPr>
            <b/>
            <sz val="9"/>
            <color indexed="81"/>
            <rFont val="Tahoma"/>
            <family val="2"/>
          </rPr>
          <t xml:space="preserve">5.74043402777778:byte/s_x000D_
45.9234722222222:bit/s_x000D_
AE158:Rate_Cell_x000D_
T19:caller_x000D_
</t>
        </r>
      </text>
    </comment>
    <comment ref="T20" authorId="0" shapeId="0" xr:uid="{AAAAB343-690A-41FB-974F-0514F391652B}">
      <text>
        <r>
          <rPr>
            <b/>
            <sz val="9"/>
            <color indexed="81"/>
            <rFont val="Tahoma"/>
            <family val="2"/>
          </rPr>
          <t xml:space="preserve">5.74043402777778:byte/s_x000D_
45.9234722222222:bit/s_x000D_
AE158:Rate_Cell_x000D_
T20:caller_x000D_
</t>
        </r>
      </text>
    </comment>
    <comment ref="T21" authorId="0" shapeId="0" xr:uid="{4ADBAF29-BA74-49FD-A14B-442FA8B88D49}">
      <text>
        <r>
          <rPr>
            <b/>
            <sz val="9"/>
            <color indexed="81"/>
            <rFont val="Tahoma"/>
            <family val="2"/>
          </rPr>
          <t xml:space="preserve">5.74043402777778:byte/s_x000D_
45.9234722222222:bit/s_x000D_
AE158:Rate_Cell_x000D_
T21:caller_x000D_
</t>
        </r>
      </text>
    </comment>
    <comment ref="R22" authorId="0" shapeId="0" xr:uid="{E3F89DFF-1105-42F7-85BA-FE57639DDEC6}">
      <text>
        <r>
          <rPr>
            <b/>
            <sz val="9"/>
            <color indexed="81"/>
            <rFont val="Tahoma"/>
            <family val="2"/>
          </rPr>
          <t xml:space="preserve">5.74043402777778:byte/s_x000D_
45.9234722222222:bit/s_x000D_
AE158:Rate_Cell_x000D_
R22:caller_x000D_
</t>
        </r>
      </text>
    </comment>
    <comment ref="T22" authorId="0" shapeId="0" xr:uid="{EF593A3A-A567-443E-B18D-9399E4543131}">
      <text>
        <r>
          <rPr>
            <b/>
            <sz val="9"/>
            <color indexed="81"/>
            <rFont val="Tahoma"/>
            <family val="2"/>
          </rPr>
          <t xml:space="preserve">5.74043402777778:byte/s_x000D_
45.9234722222222:bit/s_x000D_
AE158:Rate_Cell_x000D_
T22:caller_x000D_
</t>
        </r>
      </text>
    </comment>
    <comment ref="R23" authorId="0" shapeId="0" xr:uid="{21339E73-FC30-4F1D-8084-E68BD8403B08}">
      <text>
        <r>
          <rPr>
            <b/>
            <sz val="9"/>
            <color indexed="81"/>
            <rFont val="Tahoma"/>
            <family val="2"/>
          </rPr>
          <t xml:space="preserve">5.62741319444445:byte/s_x000D_
45.0193055555556:bit/s_x000D_
AH158:Rate_Cell_x000D_
R23:caller_x000D_
</t>
        </r>
      </text>
    </comment>
    <comment ref="T23" authorId="0" shapeId="0" xr:uid="{6735172D-9D51-4592-91DB-E2F6C3C1433E}">
      <text>
        <r>
          <rPr>
            <b/>
            <sz val="9"/>
            <color indexed="81"/>
            <rFont val="Tahoma"/>
            <family val="2"/>
          </rPr>
          <t xml:space="preserve">5.62741319444445:byte/s_x000D_
45.0193055555556:bit/s_x000D_
AH158:Rate_Cell_x000D_
T23:caller_x000D_
</t>
        </r>
      </text>
    </comment>
    <comment ref="R24" authorId="0" shapeId="0" xr:uid="{ADA75B8D-A3F1-4D6E-9B6C-3EA0A66223BA}">
      <text>
        <r>
          <rPr>
            <b/>
            <sz val="9"/>
            <color indexed="81"/>
            <rFont val="Tahoma"/>
            <family val="2"/>
          </rPr>
          <t xml:space="preserve">1.12803819444444:byte/s_x000D_
9.02430555555556:bit/s_x000D_
AN158:Rate_Cell_x000D_
R24:caller_x000D_
</t>
        </r>
      </text>
    </comment>
    <comment ref="T24" authorId="0" shapeId="0" xr:uid="{CF6C65B2-5148-4ED6-9DB5-AD21E36BD7C9}">
      <text>
        <r>
          <rPr>
            <b/>
            <sz val="9"/>
            <color indexed="81"/>
            <rFont val="Tahoma"/>
            <family val="2"/>
          </rPr>
          <t xml:space="preserve">1.12803819444444:byte/s_x000D_
9.02430555555556:bit/s_x000D_
AN158:Rate_Cell_x000D_
T24:caller_x000D_
</t>
        </r>
      </text>
    </comment>
    <comment ref="R26" authorId="0" shapeId="0" xr:uid="{BD522B2C-9323-4C22-B7DF-11987F3DA905}">
      <text>
        <r>
          <rPr>
            <b/>
            <sz val="9"/>
            <color indexed="81"/>
            <rFont val="Tahoma"/>
            <family val="2"/>
          </rPr>
          <t xml:space="preserve">5.77598958333333:byte/s_x000D_
46.2079166666667:bit/s_x000D_
AU158:Rate_Cell_x000D_
R26:caller_x000D_
</t>
        </r>
      </text>
    </comment>
    <comment ref="T26" authorId="0" shapeId="0" xr:uid="{56983D25-7346-4E34-A79C-2BF07C170F52}">
      <text>
        <r>
          <rPr>
            <b/>
            <sz val="9"/>
            <color indexed="81"/>
            <rFont val="Tahoma"/>
            <family val="2"/>
          </rPr>
          <t xml:space="preserve">5.77598958333333:byte/s_x000D_
46.2079166666667:bit/s_x000D_
AU158:Rate_Cell_x000D_
T26:caller_x000D_
</t>
        </r>
      </text>
    </comment>
    <comment ref="R27" authorId="0" shapeId="0" xr:uid="{6C2EB7C1-DEBF-4DEF-A6AD-87EEA81DFE1B}">
      <text>
        <r>
          <rPr>
            <b/>
            <sz val="9"/>
            <color indexed="81"/>
            <rFont val="Tahoma"/>
            <family val="2"/>
          </rPr>
          <t xml:space="preserve">6.31769097222222:byte/s_x000D_
50.5415277777778:bit/s_x000D_
AI158:Rate_Cell_x000D_
R27:caller_x000D_
</t>
        </r>
      </text>
    </comment>
    <comment ref="T27" authorId="0" shapeId="0" xr:uid="{C0CF6DA7-E8A8-495F-A8E1-C1DB95649C85}">
      <text>
        <r>
          <rPr>
            <b/>
            <sz val="9"/>
            <color indexed="81"/>
            <rFont val="Tahoma"/>
            <family val="2"/>
          </rPr>
          <t xml:space="preserve">6.31769097222222:byte/s_x000D_
50.5415277777778:bit/s_x000D_
AI158:Rate_Cell_x000D_
T27:caller_x000D_
</t>
        </r>
      </text>
    </comment>
    <comment ref="R28" authorId="0" shapeId="0" xr:uid="{5586D3F9-F13F-4107-ADF0-394EEE9F52B0}">
      <text>
        <r>
          <rPr>
            <b/>
            <sz val="9"/>
            <color indexed="81"/>
            <rFont val="Tahoma"/>
            <family val="2"/>
          </rPr>
          <t xml:space="preserve">6.17819444444445:byte/s_x000D_
49.4255555555556:bit/s_x000D_
AP158:Rate_Cell_x000D_
R28:caller_x000D_
</t>
        </r>
      </text>
    </comment>
    <comment ref="T28" authorId="0" shapeId="0" xr:uid="{B7A6C7C6-A64D-4878-BCBB-971456D0DC35}">
      <text>
        <r>
          <rPr>
            <b/>
            <sz val="9"/>
            <color indexed="81"/>
            <rFont val="Tahoma"/>
            <family val="2"/>
          </rPr>
          <t xml:space="preserve">6.17819444444445:byte/s_x000D_
49.4255555555556:bit/s_x000D_
AP158:Rate_Cell_x000D_
T28:caller_x000D_
</t>
        </r>
      </text>
    </comment>
    <comment ref="R31" authorId="0" shapeId="0" xr:uid="{B5BBAE50-88D9-4F5A-96A3-5572EE702272}">
      <text>
        <r>
          <rPr>
            <sz val="9"/>
            <color indexed="81"/>
            <rFont val="Tahoma"/>
            <family val="2"/>
          </rPr>
          <t xml:space="preserve">6.90402777777778:byte/s_x000D_
55.2322222222222:bit/s_x000D_
BG158:Rate_Cell_x000D_
R31:caller_x000D_
</t>
        </r>
      </text>
    </comment>
    <comment ref="T31" authorId="0" shapeId="0" xr:uid="{982C27C7-2112-40D3-8077-FD8D741186EE}">
      <text>
        <r>
          <rPr>
            <sz val="9"/>
            <color indexed="81"/>
            <rFont val="Tahoma"/>
            <family val="2"/>
          </rPr>
          <t xml:space="preserve">6.90402777777778:byte/s_x000D_
55.2322222222222:bit/s_x000D_
BG158:Rate_Cell_x000D_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<sst xmlns="http://schemas.openxmlformats.org/spreadsheetml/2006/main" count="9858" uniqueCount="5889">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</sst>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61">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14">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2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102" dataCellStyle="Normal 5"/>
    <tableColumn id="4" xr3:uid="{E3799C3A-4B31-4D4E-8397-EE7909C117C2}" uniqueName="4" name="MET" queryTableFieldId="4" dataDxfId="101" dataCellStyle="Normal 5"/>
    <tableColumn id="5" xr3:uid="{DE120A99-B5F2-4B1A-A22E-A9BEEE9C55B0}" uniqueName="5" name="cmd" queryTableFieldId="5" dataDxfId="100" dataCellStyle="Normal 5"/>
    <tableColumn id="6" xr3:uid="{19AF7F27-0D9D-4BCE-A533-94878B619783}" uniqueName="6" name="arg" queryTableFieldId="6" dataDxfId="99" dataCellStyle="Normal 5"/>
    <tableColumn id="14" xr3:uid="{662EB3B0-32F5-402D-80A6-61D3564CADAD}" uniqueName="14" name="a" queryTableFieldId="14" dataDxfId="98" dataCellStyle="Normal 5"/>
    <tableColumn id="1" xr3:uid="{7CF75EA0-B63F-443B-B61A-2AE13C55F8DA}" uniqueName="1" name="MET→UTC" queryTableFieldId="68" dataDxfId="97" dataCellStyle="Normal 5">
      <calculatedColumnFormula array="1">MID(met2utc(PEPSSI_Commanding[[#This Row],[MET]]),3,15)</calculatedColumnFormula>
    </tableColumn>
    <tableColumn id="15" xr3:uid="{9C5328F3-FA02-47D1-83DC-B1DBCA9D89BA}" uniqueName="15" name="cmd+arg" queryTableFieldId="15" dataDxfId="96" dataCellStyle="Normal 5">
      <calculatedColumnFormula>_xlfn.TEXTJOIN("+",TRUE,$C14:$D14)</calculatedColumnFormula>
    </tableColumn>
    <tableColumn id="16" xr3:uid="{F4B97D7B-76B9-472C-BE55-DDF523C91B54}" uniqueName="16" name="Segment_x000a_MET Start" queryTableFieldId="16" dataDxfId="95" dataCellStyle="Normal 5">
      <calculatedColumnFormula>IF($C14="ON",$B14,IF(RIGHT($H13,9)="MET Start","",IF(AND($K14&lt;&gt;0,$K13=1),$B14,$H13)))</calculatedColumnFormula>
    </tableColumn>
    <tableColumn id="17" xr3:uid="{75D7A893-75C0-4A6D-8B25-0B595F60D7D7}" uniqueName="17" name="Segment_x000a_MET End" queryTableFieldId="17" dataDxfId="94" dataCellStyle="Normal 5">
      <calculatedColumnFormula>IF($C14="OFF",$B14,IF($B15="",$B14+31500000,IF($K14=1,$B15,I15)))</calculatedColumnFormula>
    </tableColumn>
    <tableColumn id="18" xr3:uid="{FE7FC58F-1F68-4601-9509-6833A5279466}" uniqueName="18" name="Offset_x000a_fr ON" queryTableFieldId="18" dataDxfId="93" dataCellStyle="Normal 5">
      <calculatedColumnFormula>IF($G14="ON",0,IF(OR(J13="",LEFT(J13,6)="Offset"),"",J13+1))</calculatedColumnFormula>
    </tableColumn>
    <tableColumn id="19" xr3:uid="{2E9987EA-D81C-4D54-957D-0506DB032AC5}" uniqueName="19" name="Offset_x000a_to End" queryTableFieldId="19" dataDxfId="92" dataCellStyle="Normal 5">
      <calculatedColumnFormula>IF($G14="OFF",0,IF(AND($J15&lt;&gt;0,$J14&lt;&gt;9,$G15&lt;&gt;"MAC+111",($B15-$B14)&lt;7200),K15+1,1))</calculatedColumnFormula>
    </tableColumn>
    <tableColumn id="20" xr3:uid="{462F98F8-6248-4D4E-8AD2-6EC7109B2E52}" uniqueName="20" name="b" queryTableFieldId="20" dataDxfId="91" dataCellStyle="Normal 5"/>
    <tableColumn id="21" xr3:uid="{0FBD6B38-B1E1-4E9C-81A5-CA14B2F9084A}" uniqueName="21" name="N1" queryTableFieldId="21" dataDxfId="90" dataCellStyle="Normal 5">
      <calculatedColumnFormula>IF($C14="ON","",IF($C14="N1",$D14,IF(M13="N1","",M13)))</calculatedColumnFormula>
    </tableColumn>
    <tableColumn id="22" xr3:uid="{A5045F8C-7AE0-4763-BBC4-A4CC8954069F}" uniqueName="22" name="N2" queryTableFieldId="22" dataDxfId="89" dataCellStyle="Normal 5">
      <calculatedColumnFormula>IF($C14="ON","",IF($C14="N2",$D14,IF($G14="MAC+103",3,IF($G14="MAC+104",2,IF(N13="N2","",N13)))))</calculatedColumnFormula>
    </tableColumn>
    <tableColumn id="23" xr3:uid="{9B014DB1-4E67-4325-A7FF-B51BB73C144C}" uniqueName="23" name="N3" queryTableFieldId="23" dataDxfId="88" dataCellStyle="Normal 5">
      <calculatedColumnFormula>IF($C14="ON","",IF($C14="N3",$D14,IF(O13="N3","",O13)))</calculatedColumnFormula>
    </tableColumn>
    <tableColumn id="24" xr3:uid="{5660ED6E-B39C-41E9-9202-1674D6671C41}" uniqueName="24" name="STAT" queryTableFieldId="24" dataDxfId="87" dataCellStyle="Normal 5">
      <calculatedColumnFormula>IF($C14="ON","",IF($C14="STAT",$D14,IF(P13="STAT","",P13)))</calculatedColumnFormula>
    </tableColumn>
    <tableColumn id="25" xr3:uid="{12FF0207-469E-4F94-A1F8-EBA478DE17D3}" uniqueName="25" name="N2 disabled" queryTableFieldId="25" dataDxfId="86"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85"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84" dataCellStyle="Normal 5">
      <calculatedColumnFormula>IF($C14="ON","",IF($G14="MAC+102","102",IF(RIGHT(S13,1)="?","",S13)))</calculatedColumnFormula>
    </tableColumn>
    <tableColumn id="28" xr3:uid="{EBBF58EA-A53F-4BBA-A5D0-7897A48C89F7}" uniqueName="28" name="c" queryTableFieldId="28" dataDxfId="83" dataCellStyle="Normal 5"/>
    <tableColumn id="29" xr3:uid="{3369BB1D-534B-4412-A3BF-FEC6F2C8BBA1}" uniqueName="29" name="TrgAssess_x000a_bit/s" queryTableFieldId="29" dataDxfId="82" dataCellStyle="Normal 5">
      <calculatedColumnFormula>IF(OR($N14="",$R14=""),0,U$1/64/$N14)</calculatedColumnFormula>
    </tableColumn>
    <tableColumn id="30" xr3:uid="{55B18AA0-1F9B-467A-B1E9-BA2EE8619FDC}" uniqueName="30" name="BRD_x000a_bit/s" queryTableFieldId="30" dataDxfId="81" dataCellStyle="Normal 5">
      <calculatedColumnFormula>IF(OR($N14="",$R14=""),0,V$1/64/$N14)</calculatedColumnFormula>
    </tableColumn>
    <tableColumn id="31" xr3:uid="{090EFE20-88EA-4674-BD37-BEF6B463F4DB}" uniqueName="31" name="STAT_x000a_bit/s" queryTableFieldId="31" dataDxfId="80" dataCellStyle="Normal 5">
      <calculatedColumnFormula>IF($P14="",0,W$1/$P14)</calculatedColumnFormula>
    </tableColumn>
    <tableColumn id="32" xr3:uid="{B18EAE2A-70E1-4898-A71B-5A3C36BF4EE0}" uniqueName="32" name="N1_x000a_bit/s" queryTableFieldId="32" dataDxfId="79" dataCellStyle="Normal 5">
      <calculatedColumnFormula>IF($M14="",0,X$1/$M14)</calculatedColumnFormula>
    </tableColumn>
    <tableColumn id="33" xr3:uid="{E4838A52-964A-4DE1-B5E0-0AE42E730F68}" uniqueName="33" name="N2_x000a_bit/s" queryTableFieldId="33" dataDxfId="78" dataCellStyle="Normal 5">
      <calculatedColumnFormula>IF(OR($N14="",$Q14&lt;&gt;""),0,Y$1/$N14)</calculatedColumnFormula>
    </tableColumn>
    <tableColumn id="34" xr3:uid="{FB6527D2-6F60-4531-AE7F-873F0C6AB8D6}" uniqueName="34" name="N2_x000a_bit/s2" queryTableFieldId="34" dataDxfId="77" dataCellStyle="Normal 5">
      <calculatedColumnFormula>IF($N14="",0,IF($R14="",1,R14/43200)*Y14)</calculatedColumnFormula>
    </tableColumn>
    <tableColumn id="35" xr3:uid="{9E653D53-4500-4832-A022-C911049DBBA5}" uniqueName="35" name="N3_x000a_bit/s" queryTableFieldId="35" dataDxfId="76" dataCellStyle="Normal 5">
      <calculatedColumnFormula>IF($O14="",0,AA$1/$O14)</calculatedColumnFormula>
    </tableColumn>
    <tableColumn id="36" xr3:uid="{8ED16EFB-45C9-4EDA-AF99-AA59788EFFC4}" uniqueName="36" name="d" queryTableFieldId="36" dataDxfId="75" dataCellStyle="Normal 5"/>
    <tableColumn id="37" xr3:uid="{84B53164-2455-4095-84F3-40F1C7BB6A8F}" uniqueName="37" name="DT1" queryTableFieldId="37" dataDxfId="74"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3"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2"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1"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0"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9"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8"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7"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6"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5"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4"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3"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2"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1"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0"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9"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8"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7"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6"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5"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4"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3"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2"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1"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0"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9"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8"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7"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6"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5"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4"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C34" zoomScaleNormal="100" workbookViewId="0">
      <pane ySplit="2955" topLeftCell="A403" activePane="bottomLeft"/>
      <selection activeCell="N38" sqref="N38"/>
      <selection pane="bottomLeft" activeCell="AA417" sqref="AA41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113" priority="2" stopIfTrue="1">
      <formula>_xlfn.TEXTJOIN("",FALSE,$E1:$K1)="HSK3DT1DT2DT3DT4SDT1HSK4"</formula>
    </cfRule>
    <cfRule type="expression" dxfId="112" priority="10" stopIfTrue="1">
      <formula>AND(_xlfn.TEXTJOIN("",FALSE,$E1:$I1) &lt;&gt;"",_xlfn.TEXTJOIN("",FALSE,$J1:$K1) &lt;&gt; "")</formula>
    </cfRule>
  </conditionalFormatting>
  <conditionalFormatting sqref="E1:K1048576">
    <cfRule type="expression" dxfId="111" priority="11" stopIfTrue="1">
      <formula>NOT(OR(EXACT(E1,""),EXACT(E1,E$1)))</formula>
    </cfRule>
  </conditionalFormatting>
  <conditionalFormatting sqref="O1:P1048576 E1:K1048576">
    <cfRule type="expression" dxfId="110" priority="8" stopIfTrue="1">
      <formula>AND(_xlfn.XOR(_xlfn.TEXTJOIN("",TRUE,$E1:$I1)&lt;&gt;"",_xlfn.TEXTJOIN("",TRUE,$J1:$K1)&lt;&gt;""),$O1="",$P1="")</formula>
    </cfRule>
  </conditionalFormatting>
  <conditionalFormatting sqref="X9">
    <cfRule type="expression" dxfId="109"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B3" sqref="B3"/>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108" priority="4">
      <formula>AC$12&lt;&gt;""</formula>
    </cfRule>
  </conditionalFormatting>
  <conditionalFormatting sqref="AD8:BG8">
    <cfRule type="expression" dxfId="107" priority="5">
      <formula>AD8&lt;&gt;(AC8+1)</formula>
    </cfRule>
  </conditionalFormatting>
  <conditionalFormatting sqref="A14:BG1048576">
    <cfRule type="expression" dxfId="106" priority="6">
      <formula>OR($C14="ON",FALSE)</formula>
    </cfRule>
  </conditionalFormatting>
  <conditionalFormatting sqref="A183:BG1048537 A122:BG122 A166:BG166 A14:BG120">
    <cfRule type="expression" dxfId="105" priority="3">
      <formula>OR($G14="OFF",AND($G15&lt;&gt;"OFF",$K14=1))</formula>
    </cfRule>
  </conditionalFormatting>
  <conditionalFormatting sqref="A14:D1048576">
    <cfRule type="expression" dxfId="104" priority="7">
      <formula>AND($J14&lt;&gt;"",$J14&lt;=9)</formula>
    </cfRule>
  </conditionalFormatting>
  <conditionalFormatting sqref="A121:BG182">
    <cfRule type="expression" dxfId="103"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tabSelected="1" zoomScaleNormal="100" workbookViewId="0">
      <pane ySplit="12" topLeftCell="A15" activePane="bottomLeft" state="frozen"/>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7.140625" style="3" customWidth="1"/>
    <col min="28" max="28" width="5.5703125" style="525" bestFit="1" customWidth="1"/>
    <col min="29" max="29" width="6.140625" style="525" bestFit="1" customWidth="1"/>
    <col min="30" max="30" width="3.42578125" style="20" customWidth="1"/>
    <col min="31" max="31" width="3.7109375" style="20" customWidth="1"/>
    <col min="32" max="32" width="3" style="20" customWidth="1"/>
    <col min="33" max="33" width="3.42578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L2" s="3"/>
      <c r="N2" s="20"/>
      <c r="O2" s="3"/>
      <c r="R2" s="6" t="s">
        <v>1166</v>
      </c>
      <c r="S2" s="270">
        <f>'SWAP Data Volumns'!K108</f>
        <v>0.5056665308181959</v>
      </c>
      <c r="T2" s="18" t="s">
        <v>5875</v>
      </c>
      <c r="U2" s="519">
        <f>1.579/0.000008</f>
        <v>197375</v>
      </c>
      <c r="V2" s="520" t="s">
        <v>5831</v>
      </c>
      <c r="Y2"/>
      <c r="Z2"/>
      <c r="AA2"/>
      <c r="AC2" s="100"/>
      <c r="AD2"/>
      <c r="AE2"/>
      <c r="AF2"/>
      <c r="AG2"/>
      <c r="AH2" s="18"/>
      <c r="AI2" s="18"/>
    </row>
    <row r="3" spans="1:40">
      <c r="A3"/>
      <c r="B3" s="3"/>
      <c r="C3" s="3"/>
      <c r="D3" s="3"/>
      <c r="E3" s="3"/>
      <c r="F3" s="3"/>
      <c r="G3" s="3"/>
      <c r="H3" s="3"/>
      <c r="I3" s="3"/>
      <c r="L3" s="3"/>
      <c r="N3" s="20"/>
      <c r="O3" s="3"/>
      <c r="R3" s="6" t="s">
        <v>1196</v>
      </c>
      <c r="S3" s="270">
        <f>'SWAP Data Volumns'!K99</f>
        <v>0.80996710526315774</v>
      </c>
      <c r="T3" s="18" t="s">
        <v>5844</v>
      </c>
      <c r="Y3"/>
      <c r="Z3"/>
      <c r="AA3"/>
      <c r="AC3" s="100"/>
      <c r="AD3"/>
      <c r="AE3"/>
      <c r="AF3"/>
      <c r="AG3"/>
      <c r="AH3" s="18"/>
      <c r="AI3" s="18"/>
    </row>
    <row r="4" spans="1:40">
      <c r="A4"/>
      <c r="B4" s="3"/>
      <c r="C4" s="3"/>
      <c r="D4" s="3"/>
      <c r="E4" s="3"/>
      <c r="F4" s="3"/>
      <c r="G4" s="3"/>
      <c r="H4" s="3"/>
      <c r="I4" s="3"/>
      <c r="L4" s="3"/>
      <c r="N4" s="20"/>
      <c r="O4" s="3"/>
      <c r="R4" s="6" t="s">
        <v>1068</v>
      </c>
      <c r="S4" s="270">
        <f>'SWAP Data Volumns'!K90</f>
        <v>1.4028285692679976</v>
      </c>
      <c r="T4" s="18" t="s">
        <v>5876</v>
      </c>
      <c r="Y4"/>
      <c r="Z4"/>
      <c r="AA4"/>
      <c r="AC4" s="100"/>
      <c r="AD4"/>
      <c r="AE4"/>
      <c r="AF4"/>
      <c r="AG4"/>
      <c r="AH4" s="18"/>
      <c r="AI4" s="18"/>
    </row>
    <row r="5" spans="1:40">
      <c r="A5"/>
      <c r="B5" s="3"/>
      <c r="C5" s="3"/>
      <c r="D5" s="3"/>
      <c r="E5" s="3"/>
      <c r="F5" s="3"/>
      <c r="G5" s="3"/>
      <c r="H5" s="3"/>
      <c r="I5" s="3"/>
      <c r="L5" s="3"/>
      <c r="N5" s="20"/>
      <c r="O5" s="3"/>
      <c r="R5" s="6" t="s">
        <v>1165</v>
      </c>
      <c r="S5" s="270">
        <f>'SWAP Data Volumns'!K72</f>
        <v>3.6959320175438592</v>
      </c>
      <c r="T5" s="18" t="s">
        <v>5877</v>
      </c>
      <c r="Y5"/>
      <c r="Z5"/>
      <c r="AA5"/>
      <c r="AC5" s="100"/>
      <c r="AD5"/>
      <c r="AE5"/>
      <c r="AF5"/>
      <c r="AG5"/>
      <c r="AH5" s="18"/>
      <c r="AI5" s="18"/>
    </row>
    <row r="6" spans="1:40">
      <c r="A6"/>
      <c r="B6" s="3"/>
      <c r="C6" s="3"/>
      <c r="D6" s="3"/>
      <c r="E6" s="3"/>
      <c r="F6" s="3"/>
      <c r="G6" s="3"/>
      <c r="H6" s="3"/>
      <c r="I6" s="3"/>
      <c r="L6" s="3"/>
      <c r="N6" s="20"/>
      <c r="O6" s="3"/>
      <c r="S6" s="527">
        <f>$S2-(0.0144*1000000/(8*86400))</f>
        <v>0.48483319748486259</v>
      </c>
      <c r="T6" s="18" t="s">
        <v>5874</v>
      </c>
      <c r="Y6"/>
      <c r="Z6"/>
      <c r="AA6"/>
      <c r="AC6" s="100"/>
      <c r="AD6"/>
      <c r="AE6"/>
      <c r="AF6"/>
      <c r="AG6"/>
      <c r="AH6" s="18"/>
      <c r="AI6" s="18"/>
    </row>
    <row r="7" spans="1:40">
      <c r="A7"/>
      <c r="B7" s="3"/>
      <c r="C7" s="3"/>
      <c r="D7" s="3"/>
      <c r="E7" s="3"/>
      <c r="F7" s="3"/>
      <c r="G7" s="3"/>
      <c r="H7" s="3"/>
      <c r="I7" s="3"/>
      <c r="L7" s="3"/>
      <c r="N7" s="20"/>
      <c r="O7" s="3"/>
      <c r="S7" s="527">
        <f t="shared" ref="S7:S9" si="0">$S3-(0.0144*1000000/(8*86400))</f>
        <v>0.78913377192982437</v>
      </c>
      <c r="T7" s="18" t="s">
        <v>5871</v>
      </c>
      <c r="Y7"/>
      <c r="Z7"/>
      <c r="AA7"/>
      <c r="AC7" s="100"/>
      <c r="AD7"/>
      <c r="AE7"/>
      <c r="AF7"/>
      <c r="AG7"/>
      <c r="AH7" s="18"/>
      <c r="AI7" s="18"/>
    </row>
    <row r="8" spans="1:40">
      <c r="A8"/>
      <c r="B8" s="3"/>
      <c r="C8" s="3"/>
      <c r="D8" s="3"/>
      <c r="E8" s="3"/>
      <c r="F8" s="3"/>
      <c r="G8" s="3"/>
      <c r="H8" s="3"/>
      <c r="I8" s="3"/>
      <c r="L8" s="3"/>
      <c r="N8" s="20"/>
      <c r="O8" s="3"/>
      <c r="S8" s="527">
        <f t="shared" si="0"/>
        <v>1.3819952359346643</v>
      </c>
      <c r="T8" s="18" t="s">
        <v>5873</v>
      </c>
      <c r="Y8"/>
      <c r="Z8"/>
      <c r="AA8"/>
      <c r="AC8" s="100"/>
      <c r="AD8"/>
      <c r="AE8"/>
      <c r="AF8"/>
      <c r="AG8"/>
      <c r="AH8" s="18"/>
      <c r="AI8" s="18"/>
    </row>
    <row r="9" spans="1:40">
      <c r="A9"/>
      <c r="B9" s="3"/>
      <c r="C9" s="3"/>
      <c r="D9" s="3"/>
      <c r="E9" s="3"/>
      <c r="F9" s="3"/>
      <c r="G9" s="3"/>
      <c r="H9" s="3"/>
      <c r="I9" s="3"/>
      <c r="L9" s="3"/>
      <c r="N9" s="20"/>
      <c r="O9" s="3"/>
      <c r="S9" s="527">
        <f t="shared" si="0"/>
        <v>3.6750986842105258</v>
      </c>
      <c r="T9" s="18" t="s">
        <v>5872</v>
      </c>
      <c r="Y9"/>
      <c r="Z9"/>
      <c r="AA9"/>
      <c r="AC9" s="100"/>
      <c r="AD9"/>
      <c r="AE9"/>
      <c r="AF9"/>
      <c r="AG9"/>
      <c r="AH9" s="18"/>
      <c r="AI9" s="18"/>
    </row>
    <row r="10" spans="1:40">
      <c r="A10"/>
      <c r="B10" s="3"/>
      <c r="C10" s="3"/>
      <c r="D10" s="3"/>
      <c r="E10" s="3"/>
      <c r="F10" s="3"/>
      <c r="G10" s="3"/>
      <c r="H10" s="3"/>
      <c r="I10" s="3"/>
      <c r="L10" s="3"/>
      <c r="N10" s="20"/>
      <c r="O10" s="3"/>
      <c r="S10" s="516" t="s">
        <v>5843</v>
      </c>
      <c r="T10" s="527" t="str">
        <f>""</f>
        <v/>
      </c>
      <c r="Y10"/>
      <c r="Z10"/>
      <c r="AA10"/>
      <c r="AC10" s="100"/>
      <c r="AD10"/>
      <c r="AE10"/>
      <c r="AF10"/>
      <c r="AG10"/>
      <c r="AH10" s="18"/>
      <c r="AI10" s="18"/>
    </row>
    <row r="11" spans="1:40">
      <c r="A11"/>
      <c r="B11" s="3"/>
      <c r="C11" s="3"/>
      <c r="D11" s="3"/>
      <c r="E11" s="3"/>
      <c r="F11" s="3"/>
      <c r="G11" s="3"/>
      <c r="H11" s="3"/>
      <c r="I11" s="3"/>
      <c r="K11" s="18" t="str">
        <f>$T$10</f>
        <v/>
      </c>
      <c r="L11" s="3"/>
      <c r="N11" s="20"/>
      <c r="O11" s="3"/>
      <c r="P11" s="6" t="s">
        <v>5851</v>
      </c>
      <c r="Q11" s="516">
        <f>$R11-$W11/devrate($E11:$K11,$R11)</f>
        <v>-1</v>
      </c>
      <c r="R11" s="526">
        <v>-1</v>
      </c>
      <c r="Y11" t="s">
        <v>5839</v>
      </c>
      <c r="Z11" t="s">
        <v>5852</v>
      </c>
      <c r="AA11"/>
      <c r="AC11" s="100"/>
      <c r="AD11"/>
      <c r="AE11"/>
      <c r="AF11"/>
      <c r="AG11"/>
      <c r="AH11" s="18"/>
      <c r="AI11" s="18"/>
    </row>
    <row r="12" spans="1:40">
      <c r="A12"/>
      <c r="B12" s="3"/>
      <c r="C12" s="3"/>
      <c r="D12" s="3"/>
      <c r="E12" s="3"/>
      <c r="F12" s="3"/>
      <c r="G12" s="3"/>
      <c r="H12" s="3"/>
      <c r="I12" s="3"/>
      <c r="L12" s="3"/>
      <c r="N12" s="20"/>
      <c r="O12" s="3"/>
      <c r="Q12" s="526">
        <v>-1</v>
      </c>
      <c r="R12" s="526">
        <f>$Q12+$W12/devrate($E12:$K12,$Q12)</f>
        <v>-1</v>
      </c>
      <c r="S12" s="513" t="s">
        <v>5850</v>
      </c>
      <c r="Y12" t="s">
        <v>5839</v>
      </c>
      <c r="Z12" t="s">
        <v>5845</v>
      </c>
      <c r="AA12"/>
      <c r="AC12" s="100"/>
      <c r="AD12"/>
      <c r="AE12"/>
      <c r="AF12"/>
      <c r="AG12"/>
      <c r="AH12" s="18"/>
      <c r="AI12" s="18"/>
    </row>
    <row r="15" spans="1:40">
      <c r="P15" s="3">
        <v>25207</v>
      </c>
      <c r="AH15" s="513" t="s">
        <v>5810</v>
      </c>
      <c r="AN15" s="6" t="s">
        <v>5789</v>
      </c>
    </row>
    <row r="16" spans="1:40" s="454" customFormat="1" ht="45">
      <c r="A16" s="523"/>
      <c r="B16" s="523"/>
      <c r="C16" s="523"/>
      <c r="D16" s="523"/>
      <c r="E16" s="523" t="str">
        <f>$E$1</f>
        <v>HSK3</v>
      </c>
      <c r="F16" s="523" t="str">
        <f>$F$1</f>
        <v>DT1</v>
      </c>
      <c r="G16" s="523" t="str">
        <f>$G$1</f>
        <v>DT2</v>
      </c>
      <c r="H16" s="523" t="str">
        <f>$H$1</f>
        <v>DT3</v>
      </c>
      <c r="I16" s="523" t="str">
        <f>$I$1</f>
        <v>DT4</v>
      </c>
      <c r="J16" s="514" t="str">
        <f>$J$1</f>
        <v>SDT1HSK4</v>
      </c>
      <c r="K16" s="528"/>
      <c r="L16" s="523"/>
      <c r="M16" s="523"/>
      <c r="N16" s="514"/>
      <c r="O16" s="523"/>
      <c r="P16" s="514" t="str">
        <f t="shared" ref="P16:X16" si="1">P$1</f>
        <v>track</v>
      </c>
      <c r="Q16" s="517" t="str">
        <f t="shared" si="1"/>
        <v>start met</v>
      </c>
      <c r="R16" s="517" t="str">
        <f t="shared" si="1"/>
        <v>end met</v>
      </c>
      <c r="S16" s="517" t="str">
        <f t="shared" si="1"/>
        <v>seconds</v>
      </c>
      <c r="T16" s="517" t="str">
        <f t="shared" si="1"/>
        <v>calculated bytes</v>
      </c>
      <c r="U16" s="517" t="str">
        <f t="shared" si="1"/>
        <v>pwr on</v>
      </c>
      <c r="V16" s="517" t="str">
        <f t="shared" si="1"/>
        <v>total calc bytes</v>
      </c>
      <c r="W16" s="517" t="str">
        <f t="shared" si="1"/>
        <v>bytes avail</v>
      </c>
      <c r="X16" s="517" t="str">
        <f t="shared" si="1"/>
        <v>difference</v>
      </c>
      <c r="Y16" s="523"/>
      <c r="Z16" s="523"/>
      <c r="AA16" s="529" t="s">
        <v>5888</v>
      </c>
      <c r="AB16" s="524" t="str">
        <f ca="1">_xlfn.CONCAT("PEP",CHAR(10),"Mbit",CHAR(10),TEXT(SUM(AB17:AB35),"0.00"))</f>
        <v>PEP
Mbit
56.66</v>
      </c>
      <c r="AC16" s="524" t="str">
        <f ca="1">_xlfn.CONCAT("SWA",CHAR(10),"Mbit",CHAR(10),TEXT(SUM(AC17:AC35),"0.00"))</f>
        <v>SWA
Mbit
0.00</v>
      </c>
      <c r="AD16" s="523"/>
      <c r="AE16" s="523"/>
      <c r="AF16" s="523"/>
      <c r="AG16" s="523"/>
      <c r="AH16" s="521" t="s">
        <v>5790</v>
      </c>
      <c r="AI16" s="521" t="s">
        <v>5791</v>
      </c>
      <c r="AJ16" s="522" t="s">
        <v>5792</v>
      </c>
      <c r="AK16" s="522" t="s">
        <v>5793</v>
      </c>
      <c r="AL16" s="522" t="s">
        <v>5794</v>
      </c>
      <c r="AM16" s="522" t="s">
        <v>5795</v>
      </c>
      <c r="AN16" s="522">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25-289/15:53</v>
      </c>
      <c r="N17" s="3" t="s">
        <v>5863</v>
      </c>
      <c r="O17" s="20" t="str">
        <f>MID(deltautc($AI17),6,9)</f>
        <v>209/22:54</v>
      </c>
      <c r="P17" s="3" t="str">
        <f>MID(AH17,5,5)</f>
        <v>209_2</v>
      </c>
      <c r="Q17" s="518">
        <v>622935950.93747699</v>
      </c>
      <c r="R17" s="20">
        <f>$Q17+$W17/devrate($E17:$K17,$Q17)</f>
        <v>622935950.93747699</v>
      </c>
      <c r="S17" s="20">
        <f t="shared" ref="S17:S30" si="5">R17-Q17</f>
        <v>0</v>
      </c>
      <c r="T17" s="20">
        <f t="shared" ref="T17:T30" ca="1" si="6">S17*IF(OR(EXACT($Y17,"PEP"),EXACT($Y17,"SWA")),devrate(E17:K17,$Q17),0)</f>
        <v>0</v>
      </c>
      <c r="U17" s="20">
        <f>0</f>
        <v>0</v>
      </c>
      <c r="V17" s="20">
        <f t="shared" ref="V17:V30" ca="1" si="7">T17+IF($Y17="PEP",$U17*$U$2,0)</f>
        <v>0</v>
      </c>
      <c r="W17" s="20">
        <f>AN17*1000000/8</f>
        <v>33654.6</v>
      </c>
      <c r="X17" s="20">
        <f t="shared" ref="X17:X30" ca="1" si="8">W17-V17</f>
        <v>33654.6</v>
      </c>
      <c r="Y17" s="20" t="str">
        <f t="shared" ref="Y17:Y30" ca="1" si="9">IF($L17&lt;&gt;"",IF($M17&lt;&gt;"",IF(_xlfn.XOR(_xlfn.TEXTJOIN("",TRUE,$E17:$I17)&lt;&gt;"",_xlfn.TEXTJOIN("",TRUE,$J17:$K17)&lt;&gt;""),IF(_xlfn.TEXTJOIN("",TRUE,$J17:$K17)="","PEP","SWA"),""),""),"")</f>
        <v>PEP</v>
      </c>
      <c r="Z17" s="20" t="s">
        <v>5852</v>
      </c>
      <c r="AA17" s="3">
        <f>IF(ISNUMBER($AN17),AN17,"")</f>
        <v>0.2692368</v>
      </c>
      <c r="AB17" s="525">
        <f t="shared" ref="AB17:AB30" ca="1" si="10">IF(AND(ISNUMBER(V17),EXACT(Y17,"PEP")),V17*8/1000000,"")</f>
        <v>0</v>
      </c>
      <c r="AC17" s="525" t="str">
        <f t="shared" ref="AC17:AC30" ca="1" si="11">IF(AND(ISNUMBER(V17),EXACT(Y17,"SWA")),V17*8/1000000,"")</f>
        <v/>
      </c>
      <c r="AH17" s="513" t="s">
        <v>766</v>
      </c>
      <c r="AI17" s="513"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25-289/15:53</v>
      </c>
      <c r="M18" s="20" t="str">
        <f t="shared" ca="1" si="4"/>
        <v>25-290/07:05</v>
      </c>
      <c r="N18" s="3" t="s">
        <v>5864</v>
      </c>
      <c r="O18" s="20" t="str">
        <f>MID(deltautc($AI18),6,9)</f>
        <v>210/20:49</v>
      </c>
      <c r="P18" s="3" t="str">
        <f>MID(AH18,5,5)</f>
        <v>210_2</v>
      </c>
      <c r="Q18" s="518">
        <f>R17+(-1)</f>
        <v>622935949.93747699</v>
      </c>
      <c r="R18" s="20">
        <f>$Q18+54677</f>
        <v>622990626.93747699</v>
      </c>
      <c r="S18" s="20">
        <f t="shared" si="5"/>
        <v>54677</v>
      </c>
      <c r="T18" s="20">
        <f t="shared" ca="1" si="6"/>
        <v>313869.7113368056</v>
      </c>
      <c r="U18" s="20">
        <f>0</f>
        <v>0</v>
      </c>
      <c r="V18" s="20">
        <f t="shared" ca="1" si="7"/>
        <v>313869.7113368056</v>
      </c>
      <c r="W18" s="20">
        <f>AN18*1000000/8</f>
        <v>887912.55</v>
      </c>
      <c r="X18" s="20">
        <f t="shared" ca="1" si="8"/>
        <v>574042.83866319444</v>
      </c>
      <c r="Y18" s="20" t="str">
        <f t="shared" ca="1" si="9"/>
        <v>PEP</v>
      </c>
      <c r="Z18" s="20" t="s">
        <v>5845</v>
      </c>
      <c r="AA18" s="3">
        <f t="shared" ref="AA18:AA31" si="12">IF(ISNUMBER($AN18),AN18,"")</f>
        <v>7.1033004000000002</v>
      </c>
      <c r="AB18" s="525">
        <f t="shared" ca="1" si="10"/>
        <v>2.5109576906944446</v>
      </c>
      <c r="AC18" s="525" t="str">
        <f t="shared" ca="1" si="11"/>
        <v/>
      </c>
      <c r="AH18" s="513" t="s">
        <v>772</v>
      </c>
      <c r="AI18" s="513"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25-290/07:05</v>
      </c>
      <c r="M19" s="20" t="str">
        <f t="shared" ca="1" si="4"/>
        <v>25-290/20:58</v>
      </c>
      <c r="N19" s="3" t="s">
        <v>5865</v>
      </c>
      <c r="O19" s="20" t="s">
        <v>5846</v>
      </c>
      <c r="Q19" s="518">
        <f t="shared" ref="Q19:Q24" si="13">R18+(-1)</f>
        <v>622990625.93747699</v>
      </c>
      <c r="R19" s="20">
        <f>Q19+50000</f>
        <v>623040625.93747699</v>
      </c>
      <c r="S19" s="20">
        <f t="shared" si="5"/>
        <v>50000</v>
      </c>
      <c r="T19" s="20">
        <f t="shared" ca="1" si="6"/>
        <v>287021.70138888893</v>
      </c>
      <c r="U19" s="20">
        <f>0</f>
        <v>0</v>
      </c>
      <c r="V19" s="20">
        <f t="shared" ca="1" si="7"/>
        <v>287021.70138888893</v>
      </c>
      <c r="W19" s="20">
        <f ca="1">X18</f>
        <v>574042.83866319444</v>
      </c>
      <c r="X19" s="20">
        <f t="shared" ca="1" si="8"/>
        <v>287021.13727430551</v>
      </c>
      <c r="Y19" s="20" t="str">
        <f t="shared" ca="1" si="9"/>
        <v>PEP</v>
      </c>
      <c r="Z19" s="20" t="s">
        <v>5845</v>
      </c>
      <c r="AA19" s="3" t="str">
        <f t="shared" si="12"/>
        <v/>
      </c>
      <c r="AB19" s="525">
        <f t="shared" ca="1" si="10"/>
        <v>2.2961736111111115</v>
      </c>
      <c r="AC19" s="525" t="str">
        <f t="shared" ca="1" si="11"/>
        <v/>
      </c>
      <c r="AN19" s="3"/>
    </row>
    <row r="20" spans="5:40">
      <c r="F20" s="20" t="s">
        <v>49</v>
      </c>
      <c r="G20" s="20" t="s">
        <v>50</v>
      </c>
      <c r="J20" s="3" t="str">
        <f t="shared" si="2"/>
        <v/>
      </c>
      <c r="L20" s="20" t="str">
        <f t="shared" ca="1" si="3"/>
        <v>25-290/20:58</v>
      </c>
      <c r="M20" s="20" t="str">
        <f t="shared" ca="1" si="4"/>
        <v>25-291/03:55</v>
      </c>
      <c r="N20" s="3" t="s">
        <v>5866</v>
      </c>
      <c r="O20" s="20" t="s">
        <v>5846</v>
      </c>
      <c r="Q20" s="518">
        <f t="shared" si="13"/>
        <v>623040624.93747699</v>
      </c>
      <c r="R20" s="20">
        <f>Q20+25000</f>
        <v>623065624.93747699</v>
      </c>
      <c r="S20" s="20">
        <f t="shared" si="5"/>
        <v>25000</v>
      </c>
      <c r="T20" s="20">
        <f t="shared" ca="1" si="6"/>
        <v>143510.85069444447</v>
      </c>
      <c r="U20" s="20">
        <f>0</f>
        <v>0</v>
      </c>
      <c r="V20" s="20">
        <f t="shared" ca="1" si="7"/>
        <v>143510.85069444447</v>
      </c>
      <c r="W20" s="20">
        <f ca="1">X19</f>
        <v>287021.13727430551</v>
      </c>
      <c r="X20" s="20">
        <f t="shared" ca="1" si="8"/>
        <v>143510.28657986104</v>
      </c>
      <c r="Y20" s="20" t="str">
        <f t="shared" ca="1" si="9"/>
        <v>PEP</v>
      </c>
      <c r="Z20" s="20" t="s">
        <v>5845</v>
      </c>
      <c r="AA20" s="3" t="str">
        <f t="shared" si="12"/>
        <v/>
      </c>
      <c r="AB20" s="525">
        <f t="shared" ca="1" si="10"/>
        <v>1.1480868055555558</v>
      </c>
      <c r="AC20" s="525" t="str">
        <f t="shared" ca="1" si="11"/>
        <v/>
      </c>
      <c r="AN20" s="3"/>
    </row>
    <row r="21" spans="5:40">
      <c r="F21" s="20" t="s">
        <v>49</v>
      </c>
      <c r="G21" s="20" t="s">
        <v>50</v>
      </c>
      <c r="J21" s="3" t="str">
        <f t="shared" si="2"/>
        <v/>
      </c>
      <c r="L21" s="20" t="str">
        <f t="shared" ca="1" si="3"/>
        <v>25-291/03:55</v>
      </c>
      <c r="M21" s="20" t="str">
        <f t="shared" ca="1" si="4"/>
        <v>25-291/07:23</v>
      </c>
      <c r="N21" s="3" t="s">
        <v>5867</v>
      </c>
      <c r="O21" s="20" t="s">
        <v>5846</v>
      </c>
      <c r="Q21" s="518">
        <f t="shared" si="13"/>
        <v>623065623.93747699</v>
      </c>
      <c r="R21" s="20">
        <f>Q21+12500</f>
        <v>623078123.93747699</v>
      </c>
      <c r="S21" s="20">
        <f t="shared" si="5"/>
        <v>12500</v>
      </c>
      <c r="T21" s="20">
        <f t="shared" ca="1" si="6"/>
        <v>71755.425347222234</v>
      </c>
      <c r="U21" s="20">
        <f>0</f>
        <v>0</v>
      </c>
      <c r="V21" s="20">
        <f t="shared" ca="1" si="7"/>
        <v>71755.425347222234</v>
      </c>
      <c r="W21" s="20">
        <f ca="1">X20+(0)</f>
        <v>143510.28657986104</v>
      </c>
      <c r="X21" s="20">
        <f t="shared" ca="1" si="8"/>
        <v>71754.86123263881</v>
      </c>
      <c r="Y21" s="20" t="str">
        <f t="shared" ca="1" si="9"/>
        <v>PEP</v>
      </c>
      <c r="Z21" s="20" t="s">
        <v>5845</v>
      </c>
      <c r="AA21" s="3" t="str">
        <f t="shared" si="12"/>
        <v/>
      </c>
      <c r="AB21" s="525">
        <f t="shared" ca="1" si="10"/>
        <v>0.57404340277777788</v>
      </c>
      <c r="AC21" s="525" t="str">
        <f t="shared" ca="1" si="11"/>
        <v/>
      </c>
      <c r="AN21" s="3"/>
    </row>
    <row r="22" spans="5:40">
      <c r="F22" s="20" t="s">
        <v>49</v>
      </c>
      <c r="G22" s="20" t="s">
        <v>50</v>
      </c>
      <c r="J22" s="3" t="str">
        <f t="shared" si="2"/>
        <v/>
      </c>
      <c r="L22" s="20" t="str">
        <f t="shared" ca="1" si="3"/>
        <v>25-291/07:23</v>
      </c>
      <c r="M22" s="20" t="str">
        <f t="shared" ca="1" si="4"/>
        <v>25-291/10:51</v>
      </c>
      <c r="N22" s="3" t="s">
        <v>5868</v>
      </c>
      <c r="O22" s="20" t="s">
        <v>5846</v>
      </c>
      <c r="Q22" s="518">
        <f t="shared" si="13"/>
        <v>623078122.93747699</v>
      </c>
      <c r="R22" s="20">
        <f ca="1">$Q22+$W22/devrate($E22:$K22,$Q22)</f>
        <v>623090622.83920658</v>
      </c>
      <c r="S22" s="20">
        <f t="shared" ca="1" si="5"/>
        <v>12499.90172958374</v>
      </c>
      <c r="T22" s="20">
        <f t="shared" ca="1" si="6"/>
        <v>71754.861232380819</v>
      </c>
      <c r="U22" s="20">
        <f>0</f>
        <v>0</v>
      </c>
      <c r="V22" s="20">
        <f t="shared" ca="1" si="7"/>
        <v>71754.861232380819</v>
      </c>
      <c r="W22" s="20">
        <f ca="1">X21</f>
        <v>71754.86123263881</v>
      </c>
      <c r="X22" s="20">
        <f t="shared" ca="1" si="8"/>
        <v>2.5799090508371592E-7</v>
      </c>
      <c r="Y22" s="20" t="str">
        <f t="shared" ca="1" si="9"/>
        <v>PEP</v>
      </c>
      <c r="AA22" s="3" t="str">
        <f t="shared" si="12"/>
        <v/>
      </c>
      <c r="AB22" s="525">
        <f t="shared" ca="1" si="10"/>
        <v>0.57403888985904661</v>
      </c>
      <c r="AC22" s="525" t="str">
        <f t="shared" ca="1" si="11"/>
        <v/>
      </c>
      <c r="AN22" s="3"/>
    </row>
    <row r="23" spans="5:40">
      <c r="G23" s="20" t="s">
        <v>50</v>
      </c>
      <c r="H23" s="20" t="s">
        <v>53</v>
      </c>
      <c r="J23" s="3" t="str">
        <f t="shared" si="2"/>
        <v/>
      </c>
      <c r="L23" s="20" t="str">
        <f t="shared" ca="1" si="3"/>
        <v>25-291/10:51</v>
      </c>
      <c r="M23" s="20" t="str">
        <f t="shared" ca="1" si="4"/>
        <v>25-293/05:32</v>
      </c>
      <c r="N23" s="3" t="s">
        <v>5863</v>
      </c>
      <c r="O23" s="20" t="str">
        <f t="shared" ref="O23:O30" si="14">MID(deltautc($AI23),6,9)</f>
        <v>211/13:39</v>
      </c>
      <c r="P23" s="3" t="str">
        <f t="shared" ref="P23:P30" si="15">MID(AH23,5,5)</f>
        <v>211_1</v>
      </c>
      <c r="Q23" s="518">
        <f t="shared" ca="1" si="13"/>
        <v>623090621.83920658</v>
      </c>
      <c r="R23" s="20">
        <f ca="1">$Q23+$W23/devrate($E23:$K23,$Q23)</f>
        <v>623244251.47686207</v>
      </c>
      <c r="S23" s="20">
        <f t="shared" ca="1" si="5"/>
        <v>153629.6376554966</v>
      </c>
      <c r="T23" s="20">
        <f t="shared" ca="1" si="6"/>
        <v>864537.45000026072</v>
      </c>
      <c r="U23" s="20">
        <f>0</f>
        <v>0</v>
      </c>
      <c r="V23" s="20">
        <f t="shared" ca="1" si="7"/>
        <v>864537.45000026072</v>
      </c>
      <c r="W23" s="20">
        <f t="shared" ref="W23:W30" si="16">AN23*1000000/8</f>
        <v>864537.45</v>
      </c>
      <c r="X23" s="20">
        <f t="shared" ca="1" si="8"/>
        <v>-2.6077032089233398E-7</v>
      </c>
      <c r="Y23" s="20" t="str">
        <f t="shared" ca="1" si="9"/>
        <v>PEP</v>
      </c>
      <c r="AA23" s="3">
        <f t="shared" si="12"/>
        <v>6.9162995999999994</v>
      </c>
      <c r="AB23" s="525">
        <f t="shared" ca="1" si="10"/>
        <v>6.9162996000020858</v>
      </c>
      <c r="AC23" s="525" t="str">
        <f t="shared" ca="1" si="11"/>
        <v/>
      </c>
      <c r="AH23" s="513" t="s">
        <v>39</v>
      </c>
      <c r="AI23" s="513" t="s">
        <v>5800</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25-293/05:32</v>
      </c>
      <c r="M24" s="20" t="str">
        <f t="shared" ca="1" si="4"/>
        <v>25-294/10:19</v>
      </c>
      <c r="N24" s="3" t="s">
        <v>5863</v>
      </c>
      <c r="O24" s="20" t="str">
        <f t="shared" si="14"/>
        <v>212/08:19</v>
      </c>
      <c r="P24" s="3" t="str">
        <f t="shared" si="15"/>
        <v>212_1</v>
      </c>
      <c r="Q24" s="518">
        <f t="shared" ca="1" si="13"/>
        <v>623244250.47686207</v>
      </c>
      <c r="R24" s="20">
        <f ca="1">$Q24+$W24/devrate($E24:$K24,$Q24)</f>
        <v>623347902.81822419</v>
      </c>
      <c r="S24" s="20">
        <f t="shared" ca="1" si="5"/>
        <v>103652.34136211872</v>
      </c>
      <c r="T24" s="20">
        <f t="shared" ca="1" si="6"/>
        <v>116923.80000006361</v>
      </c>
      <c r="U24" s="20">
        <f>0</f>
        <v>0</v>
      </c>
      <c r="V24" s="20">
        <f t="shared" ca="1" si="7"/>
        <v>116923.80000006361</v>
      </c>
      <c r="W24" s="20">
        <f t="shared" si="16"/>
        <v>116923.79999999999</v>
      </c>
      <c r="X24" s="20">
        <f t="shared" ca="1" si="8"/>
        <v>-6.3620973378419876E-8</v>
      </c>
      <c r="Y24" s="20" t="str">
        <f t="shared" ca="1" si="9"/>
        <v>PEP</v>
      </c>
      <c r="AA24" s="3">
        <f t="shared" si="12"/>
        <v>0.93539039999999996</v>
      </c>
      <c r="AB24" s="525">
        <f t="shared" ca="1" si="10"/>
        <v>0.93539040000050888</v>
      </c>
      <c r="AC24" s="525" t="str">
        <f t="shared" ca="1" si="11"/>
        <v/>
      </c>
      <c r="AH24" s="513" t="s">
        <v>779</v>
      </c>
      <c r="AI24" s="513" t="s">
        <v>5801</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25-289/15:53</v>
      </c>
      <c r="N25" s="3" t="s">
        <v>5863</v>
      </c>
      <c r="O25" s="20" t="str">
        <f t="shared" si="14"/>
        <v>212/20:54</v>
      </c>
      <c r="P25" s="3" t="str">
        <f t="shared" si="15"/>
        <v>212_2</v>
      </c>
      <c r="Q25" s="526">
        <v>622935950.93747699</v>
      </c>
      <c r="R25" s="20">
        <f t="shared" ref="R25:R29" si="18">$Q25+$W25/devrate($E25:$K25,$Q25)</f>
        <v>622935950.93747699</v>
      </c>
      <c r="S25" s="20">
        <f t="shared" si="5"/>
        <v>0</v>
      </c>
      <c r="T25" s="20">
        <f t="shared" ca="1" si="6"/>
        <v>0</v>
      </c>
      <c r="U25" s="20">
        <f>0</f>
        <v>0</v>
      </c>
      <c r="V25" s="20">
        <f t="shared" ca="1" si="7"/>
        <v>0</v>
      </c>
      <c r="W25" s="20">
        <f t="shared" si="16"/>
        <v>1150204.6500000001</v>
      </c>
      <c r="X25" s="20">
        <f t="shared" ca="1" si="8"/>
        <v>1150204.6500000001</v>
      </c>
      <c r="Y25" s="20" t="str">
        <f t="shared" ca="1" si="9"/>
        <v>SWA</v>
      </c>
      <c r="AA25" s="3">
        <f t="shared" si="12"/>
        <v>9.2016372000000004</v>
      </c>
      <c r="AB25" s="525" t="str">
        <f t="shared" ca="1" si="10"/>
        <v/>
      </c>
      <c r="AC25" s="525">
        <f t="shared" ca="1" si="11"/>
        <v>0</v>
      </c>
      <c r="AH25" s="513" t="s">
        <v>783</v>
      </c>
      <c r="AI25" s="513" t="s">
        <v>5802</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25-294/10:19</v>
      </c>
      <c r="M26" s="20" t="str">
        <f t="shared" ca="1" si="4"/>
        <v>25-296/16:16</v>
      </c>
      <c r="N26" s="3" t="s">
        <v>5863</v>
      </c>
      <c r="O26" s="20" t="str">
        <f t="shared" si="14"/>
        <v>213/11:49</v>
      </c>
      <c r="P26" s="3" t="str">
        <f t="shared" si="15"/>
        <v>213_1</v>
      </c>
      <c r="Q26" s="518">
        <f ca="1">R24+(-1)</f>
        <v>623347901.81822419</v>
      </c>
      <c r="R26" s="20">
        <f t="shared" ca="1" si="18"/>
        <v>623542081.27160072</v>
      </c>
      <c r="S26" s="20">
        <f t="shared" ca="1" si="5"/>
        <v>194179.4533765316</v>
      </c>
      <c r="T26" s="20">
        <f t="shared" ca="1" si="6"/>
        <v>1121578.5000002075</v>
      </c>
      <c r="U26" s="20">
        <f>0</f>
        <v>0</v>
      </c>
      <c r="V26" s="20">
        <f t="shared" ca="1" si="7"/>
        <v>1121578.5000002075</v>
      </c>
      <c r="W26" s="20">
        <f t="shared" si="16"/>
        <v>1121578.5</v>
      </c>
      <c r="X26" s="20">
        <f t="shared" ca="1" si="8"/>
        <v>-2.0745210349559784E-7</v>
      </c>
      <c r="Y26" s="20" t="str">
        <f t="shared" ca="1" si="9"/>
        <v>PEP</v>
      </c>
      <c r="AA26" s="3">
        <f t="shared" si="12"/>
        <v>8.9726280000000003</v>
      </c>
      <c r="AB26" s="525">
        <f t="shared" ca="1" si="10"/>
        <v>8.9726280000016594</v>
      </c>
      <c r="AC26" s="525" t="str">
        <f t="shared" ca="1" si="11"/>
        <v/>
      </c>
      <c r="AH26" s="513" t="s">
        <v>40</v>
      </c>
      <c r="AI26" s="513" t="s">
        <v>5803</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25-296/16:16</v>
      </c>
      <c r="M27" s="20" t="str">
        <f t="shared" ca="1" si="4"/>
        <v>25-298/19:45</v>
      </c>
      <c r="N27" s="3" t="s">
        <v>5863</v>
      </c>
      <c r="O27" s="20" t="str">
        <f t="shared" si="14"/>
        <v>215/17:43</v>
      </c>
      <c r="P27" s="3" t="str">
        <f t="shared" si="15"/>
        <v>215_1</v>
      </c>
      <c r="Q27" s="518">
        <f t="shared" ref="Q27:Q28" ca="1" si="20">R26+(-1)</f>
        <v>623542080.27160072</v>
      </c>
      <c r="R27" s="20">
        <f t="shared" ca="1" si="18"/>
        <v>623727438.60190666</v>
      </c>
      <c r="S27" s="20">
        <f t="shared" ca="1" si="5"/>
        <v>185358.33030593395</v>
      </c>
      <c r="T27" s="20">
        <f t="shared" ca="1" si="6"/>
        <v>1171036.6499999838</v>
      </c>
      <c r="U27" s="20">
        <f>0</f>
        <v>0</v>
      </c>
      <c r="V27" s="20">
        <f t="shared" ca="1" si="7"/>
        <v>1171036.6499999838</v>
      </c>
      <c r="W27" s="20">
        <f t="shared" si="16"/>
        <v>1171036.6499999999</v>
      </c>
      <c r="X27" s="20">
        <f t="shared" ca="1" si="8"/>
        <v>1.6065314412117004E-8</v>
      </c>
      <c r="Y27" s="20" t="str">
        <f t="shared" ca="1" si="9"/>
        <v>PEP</v>
      </c>
      <c r="AA27" s="3">
        <f t="shared" si="12"/>
        <v>9.3682932000000001</v>
      </c>
      <c r="AB27" s="525">
        <f t="shared" ca="1" si="10"/>
        <v>9.3682931999998704</v>
      </c>
      <c r="AC27" s="525" t="str">
        <f t="shared" ca="1" si="11"/>
        <v/>
      </c>
      <c r="AH27" s="513" t="s">
        <v>795</v>
      </c>
      <c r="AI27" s="513" t="s">
        <v>5804</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25-298/19:45</v>
      </c>
      <c r="M28" s="20" t="str">
        <f t="shared" ca="1" si="4"/>
        <v>25-304/04:31</v>
      </c>
      <c r="N28" s="3" t="s">
        <v>5863</v>
      </c>
      <c r="O28" s="20" t="str">
        <f t="shared" si="14"/>
        <v>216/11:48</v>
      </c>
      <c r="P28" s="3" t="str">
        <f t="shared" si="15"/>
        <v>216_1</v>
      </c>
      <c r="Q28" s="518">
        <f t="shared" ca="1" si="20"/>
        <v>623727437.60190666</v>
      </c>
      <c r="R28" s="20">
        <f t="shared" ca="1" si="18"/>
        <v>624190983.56598282</v>
      </c>
      <c r="S28" s="20">
        <f t="shared" ca="1" si="5"/>
        <v>463545.96407616138</v>
      </c>
      <c r="T28" s="20">
        <f t="shared" ca="1" si="6"/>
        <v>2863877.0999999847</v>
      </c>
      <c r="U28" s="20">
        <f>0</f>
        <v>0</v>
      </c>
      <c r="V28" s="20">
        <f t="shared" ca="1" si="7"/>
        <v>2863877.0999999847</v>
      </c>
      <c r="W28" s="20">
        <f t="shared" si="16"/>
        <v>2863877.0999999996</v>
      </c>
      <c r="X28" s="20">
        <f t="shared" ca="1" si="8"/>
        <v>1.4901161193847656E-8</v>
      </c>
      <c r="Y28" s="20" t="str">
        <f t="shared" ca="1" si="9"/>
        <v>PEP</v>
      </c>
      <c r="AA28" s="3">
        <f t="shared" si="12"/>
        <v>22.911016799999999</v>
      </c>
      <c r="AB28" s="525">
        <f t="shared" ca="1" si="10"/>
        <v>22.911016799999878</v>
      </c>
      <c r="AC28" s="525" t="str">
        <f t="shared" ca="1" si="11"/>
        <v/>
      </c>
      <c r="AH28" s="513" t="s">
        <v>797</v>
      </c>
      <c r="AI28" s="513" t="s">
        <v>5805</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25-289/15:53</v>
      </c>
      <c r="M29" s="20" t="str">
        <f t="shared" ca="1" si="4"/>
        <v>25-289/15:53</v>
      </c>
      <c r="N29" s="3" t="s">
        <v>5863</v>
      </c>
      <c r="O29" s="20" t="str">
        <f t="shared" si="14"/>
        <v>217/20:13</v>
      </c>
      <c r="P29" s="3" t="str">
        <f t="shared" si="15"/>
        <v>217_2</v>
      </c>
      <c r="Q29" s="526">
        <f>R25+(-3)</f>
        <v>622935947.93747699</v>
      </c>
      <c r="R29" s="20">
        <f t="shared" si="18"/>
        <v>622935947.93747699</v>
      </c>
      <c r="S29" s="20">
        <f t="shared" si="5"/>
        <v>0</v>
      </c>
      <c r="T29" s="20">
        <f t="shared" ca="1" si="6"/>
        <v>0</v>
      </c>
      <c r="U29" s="20">
        <f>0</f>
        <v>0</v>
      </c>
      <c r="V29" s="20">
        <f t="shared" ca="1" si="7"/>
        <v>0</v>
      </c>
      <c r="W29" s="20">
        <f t="shared" si="16"/>
        <v>884026.49999999988</v>
      </c>
      <c r="X29" s="20">
        <f t="shared" ca="1" si="8"/>
        <v>884026.49999999988</v>
      </c>
      <c r="Y29" s="20" t="str">
        <f t="shared" ca="1" si="9"/>
        <v>SWA</v>
      </c>
      <c r="AA29" s="3">
        <f t="shared" si="12"/>
        <v>7.0722119999999995</v>
      </c>
      <c r="AB29" s="525" t="str">
        <f t="shared" ca="1" si="10"/>
        <v/>
      </c>
      <c r="AC29" s="525">
        <f t="shared" ca="1" si="11"/>
        <v>0</v>
      </c>
      <c r="AH29" s="513" t="s">
        <v>804</v>
      </c>
      <c r="AI29" s="513" t="s">
        <v>5806</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25-289/15:53</v>
      </c>
      <c r="M30" s="20" t="str">
        <f t="shared" ca="1" si="4"/>
        <v>25-289/15:53</v>
      </c>
      <c r="N30" s="3" t="s">
        <v>5870</v>
      </c>
      <c r="O30" s="20" t="str">
        <f t="shared" si="14"/>
        <v>218/19:43</v>
      </c>
      <c r="P30" s="3" t="str">
        <f t="shared" si="15"/>
        <v>218_1</v>
      </c>
      <c r="Q30" s="526">
        <f>R29+(-3)</f>
        <v>622935944.93747699</v>
      </c>
      <c r="R30" s="20">
        <f>$Q30+$W30/devrate($E30:$K30,$Q30)/2</f>
        <v>622935944.93747699</v>
      </c>
      <c r="S30" s="20">
        <f t="shared" si="5"/>
        <v>0</v>
      </c>
      <c r="T30" s="20">
        <f t="shared" ca="1" si="6"/>
        <v>0</v>
      </c>
      <c r="U30" s="20">
        <f>0</f>
        <v>0</v>
      </c>
      <c r="V30" s="20">
        <f t="shared" ca="1" si="7"/>
        <v>0</v>
      </c>
      <c r="W30" s="20">
        <f t="shared" si="16"/>
        <v>56746.2</v>
      </c>
      <c r="X30" s="20">
        <f t="shared" ca="1" si="8"/>
        <v>56746.2</v>
      </c>
      <c r="Y30" s="20" t="str">
        <f t="shared" ca="1" si="9"/>
        <v>SWA</v>
      </c>
      <c r="Z30" s="20" t="s">
        <v>5845</v>
      </c>
      <c r="AA30" s="3">
        <f t="shared" si="12"/>
        <v>0.45396959999999997</v>
      </c>
      <c r="AB30" s="525" t="str">
        <f t="shared" ca="1" si="10"/>
        <v/>
      </c>
      <c r="AC30" s="525">
        <f t="shared" ca="1" si="11"/>
        <v>0</v>
      </c>
      <c r="AH30" s="513" t="s">
        <v>809</v>
      </c>
      <c r="AI30" s="513" t="s">
        <v>5807</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25-304/04:31</v>
      </c>
      <c r="M31" s="20" t="str">
        <f t="shared" ca="1" si="4"/>
        <v>25-304/06:48</v>
      </c>
      <c r="N31" s="3" t="s">
        <v>5869</v>
      </c>
      <c r="O31" s="20" t="s">
        <v>5846</v>
      </c>
      <c r="Q31" s="518">
        <f ca="1">R28+(-1)</f>
        <v>624190982.56598282</v>
      </c>
      <c r="R31" s="20">
        <f ca="1">Q31+W31/devrate(E31:K31,Q31)</f>
        <v>624199201.8550452</v>
      </c>
      <c r="S31" s="20">
        <f ca="1">R31-Q31</f>
        <v>8219.2890623807907</v>
      </c>
      <c r="T31" s="20">
        <f ca="1">S31*IF(OR(EXACT($Y31,"PEP"),EXACT($Y31,"SWA")),devrate(E31:K31,$Q31),0)</f>
        <v>56746.200000262055</v>
      </c>
      <c r="U31" s="20">
        <f>0</f>
        <v>0</v>
      </c>
      <c r="V31" s="20">
        <f ca="1">T31+IF($Y31="PEP",$U31*$U$2,0)</f>
        <v>56746.200000262055</v>
      </c>
      <c r="W31" s="20">
        <f ca="1">X30</f>
        <v>56746.2</v>
      </c>
      <c r="X31" s="20">
        <f ca="1">W31-V31</f>
        <v>-2.6205816539004445E-7</v>
      </c>
      <c r="Y31" s="20" t="str">
        <f ca="1">IF($L31&lt;&gt;"",IF($M31&lt;&gt;"",IF(_xlfn.XOR(_xlfn.TEXTJOIN("",TRUE,$E31:$I31)&lt;&gt;"",_xlfn.TEXTJOIN("",TRUE,$J31:$K31)&lt;&gt;""),IF(_xlfn.TEXTJOIN("",TRUE,$J31:$K31)="","PEP","SWA"),""),""),"")</f>
        <v>PEP</v>
      </c>
      <c r="AA31" s="3" t="str">
        <f t="shared" si="12"/>
        <v/>
      </c>
      <c r="AB31" s="525">
        <f ca="1">IF(AND(ISNUMBER(V31),EXACT(Y31,"PEP")),V31*8/1000000,"")</f>
        <v>0.45396960000209646</v>
      </c>
      <c r="AC31" s="525" t="str">
        <f ca="1">IF(AND(ISNUMBER(V31),EXACT(Y31,"SWA")),V31*8/1000000,"")</f>
        <v/>
      </c>
      <c r="AN31" s="3"/>
    </row>
    <row r="32" spans="5:40">
      <c r="AH32" s="513" t="s">
        <v>5796</v>
      </c>
    </row>
    <row r="33" spans="1:40">
      <c r="AH33" s="513" t="s">
        <v>5808</v>
      </c>
    </row>
    <row r="34" spans="1:40">
      <c r="AH34" s="513" t="s">
        <v>5809</v>
      </c>
    </row>
    <row r="35" spans="1:40">
      <c r="AH35" s="513" t="s">
        <v>5797</v>
      </c>
    </row>
    <row r="39" spans="1:40" s="454" customFormat="1">
      <c r="A39" s="523"/>
      <c r="B39" s="20"/>
      <c r="C39" s="20"/>
      <c r="D39" s="20"/>
      <c r="E39" s="20"/>
      <c r="F39" s="20"/>
      <c r="G39" s="20"/>
      <c r="H39" s="20"/>
      <c r="I39" s="20"/>
      <c r="J39" s="3"/>
      <c r="K39" s="18"/>
      <c r="L39" s="20"/>
      <c r="M39" s="20"/>
      <c r="N39" s="3"/>
      <c r="O39" s="20"/>
      <c r="P39" s="3"/>
      <c r="Q39" s="516"/>
      <c r="R39" s="516"/>
      <c r="S39" s="516"/>
      <c r="T39" s="516"/>
      <c r="U39" s="516"/>
      <c r="V39" s="516"/>
      <c r="W39" s="516"/>
      <c r="X39" s="516"/>
      <c r="Y39" s="20"/>
      <c r="Z39" s="20"/>
      <c r="AA39" s="3"/>
      <c r="AB39" s="532"/>
      <c r="AC39" s="532"/>
      <c r="AD39" s="20"/>
      <c r="AE39" s="20"/>
      <c r="AF39" s="20"/>
      <c r="AG39" s="20"/>
      <c r="AH39" s="513"/>
      <c r="AI39" s="513"/>
      <c r="AJ39" s="6"/>
      <c r="AK39" s="6"/>
      <c r="AL39" s="6"/>
      <c r="AM39" s="6"/>
      <c r="AN39" s="6"/>
    </row>
    <row r="40" spans="1:40" s="454" customFormat="1">
      <c r="A40" s="523"/>
      <c r="B40" s="523"/>
      <c r="C40" s="523"/>
      <c r="D40" s="523"/>
      <c r="E40" s="523"/>
      <c r="F40" s="523"/>
      <c r="G40" s="523"/>
      <c r="H40" s="523"/>
      <c r="I40" s="523"/>
      <c r="J40" s="514"/>
      <c r="K40" s="528"/>
      <c r="L40" s="523"/>
      <c r="M40" s="523"/>
      <c r="N40" s="514"/>
      <c r="O40" s="523"/>
      <c r="P40" s="514"/>
      <c r="Q40" s="517"/>
      <c r="R40" s="523"/>
      <c r="S40" s="523"/>
      <c r="T40" s="523"/>
      <c r="U40" s="523"/>
      <c r="V40" s="523"/>
      <c r="W40" s="523"/>
      <c r="X40" s="523"/>
      <c r="Y40" s="523"/>
      <c r="Z40" s="523"/>
      <c r="AA40" s="530"/>
      <c r="AB40" s="531"/>
      <c r="AC40" s="531"/>
      <c r="AD40" s="523"/>
      <c r="AE40" s="523"/>
      <c r="AF40" s="523"/>
      <c r="AG40" s="523"/>
      <c r="AH40" s="521"/>
      <c r="AI40" s="521"/>
      <c r="AJ40" s="522"/>
      <c r="AK40" s="522"/>
      <c r="AL40" s="522"/>
      <c r="AM40" s="522"/>
      <c r="AN40" s="514"/>
    </row>
    <row r="41" spans="1:40" s="454" customFormat="1">
      <c r="A41" s="523"/>
      <c r="B41" s="20"/>
      <c r="C41" s="20"/>
      <c r="D41" s="20"/>
      <c r="E41" s="20"/>
      <c r="F41" s="20"/>
      <c r="G41" s="20"/>
      <c r="H41" s="20"/>
      <c r="I41" s="20"/>
      <c r="J41" s="3"/>
      <c r="K41" s="18"/>
      <c r="L41" s="20"/>
      <c r="M41" s="20"/>
      <c r="N41" s="3"/>
      <c r="O41" s="20"/>
      <c r="P41" s="3"/>
      <c r="Q41" s="516"/>
      <c r="R41" s="20"/>
      <c r="S41" s="20"/>
      <c r="T41" s="20"/>
      <c r="U41" s="20"/>
      <c r="V41" s="20"/>
      <c r="W41" s="20"/>
      <c r="X41" s="20"/>
      <c r="Y41" s="20"/>
      <c r="Z41" s="20"/>
      <c r="AA41" s="3"/>
      <c r="AB41" s="532"/>
      <c r="AC41" s="532"/>
      <c r="AD41" s="20"/>
      <c r="AE41" s="20"/>
      <c r="AF41" s="20"/>
      <c r="AG41" s="20"/>
      <c r="AH41" s="513"/>
      <c r="AI41" s="513"/>
      <c r="AJ41" s="6"/>
      <c r="AK41" s="6"/>
      <c r="AL41" s="6"/>
      <c r="AM41" s="6"/>
      <c r="AN41" s="3"/>
    </row>
    <row r="42" spans="1:40">
      <c r="Q42" s="518"/>
      <c r="R42" s="20"/>
      <c r="S42" s="20"/>
      <c r="T42" s="20"/>
      <c r="U42" s="20"/>
      <c r="V42" s="20"/>
      <c r="W42" s="20"/>
      <c r="X42" s="20"/>
      <c r="AN42" s="3"/>
    </row>
    <row r="43" spans="1:40">
      <c r="Q43" s="526"/>
      <c r="R43" s="20"/>
      <c r="S43" s="20"/>
      <c r="T43" s="20"/>
      <c r="U43" s="20"/>
      <c r="V43" s="20"/>
      <c r="W43" s="20"/>
      <c r="X43" s="20"/>
      <c r="AN43" s="3"/>
    </row>
    <row r="44" spans="1:40">
      <c r="Q44" s="526"/>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15" priority="6" stopIfTrue="1">
      <formula>IF($A1&lt;&gt;"=$E:$J",NOT(OR(EXACT(E1,""),EXACT(E1,E$1),EXACT(E1,LEFT(E$1,4)))))</formula>
    </cfRule>
  </conditionalFormatting>
  <conditionalFormatting sqref="P1:X1048576">
    <cfRule type="expression" dxfId="14" priority="9" stopIfTrue="1">
      <formula>IF($A1&lt;&gt;"=$P:$X",EXACT(P$1,P1))</formula>
    </cfRule>
  </conditionalFormatting>
  <conditionalFormatting sqref="X1:X1048576">
    <cfRule type="expression" dxfId="13" priority="11">
      <formula>IF($A1&lt;&gt;"=$X:$X",IF(ISNUMBER(X1),IF(X1&gt;0.1,TRUE)))</formula>
    </cfRule>
  </conditionalFormatting>
  <conditionalFormatting sqref="O1:P1048576 E1:K1048576">
    <cfRule type="expression" dxfId="12" priority="5" stopIfTrue="1">
      <formula>IF($A1&lt;&gt;"=$O:$P,E:$K",AND(_xlfn.XOR(_xlfn.TEXTJOIN("",TRUE,$E1:$I1)&lt;&gt;"",_xlfn.TEXTJOIN("",TRUE,$J1:$K1)&lt;&gt;""),$O1="",$P1=""))</formula>
    </cfRule>
  </conditionalFormatting>
  <conditionalFormatting sqref="X1:X1048576 Q1:T1048576">
    <cfRule type="expression" dxfId="11" priority="19">
      <formula>IF($A1&lt;&gt;"=$X:$X,$Q:$T",OR(EXACT($Y1,"SWA"),EXACT($Y1,"PEP")))</formula>
    </cfRule>
  </conditionalFormatting>
  <conditionalFormatting sqref="P1:P1048576">
    <cfRule type="expression" dxfId="10" priority="1" stopIfTrue="1">
      <formula>IF($A1&lt;&gt;"=$P:$P",AND(ISNUMBER(P1),P1&gt;20000,P1&lt;100000))</formula>
    </cfRule>
    <cfRule type="expression" dxfId="9" priority="32">
      <formula>IF($A1&lt;&gt;"=$P:$P",OR(EXACT($Y1,"SWA"),EXACT($Y1,"PEP")))</formula>
    </cfRule>
  </conditionalFormatting>
  <conditionalFormatting sqref="O1:O1048576 Y1:Y1048576">
    <cfRule type="expression" dxfId="8" priority="10">
      <formula>IF($A1&lt;&gt;"=$O:$O,$Y:$Y",OR(EXACT($Y1,"PEP"),EXACT($Y1,"SWA")))</formula>
    </cfRule>
  </conditionalFormatting>
  <conditionalFormatting sqref="Q1:Q1048576">
    <cfRule type="expression" dxfId="7" priority="12">
      <formula>IF($A1&lt;&gt;"=$Q:$Q",AND(OR(EXACT($Y1,"SWA"),EXACT($Y1,"PEP")),EXACT(LEFT($Z1,1),"S")))</formula>
    </cfRule>
  </conditionalFormatting>
  <conditionalFormatting sqref="R1:R1048576">
    <cfRule type="expression" dxfId="6" priority="18">
      <formula>IF($A1&lt;&gt;"=$R:$R",AND(OR(EXACT($Y1,"SWA"),EXACT($Y1,"PEP")),EXACT(RIGHT($Z1,1),"E")))</formula>
    </cfRule>
  </conditionalFormatting>
  <conditionalFormatting sqref="L1:M1048576">
    <cfRule type="expression" dxfId="5" priority="7" stopIfTrue="1">
      <formula>IF($A1&lt;&gt;"=$L:$M",EXACT($Y1,"PEP"))</formula>
    </cfRule>
    <cfRule type="expression" dxfId="4" priority="8" stopIfTrue="1">
      <formula>IF($A1&lt;&gt;"=$L:$M",EXACT($Y1,"SWA"))</formula>
    </cfRule>
  </conditionalFormatting>
  <conditionalFormatting sqref="C1:K1048576">
    <cfRule type="expression" dxfId="3" priority="3" stopIfTrue="1">
      <formula>IF($A1&lt;&gt;"=$C:$K",_xlfn.TEXTJOIN("",FALSE,$E1:$J1)="HSK3DT1DT2DT3DT4SDT1HSK4")</formula>
    </cfRule>
    <cfRule type="expression" dxfId="2" priority="4" stopIfTrue="1">
      <formula>IF($A1&lt;&gt;"=$C:$K",AND(_xlfn.TEXTJOIN("",FALSE,$E1:$I1) &lt;&gt;"",_xlfn.TEXTJOIN("",FALSE,$J1:$K1) &lt;&gt; ""))</formula>
    </cfRule>
  </conditionalFormatting>
  <conditionalFormatting sqref="AA1:AA1048576">
    <cfRule type="expression" dxfId="1" priority="131">
      <formula>IF($A1&lt;&gt;"=$AA:$AA",ISNUMBER($AA1))</formula>
    </cfRule>
  </conditionalFormatting>
  <conditionalFormatting sqref="W1:W1048576">
    <cfRule type="expression" dxfId="0"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4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4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4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4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3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3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3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3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3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3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3" ht="15.75" customHeight="1">
      <c r="B145" s="6" t="s">
        <v>1267</v>
      </c>
      <c r="C145" t="s">
        <v>5861</v>
      </c>
    </row>
    <row r="146" spans="1:3">
      <c r="B146" s="6"/>
    </row>
    <row r="147" spans="1:3">
      <c r="B147" t="s">
        <v>5878</v>
      </c>
    </row>
    <row r="148" spans="1:3" ht="15.75" customHeight="1">
      <c r="B148" s="6" t="s">
        <v>1267</v>
      </c>
      <c r="C148" t="s">
        <v>5879</v>
      </c>
    </row>
    <row r="149" spans="1:3" ht="15.75" customHeight="1">
      <c r="B149" s="6" t="s">
        <v>1267</v>
      </c>
      <c r="C149" t="s">
        <v>5880</v>
      </c>
    </row>
    <row r="150" spans="1:3" ht="15.75" customHeight="1">
      <c r="B150" s="6" t="s">
        <v>1267</v>
      </c>
      <c r="C150" t="s">
        <v>5881</v>
      </c>
    </row>
    <row r="151" spans="1:3" ht="15.75" customHeight="1">
      <c r="B151" s="6" t="s">
        <v>1267</v>
      </c>
      <c r="C151" t="s">
        <v>5882</v>
      </c>
    </row>
    <row r="152" spans="1:3" ht="15.75" customHeight="1">
      <c r="B152" s="6" t="s">
        <v>1267</v>
      </c>
      <c r="C152" t="s">
        <v>5883</v>
      </c>
    </row>
    <row r="153" spans="1:3" ht="15.75" customHeight="1">
      <c r="B153" s="6" t="s">
        <v>1267</v>
      </c>
      <c r="C153" t="s">
        <v>5884</v>
      </c>
    </row>
    <row r="154" spans="1:3">
      <c r="B154" s="6"/>
    </row>
    <row r="155" spans="1:3">
      <c r="B155" t="s">
        <v>5886</v>
      </c>
    </row>
    <row r="156" spans="1:3" ht="15.75" customHeight="1">
      <c r="B156" s="6" t="s">
        <v>1267</v>
      </c>
      <c r="C156" t="s">
        <v>5887</v>
      </c>
    </row>
    <row r="157" spans="1:3" ht="15.75" customHeight="1">
      <c r="B157" s="6" t="s">
        <v>1267</v>
      </c>
      <c r="C157" t="s">
        <v>5885</v>
      </c>
    </row>
    <row r="158" spans="1:3" ht="15.75" customHeight="1">
      <c r="B158" s="6"/>
    </row>
    <row r="160" spans="1:3" s="202" customFormat="1">
      <c r="A160" s="201" t="s">
        <v>1278</v>
      </c>
    </row>
    <row r="161" spans="1:5">
      <c r="A161" s="198"/>
    </row>
    <row r="162" spans="1:5">
      <c r="B162" s="254" t="s">
        <v>5379</v>
      </c>
      <c r="C162" s="254"/>
      <c r="D162" s="254"/>
      <c r="E162" s="254"/>
    </row>
    <row r="163" spans="1:5">
      <c r="B163" s="6" t="s">
        <v>1267</v>
      </c>
      <c r="C163" t="s">
        <v>5382</v>
      </c>
    </row>
    <row r="164" spans="1:5">
      <c r="B164" s="6" t="s">
        <v>1267</v>
      </c>
      <c r="C164" s="253" t="s">
        <v>1279</v>
      </c>
    </row>
    <row r="165" spans="1:5">
      <c r="B165" s="6" t="s">
        <v>1267</v>
      </c>
      <c r="C165" s="253" t="s">
        <v>1287</v>
      </c>
    </row>
    <row r="166" spans="1:5">
      <c r="B166" s="6" t="s">
        <v>1267</v>
      </c>
      <c r="C166" s="253" t="s">
        <v>1288</v>
      </c>
    </row>
    <row r="167" spans="1:5">
      <c r="B167" s="6"/>
    </row>
    <row r="168" spans="1:5">
      <c r="B168" t="s">
        <v>5384</v>
      </c>
    </row>
    <row r="169" spans="1:5">
      <c r="B169" s="6" t="s">
        <v>1267</v>
      </c>
      <c r="C169" t="s">
        <v>5389</v>
      </c>
    </row>
    <row r="170" spans="1:5">
      <c r="B170" s="6" t="s">
        <v>1267</v>
      </c>
      <c r="C170" t="s">
        <v>5383</v>
      </c>
    </row>
    <row r="171" spans="1:5">
      <c r="B171" s="6" t="s">
        <v>1267</v>
      </c>
      <c r="C171" t="s">
        <v>5378</v>
      </c>
    </row>
    <row r="172" spans="1:5">
      <c r="B172" s="6" t="s">
        <v>1267</v>
      </c>
      <c r="C172" s="18" t="s">
        <v>1280</v>
      </c>
    </row>
    <row r="173" spans="1:5">
      <c r="B173" s="6"/>
      <c r="C173" s="6" t="s">
        <v>1267</v>
      </c>
      <c r="D173" t="s">
        <v>1285</v>
      </c>
    </row>
    <row r="174" spans="1:5">
      <c r="D174" s="6" t="s">
        <v>1267</v>
      </c>
      <c r="E174" t="s">
        <v>1282</v>
      </c>
    </row>
    <row r="175" spans="1:5">
      <c r="D175" s="6" t="s">
        <v>1267</v>
      </c>
      <c r="E175" t="s">
        <v>5380</v>
      </c>
    </row>
    <row r="176" spans="1:5">
      <c r="D176" s="6" t="s">
        <v>1267</v>
      </c>
      <c r="E176" t="s">
        <v>5390</v>
      </c>
    </row>
    <row r="177" spans="1:5">
      <c r="D177" s="6" t="s">
        <v>1267</v>
      </c>
      <c r="E177" t="s">
        <v>1283</v>
      </c>
    </row>
    <row r="178" spans="1:5">
      <c r="D178" s="6" t="s">
        <v>1267</v>
      </c>
      <c r="E178" t="s">
        <v>1284</v>
      </c>
    </row>
    <row r="179" spans="1:5">
      <c r="C179" s="6" t="s">
        <v>1267</v>
      </c>
      <c r="D179" t="s">
        <v>1281</v>
      </c>
    </row>
    <row r="181" spans="1:5">
      <c r="B181" t="s">
        <v>5381</v>
      </c>
    </row>
    <row r="182" spans="1:5">
      <c r="B182" s="6" t="s">
        <v>1267</v>
      </c>
      <c r="C182" t="s">
        <v>1286</v>
      </c>
    </row>
    <row r="184" spans="1:5">
      <c r="B184" t="s">
        <v>5385</v>
      </c>
    </row>
    <row r="185" spans="1:5">
      <c r="B185" s="6" t="s">
        <v>1267</v>
      </c>
      <c r="C185" t="s">
        <v>5386</v>
      </c>
    </row>
    <row r="186" spans="1:5">
      <c r="B186" s="6" t="s">
        <v>5387</v>
      </c>
      <c r="C186" t="s">
        <v>5388</v>
      </c>
    </row>
    <row r="188" spans="1:5" s="202" customFormat="1">
      <c r="A188" s="201" t="s">
        <v>1277</v>
      </c>
    </row>
    <row r="189" spans="1:5">
      <c r="A189" s="198"/>
    </row>
    <row r="190" spans="1:5">
      <c r="B190" t="s">
        <v>1290</v>
      </c>
    </row>
    <row r="191" spans="1:5">
      <c r="B191" t="s">
        <v>1289</v>
      </c>
    </row>
    <row r="194" spans="1:24" s="202" customFormat="1">
      <c r="A194" s="202" t="s">
        <v>5727</v>
      </c>
    </row>
    <row r="195" spans="1:24" ht="15.75" thickBot="1"/>
    <row r="196" spans="1:24">
      <c r="H196" s="306" t="s">
        <v>5715</v>
      </c>
      <c r="I196" s="436"/>
      <c r="J196" s="433"/>
      <c r="K196" s="433"/>
      <c r="L196" s="433"/>
      <c r="M196" s="433"/>
      <c r="N196" s="433"/>
      <c r="O196" s="433"/>
      <c r="P196" s="433"/>
      <c r="Q196" s="433"/>
      <c r="R196" s="434"/>
    </row>
    <row r="197" spans="1:24">
      <c r="H197" s="307"/>
      <c r="R197" s="169"/>
    </row>
    <row r="198" spans="1:24">
      <c r="H198" s="307"/>
      <c r="M198" s="3" t="s">
        <v>5718</v>
      </c>
      <c r="R198" s="169"/>
    </row>
    <row r="199" spans="1:24" ht="15.75" thickBot="1">
      <c r="H199" s="307"/>
      <c r="R199" s="169"/>
    </row>
    <row r="200" spans="1:24" ht="15" customHeight="1">
      <c r="H200" s="307"/>
      <c r="I200" s="306"/>
      <c r="J200" s="432"/>
      <c r="K200" s="442" t="s">
        <v>5430</v>
      </c>
      <c r="L200" s="443" t="s">
        <v>5430</v>
      </c>
      <c r="M200" s="443" t="s">
        <v>5430</v>
      </c>
      <c r="N200" s="444" t="s">
        <v>5714</v>
      </c>
      <c r="O200" s="446" t="s">
        <v>5714</v>
      </c>
      <c r="P200" s="445" t="s">
        <v>5714</v>
      </c>
      <c r="Q200" s="455" t="s">
        <v>5714</v>
      </c>
      <c r="R200" s="463"/>
      <c r="S200" s="534" t="s">
        <v>5719</v>
      </c>
      <c r="T200" s="534"/>
      <c r="U200" s="534"/>
      <c r="V200" s="534"/>
      <c r="W200" s="534"/>
      <c r="X200" s="535"/>
    </row>
    <row r="201" spans="1:24">
      <c r="H201" s="307"/>
      <c r="I201" s="438" t="s">
        <v>5282</v>
      </c>
      <c r="J201" s="439" t="s">
        <v>5308</v>
      </c>
      <c r="K201" s="317" t="s">
        <v>5431</v>
      </c>
      <c r="L201" s="318" t="s">
        <v>5431</v>
      </c>
      <c r="M201" s="318" t="s">
        <v>5431</v>
      </c>
      <c r="N201" s="317" t="s">
        <v>5431</v>
      </c>
      <c r="O201" s="447" t="s">
        <v>5431</v>
      </c>
      <c r="P201" s="318" t="s">
        <v>5431</v>
      </c>
      <c r="Q201" s="320" t="s">
        <v>5431</v>
      </c>
      <c r="R201" s="169"/>
      <c r="S201" s="536"/>
      <c r="T201" s="536"/>
      <c r="U201" s="536"/>
      <c r="V201" s="536"/>
      <c r="W201" s="536"/>
      <c r="X201" s="537"/>
    </row>
    <row r="202" spans="1:24">
      <c r="H202" s="307"/>
      <c r="I202" s="438" t="s">
        <v>5282</v>
      </c>
      <c r="J202" s="439" t="s">
        <v>5308</v>
      </c>
      <c r="K202" s="319" t="s">
        <v>5431</v>
      </c>
      <c r="L202" s="431" t="s">
        <v>5431</v>
      </c>
      <c r="M202" s="431" t="s">
        <v>5431</v>
      </c>
      <c r="N202" s="319" t="s">
        <v>5431</v>
      </c>
      <c r="O202" s="448" t="s">
        <v>5431</v>
      </c>
      <c r="P202" s="431" t="s">
        <v>5431</v>
      </c>
      <c r="Q202" s="321" t="s">
        <v>5431</v>
      </c>
      <c r="R202" s="169"/>
    </row>
    <row r="203" spans="1:24">
      <c r="H203" s="307"/>
      <c r="I203" s="450" t="s">
        <v>5282</v>
      </c>
      <c r="J203" s="451" t="s">
        <v>5308</v>
      </c>
      <c r="K203" s="451" t="s">
        <v>5431</v>
      </c>
      <c r="L203" s="452" t="s">
        <v>5431</v>
      </c>
      <c r="M203" s="452" t="s">
        <v>5431</v>
      </c>
      <c r="N203" s="451" t="s">
        <v>5431</v>
      </c>
      <c r="O203" s="453" t="s">
        <v>5431</v>
      </c>
      <c r="P203" s="452" t="s">
        <v>5431</v>
      </c>
      <c r="Q203" s="452" t="s">
        <v>5431</v>
      </c>
      <c r="R203" s="169"/>
    </row>
    <row r="204" spans="1:24">
      <c r="H204" s="307"/>
      <c r="I204" s="438" t="s">
        <v>5282</v>
      </c>
      <c r="J204" s="439" t="s">
        <v>5308</v>
      </c>
      <c r="K204" s="319" t="s">
        <v>5431</v>
      </c>
      <c r="L204" s="431" t="s">
        <v>5431</v>
      </c>
      <c r="M204" s="431" t="s">
        <v>5431</v>
      </c>
      <c r="N204" s="319" t="s">
        <v>5431</v>
      </c>
      <c r="O204" s="448" t="s">
        <v>5431</v>
      </c>
      <c r="P204" s="431" t="s">
        <v>5431</v>
      </c>
      <c r="Q204" s="321" t="s">
        <v>5431</v>
      </c>
      <c r="R204" s="169"/>
    </row>
    <row r="205" spans="1:24" ht="15.75" thickBot="1">
      <c r="H205" s="307"/>
      <c r="I205" s="440" t="s">
        <v>5282</v>
      </c>
      <c r="J205" s="441" t="s">
        <v>5308</v>
      </c>
      <c r="K205" s="322" t="s">
        <v>5431</v>
      </c>
      <c r="L205" s="323" t="s">
        <v>5431</v>
      </c>
      <c r="M205" s="323" t="s">
        <v>5431</v>
      </c>
      <c r="N205" s="322" t="s">
        <v>5431</v>
      </c>
      <c r="O205" s="449" t="s">
        <v>5431</v>
      </c>
      <c r="P205" s="323" t="s">
        <v>5431</v>
      </c>
      <c r="Q205" s="324" t="s">
        <v>5431</v>
      </c>
      <c r="R205" s="169"/>
    </row>
    <row r="206" spans="1:24" ht="15.75" thickBot="1">
      <c r="H206" s="310"/>
      <c r="I206" s="461"/>
      <c r="J206" s="462"/>
      <c r="K206" s="311"/>
      <c r="L206" s="311"/>
      <c r="M206" s="311"/>
      <c r="N206" s="437"/>
      <c r="O206" s="311"/>
      <c r="P206" s="311"/>
      <c r="Q206" s="311"/>
      <c r="R206" s="435"/>
    </row>
    <row r="207" spans="1:24" ht="18.75" customHeight="1">
      <c r="B207" s="456"/>
      <c r="C207" s="457"/>
      <c r="D207" s="457"/>
      <c r="E207" s="457"/>
      <c r="F207" s="457"/>
      <c r="G207" s="457"/>
      <c r="H207" s="458"/>
      <c r="I207" s="459" t="s">
        <v>5717</v>
      </c>
      <c r="J207" s="460" t="s">
        <v>5716</v>
      </c>
    </row>
    <row r="209" spans="1:23" ht="15" customHeight="1">
      <c r="B209" s="6" t="s">
        <v>1267</v>
      </c>
      <c r="C209" s="18" t="s">
        <v>5721</v>
      </c>
      <c r="R209" s="538" t="s">
        <v>5720</v>
      </c>
      <c r="S209" s="539"/>
      <c r="T209" s="539"/>
      <c r="U209" s="539"/>
      <c r="V209" s="540"/>
      <c r="W209" s="454"/>
    </row>
    <row r="210" spans="1:23">
      <c r="B210" s="6" t="s">
        <v>1267</v>
      </c>
      <c r="C210" s="18" t="s">
        <v>5722</v>
      </c>
      <c r="R210" s="541"/>
      <c r="S210" s="542"/>
      <c r="T210" s="542"/>
      <c r="U210" s="542"/>
      <c r="V210" s="543"/>
      <c r="W210" s="454"/>
    </row>
    <row r="211" spans="1:23">
      <c r="B211" s="6" t="s">
        <v>1267</v>
      </c>
      <c r="C211" s="18" t="s">
        <v>5723</v>
      </c>
      <c r="R211" s="544"/>
      <c r="S211" s="545"/>
      <c r="T211" s="545"/>
      <c r="U211" s="545"/>
      <c r="V211" s="546"/>
      <c r="W211" s="454"/>
    </row>
    <row r="212" spans="1:23">
      <c r="C212" s="6" t="s">
        <v>5387</v>
      </c>
      <c r="D212" t="s">
        <v>5726</v>
      </c>
    </row>
    <row r="213" spans="1:23">
      <c r="C213" s="6" t="s">
        <v>5387</v>
      </c>
      <c r="D213" t="s">
        <v>5724</v>
      </c>
    </row>
    <row r="214" spans="1:23">
      <c r="B214" s="6" t="s">
        <v>1267</v>
      </c>
      <c r="C214" s="18" t="s">
        <v>5728</v>
      </c>
    </row>
    <row r="215" spans="1:23">
      <c r="C215" s="6" t="s">
        <v>5387</v>
      </c>
      <c r="D215" t="s">
        <v>5725</v>
      </c>
    </row>
    <row r="216" spans="1:23">
      <c r="C216" s="6" t="s">
        <v>5387</v>
      </c>
      <c r="D216" t="s">
        <v>5730</v>
      </c>
      <c r="U216" s="464"/>
    </row>
    <row r="217" spans="1:23">
      <c r="B217" s="6" t="s">
        <v>1267</v>
      </c>
      <c r="C217" s="18" t="s">
        <v>5729</v>
      </c>
    </row>
    <row r="220" spans="1:23" s="202" customFormat="1">
      <c r="A220" s="468" t="s">
        <v>5753</v>
      </c>
      <c r="B220" s="468"/>
      <c r="C220" s="468"/>
      <c r="D220" s="468"/>
      <c r="E220" s="468"/>
      <c r="F220" s="468"/>
      <c r="G220" s="468"/>
      <c r="H220" s="468"/>
      <c r="I220" s="468"/>
      <c r="J220" s="468"/>
      <c r="K220" s="468"/>
      <c r="L220" s="468"/>
      <c r="M220" s="468"/>
      <c r="N220" s="468"/>
      <c r="O220" s="468"/>
      <c r="P220" s="468"/>
      <c r="Q220" s="468"/>
      <c r="R220" s="468"/>
    </row>
    <row r="221" spans="1:23">
      <c r="A221" s="469"/>
      <c r="B221" s="469"/>
      <c r="C221" s="469"/>
      <c r="D221" s="469"/>
      <c r="E221" s="469"/>
      <c r="F221" s="469"/>
      <c r="G221" s="469"/>
      <c r="H221" s="469"/>
      <c r="I221" s="469"/>
      <c r="J221" s="469"/>
      <c r="K221" s="469"/>
      <c r="L221" s="469"/>
      <c r="M221" s="469"/>
      <c r="N221" s="469"/>
      <c r="O221" s="469"/>
      <c r="P221" s="469"/>
      <c r="Q221" s="469"/>
      <c r="R221" s="469"/>
    </row>
    <row r="222" spans="1:23">
      <c r="A222" s="469"/>
      <c r="B222" s="470" t="s">
        <v>1267</v>
      </c>
      <c r="C222" s="469" t="s">
        <v>5766</v>
      </c>
      <c r="D222" s="469"/>
      <c r="E222" s="469"/>
      <c r="F222" s="469"/>
      <c r="G222" s="469"/>
      <c r="H222" s="469"/>
      <c r="I222" s="469"/>
      <c r="J222" s="469"/>
      <c r="K222" s="469"/>
      <c r="L222" s="469"/>
      <c r="M222" s="469"/>
      <c r="N222" s="469"/>
      <c r="O222" s="469"/>
      <c r="P222" s="469"/>
      <c r="Q222" s="469"/>
      <c r="R222" s="469"/>
    </row>
    <row r="223" spans="1:23">
      <c r="A223" s="469"/>
      <c r="B223" s="470" t="s">
        <v>1267</v>
      </c>
      <c r="C223" s="469" t="s">
        <v>5757</v>
      </c>
      <c r="D223" s="469"/>
      <c r="E223" s="469"/>
      <c r="F223" s="469"/>
      <c r="G223" s="469"/>
      <c r="H223" s="469"/>
      <c r="I223" s="469"/>
      <c r="J223" s="469"/>
      <c r="K223" s="469"/>
      <c r="L223" s="469"/>
      <c r="M223" s="469"/>
      <c r="N223" s="469"/>
      <c r="O223" s="469"/>
      <c r="P223" s="469"/>
      <c r="Q223" s="469"/>
      <c r="R223" s="469"/>
    </row>
    <row r="224" spans="1:23">
      <c r="A224" s="469"/>
      <c r="B224" s="469"/>
      <c r="C224" s="470"/>
      <c r="D224" s="469"/>
      <c r="E224" s="469"/>
      <c r="F224" s="469"/>
      <c r="G224" s="469"/>
      <c r="H224" s="469"/>
      <c r="I224" s="469"/>
      <c r="J224" s="469"/>
      <c r="K224" s="469"/>
      <c r="L224" s="469"/>
      <c r="M224" s="469"/>
      <c r="N224" s="469"/>
      <c r="O224" s="469"/>
      <c r="P224" s="469"/>
      <c r="Q224" s="469"/>
      <c r="R224" s="469"/>
    </row>
    <row r="225" spans="1:18" ht="17.25">
      <c r="A225" s="469"/>
      <c r="B225" s="470" t="s">
        <v>1267</v>
      </c>
      <c r="C225" s="469" t="s">
        <v>5747</v>
      </c>
      <c r="D225" s="469"/>
      <c r="E225" s="469"/>
      <c r="F225" s="547" t="s">
        <v>5751</v>
      </c>
      <c r="G225" s="547"/>
      <c r="H225" s="471" t="s">
        <v>5739</v>
      </c>
      <c r="I225" s="548" t="s">
        <v>5759</v>
      </c>
      <c r="J225" s="548"/>
      <c r="K225" s="469"/>
      <c r="L225" s="469"/>
      <c r="M225" s="495" t="s">
        <v>5764</v>
      </c>
      <c r="N225" s="469"/>
      <c r="O225" s="469"/>
      <c r="P225" s="469"/>
      <c r="Q225" s="469"/>
      <c r="R225" s="469"/>
    </row>
    <row r="226" spans="1:18" ht="17.25">
      <c r="A226" s="469"/>
      <c r="B226" s="469"/>
      <c r="C226" s="469"/>
      <c r="D226" s="469"/>
      <c r="E226" s="469"/>
      <c r="F226" s="469"/>
      <c r="G226" s="469"/>
      <c r="H226" s="469"/>
      <c r="I226" s="469"/>
      <c r="J226" s="469"/>
      <c r="K226" s="469"/>
      <c r="L226" s="469"/>
      <c r="M226" s="507" t="s">
        <v>5758</v>
      </c>
      <c r="N226" s="469"/>
      <c r="O226" s="469"/>
      <c r="P226" s="469"/>
      <c r="Q226" s="469"/>
      <c r="R226" s="469"/>
    </row>
    <row r="227" spans="1:18" ht="18" thickBot="1">
      <c r="A227" s="469"/>
      <c r="B227" s="470" t="s">
        <v>1267</v>
      </c>
      <c r="C227" s="469" t="s">
        <v>5747</v>
      </c>
      <c r="D227" s="469"/>
      <c r="E227" s="469"/>
      <c r="F227" s="549" t="s">
        <v>5741</v>
      </c>
      <c r="G227" s="549"/>
      <c r="H227" s="471" t="s">
        <v>5739</v>
      </c>
      <c r="I227" s="549" t="s">
        <v>5760</v>
      </c>
      <c r="J227" s="549"/>
      <c r="K227" s="469"/>
      <c r="M227" s="495" t="s">
        <v>5761</v>
      </c>
      <c r="N227" s="469"/>
      <c r="O227" s="469"/>
      <c r="P227" s="469"/>
      <c r="Q227" s="469"/>
      <c r="R227" s="469"/>
    </row>
    <row r="228" spans="1:18" ht="17.25">
      <c r="A228" s="469"/>
      <c r="B228" s="469"/>
      <c r="C228" s="469"/>
      <c r="D228" s="469"/>
      <c r="E228" s="469"/>
      <c r="F228" s="533" t="s">
        <v>5740</v>
      </c>
      <c r="G228" s="533"/>
      <c r="H228" s="469"/>
      <c r="I228" s="533" t="s">
        <v>5762</v>
      </c>
      <c r="J228" s="533"/>
      <c r="K228" s="469"/>
      <c r="M228" s="495" t="s">
        <v>5754</v>
      </c>
      <c r="N228" s="469"/>
      <c r="O228" s="469"/>
      <c r="P228" s="469"/>
      <c r="Q228" s="469"/>
      <c r="R228" s="469"/>
    </row>
    <row r="229" spans="1:18">
      <c r="A229" s="469"/>
      <c r="B229" s="469"/>
      <c r="C229" s="469"/>
      <c r="D229" s="469"/>
      <c r="E229" s="469"/>
      <c r="F229" s="471"/>
      <c r="G229" s="471"/>
      <c r="H229" s="469"/>
      <c r="I229" s="471"/>
      <c r="J229" s="471"/>
      <c r="K229" s="469"/>
      <c r="L229" s="472"/>
      <c r="M229" s="469"/>
      <c r="N229" s="469"/>
      <c r="O229" s="469"/>
      <c r="P229" s="469"/>
      <c r="Q229" s="469"/>
      <c r="R229" s="469"/>
    </row>
    <row r="230" spans="1:18">
      <c r="A230" s="469"/>
      <c r="B230" s="469"/>
      <c r="C230" s="469"/>
      <c r="D230" s="469"/>
      <c r="E230" s="469"/>
      <c r="F230" s="471"/>
      <c r="G230" s="471"/>
      <c r="H230" s="469"/>
      <c r="I230" s="471"/>
      <c r="J230" s="471"/>
      <c r="K230" s="469"/>
      <c r="M230" s="469"/>
      <c r="N230" s="469"/>
      <c r="O230" s="469"/>
      <c r="P230" s="469"/>
      <c r="Q230" s="469"/>
      <c r="R230" s="469"/>
    </row>
    <row r="231" spans="1:18">
      <c r="A231" s="469"/>
      <c r="B231" s="469"/>
      <c r="C231" s="469"/>
      <c r="D231" s="469"/>
      <c r="E231" s="469"/>
      <c r="F231" s="471"/>
      <c r="G231" s="471"/>
      <c r="H231" s="469"/>
      <c r="I231" s="471"/>
      <c r="J231" s="471"/>
      <c r="K231" s="469"/>
      <c r="L231" s="469"/>
      <c r="M231" s="469"/>
      <c r="N231" s="469"/>
      <c r="O231" s="469"/>
      <c r="P231" s="469"/>
      <c r="Q231" s="469"/>
      <c r="R231" s="469"/>
    </row>
    <row r="232" spans="1:18">
      <c r="A232" s="469"/>
      <c r="B232" s="469"/>
      <c r="C232" s="469"/>
      <c r="D232" s="469"/>
      <c r="E232" s="469"/>
      <c r="F232" s="471"/>
      <c r="G232" s="471"/>
      <c r="H232" s="469"/>
      <c r="I232" s="471" t="s">
        <v>5756</v>
      </c>
      <c r="J232" s="471"/>
      <c r="K232" s="469"/>
      <c r="L232" s="469"/>
      <c r="M232" s="469"/>
      <c r="N232" s="469"/>
      <c r="O232" s="469"/>
      <c r="P232" s="469"/>
      <c r="Q232" s="469"/>
      <c r="R232" s="469"/>
    </row>
    <row r="233" spans="1:18">
      <c r="A233" s="469"/>
      <c r="B233" s="469"/>
      <c r="C233" s="469"/>
      <c r="D233" s="469"/>
      <c r="E233" s="469"/>
      <c r="F233" s="471"/>
      <c r="G233" s="471"/>
      <c r="H233" s="469"/>
      <c r="I233" s="471" t="s">
        <v>5765</v>
      </c>
      <c r="J233" s="471"/>
      <c r="K233" s="469"/>
      <c r="L233" s="469"/>
      <c r="M233" s="469"/>
      <c r="N233" s="469"/>
      <c r="O233" s="469"/>
      <c r="P233" s="469"/>
      <c r="Q233" s="469"/>
      <c r="R233" s="469"/>
    </row>
    <row r="234" spans="1:18">
      <c r="A234" s="469"/>
      <c r="B234" s="469"/>
      <c r="C234" s="469"/>
      <c r="D234" s="469"/>
      <c r="E234" s="469"/>
      <c r="F234" s="471"/>
      <c r="G234" s="471"/>
      <c r="H234" s="469"/>
      <c r="I234" s="506" t="s">
        <v>5755</v>
      </c>
      <c r="J234" s="471"/>
      <c r="K234" s="469"/>
      <c r="L234" s="469"/>
      <c r="M234" s="469"/>
      <c r="N234" s="469"/>
      <c r="O234" s="469"/>
      <c r="P234" s="469"/>
      <c r="Q234" s="469"/>
      <c r="R234" s="469"/>
    </row>
    <row r="235" spans="1:18" ht="15.75" thickBot="1">
      <c r="A235" s="469"/>
      <c r="B235" s="469"/>
      <c r="C235" s="469"/>
      <c r="D235" s="469"/>
      <c r="E235" s="469"/>
      <c r="F235" s="469"/>
      <c r="G235" s="469"/>
      <c r="H235" s="469"/>
      <c r="J235" s="469"/>
      <c r="K235" s="469"/>
      <c r="L235" s="469"/>
      <c r="M235" s="469"/>
      <c r="N235" s="469"/>
      <c r="O235" s="469"/>
      <c r="P235" s="469"/>
      <c r="Q235" s="469"/>
      <c r="R235" s="469"/>
    </row>
    <row r="236" spans="1:18" ht="15.75" thickBot="1">
      <c r="A236" s="469"/>
      <c r="B236" s="469"/>
      <c r="C236" s="469"/>
      <c r="D236" s="469"/>
      <c r="E236" s="469"/>
      <c r="F236" s="473"/>
      <c r="G236" s="473"/>
      <c r="H236" s="474"/>
      <c r="I236" s="475" t="s">
        <v>5745</v>
      </c>
      <c r="J236" s="474"/>
      <c r="K236" s="474"/>
      <c r="L236" s="476"/>
      <c r="N236" s="469"/>
      <c r="O236" s="469"/>
      <c r="P236" s="469"/>
      <c r="Q236" s="469"/>
      <c r="R236" s="469"/>
    </row>
    <row r="237" spans="1:18">
      <c r="A237" s="469"/>
      <c r="B237" s="469"/>
      <c r="C237" s="469"/>
      <c r="D237" s="469"/>
      <c r="E237" s="469"/>
      <c r="F237" s="477"/>
      <c r="G237" s="478" t="s">
        <v>53</v>
      </c>
      <c r="H237" s="479" t="s">
        <v>54</v>
      </c>
      <c r="I237" s="479" t="s">
        <v>5742</v>
      </c>
      <c r="J237" s="479" t="s">
        <v>49</v>
      </c>
      <c r="K237" s="479" t="s">
        <v>50</v>
      </c>
      <c r="L237" s="480" t="s">
        <v>51</v>
      </c>
      <c r="M237" s="469"/>
      <c r="N237" s="469"/>
      <c r="O237" s="469"/>
      <c r="P237" s="469"/>
      <c r="Q237" s="469"/>
      <c r="R237" s="469"/>
    </row>
    <row r="238" spans="1:18" ht="15.75" thickBot="1">
      <c r="A238" s="469"/>
      <c r="B238" s="469"/>
      <c r="C238" s="469"/>
      <c r="D238" s="469"/>
      <c r="E238" s="470"/>
      <c r="F238" s="481"/>
      <c r="G238" s="482" t="s">
        <v>61</v>
      </c>
      <c r="H238" s="483" t="s">
        <v>5737</v>
      </c>
      <c r="I238" s="483" t="s">
        <v>5399</v>
      </c>
      <c r="J238" s="483" t="s">
        <v>1</v>
      </c>
      <c r="K238" s="483" t="s">
        <v>58</v>
      </c>
      <c r="L238" s="484" t="s">
        <v>5284</v>
      </c>
      <c r="M238" s="469"/>
      <c r="N238" s="469"/>
      <c r="O238" s="469"/>
      <c r="P238" s="469"/>
      <c r="Q238" s="469"/>
      <c r="R238" s="469"/>
    </row>
    <row r="239" spans="1:18" ht="30">
      <c r="A239" s="469"/>
      <c r="B239" s="469"/>
      <c r="C239" s="469"/>
      <c r="D239" s="469"/>
      <c r="E239" s="469"/>
      <c r="F239" s="485" t="s">
        <v>5752</v>
      </c>
      <c r="G239" s="486" t="s">
        <v>5744</v>
      </c>
      <c r="H239" s="487" t="s">
        <v>5738</v>
      </c>
      <c r="I239" s="487" t="s">
        <v>5763</v>
      </c>
      <c r="J239" s="487" t="s">
        <v>5744</v>
      </c>
      <c r="K239" s="487" t="s">
        <v>5744</v>
      </c>
      <c r="L239" s="488" t="s">
        <v>5744</v>
      </c>
      <c r="M239" s="511" t="s">
        <v>5767</v>
      </c>
      <c r="N239" s="469"/>
      <c r="O239" s="469"/>
      <c r="P239" s="469"/>
      <c r="Q239" s="469"/>
      <c r="R239" s="469"/>
    </row>
    <row r="240" spans="1:18" ht="17.25">
      <c r="A240" s="469"/>
      <c r="B240" s="469"/>
      <c r="C240" s="469"/>
      <c r="D240" s="469"/>
      <c r="E240" s="469"/>
      <c r="F240" s="489">
        <v>102</v>
      </c>
      <c r="G240" s="490" t="s">
        <v>5743</v>
      </c>
      <c r="H240" s="491" t="s">
        <v>5743</v>
      </c>
      <c r="I240" s="512" t="s">
        <v>5768</v>
      </c>
      <c r="J240" s="491" t="s">
        <v>5743</v>
      </c>
      <c r="K240" s="491" t="s">
        <v>5743</v>
      </c>
      <c r="L240" s="492" t="s">
        <v>5743</v>
      </c>
      <c r="M240" s="495" t="s">
        <v>5769</v>
      </c>
      <c r="N240" s="469"/>
      <c r="O240" s="469"/>
      <c r="P240" s="469"/>
      <c r="Q240" s="469"/>
      <c r="R240" s="469"/>
    </row>
    <row r="241" spans="1:18" ht="17.25">
      <c r="A241" s="469"/>
      <c r="B241" s="469"/>
      <c r="C241" s="469"/>
      <c r="D241" s="469"/>
      <c r="E241" s="469" t="s">
        <v>5746</v>
      </c>
      <c r="F241" s="493" t="s">
        <v>5736</v>
      </c>
      <c r="G241" s="508" t="s">
        <v>5738</v>
      </c>
      <c r="H241" s="510" t="s">
        <v>5770</v>
      </c>
      <c r="I241" s="510" t="s">
        <v>5770</v>
      </c>
      <c r="J241" s="491" t="s">
        <v>5743</v>
      </c>
      <c r="K241" s="491" t="s">
        <v>5743</v>
      </c>
      <c r="L241" s="494" t="s">
        <v>5743</v>
      </c>
      <c r="M241" s="495" t="s">
        <v>5772</v>
      </c>
      <c r="N241" s="496"/>
      <c r="O241" s="469"/>
      <c r="P241" s="469"/>
      <c r="Q241" s="469"/>
      <c r="R241" s="469"/>
    </row>
    <row r="242" spans="1:18" ht="17.25">
      <c r="A242" s="469"/>
      <c r="B242" s="469"/>
      <c r="C242" s="469"/>
      <c r="D242" s="469"/>
      <c r="E242" s="469"/>
      <c r="F242" s="493" t="s">
        <v>5735</v>
      </c>
      <c r="G242" s="509" t="s">
        <v>5744</v>
      </c>
      <c r="H242" s="491" t="s">
        <v>5771</v>
      </c>
      <c r="I242" s="491" t="s">
        <v>5771</v>
      </c>
      <c r="J242" s="491" t="s">
        <v>5743</v>
      </c>
      <c r="K242" s="491" t="s">
        <v>5743</v>
      </c>
      <c r="L242" s="494" t="s">
        <v>5743</v>
      </c>
      <c r="M242" s="497" t="s">
        <v>5773</v>
      </c>
      <c r="N242" s="469"/>
      <c r="O242" s="469"/>
      <c r="P242" s="469"/>
      <c r="Q242" s="469"/>
      <c r="R242" s="469"/>
    </row>
    <row r="243" spans="1:18">
      <c r="A243" s="469"/>
      <c r="B243" s="469"/>
      <c r="C243" s="469"/>
      <c r="D243" s="469"/>
      <c r="E243" s="469"/>
      <c r="F243" s="489">
        <v>111</v>
      </c>
      <c r="G243" s="490" t="s">
        <v>5738</v>
      </c>
      <c r="H243" s="491" t="s">
        <v>5738</v>
      </c>
      <c r="I243" s="491" t="s">
        <v>5738</v>
      </c>
      <c r="J243" s="491" t="s">
        <v>5743</v>
      </c>
      <c r="K243" s="491" t="s">
        <v>5743</v>
      </c>
      <c r="L243" s="494" t="s">
        <v>5743</v>
      </c>
      <c r="M243" s="495" t="s">
        <v>5774</v>
      </c>
      <c r="N243" s="469"/>
      <c r="O243" s="469"/>
      <c r="P243" s="469"/>
      <c r="Q243" s="469"/>
      <c r="R243" s="469"/>
    </row>
    <row r="244" spans="1:18" ht="15.75" thickBot="1">
      <c r="A244" s="469"/>
      <c r="B244" s="469"/>
      <c r="C244" s="469"/>
      <c r="D244" s="469"/>
      <c r="E244" s="469"/>
      <c r="F244" s="498" t="s">
        <v>5738</v>
      </c>
      <c r="G244" s="499" t="s">
        <v>5738</v>
      </c>
      <c r="H244" s="500" t="s">
        <v>5738</v>
      </c>
      <c r="I244" s="500" t="s">
        <v>5738</v>
      </c>
      <c r="J244" s="500" t="s">
        <v>5738</v>
      </c>
      <c r="K244" s="500" t="s">
        <v>5738</v>
      </c>
      <c r="L244" s="501" t="s">
        <v>5738</v>
      </c>
      <c r="M244" s="469"/>
      <c r="N244" s="469"/>
      <c r="O244" s="469"/>
      <c r="P244" s="469"/>
      <c r="Q244" s="469"/>
      <c r="R244" s="469"/>
    </row>
    <row r="245" spans="1:18">
      <c r="A245" s="469"/>
      <c r="B245" s="469"/>
      <c r="C245" s="469"/>
      <c r="D245" s="469"/>
      <c r="E245" s="469"/>
      <c r="F245" s="469"/>
      <c r="G245" s="469"/>
      <c r="H245" s="469"/>
      <c r="I245" s="469"/>
      <c r="J245" s="469"/>
      <c r="K245" s="469"/>
      <c r="L245" s="469"/>
      <c r="M245" s="469"/>
      <c r="N245" s="469"/>
      <c r="O245" s="469"/>
      <c r="P245" s="469"/>
      <c r="Q245" s="469"/>
      <c r="R245" s="469"/>
    </row>
    <row r="246" spans="1:18">
      <c r="A246" s="469"/>
      <c r="B246" s="469"/>
      <c r="C246" s="469"/>
      <c r="D246" s="469"/>
      <c r="E246" s="502"/>
      <c r="F246" s="503" t="s">
        <v>5748</v>
      </c>
      <c r="G246" s="504">
        <v>1988</v>
      </c>
      <c r="H246" s="504">
        <v>19908</v>
      </c>
      <c r="I246" s="504">
        <v>1330</v>
      </c>
      <c r="J246" s="505" t="s">
        <v>5750</v>
      </c>
      <c r="K246" s="505" t="s">
        <v>5749</v>
      </c>
      <c r="L246" s="504">
        <v>512</v>
      </c>
      <c r="M246" s="469"/>
      <c r="N246" s="469"/>
      <c r="O246" s="469"/>
      <c r="P246" s="469"/>
      <c r="Q246" s="469"/>
      <c r="R246" s="469"/>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60" zoomScale="110" zoomScaleNormal="110" workbookViewId="0">
      <selection activeCell="K103" sqref="K103:L103"/>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54" t="s">
        <v>891</v>
      </c>
      <c r="C25" s="554"/>
      <c r="D25" s="554"/>
      <c r="E25" s="554"/>
      <c r="F25" s="554"/>
      <c r="G25" s="554"/>
      <c r="H25" s="554"/>
      <c r="I25" s="554"/>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59" t="s">
        <v>901</v>
      </c>
      <c r="K30" s="559"/>
      <c r="L30" s="559"/>
      <c r="M30" s="559"/>
      <c r="N30" s="559"/>
    </row>
    <row r="31" spans="2:22">
      <c r="B31" s="143" t="s">
        <v>875</v>
      </c>
      <c r="C31" s="143" t="s">
        <v>876</v>
      </c>
      <c r="D31" s="143">
        <f>$E$8</f>
        <v>1632</v>
      </c>
      <c r="E31" s="143" t="s">
        <v>900</v>
      </c>
      <c r="F31" s="143">
        <v>0</v>
      </c>
      <c r="G31" s="143">
        <f>D31*F31</f>
        <v>0</v>
      </c>
      <c r="H31" s="143">
        <v>0</v>
      </c>
      <c r="I31" s="143">
        <f>G31*H31/1000000</f>
        <v>0</v>
      </c>
      <c r="J31" s="559"/>
      <c r="K31" s="559"/>
      <c r="L31" s="559"/>
      <c r="M31" s="559"/>
      <c r="N31" s="559"/>
    </row>
    <row r="32" spans="2:22" ht="15.75">
      <c r="B32" s="558"/>
      <c r="C32" s="558"/>
      <c r="D32" s="558"/>
      <c r="E32" s="558"/>
      <c r="F32" s="558"/>
      <c r="G32" s="558"/>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54" t="s">
        <v>903</v>
      </c>
      <c r="C38" s="554"/>
      <c r="D38" s="554"/>
      <c r="E38" s="554"/>
      <c r="F38" s="554"/>
      <c r="G38" s="554"/>
      <c r="H38" s="554"/>
      <c r="I38" s="554"/>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f>(I45-I40)*1000000/(8*86400)</f>
        <v>35.175098684210532</v>
      </c>
      <c r="L40" s="149" t="str">
        <f>"&lt;=no HK, byte/s"</f>
        <v>&lt;=no HK, byte/s</v>
      </c>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60" t="s">
        <v>904</v>
      </c>
      <c r="K43" s="560"/>
      <c r="L43" s="560"/>
      <c r="M43" s="560"/>
      <c r="N43" s="560"/>
      <c r="O43" s="98"/>
    </row>
    <row r="44" spans="2:16">
      <c r="B44" s="143" t="s">
        <v>875</v>
      </c>
      <c r="C44" s="143" t="s">
        <v>876</v>
      </c>
      <c r="D44" s="143">
        <f>$E$8</f>
        <v>1632</v>
      </c>
      <c r="E44" s="143" t="s">
        <v>865</v>
      </c>
      <c r="F44" s="143">
        <f>$M$4*$F$8</f>
        <v>7.2916666666666659E-4</v>
      </c>
      <c r="G44" s="143">
        <f>D44*F44</f>
        <v>1.19</v>
      </c>
      <c r="H44" s="143">
        <v>86400</v>
      </c>
      <c r="I44" s="143">
        <f>G44*H44/1000000</f>
        <v>0.102816</v>
      </c>
      <c r="J44" s="560"/>
      <c r="K44" s="560"/>
      <c r="L44" s="560"/>
      <c r="M44" s="560"/>
      <c r="N44" s="560"/>
      <c r="O44" s="98"/>
    </row>
    <row r="45" spans="2:16">
      <c r="B45" s="558"/>
      <c r="C45" s="558"/>
      <c r="D45" s="558"/>
      <c r="E45" s="558"/>
      <c r="F45" s="558"/>
      <c r="G45" s="558"/>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4" t="s">
        <v>905</v>
      </c>
      <c r="C47" s="554"/>
      <c r="D47" s="554"/>
      <c r="E47" s="554"/>
      <c r="F47" s="554"/>
      <c r="G47" s="554"/>
      <c r="H47" s="554"/>
      <c r="I47" s="554"/>
      <c r="J47" s="151"/>
    </row>
    <row r="48" spans="2:16">
      <c r="B48" s="145"/>
      <c r="C48" s="146" t="s">
        <v>850</v>
      </c>
      <c r="D48" s="146" t="s">
        <v>892</v>
      </c>
      <c r="E48" s="146" t="s">
        <v>893</v>
      </c>
      <c r="F48" s="146" t="s">
        <v>894</v>
      </c>
      <c r="G48" s="146" t="s">
        <v>895</v>
      </c>
      <c r="H48" s="146" t="s">
        <v>896</v>
      </c>
      <c r="I48" s="146" t="s">
        <v>897</v>
      </c>
      <c r="J48" s="29"/>
    </row>
    <row r="49" spans="2:12" ht="15.75">
      <c r="B49" s="143" t="s">
        <v>898</v>
      </c>
      <c r="C49" s="143" t="s">
        <v>860</v>
      </c>
      <c r="D49" s="143">
        <f>$E$3</f>
        <v>600</v>
      </c>
      <c r="E49" s="143" t="s">
        <v>878</v>
      </c>
      <c r="F49" s="143">
        <f>$I$9*$F$3</f>
        <v>2.7777777777777778E-4</v>
      </c>
      <c r="G49" s="143">
        <f>D49*F49</f>
        <v>0.16666666666666666</v>
      </c>
      <c r="H49" s="143">
        <v>86400</v>
      </c>
      <c r="I49" s="143">
        <f>G49*H49/1000000</f>
        <v>1.44E-2</v>
      </c>
      <c r="K49" s="149">
        <f>(I54-I49)*1000000/(8*86400)</f>
        <v>17.675098684210528</v>
      </c>
      <c r="L49" s="149" t="str">
        <f>"&lt;=no HK, byte/s"</f>
        <v>&lt;=no HK, byte/s</v>
      </c>
    </row>
    <row r="50" spans="2:12">
      <c r="B50" s="143" t="s">
        <v>899</v>
      </c>
      <c r="C50" s="143" t="s">
        <v>867</v>
      </c>
      <c r="D50" s="143">
        <f>$E$5</f>
        <v>280</v>
      </c>
      <c r="E50" s="147" t="s">
        <v>883</v>
      </c>
      <c r="F50" s="143">
        <f>$M$14*$F$5</f>
        <v>0.5</v>
      </c>
      <c r="G50" s="143">
        <f>D50*F50</f>
        <v>140</v>
      </c>
      <c r="H50" s="143">
        <v>86400</v>
      </c>
      <c r="I50" s="143">
        <f>G50*H50/1000000</f>
        <v>12.096</v>
      </c>
    </row>
    <row r="51" spans="2:12">
      <c r="B51" s="143" t="s">
        <v>869</v>
      </c>
      <c r="C51" s="143" t="s">
        <v>870</v>
      </c>
      <c r="D51" s="143">
        <f>$E$6</f>
        <v>696</v>
      </c>
      <c r="E51" s="143" t="s">
        <v>878</v>
      </c>
      <c r="F51" s="143">
        <f>$M$9*$F$6</f>
        <v>2.7412280701754384E-4</v>
      </c>
      <c r="G51" s="143">
        <f>D51*F51</f>
        <v>0.19078947368421051</v>
      </c>
      <c r="H51" s="143">
        <v>86400</v>
      </c>
      <c r="I51" s="143">
        <f>G51*H51/1000000</f>
        <v>1.6484210526315785E-2</v>
      </c>
    </row>
    <row r="52" spans="2:12">
      <c r="B52" s="143" t="s">
        <v>872</v>
      </c>
      <c r="C52" s="143" t="s">
        <v>873</v>
      </c>
      <c r="D52" s="143">
        <f>$E$7</f>
        <v>1728</v>
      </c>
      <c r="E52" s="143" t="s">
        <v>865</v>
      </c>
      <c r="F52" s="143">
        <f>$M$4*$F$7</f>
        <v>1.1574074074074073E-5</v>
      </c>
      <c r="G52" s="143">
        <f>D52*F52</f>
        <v>0.02</v>
      </c>
      <c r="H52" s="143">
        <v>86400</v>
      </c>
      <c r="I52" s="143">
        <f>G52*H52/1000000</f>
        <v>1.7279999999999999E-3</v>
      </c>
    </row>
    <row r="53" spans="2:12">
      <c r="B53" s="143" t="s">
        <v>875</v>
      </c>
      <c r="C53" s="143" t="s">
        <v>876</v>
      </c>
      <c r="D53" s="143">
        <f>$E$8</f>
        <v>1632</v>
      </c>
      <c r="E53" s="143" t="s">
        <v>865</v>
      </c>
      <c r="F53" s="143">
        <f>$M$4*$F$8</f>
        <v>7.2916666666666659E-4</v>
      </c>
      <c r="G53" s="143">
        <f>D53*F53</f>
        <v>1.19</v>
      </c>
      <c r="H53" s="143">
        <v>86400</v>
      </c>
      <c r="I53" s="143">
        <f>G53*H53/1000000</f>
        <v>0.102816</v>
      </c>
    </row>
    <row r="54" spans="2:12">
      <c r="B54" s="558"/>
      <c r="C54" s="558"/>
      <c r="D54" s="558"/>
      <c r="E54" s="558"/>
      <c r="F54" s="558"/>
      <c r="G54" s="558"/>
      <c r="H54" s="147" t="s">
        <v>902</v>
      </c>
      <c r="I54" s="147">
        <f>SUM(I49:I53)</f>
        <v>12.231428210526317</v>
      </c>
      <c r="J54" s="17">
        <f>I54*1000000/86400</f>
        <v>141.56745614035088</v>
      </c>
      <c r="K54">
        <f>J54/8</f>
        <v>17.695932017543861</v>
      </c>
    </row>
    <row r="55" spans="2:12">
      <c r="I55" s="17"/>
      <c r="J55" s="3" t="s">
        <v>0</v>
      </c>
      <c r="K55" s="3" t="s">
        <v>1017</v>
      </c>
    </row>
    <row r="56" spans="2:12" ht="18.75">
      <c r="B56" s="554" t="s">
        <v>906</v>
      </c>
      <c r="C56" s="554"/>
      <c r="D56" s="554"/>
      <c r="E56" s="554"/>
      <c r="F56" s="554"/>
      <c r="G56" s="554"/>
      <c r="H56" s="554"/>
      <c r="I56" s="554"/>
      <c r="J56" s="151"/>
    </row>
    <row r="57" spans="2:12">
      <c r="B57" s="145"/>
      <c r="C57" s="146" t="s">
        <v>850</v>
      </c>
      <c r="D57" s="146" t="s">
        <v>892</v>
      </c>
      <c r="E57" s="146" t="s">
        <v>893</v>
      </c>
      <c r="F57" s="146" t="s">
        <v>894</v>
      </c>
      <c r="G57" s="146" t="s">
        <v>895</v>
      </c>
      <c r="H57" s="146" t="s">
        <v>896</v>
      </c>
      <c r="I57" s="146" t="s">
        <v>897</v>
      </c>
      <c r="J57" s="29"/>
    </row>
    <row r="58" spans="2:12" ht="15.75">
      <c r="B58" s="143" t="s">
        <v>898</v>
      </c>
      <c r="C58" s="143" t="s">
        <v>860</v>
      </c>
      <c r="D58" s="143">
        <f>$E$3</f>
        <v>600</v>
      </c>
      <c r="E58" s="143" t="s">
        <v>878</v>
      </c>
      <c r="F58" s="143">
        <f>$I$9*$F$3</f>
        <v>2.7777777777777778E-4</v>
      </c>
      <c r="G58" s="143">
        <f>D58*F58</f>
        <v>0.16666666666666666</v>
      </c>
      <c r="H58" s="143">
        <v>86400</v>
      </c>
      <c r="I58" s="143">
        <f>G58*H58/1000000</f>
        <v>1.44E-2</v>
      </c>
      <c r="K58" s="149">
        <f>(I63-I58)*1000000/(8*86400)</f>
        <v>7.1750986842105258</v>
      </c>
      <c r="L58" s="149" t="str">
        <f>"&lt;=no HK, byte/s"</f>
        <v>&lt;=no HK, byte/s</v>
      </c>
    </row>
    <row r="59" spans="2:12">
      <c r="B59" s="143" t="s">
        <v>899</v>
      </c>
      <c r="C59" s="143" t="s">
        <v>867</v>
      </c>
      <c r="D59" s="143">
        <f>$E$5</f>
        <v>280</v>
      </c>
      <c r="E59" s="147" t="s">
        <v>882</v>
      </c>
      <c r="F59" s="143">
        <f>$M$13*$F$5</f>
        <v>0.2</v>
      </c>
      <c r="G59" s="143">
        <f>D59*F59</f>
        <v>56</v>
      </c>
      <c r="H59" s="143">
        <v>86400</v>
      </c>
      <c r="I59" s="143">
        <f>G59*H59/1000000</f>
        <v>4.8384</v>
      </c>
    </row>
    <row r="60" spans="2:12">
      <c r="B60" s="143" t="s">
        <v>869</v>
      </c>
      <c r="C60" s="143" t="s">
        <v>870</v>
      </c>
      <c r="D60" s="143">
        <f>$E$6</f>
        <v>696</v>
      </c>
      <c r="E60" s="143" t="s">
        <v>878</v>
      </c>
      <c r="F60" s="143">
        <f>$M$9*$F$6</f>
        <v>2.7412280701754384E-4</v>
      </c>
      <c r="G60" s="143">
        <f>D60*F60</f>
        <v>0.19078947368421051</v>
      </c>
      <c r="H60" s="143">
        <v>86400</v>
      </c>
      <c r="I60" s="143">
        <f>G60*H60/1000000</f>
        <v>1.6484210526315785E-2</v>
      </c>
    </row>
    <row r="61" spans="2:12">
      <c r="B61" s="143" t="s">
        <v>872</v>
      </c>
      <c r="C61" s="143" t="s">
        <v>873</v>
      </c>
      <c r="D61" s="143">
        <f>$E$7</f>
        <v>1728</v>
      </c>
      <c r="E61" s="143" t="s">
        <v>865</v>
      </c>
      <c r="F61" s="143">
        <f>$M$4*$F$7</f>
        <v>1.1574074074074073E-5</v>
      </c>
      <c r="G61" s="143">
        <f>D61*F61</f>
        <v>0.02</v>
      </c>
      <c r="H61" s="143">
        <v>86400</v>
      </c>
      <c r="I61" s="143">
        <f>G61*H61/1000000</f>
        <v>1.7279999999999999E-3</v>
      </c>
    </row>
    <row r="62" spans="2:12">
      <c r="B62" s="143" t="s">
        <v>875</v>
      </c>
      <c r="C62" s="143" t="s">
        <v>876</v>
      </c>
      <c r="D62" s="143">
        <f>$E$8</f>
        <v>1632</v>
      </c>
      <c r="E62" s="143" t="s">
        <v>865</v>
      </c>
      <c r="F62" s="143">
        <f>$M$4*$F$8</f>
        <v>7.2916666666666659E-4</v>
      </c>
      <c r="G62" s="143">
        <f>D62*F62</f>
        <v>1.19</v>
      </c>
      <c r="H62" s="143">
        <v>86400</v>
      </c>
      <c r="I62" s="143">
        <f>G62*H62/1000000</f>
        <v>0.102816</v>
      </c>
    </row>
    <row r="63" spans="2:12">
      <c r="B63" s="558"/>
      <c r="C63" s="558"/>
      <c r="D63" s="558"/>
      <c r="E63" s="558"/>
      <c r="F63" s="558"/>
      <c r="G63" s="558"/>
      <c r="H63" s="147" t="s">
        <v>902</v>
      </c>
      <c r="I63" s="147">
        <f>SUM(I58:I62)</f>
        <v>4.9738282105263156</v>
      </c>
      <c r="J63" s="17">
        <f>I63*1000000/86400</f>
        <v>57.56745614035087</v>
      </c>
      <c r="K63">
        <f>J63/8</f>
        <v>7.1959320175438588</v>
      </c>
    </row>
    <row r="64" spans="2:12">
      <c r="I64" s="17"/>
      <c r="J64" s="3" t="s">
        <v>0</v>
      </c>
      <c r="K64" s="3" t="s">
        <v>1017</v>
      </c>
    </row>
    <row r="65" spans="2:12" ht="18.75">
      <c r="B65" s="554" t="s">
        <v>907</v>
      </c>
      <c r="C65" s="554"/>
      <c r="D65" s="554"/>
      <c r="E65" s="554"/>
      <c r="F65" s="554"/>
      <c r="G65" s="554"/>
      <c r="H65" s="554"/>
      <c r="I65" s="554"/>
      <c r="J65" s="151"/>
    </row>
    <row r="66" spans="2:12">
      <c r="B66" s="145"/>
      <c r="C66" s="146" t="s">
        <v>850</v>
      </c>
      <c r="D66" s="146" t="s">
        <v>892</v>
      </c>
      <c r="E66" s="146" t="s">
        <v>893</v>
      </c>
      <c r="F66" s="146" t="s">
        <v>894</v>
      </c>
      <c r="G66" s="146" t="s">
        <v>895</v>
      </c>
      <c r="H66" s="146" t="s">
        <v>896</v>
      </c>
      <c r="I66" s="146" t="s">
        <v>897</v>
      </c>
      <c r="J66" s="29"/>
    </row>
    <row r="67" spans="2:12" ht="15.75">
      <c r="B67" s="143" t="s">
        <v>898</v>
      </c>
      <c r="C67" s="143" t="s">
        <v>860</v>
      </c>
      <c r="D67" s="143">
        <f>$E$3</f>
        <v>600</v>
      </c>
      <c r="E67" s="143" t="s">
        <v>878</v>
      </c>
      <c r="F67" s="143">
        <f>$I$9*$F$3</f>
        <v>2.7777777777777778E-4</v>
      </c>
      <c r="G67" s="143">
        <f>D67*F67</f>
        <v>0.16666666666666666</v>
      </c>
      <c r="H67" s="143">
        <v>86400</v>
      </c>
      <c r="I67" s="143">
        <f>G67*H67/1000000</f>
        <v>1.44E-2</v>
      </c>
      <c r="K67" s="149">
        <f>(I72-I67)*1000000/(8*86400)</f>
        <v>3.6750986842105258</v>
      </c>
      <c r="L67" s="149" t="str">
        <f>"&lt;=no HK, byte/s"</f>
        <v>&lt;=no HK, byte/s</v>
      </c>
    </row>
    <row r="68" spans="2:12">
      <c r="B68" s="143" t="s">
        <v>899</v>
      </c>
      <c r="C68" s="143" t="s">
        <v>867</v>
      </c>
      <c r="D68" s="143">
        <f>$E$5</f>
        <v>280</v>
      </c>
      <c r="E68" s="147" t="s">
        <v>881</v>
      </c>
      <c r="F68" s="143">
        <f>$M$12*$F$5</f>
        <v>0.1</v>
      </c>
      <c r="G68" s="143">
        <f>D68*F68</f>
        <v>28</v>
      </c>
      <c r="H68" s="143">
        <v>86400</v>
      </c>
      <c r="I68" s="143">
        <f>G68*H68/1000000</f>
        <v>2.4192</v>
      </c>
    </row>
    <row r="69" spans="2:12">
      <c r="B69" s="143" t="s">
        <v>869</v>
      </c>
      <c r="C69" s="143" t="s">
        <v>870</v>
      </c>
      <c r="D69" s="143">
        <f>$E$6</f>
        <v>696</v>
      </c>
      <c r="E69" s="143" t="s">
        <v>878</v>
      </c>
      <c r="F69" s="143">
        <f>$M$9*$F$6</f>
        <v>2.7412280701754384E-4</v>
      </c>
      <c r="G69" s="143">
        <f>D69*F69</f>
        <v>0.19078947368421051</v>
      </c>
      <c r="H69" s="143">
        <v>86400</v>
      </c>
      <c r="I69" s="143">
        <f>G69*H69/1000000</f>
        <v>1.6484210526315785E-2</v>
      </c>
    </row>
    <row r="70" spans="2:12">
      <c r="B70" s="143" t="s">
        <v>872</v>
      </c>
      <c r="C70" s="143" t="s">
        <v>873</v>
      </c>
      <c r="D70" s="143">
        <f>$E$7</f>
        <v>1728</v>
      </c>
      <c r="E70" s="143" t="s">
        <v>865</v>
      </c>
      <c r="F70" s="143">
        <f>$M$4*$F$7</f>
        <v>1.1574074074074073E-5</v>
      </c>
      <c r="G70" s="143">
        <f>D70*F70</f>
        <v>0.02</v>
      </c>
      <c r="H70" s="143">
        <v>86400</v>
      </c>
      <c r="I70" s="143">
        <f>G70*H70/1000000</f>
        <v>1.7279999999999999E-3</v>
      </c>
    </row>
    <row r="71" spans="2:12">
      <c r="B71" s="143" t="s">
        <v>875</v>
      </c>
      <c r="C71" s="143" t="s">
        <v>876</v>
      </c>
      <c r="D71" s="143">
        <f>$E$8</f>
        <v>1632</v>
      </c>
      <c r="E71" s="143" t="s">
        <v>865</v>
      </c>
      <c r="F71" s="143">
        <f>$M$4*$F$8</f>
        <v>7.2916666666666659E-4</v>
      </c>
      <c r="G71" s="143">
        <f>D71*F71</f>
        <v>1.19</v>
      </c>
      <c r="H71" s="143">
        <v>86400</v>
      </c>
      <c r="I71" s="143">
        <f>G71*H71/1000000</f>
        <v>0.102816</v>
      </c>
      <c r="K71" t="s">
        <v>1018</v>
      </c>
    </row>
    <row r="72" spans="2:12">
      <c r="B72" s="558"/>
      <c r="C72" s="558"/>
      <c r="D72" s="558"/>
      <c r="E72" s="558"/>
      <c r="F72" s="558"/>
      <c r="G72" s="558"/>
      <c r="H72" s="147" t="s">
        <v>902</v>
      </c>
      <c r="I72" s="147">
        <f>SUM(I67:I71)</f>
        <v>2.5546282105263156</v>
      </c>
      <c r="J72" s="17">
        <f>I72*1000000/86400</f>
        <v>29.567456140350874</v>
      </c>
      <c r="K72" s="176">
        <f>J72/8</f>
        <v>3.6959320175438592</v>
      </c>
    </row>
    <row r="73" spans="2:12">
      <c r="J73" s="3" t="s">
        <v>0</v>
      </c>
      <c r="K73" s="3" t="s">
        <v>1017</v>
      </c>
    </row>
    <row r="74" spans="2:12" ht="18.75">
      <c r="B74" s="554" t="s">
        <v>908</v>
      </c>
      <c r="C74" s="554"/>
      <c r="D74" s="554"/>
      <c r="E74" s="554"/>
      <c r="F74" s="554"/>
      <c r="G74" s="554"/>
      <c r="H74" s="554"/>
      <c r="I74" s="554"/>
      <c r="J74" s="151"/>
    </row>
    <row r="75" spans="2:12">
      <c r="B75" s="145"/>
      <c r="C75" s="146" t="s">
        <v>850</v>
      </c>
      <c r="D75" s="146" t="s">
        <v>892</v>
      </c>
      <c r="E75" s="146" t="s">
        <v>893</v>
      </c>
      <c r="F75" s="146" t="s">
        <v>894</v>
      </c>
      <c r="G75" s="146" t="s">
        <v>895</v>
      </c>
      <c r="H75" s="146" t="s">
        <v>896</v>
      </c>
      <c r="I75" s="146" t="s">
        <v>897</v>
      </c>
      <c r="J75" s="29"/>
    </row>
    <row r="76" spans="2:12" ht="15.75">
      <c r="B76" s="143" t="s">
        <v>898</v>
      </c>
      <c r="C76" s="143" t="s">
        <v>860</v>
      </c>
      <c r="D76" s="143">
        <f>$E$3</f>
        <v>600</v>
      </c>
      <c r="E76" s="143" t="s">
        <v>878</v>
      </c>
      <c r="F76" s="143">
        <f>$I$9*$F$3</f>
        <v>2.7777777777777778E-4</v>
      </c>
      <c r="G76" s="143">
        <f>D76*F76</f>
        <v>0.16666666666666666</v>
      </c>
      <c r="H76" s="143">
        <v>86400</v>
      </c>
      <c r="I76" s="143">
        <f>G76*H76/1000000</f>
        <v>1.44E-2</v>
      </c>
      <c r="K76" s="149">
        <f>(I81-I76)*1000000/(8*86400)</f>
        <v>1.9250986842105267</v>
      </c>
      <c r="L76" s="149" t="str">
        <f>"&lt;=no HK, byte/s"</f>
        <v>&lt;=no HK, byte/s</v>
      </c>
    </row>
    <row r="77" spans="2:12">
      <c r="B77" s="143" t="s">
        <v>899</v>
      </c>
      <c r="C77" s="143" t="s">
        <v>867</v>
      </c>
      <c r="D77" s="143">
        <f>$E$5</f>
        <v>280</v>
      </c>
      <c r="E77" s="147" t="s">
        <v>880</v>
      </c>
      <c r="F77" s="143">
        <f>$M$11*$F$5</f>
        <v>0.05</v>
      </c>
      <c r="G77" s="143">
        <f>D77*F77</f>
        <v>14</v>
      </c>
      <c r="H77" s="143">
        <v>86400</v>
      </c>
      <c r="I77" s="143">
        <f>G77*H77/1000000</f>
        <v>1.2096</v>
      </c>
    </row>
    <row r="78" spans="2:12">
      <c r="B78" s="143" t="s">
        <v>869</v>
      </c>
      <c r="C78" s="143" t="s">
        <v>870</v>
      </c>
      <c r="D78" s="143">
        <f>$E$6</f>
        <v>696</v>
      </c>
      <c r="E78" s="143" t="s">
        <v>878</v>
      </c>
      <c r="F78" s="143">
        <f>$M$9*$F$6</f>
        <v>2.7412280701754384E-4</v>
      </c>
      <c r="G78" s="143">
        <f>D78*F78</f>
        <v>0.19078947368421051</v>
      </c>
      <c r="H78" s="143">
        <v>86400</v>
      </c>
      <c r="I78" s="143">
        <f>G78*H78/1000000</f>
        <v>1.6484210526315785E-2</v>
      </c>
    </row>
    <row r="79" spans="2:12">
      <c r="B79" s="143" t="s">
        <v>872</v>
      </c>
      <c r="C79" s="143" t="s">
        <v>873</v>
      </c>
      <c r="D79" s="143">
        <f>$E$7</f>
        <v>1728</v>
      </c>
      <c r="E79" s="143" t="s">
        <v>865</v>
      </c>
      <c r="F79" s="143">
        <f>$M$4*$F$7</f>
        <v>1.1574074074074073E-5</v>
      </c>
      <c r="G79" s="143">
        <f>D79*F79</f>
        <v>0.02</v>
      </c>
      <c r="H79" s="143">
        <v>86400</v>
      </c>
      <c r="I79" s="143">
        <f>G79*H79/1000000</f>
        <v>1.7279999999999999E-3</v>
      </c>
    </row>
    <row r="80" spans="2:12">
      <c r="B80" s="143" t="s">
        <v>875</v>
      </c>
      <c r="C80" s="143" t="s">
        <v>876</v>
      </c>
      <c r="D80" s="143">
        <f>$E$8</f>
        <v>1632</v>
      </c>
      <c r="E80" s="143" t="s">
        <v>865</v>
      </c>
      <c r="F80" s="143">
        <f>$M$4*$F$8</f>
        <v>7.2916666666666659E-4</v>
      </c>
      <c r="G80" s="143">
        <f>D80*F80</f>
        <v>1.19</v>
      </c>
      <c r="H80" s="143">
        <v>86400</v>
      </c>
      <c r="I80" s="143">
        <f>G80*H80/1000000</f>
        <v>0.102816</v>
      </c>
    </row>
    <row r="81" spans="2:12">
      <c r="B81" s="558"/>
      <c r="C81" s="558"/>
      <c r="D81" s="558"/>
      <c r="E81" s="558"/>
      <c r="F81" s="558"/>
      <c r="G81" s="558"/>
      <c r="H81" s="147" t="s">
        <v>902</v>
      </c>
      <c r="I81" s="147">
        <f>SUM(I76:I80)</f>
        <v>1.3450282105263158</v>
      </c>
      <c r="J81" s="17">
        <f>I81*1000000/86400</f>
        <v>15.567456140350876</v>
      </c>
      <c r="K81">
        <f>J81/8</f>
        <v>1.9459320175438595</v>
      </c>
    </row>
    <row r="82" spans="2:12">
      <c r="I82" s="17"/>
      <c r="J82" s="3" t="s">
        <v>0</v>
      </c>
      <c r="K82" s="3" t="s">
        <v>1017</v>
      </c>
    </row>
    <row r="83" spans="2:12" ht="18.75">
      <c r="B83" s="554" t="s">
        <v>909</v>
      </c>
      <c r="C83" s="554"/>
      <c r="D83" s="554"/>
      <c r="E83" s="554"/>
      <c r="F83" s="554"/>
      <c r="G83" s="554"/>
      <c r="H83" s="554"/>
      <c r="I83" s="554"/>
      <c r="J83" s="151"/>
    </row>
    <row r="84" spans="2:12">
      <c r="B84" s="145"/>
      <c r="C84" s="146" t="s">
        <v>850</v>
      </c>
      <c r="D84" s="146" t="s">
        <v>892</v>
      </c>
      <c r="E84" s="146" t="s">
        <v>893</v>
      </c>
      <c r="F84" s="146" t="s">
        <v>894</v>
      </c>
      <c r="G84" s="146" t="s">
        <v>895</v>
      </c>
      <c r="H84" s="146" t="s">
        <v>896</v>
      </c>
      <c r="I84" s="146" t="s">
        <v>897</v>
      </c>
      <c r="J84" s="29"/>
    </row>
    <row r="85" spans="2:12" ht="15.75">
      <c r="B85" s="143" t="s">
        <v>898</v>
      </c>
      <c r="C85" s="143" t="s">
        <v>860</v>
      </c>
      <c r="D85" s="143">
        <f>$E$3</f>
        <v>600</v>
      </c>
      <c r="E85" s="143" t="s">
        <v>878</v>
      </c>
      <c r="F85" s="143">
        <f>$I$9*$F$3</f>
        <v>2.7777777777777778E-4</v>
      </c>
      <c r="G85" s="143">
        <f>D85*F85</f>
        <v>0.16666666666666666</v>
      </c>
      <c r="H85" s="143">
        <v>86400</v>
      </c>
      <c r="I85" s="143">
        <f>G85*H85/1000000</f>
        <v>1.44E-2</v>
      </c>
      <c r="K85" s="149">
        <f>(I90-I85)*1000000/(8*86400)</f>
        <v>1.3819952359346641</v>
      </c>
      <c r="L85" s="149" t="str">
        <f>"&lt;=no HK, byte/s"</f>
        <v>&lt;=no HK, byte/s</v>
      </c>
    </row>
    <row r="86" spans="2:12">
      <c r="B86" s="143" t="s">
        <v>899</v>
      </c>
      <c r="C86" s="143" t="s">
        <v>867</v>
      </c>
      <c r="D86" s="143">
        <f>$E$5</f>
        <v>280</v>
      </c>
      <c r="E86" s="147" t="s">
        <v>879</v>
      </c>
      <c r="F86" s="143">
        <f>$M$10*$F$5</f>
        <v>3.4482758620689655E-2</v>
      </c>
      <c r="G86" s="143">
        <f>D86*F86</f>
        <v>9.6551724137931032</v>
      </c>
      <c r="H86" s="143">
        <v>86400</v>
      </c>
      <c r="I86" s="143">
        <f>G86*H86/1000000</f>
        <v>0.8342068965517242</v>
      </c>
    </row>
    <row r="87" spans="2:12">
      <c r="B87" s="143" t="s">
        <v>869</v>
      </c>
      <c r="C87" s="143" t="s">
        <v>870</v>
      </c>
      <c r="D87" s="143">
        <f>$E$6</f>
        <v>696</v>
      </c>
      <c r="E87" s="143" t="s">
        <v>878</v>
      </c>
      <c r="F87" s="143">
        <f>$M$9*$F$6</f>
        <v>2.7412280701754384E-4</v>
      </c>
      <c r="G87" s="143">
        <f>D87*F87</f>
        <v>0.19078947368421051</v>
      </c>
      <c r="H87" s="143">
        <v>86400</v>
      </c>
      <c r="I87" s="143">
        <f>G87*H87/1000000</f>
        <v>1.6484210526315785E-2</v>
      </c>
    </row>
    <row r="88" spans="2:12">
      <c r="B88" s="143" t="s">
        <v>872</v>
      </c>
      <c r="C88" s="143" t="s">
        <v>873</v>
      </c>
      <c r="D88" s="143">
        <f>$E$7</f>
        <v>1728</v>
      </c>
      <c r="E88" s="143" t="s">
        <v>865</v>
      </c>
      <c r="F88" s="143">
        <f>$M$4*$F$7</f>
        <v>1.1574074074074073E-5</v>
      </c>
      <c r="G88" s="143">
        <f>D88*F88</f>
        <v>0.02</v>
      </c>
      <c r="H88" s="143">
        <v>86400</v>
      </c>
      <c r="I88" s="143">
        <f>G88*H88/1000000</f>
        <v>1.7279999999999999E-3</v>
      </c>
    </row>
    <row r="89" spans="2:12">
      <c r="B89" s="143" t="s">
        <v>875</v>
      </c>
      <c r="C89" s="143" t="s">
        <v>876</v>
      </c>
      <c r="D89" s="143">
        <f>$E$8</f>
        <v>1632</v>
      </c>
      <c r="E89" s="143" t="s">
        <v>865</v>
      </c>
      <c r="F89" s="143">
        <f>$M$4*$F$8</f>
        <v>7.2916666666666659E-4</v>
      </c>
      <c r="G89" s="143">
        <f>D89*F89</f>
        <v>1.19</v>
      </c>
      <c r="H89" s="143">
        <v>86400</v>
      </c>
      <c r="I89" s="143">
        <f>G89*H89/1000000</f>
        <v>0.102816</v>
      </c>
    </row>
    <row r="90" spans="2:12">
      <c r="B90" s="143"/>
      <c r="C90" s="143"/>
      <c r="D90" s="143"/>
      <c r="E90" s="143"/>
      <c r="F90" s="143"/>
      <c r="G90" s="143"/>
      <c r="H90" s="147" t="s">
        <v>902</v>
      </c>
      <c r="I90" s="147">
        <f>SUM(I85:I89)</f>
        <v>0.9696351070780399</v>
      </c>
      <c r="J90" s="17">
        <f>I90*1000000/86400</f>
        <v>11.222628554143981</v>
      </c>
      <c r="K90">
        <f>J90/8</f>
        <v>1.4028285692679976</v>
      </c>
    </row>
    <row r="91" spans="2:12" ht="15" customHeight="1">
      <c r="J91" s="3" t="s">
        <v>0</v>
      </c>
      <c r="K91" s="3" t="s">
        <v>1017</v>
      </c>
    </row>
    <row r="92" spans="2:12" ht="18.75">
      <c r="B92" s="554" t="s">
        <v>910</v>
      </c>
      <c r="C92" s="554"/>
      <c r="D92" s="554"/>
      <c r="E92" s="554"/>
      <c r="F92" s="554"/>
      <c r="G92" s="554"/>
      <c r="H92" s="554"/>
      <c r="I92" s="554"/>
      <c r="J92" s="151"/>
    </row>
    <row r="93" spans="2:12">
      <c r="B93" s="145"/>
      <c r="C93" s="146" t="s">
        <v>850</v>
      </c>
      <c r="D93" s="146" t="s">
        <v>892</v>
      </c>
      <c r="E93" s="146" t="s">
        <v>893</v>
      </c>
      <c r="F93" s="146" t="s">
        <v>894</v>
      </c>
      <c r="G93" s="146" t="s">
        <v>895</v>
      </c>
      <c r="H93" s="146" t="s">
        <v>896</v>
      </c>
      <c r="I93" s="146" t="s">
        <v>897</v>
      </c>
      <c r="J93" s="29"/>
    </row>
    <row r="94" spans="2:12" ht="15.75">
      <c r="B94" s="143" t="s">
        <v>898</v>
      </c>
      <c r="C94" s="143" t="s">
        <v>860</v>
      </c>
      <c r="D94" s="143">
        <f>$E$3</f>
        <v>600</v>
      </c>
      <c r="E94" s="143" t="s">
        <v>878</v>
      </c>
      <c r="F94" s="143">
        <f>$I$9*$F$3</f>
        <v>2.7777777777777778E-4</v>
      </c>
      <c r="G94" s="143">
        <f>D94*F94</f>
        <v>0.16666666666666666</v>
      </c>
      <c r="H94" s="143">
        <v>86400</v>
      </c>
      <c r="I94" s="143">
        <f>G94*H94/1000000</f>
        <v>1.44E-2</v>
      </c>
      <c r="K94" s="149">
        <f>(I99-I94)*1000000/(8*86400)</f>
        <v>0.78913377192982437</v>
      </c>
      <c r="L94" s="149" t="str">
        <f>"&lt;=no HK, byte/s"</f>
        <v>&lt;=no HK, byte/s</v>
      </c>
    </row>
    <row r="95" spans="2:12">
      <c r="B95" s="143" t="s">
        <v>899</v>
      </c>
      <c r="C95" s="143" t="s">
        <v>867</v>
      </c>
      <c r="D95" s="143">
        <f>$E$5</f>
        <v>280</v>
      </c>
      <c r="E95" s="152" t="s">
        <v>878</v>
      </c>
      <c r="F95" s="143">
        <f>$M$9*$F$5</f>
        <v>1.7543859649122806E-2</v>
      </c>
      <c r="G95" s="143">
        <f>D95*F95</f>
        <v>4.9122807017543852</v>
      </c>
      <c r="H95" s="143">
        <v>86400</v>
      </c>
      <c r="I95" s="143">
        <f>G95*H95/1000000</f>
        <v>0.42442105263157887</v>
      </c>
    </row>
    <row r="96" spans="2:12">
      <c r="B96" s="143" t="s">
        <v>869</v>
      </c>
      <c r="C96" s="143" t="s">
        <v>870</v>
      </c>
      <c r="D96" s="143">
        <f>$E$6</f>
        <v>696</v>
      </c>
      <c r="E96" s="143" t="s">
        <v>878</v>
      </c>
      <c r="F96" s="143">
        <f>$M$9*$F$6</f>
        <v>2.7412280701754384E-4</v>
      </c>
      <c r="G96" s="143">
        <f>D96*F96</f>
        <v>0.19078947368421051</v>
      </c>
      <c r="H96" s="143">
        <v>86400</v>
      </c>
      <c r="I96" s="143">
        <f>G96*H96/1000000</f>
        <v>1.6484210526315785E-2</v>
      </c>
    </row>
    <row r="97" spans="2:12">
      <c r="B97" s="143" t="s">
        <v>872</v>
      </c>
      <c r="C97" s="143" t="s">
        <v>873</v>
      </c>
      <c r="D97" s="143">
        <f>$E$7</f>
        <v>1728</v>
      </c>
      <c r="E97" s="143" t="s">
        <v>865</v>
      </c>
      <c r="F97" s="143">
        <f>$M$4*$F$7</f>
        <v>1.1574074074074073E-5</v>
      </c>
      <c r="G97" s="143">
        <f>D97*F97</f>
        <v>0.02</v>
      </c>
      <c r="H97" s="143">
        <v>86400</v>
      </c>
      <c r="I97" s="143">
        <f>G97*H97/1000000</f>
        <v>1.7279999999999999E-3</v>
      </c>
    </row>
    <row r="98" spans="2:12">
      <c r="B98" s="143" t="s">
        <v>875</v>
      </c>
      <c r="C98" s="143" t="s">
        <v>876</v>
      </c>
      <c r="D98" s="143">
        <f>$E$8</f>
        <v>1632</v>
      </c>
      <c r="E98" s="143" t="s">
        <v>865</v>
      </c>
      <c r="F98" s="143">
        <f>$M$4*$F$8</f>
        <v>7.2916666666666659E-4</v>
      </c>
      <c r="G98" s="143">
        <f>D98*F98</f>
        <v>1.19</v>
      </c>
      <c r="H98" s="143">
        <v>86400</v>
      </c>
      <c r="I98" s="143">
        <f>G98*H98/1000000</f>
        <v>0.102816</v>
      </c>
    </row>
    <row r="99" spans="2:12">
      <c r="B99" s="558"/>
      <c r="C99" s="558"/>
      <c r="D99" s="558"/>
      <c r="E99" s="558"/>
      <c r="F99" s="558"/>
      <c r="G99" s="558"/>
      <c r="H99" s="147" t="s">
        <v>902</v>
      </c>
      <c r="I99" s="147">
        <f>SUM(I94:I98)</f>
        <v>0.55984926315789463</v>
      </c>
      <c r="J99" s="17">
        <f>I99*1000000/86400</f>
        <v>6.4797368421052619</v>
      </c>
      <c r="K99">
        <f>J99/8</f>
        <v>0.80996710526315774</v>
      </c>
    </row>
    <row r="100" spans="2:12" ht="15" customHeight="1">
      <c r="J100" s="3" t="s">
        <v>0</v>
      </c>
      <c r="K100" s="3" t="s">
        <v>1017</v>
      </c>
    </row>
    <row r="101" spans="2:12" ht="18.75">
      <c r="B101" s="554" t="s">
        <v>911</v>
      </c>
      <c r="C101" s="554"/>
      <c r="D101" s="554"/>
      <c r="E101" s="554"/>
      <c r="F101" s="554"/>
      <c r="G101" s="554"/>
      <c r="H101" s="554"/>
      <c r="I101" s="554"/>
      <c r="J101" s="151"/>
    </row>
    <row r="102" spans="2:12">
      <c r="B102" s="145"/>
      <c r="C102" s="146" t="s">
        <v>850</v>
      </c>
      <c r="D102" s="146" t="s">
        <v>892</v>
      </c>
      <c r="E102" s="146" t="s">
        <v>893</v>
      </c>
      <c r="F102" s="146" t="s">
        <v>894</v>
      </c>
      <c r="G102" s="146" t="s">
        <v>895</v>
      </c>
      <c r="H102" s="146" t="s">
        <v>896</v>
      </c>
      <c r="I102" s="146" t="s">
        <v>897</v>
      </c>
      <c r="J102" s="29"/>
    </row>
    <row r="103" spans="2:12" ht="15.75">
      <c r="B103" s="143" t="s">
        <v>898</v>
      </c>
      <c r="C103" s="143" t="s">
        <v>860</v>
      </c>
      <c r="D103" s="143">
        <f>$E$3</f>
        <v>600</v>
      </c>
      <c r="E103" s="143" t="s">
        <v>878</v>
      </c>
      <c r="F103" s="143">
        <f>$I$9*$F$3</f>
        <v>2.7777777777777778E-4</v>
      </c>
      <c r="G103" s="143">
        <f>D103*F103</f>
        <v>0.16666666666666666</v>
      </c>
      <c r="H103" s="143">
        <v>86400</v>
      </c>
      <c r="I103" s="143">
        <f>G103*H103/1000000</f>
        <v>1.44E-2</v>
      </c>
      <c r="K103" s="149">
        <f>(I108-I103)*1000000/(8*86400)</f>
        <v>0.48483319748486253</v>
      </c>
      <c r="L103" s="149" t="str">
        <f>"&lt;=no HK, byte/s"</f>
        <v>&lt;=no HK, byte/s</v>
      </c>
    </row>
    <row r="104" spans="2:12">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2">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2">
      <c r="B106" s="143" t="s">
        <v>872</v>
      </c>
      <c r="C106" s="143" t="s">
        <v>873</v>
      </c>
      <c r="D106" s="143">
        <f>$E$7</f>
        <v>1728</v>
      </c>
      <c r="E106" s="143" t="s">
        <v>865</v>
      </c>
      <c r="F106" s="143">
        <f>$M$4*$F$7</f>
        <v>1.1574074074074073E-5</v>
      </c>
      <c r="G106" s="143">
        <f>D106*F106</f>
        <v>0.02</v>
      </c>
      <c r="H106" s="143">
        <v>86400</v>
      </c>
      <c r="I106" s="143">
        <f>G106*H106/1000000</f>
        <v>1.7279999999999999E-3</v>
      </c>
    </row>
    <row r="107" spans="2:12">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2">
      <c r="B108" s="558"/>
      <c r="C108" s="558"/>
      <c r="D108" s="558"/>
      <c r="E108" s="558"/>
      <c r="F108" s="558"/>
      <c r="G108" s="558"/>
      <c r="H108" s="147" t="s">
        <v>902</v>
      </c>
      <c r="I108" s="147">
        <f>SUM(I103:I107)</f>
        <v>0.34951670610153701</v>
      </c>
      <c r="J108" s="17">
        <f>I108*1000000/86400</f>
        <v>4.0453322465455672</v>
      </c>
      <c r="K108" s="176">
        <f>J108/8</f>
        <v>0.5056665308181959</v>
      </c>
    </row>
    <row r="109" spans="2:12" ht="15" customHeight="1">
      <c r="J109" s="3" t="s">
        <v>0</v>
      </c>
      <c r="K109" s="3" t="s">
        <v>1017</v>
      </c>
    </row>
    <row r="110" spans="2:12" ht="18.75">
      <c r="B110" s="554" t="s">
        <v>912</v>
      </c>
      <c r="C110" s="554"/>
      <c r="D110" s="554"/>
      <c r="E110" s="554"/>
      <c r="F110" s="554"/>
      <c r="G110" s="554"/>
      <c r="H110" s="554"/>
      <c r="I110" s="554"/>
      <c r="J110" s="151"/>
    </row>
    <row r="111" spans="2:12">
      <c r="B111" s="145"/>
      <c r="C111" s="146" t="s">
        <v>850</v>
      </c>
      <c r="D111" s="146" t="s">
        <v>892</v>
      </c>
      <c r="E111" s="146" t="s">
        <v>893</v>
      </c>
      <c r="F111" s="146" t="s">
        <v>894</v>
      </c>
      <c r="G111" s="146" t="s">
        <v>895</v>
      </c>
      <c r="H111" s="146" t="s">
        <v>896</v>
      </c>
      <c r="I111" s="146" t="s">
        <v>897</v>
      </c>
      <c r="J111" s="29"/>
    </row>
    <row r="112" spans="2:12" ht="15.75">
      <c r="B112" s="143" t="s">
        <v>898</v>
      </c>
      <c r="C112" s="143" t="s">
        <v>860</v>
      </c>
      <c r="D112" s="143">
        <f>$E$3</f>
        <v>600</v>
      </c>
      <c r="E112" s="143" t="s">
        <v>878</v>
      </c>
      <c r="F112" s="143">
        <f>$I$9*$F$3</f>
        <v>2.7777777777777778E-4</v>
      </c>
      <c r="G112" s="143">
        <f>D112*F112</f>
        <v>0.16666666666666666</v>
      </c>
      <c r="H112" s="143">
        <v>86400</v>
      </c>
      <c r="I112" s="143">
        <f>G112*H112/1000000</f>
        <v>1.44E-2</v>
      </c>
      <c r="K112" s="149">
        <f>(I117-I112)*1000000/(8*86400)</f>
        <v>0.38219927592650266</v>
      </c>
      <c r="L112" s="149" t="str">
        <f>"&lt;=no HK, byte/s"</f>
        <v>&lt;=no HK, byte/s</v>
      </c>
    </row>
    <row r="113" spans="2:12">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2">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2">
      <c r="B115" s="143" t="s">
        <v>872</v>
      </c>
      <c r="C115" s="143" t="s">
        <v>873</v>
      </c>
      <c r="D115" s="143">
        <f>$E$7</f>
        <v>1728</v>
      </c>
      <c r="E115" s="143" t="s">
        <v>865</v>
      </c>
      <c r="F115" s="143">
        <f>$M$4*$F$7</f>
        <v>1.1574074074074073E-5</v>
      </c>
      <c r="G115" s="143">
        <f>D115*F115</f>
        <v>0.02</v>
      </c>
      <c r="H115" s="143">
        <v>86400</v>
      </c>
      <c r="I115" s="143">
        <f>G115*H115/1000000</f>
        <v>1.7279999999999999E-3</v>
      </c>
    </row>
    <row r="116" spans="2:12">
      <c r="B116" s="143" t="s">
        <v>875</v>
      </c>
      <c r="C116" s="143" t="s">
        <v>876</v>
      </c>
      <c r="D116" s="143">
        <f>$E$8</f>
        <v>1632</v>
      </c>
      <c r="E116" s="143" t="s">
        <v>865</v>
      </c>
      <c r="F116" s="143">
        <f>$M$4*$F$8</f>
        <v>7.2916666666666659E-4</v>
      </c>
      <c r="G116" s="143">
        <f>D116*F116</f>
        <v>1.19</v>
      </c>
      <c r="H116" s="143">
        <v>86400</v>
      </c>
      <c r="I116" s="143">
        <f>G116*H116/1000000</f>
        <v>0.102816</v>
      </c>
    </row>
    <row r="117" spans="2:12">
      <c r="B117" s="558"/>
      <c r="C117" s="558"/>
      <c r="D117" s="558"/>
      <c r="E117" s="558"/>
      <c r="F117" s="558"/>
      <c r="G117" s="558"/>
      <c r="H117" s="147" t="s">
        <v>902</v>
      </c>
      <c r="I117" s="147">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54" t="s">
        <v>913</v>
      </c>
      <c r="C119" s="554"/>
      <c r="D119" s="554"/>
      <c r="E119" s="554"/>
      <c r="F119" s="554"/>
      <c r="G119" s="554"/>
      <c r="H119" s="554"/>
      <c r="I119" s="554"/>
      <c r="J119" s="151"/>
    </row>
    <row r="120" spans="2:12">
      <c r="B120" s="145"/>
      <c r="C120" s="146" t="s">
        <v>850</v>
      </c>
      <c r="D120" s="146" t="s">
        <v>892</v>
      </c>
      <c r="E120" s="146" t="s">
        <v>893</v>
      </c>
      <c r="F120" s="146" t="s">
        <v>894</v>
      </c>
      <c r="G120" s="146" t="s">
        <v>895</v>
      </c>
      <c r="H120" s="146" t="s">
        <v>896</v>
      </c>
      <c r="I120" s="146" t="s">
        <v>897</v>
      </c>
      <c r="J120" s="29"/>
    </row>
    <row r="121" spans="2:12" ht="15.75">
      <c r="B121" s="143" t="s">
        <v>898</v>
      </c>
      <c r="C121" s="143" t="s">
        <v>860</v>
      </c>
      <c r="D121" s="143">
        <f>$E$3</f>
        <v>600</v>
      </c>
      <c r="E121" s="143" t="s">
        <v>878</v>
      </c>
      <c r="F121" s="143">
        <f>$I$9*$F$3</f>
        <v>2.7777777777777778E-4</v>
      </c>
      <c r="G121" s="143">
        <f>D121*F121</f>
        <v>0.16666666666666666</v>
      </c>
      <c r="H121" s="143">
        <v>86400</v>
      </c>
      <c r="I121" s="143">
        <f>G121*H121/1000000</f>
        <v>1.44E-2</v>
      </c>
      <c r="K121" s="149">
        <f>(I126-I121)*1000000/(8*86400)</f>
        <v>0.27864898006851446</v>
      </c>
      <c r="L121" s="149" t="str">
        <f>"&lt;=no HK, byte/s"</f>
        <v>&lt;=no HK, byte/s</v>
      </c>
    </row>
    <row r="122" spans="2:12">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2">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2">
      <c r="B124" s="143" t="s">
        <v>872</v>
      </c>
      <c r="C124" s="143" t="s">
        <v>873</v>
      </c>
      <c r="D124" s="143">
        <f>$E$7</f>
        <v>1728</v>
      </c>
      <c r="E124" s="143" t="s">
        <v>865</v>
      </c>
      <c r="F124" s="143">
        <f>$M$4*$F$7</f>
        <v>1.1574074074074073E-5</v>
      </c>
      <c r="G124" s="143">
        <f>D124*F124</f>
        <v>0.02</v>
      </c>
      <c r="H124" s="143">
        <v>86400</v>
      </c>
      <c r="I124" s="143">
        <f>G124*H124/1000000</f>
        <v>1.7279999999999999E-3</v>
      </c>
    </row>
    <row r="125" spans="2:12">
      <c r="B125" s="143" t="s">
        <v>875</v>
      </c>
      <c r="C125" s="143" t="s">
        <v>876</v>
      </c>
      <c r="D125" s="143">
        <f>$E$8</f>
        <v>1632</v>
      </c>
      <c r="E125" s="143" t="s">
        <v>865</v>
      </c>
      <c r="F125" s="143">
        <f>$M$4*$F$8</f>
        <v>7.2916666666666659E-4</v>
      </c>
      <c r="G125" s="143">
        <f>D125*F125</f>
        <v>1.19</v>
      </c>
      <c r="H125" s="143">
        <v>86400</v>
      </c>
      <c r="I125" s="143">
        <f>G125*H125/1000000</f>
        <v>0.102816</v>
      </c>
    </row>
    <row r="126" spans="2:12">
      <c r="B126" s="558"/>
      <c r="C126" s="558"/>
      <c r="D126" s="558"/>
      <c r="E126" s="558"/>
      <c r="F126" s="558"/>
      <c r="G126" s="558"/>
      <c r="H126" s="147" t="s">
        <v>902</v>
      </c>
      <c r="I126" s="147">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54" t="s">
        <v>914</v>
      </c>
      <c r="C128" s="554"/>
      <c r="D128" s="554"/>
      <c r="E128" s="554"/>
      <c r="F128" s="554"/>
      <c r="G128" s="554"/>
      <c r="H128" s="554"/>
      <c r="I128" s="554"/>
      <c r="J128" s="151"/>
    </row>
    <row r="129" spans="2:12">
      <c r="B129" s="145"/>
      <c r="C129" s="146" t="s">
        <v>850</v>
      </c>
      <c r="D129" s="146" t="s">
        <v>892</v>
      </c>
      <c r="E129" s="146" t="s">
        <v>893</v>
      </c>
      <c r="F129" s="146" t="s">
        <v>894</v>
      </c>
      <c r="G129" s="146" t="s">
        <v>895</v>
      </c>
      <c r="H129" s="146" t="s">
        <v>896</v>
      </c>
      <c r="I129" s="146" t="s">
        <v>897</v>
      </c>
      <c r="J129" s="29"/>
    </row>
    <row r="130" spans="2:12">
      <c r="B130" s="143" t="s">
        <v>898</v>
      </c>
      <c r="C130" s="143" t="s">
        <v>860</v>
      </c>
      <c r="D130" s="143">
        <f>$E$3</f>
        <v>600</v>
      </c>
      <c r="E130" s="143" t="s">
        <v>878</v>
      </c>
      <c r="F130" s="143">
        <f>$I$9*$F$3</f>
        <v>2.7777777777777778E-4</v>
      </c>
      <c r="G130" s="143">
        <f>D130*F130</f>
        <v>0.16666666666666666</v>
      </c>
      <c r="H130" s="143">
        <v>86400</v>
      </c>
      <c r="I130" s="143">
        <f>G130*H130/1000000</f>
        <v>1.44E-2</v>
      </c>
    </row>
    <row r="131" spans="2:12">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2">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2">
      <c r="B133" s="143" t="s">
        <v>872</v>
      </c>
      <c r="C133" s="143" t="s">
        <v>873</v>
      </c>
      <c r="D133" s="143">
        <f>$E$7</f>
        <v>1728</v>
      </c>
      <c r="E133" s="143" t="s">
        <v>865</v>
      </c>
      <c r="F133" s="143">
        <f>$M$4*$F$7</f>
        <v>1.1574074074074073E-5</v>
      </c>
      <c r="G133" s="143">
        <f>D133*F133</f>
        <v>0.02</v>
      </c>
      <c r="H133" s="143">
        <v>86400</v>
      </c>
      <c r="I133" s="143">
        <f>G133*H133/1000000</f>
        <v>1.7279999999999999E-3</v>
      </c>
    </row>
    <row r="134" spans="2:12">
      <c r="B134" s="143" t="s">
        <v>875</v>
      </c>
      <c r="C134" s="143" t="s">
        <v>876</v>
      </c>
      <c r="D134" s="143">
        <f>$E$8</f>
        <v>1632</v>
      </c>
      <c r="E134" s="143" t="s">
        <v>865</v>
      </c>
      <c r="F134" s="143">
        <f>$M$4*$F$8</f>
        <v>7.2916666666666659E-4</v>
      </c>
      <c r="G134" s="143">
        <f>D134*F134</f>
        <v>1.19</v>
      </c>
      <c r="H134" s="143">
        <v>86400</v>
      </c>
      <c r="I134" s="143">
        <f>G134*H134/1000000</f>
        <v>0.102816</v>
      </c>
    </row>
    <row r="135" spans="2:12">
      <c r="B135" s="558"/>
      <c r="C135" s="558"/>
      <c r="D135" s="558"/>
      <c r="E135" s="558"/>
      <c r="F135" s="558"/>
      <c r="G135" s="558"/>
      <c r="H135" s="147" t="s">
        <v>902</v>
      </c>
      <c r="I135" s="147">
        <f>SUM(I130:I134)</f>
        <v>0.17126821052631577</v>
      </c>
      <c r="J135" s="17">
        <f>I135*1000000/86400</f>
        <v>1.9822709551656921</v>
      </c>
      <c r="K135">
        <f>J135/8</f>
        <v>0.24778386939571151</v>
      </c>
    </row>
    <row r="136" spans="2:12" ht="15" customHeight="1">
      <c r="J136" s="3" t="s">
        <v>0</v>
      </c>
      <c r="K136" s="3" t="s">
        <v>1017</v>
      </c>
    </row>
    <row r="137" spans="2:12" ht="18.75">
      <c r="B137" s="554" t="s">
        <v>915</v>
      </c>
      <c r="C137" s="554"/>
      <c r="D137" s="554"/>
      <c r="E137" s="554"/>
      <c r="F137" s="554"/>
      <c r="G137" s="554"/>
      <c r="H137" s="554"/>
      <c r="I137" s="554"/>
      <c r="J137" s="151"/>
    </row>
    <row r="138" spans="2:12">
      <c r="B138" s="145"/>
      <c r="C138" s="146" t="s">
        <v>850</v>
      </c>
      <c r="D138" s="146" t="s">
        <v>892</v>
      </c>
      <c r="E138" s="146" t="s">
        <v>893</v>
      </c>
      <c r="F138" s="146" t="s">
        <v>894</v>
      </c>
      <c r="G138" s="146" t="s">
        <v>895</v>
      </c>
      <c r="H138" s="146" t="s">
        <v>896</v>
      </c>
      <c r="I138" s="146" t="s">
        <v>897</v>
      </c>
      <c r="J138" s="29"/>
    </row>
    <row r="139" spans="2:12" ht="15.75">
      <c r="B139" s="143" t="s">
        <v>898</v>
      </c>
      <c r="C139" s="143" t="s">
        <v>860</v>
      </c>
      <c r="D139" s="143">
        <f>$E$3</f>
        <v>600</v>
      </c>
      <c r="E139" s="143" t="s">
        <v>878</v>
      </c>
      <c r="F139" s="143">
        <f>$I$9*$F$3</f>
        <v>2.7777777777777778E-4</v>
      </c>
      <c r="G139" s="143">
        <f>D139*F139</f>
        <v>0.16666666666666666</v>
      </c>
      <c r="H139" s="143">
        <v>86400</v>
      </c>
      <c r="I139" s="143">
        <f>G139*H139/1000000</f>
        <v>1.44E-2</v>
      </c>
      <c r="K139" s="149">
        <f>(I144-I139)*1000000/(8*86400)</f>
        <v>0.20102461013645223</v>
      </c>
      <c r="L139" s="149" t="str">
        <f>"&lt;=no HK, byte/s"</f>
        <v>&lt;=no HK, byte/s</v>
      </c>
    </row>
    <row r="140" spans="2:12">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2">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2">
      <c r="B142" s="143" t="s">
        <v>872</v>
      </c>
      <c r="C142" s="143" t="s">
        <v>873</v>
      </c>
      <c r="D142" s="143">
        <f>$E$7</f>
        <v>1728</v>
      </c>
      <c r="E142" s="143" t="s">
        <v>865</v>
      </c>
      <c r="F142" s="143">
        <f>$M$4*$F$7</f>
        <v>1.1574074074074073E-5</v>
      </c>
      <c r="G142" s="143">
        <f>D142*F142</f>
        <v>0.02</v>
      </c>
      <c r="H142" s="143">
        <v>86400</v>
      </c>
      <c r="I142" s="143">
        <f>G142*H142/1000000</f>
        <v>1.7279999999999999E-3</v>
      </c>
    </row>
    <row r="143" spans="2:12">
      <c r="B143" s="143" t="s">
        <v>875</v>
      </c>
      <c r="C143" s="143" t="s">
        <v>876</v>
      </c>
      <c r="D143" s="143">
        <f>$E$8</f>
        <v>1632</v>
      </c>
      <c r="E143" s="143" t="s">
        <v>865</v>
      </c>
      <c r="F143" s="143">
        <f>$M$4*$F$8</f>
        <v>7.2916666666666659E-4</v>
      </c>
      <c r="G143" s="143">
        <f>D143*F143</f>
        <v>1.19</v>
      </c>
      <c r="H143" s="143">
        <v>86400</v>
      </c>
      <c r="I143" s="143">
        <f>G143*H143/1000000</f>
        <v>0.102816</v>
      </c>
    </row>
    <row r="144" spans="2:12">
      <c r="B144" s="555"/>
      <c r="C144" s="555"/>
      <c r="D144" s="555"/>
      <c r="E144" s="555"/>
      <c r="F144" s="555"/>
      <c r="G144" s="555"/>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6" t="s">
        <v>916</v>
      </c>
      <c r="C149" s="556"/>
      <c r="D149" s="556"/>
      <c r="E149" s="556"/>
      <c r="F149" s="556"/>
      <c r="G149" s="556"/>
      <c r="H149" s="556"/>
      <c r="I149" s="556"/>
      <c r="J149" s="557" t="s">
        <v>917</v>
      </c>
      <c r="K149" s="557"/>
      <c r="L149" s="557"/>
      <c r="M149" s="557"/>
    </row>
    <row r="150" spans="2:13">
      <c r="B150" s="145"/>
      <c r="C150" s="146" t="s">
        <v>850</v>
      </c>
      <c r="D150" s="146" t="s">
        <v>892</v>
      </c>
      <c r="E150" s="146" t="s">
        <v>893</v>
      </c>
      <c r="F150" s="146" t="s">
        <v>894</v>
      </c>
      <c r="G150" s="146" t="s">
        <v>895</v>
      </c>
      <c r="H150" s="146" t="s">
        <v>896</v>
      </c>
      <c r="I150" s="146" t="s">
        <v>897</v>
      </c>
      <c r="J150" s="29"/>
    </row>
    <row r="151" spans="2:13" ht="15.75">
      <c r="B151" s="143" t="s">
        <v>898</v>
      </c>
      <c r="C151" s="143" t="s">
        <v>860</v>
      </c>
      <c r="D151" s="143">
        <f>$E$3</f>
        <v>600</v>
      </c>
      <c r="E151" s="143" t="s">
        <v>890</v>
      </c>
      <c r="F151" s="143">
        <f>$I$21*$F$3</f>
        <v>1</v>
      </c>
      <c r="G151" s="143">
        <f>D151*F151</f>
        <v>600</v>
      </c>
      <c r="H151" s="143">
        <v>7200</v>
      </c>
      <c r="I151" s="143">
        <f>G151*H151/1000000</f>
        <v>4.32</v>
      </c>
      <c r="K151" s="149">
        <f>(I156-I151)*1000000/(8*86400)</f>
        <v>2.9383680555555554</v>
      </c>
      <c r="L151" s="149" t="str">
        <f>"&lt;=no HK, byte/s"</f>
        <v>&lt;=no HK, byte/s</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58"/>
      <c r="C156" s="558"/>
      <c r="D156" s="558"/>
      <c r="E156" s="558"/>
      <c r="F156" s="558"/>
      <c r="G156" s="558"/>
      <c r="H156" s="147" t="s">
        <v>902</v>
      </c>
      <c r="I156" s="147">
        <f>SUM(I151:I155)+(15000/1000000)</f>
        <v>6.351</v>
      </c>
      <c r="J156" s="17"/>
    </row>
    <row r="162" spans="2:7" ht="72" customHeight="1">
      <c r="B162" s="551" t="s">
        <v>918</v>
      </c>
      <c r="C162" s="153" t="s">
        <v>919</v>
      </c>
      <c r="D162" s="154" t="s">
        <v>920</v>
      </c>
      <c r="E162" s="552" t="s">
        <v>921</v>
      </c>
      <c r="F162" s="552"/>
      <c r="G162" s="552"/>
    </row>
    <row r="163" spans="2:7" ht="78.75" customHeight="1">
      <c r="B163" s="551"/>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51" t="s">
        <v>918</v>
      </c>
      <c r="C179" s="153" t="s">
        <v>919</v>
      </c>
      <c r="D179" s="154" t="s">
        <v>920</v>
      </c>
    </row>
    <row r="180" spans="2:11" ht="36">
      <c r="B180" s="551"/>
      <c r="C180" s="1" t="s">
        <v>924</v>
      </c>
      <c r="D180" s="154" t="s">
        <v>925</v>
      </c>
    </row>
    <row r="181" spans="2:11" ht="36">
      <c r="B181" s="155" t="s">
        <v>926</v>
      </c>
      <c r="C181" s="160">
        <f>$I$32</f>
        <v>24.222884210526313</v>
      </c>
      <c r="D181" s="160">
        <f>C181*365.25/1000</f>
        <v>8.847408457894737</v>
      </c>
    </row>
    <row r="189" spans="2:11" ht="21" customHeight="1">
      <c r="B189" s="553" t="s">
        <v>927</v>
      </c>
      <c r="C189" s="553"/>
      <c r="D189" s="553"/>
      <c r="E189" s="553"/>
      <c r="F189" s="553"/>
      <c r="G189" s="553"/>
      <c r="H189" s="553"/>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50" t="s">
        <v>929</v>
      </c>
      <c r="C197" s="550"/>
      <c r="D197" s="550"/>
      <c r="F197" s="550" t="s">
        <v>929</v>
      </c>
      <c r="G197" s="550"/>
      <c r="H197" s="550"/>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50" t="s">
        <v>936</v>
      </c>
      <c r="C204" s="550"/>
      <c r="D204" s="550"/>
      <c r="F204" s="550" t="s">
        <v>936</v>
      </c>
      <c r="G204" s="550"/>
      <c r="H204" s="550"/>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33" priority="1">
      <formula>M3=I3</formula>
    </cfRule>
    <cfRule type="expression" dxfId="32"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2026-09-16T13:44:37Z</dcterms:modified>
  <dc:language>en-US</dc:language>
</cp:coreProperties>
</file>